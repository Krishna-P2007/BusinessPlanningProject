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BusinessPlanningProject\Business model plan\Sprint-01 - pricing framework\Demo\"/>
    </mc:Choice>
  </mc:AlternateContent>
  <xr:revisionPtr revIDLastSave="0" documentId="13_ncr:1_{3B0B34D1-6420-4202-A71E-E7FECBE34B71}" xr6:coauthVersionLast="47" xr6:coauthVersionMax="47" xr10:uidLastSave="{00000000-0000-0000-0000-000000000000}"/>
  <bookViews>
    <workbookView xWindow="-110" yWindow="-110" windowWidth="19420" windowHeight="11500" xr2:uid="{5D480AE7-EC94-45B7-81F7-7AB8A6C920B8}"/>
  </bookViews>
  <sheets>
    <sheet name="Data" sheetId="1" r:id="rId1"/>
    <sheet name="Bearish" sheetId="2" r:id="rId2"/>
    <sheet name="Standard" sheetId="3" r:id="rId3"/>
    <sheet name="Bullish" sheetId="4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6" i="4"/>
  <c r="D27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6" i="4"/>
  <c r="C27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6" i="4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6" i="3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6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6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" i="1"/>
  <c r="I24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3" i="1"/>
  <c r="J22" i="1"/>
  <c r="J2" i="1"/>
</calcChain>
</file>

<file path=xl/sharedStrings.xml><?xml version="1.0" encoding="utf-8"?>
<sst xmlns="http://schemas.openxmlformats.org/spreadsheetml/2006/main" count="197" uniqueCount="84">
  <si>
    <t>No.</t>
  </si>
  <si>
    <t>Refinery Name</t>
  </si>
  <si>
    <t>Owner / Operator</t>
  </si>
  <si>
    <t>Sector</t>
  </si>
  <si>
    <t>State</t>
  </si>
  <si>
    <t>Location</t>
  </si>
  <si>
    <t>Year Commissioned</t>
  </si>
  <si>
    <t>Capacity (MMTPA)</t>
  </si>
  <si>
    <t>Nelson Complexity Index</t>
  </si>
  <si>
    <t>Jamnagar Refinery (SEZ)</t>
  </si>
  <si>
    <t>Reliance Industries</t>
  </si>
  <si>
    <t>Private</t>
  </si>
  <si>
    <t>Gujarat</t>
  </si>
  <si>
    <t>Jamnagar</t>
  </si>
  <si>
    <t>Vadinar Refinery</t>
  </si>
  <si>
    <t>Nayara Energy</t>
  </si>
  <si>
    <t>Vadinar</t>
  </si>
  <si>
    <t>Kochi Refinery</t>
  </si>
  <si>
    <t>Bharat Petroleum (BPCL)</t>
  </si>
  <si>
    <t>Public</t>
  </si>
  <si>
    <t>Kerala</t>
  </si>
  <si>
    <t>Kochi</t>
  </si>
  <si>
    <t>Mangalore Refinery (MRPL)</t>
  </si>
  <si>
    <t>ONGC</t>
  </si>
  <si>
    <t>Karnataka</t>
  </si>
  <si>
    <t>Mangalore</t>
  </si>
  <si>
    <t>Paradip Refinery</t>
  </si>
  <si>
    <t>Indian Oil (IOCL)</t>
  </si>
  <si>
    <t>Odisha</t>
  </si>
  <si>
    <t>Paradip</t>
  </si>
  <si>
    <t>Panipat Refinery</t>
  </si>
  <si>
    <t>Haryana</t>
  </si>
  <si>
    <t>Panipat</t>
  </si>
  <si>
    <t>Gujarat Refinery</t>
  </si>
  <si>
    <t>Vadodara</t>
  </si>
  <si>
    <t>Mumbai Refinery</t>
  </si>
  <si>
    <t>Maharashtra</t>
  </si>
  <si>
    <t>Mumbai</t>
  </si>
  <si>
    <t>Guru Gobind Singh Refinery</t>
  </si>
  <si>
    <t>HPCL-Mittal Energy Ltd (HMEL)</t>
  </si>
  <si>
    <t>Joint Venture</t>
  </si>
  <si>
    <t>Punjab</t>
  </si>
  <si>
    <t>Bathinda</t>
  </si>
  <si>
    <t>Manali Refinery</t>
  </si>
  <si>
    <t>CPCL (Chennai Petroleum)</t>
  </si>
  <si>
    <t>Tamil Nadu</t>
  </si>
  <si>
    <t>Chennai</t>
  </si>
  <si>
    <t>Visakhapatnam Refinery</t>
  </si>
  <si>
    <t>Hindustan Petroleum (HPCL)</t>
  </si>
  <si>
    <t>Andhra Pradesh</t>
  </si>
  <si>
    <t>Visakhapatnam</t>
  </si>
  <si>
    <t>Mathura Refinery</t>
  </si>
  <si>
    <t>Uttar Pradesh</t>
  </si>
  <si>
    <t>Mathura</t>
  </si>
  <si>
    <t>Haldia Refinery</t>
  </si>
  <si>
    <t>West Bengal</t>
  </si>
  <si>
    <t>Haldia</t>
  </si>
  <si>
    <t>Bina Refinery</t>
  </si>
  <si>
    <t>Madhya Pradesh</t>
  </si>
  <si>
    <t>Bina</t>
  </si>
  <si>
    <t>Mumbai Refinery (HPCL)</t>
  </si>
  <si>
    <t>Barauni Refinery</t>
  </si>
  <si>
    <t>Bihar</t>
  </si>
  <si>
    <t>Barauni</t>
  </si>
  <si>
    <t>Numaligarh Refinery</t>
  </si>
  <si>
    <t>Oil India / Govt. of Assam</t>
  </si>
  <si>
    <t>Assam</t>
  </si>
  <si>
    <t>Numaligarh</t>
  </si>
  <si>
    <t>Bongaigaon Refinery</t>
  </si>
  <si>
    <t>Bongaigaon</t>
  </si>
  <si>
    <t>Guwahati Refinery</t>
  </si>
  <si>
    <t>Guwahati</t>
  </si>
  <si>
    <t>Nagapattinam Refinery</t>
  </si>
  <si>
    <t>Nagapattinam</t>
  </si>
  <si>
    <t>Tatipaka Refinery</t>
  </si>
  <si>
    <t>Tatipaka</t>
  </si>
  <si>
    <t>Digboi Refinery</t>
  </si>
  <si>
    <t>Digboi</t>
  </si>
  <si>
    <t>Estimated spend (cr/year)</t>
  </si>
  <si>
    <t>Asset Intensity Score
(0 - 100)</t>
  </si>
  <si>
    <t>Possible spend on maitenance</t>
  </si>
  <si>
    <t>Adoption rate</t>
  </si>
  <si>
    <t>Year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</si>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</sst>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5460-F1DE-4552-864F-9C59A365DE45}">
  <dimension ref="A1:L27"/>
  <sheetViews>
    <sheetView tabSelected="1" zoomScale="60" workbookViewId="0">
      <selection activeCell="L2" sqref="L2"/>
    </sheetView>
  </sheetViews>
  <sheetFormatPr defaultRowHeight="14.5" x14ac:dyDescent="0.35"/>
  <cols>
    <col min="1" max="1" width="8.7265625" style="4" customWidth="1"/>
    <col min="2" max="2" width="27.90625" style="4" customWidth="1"/>
    <col min="3" max="3" width="25.90625" style="4" customWidth="1"/>
    <col min="4" max="4" width="12.08984375" style="4" customWidth="1"/>
    <col min="5" max="5" width="19.81640625" style="4" customWidth="1"/>
    <col min="6" max="6" width="20.36328125" style="4" customWidth="1"/>
    <col min="7" max="7" width="12.1796875" style="4" customWidth="1"/>
    <col min="8" max="8" width="12.6328125" style="4" customWidth="1"/>
    <col min="9" max="9" width="22.08984375" style="4" customWidth="1"/>
    <col min="10" max="10" width="24.08984375" style="4" customWidth="1"/>
    <col min="11" max="11" width="13.90625" style="4" customWidth="1"/>
    <col min="12" max="12" width="26.453125" style="4" customWidth="1"/>
    <col min="13" max="16384" width="8.7265625" style="4"/>
  </cols>
  <sheetData>
    <row r="1" spans="1:12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79</v>
      </c>
      <c r="J1" s="7" t="s">
        <v>78</v>
      </c>
      <c r="K1" s="1" t="s">
        <v>8</v>
      </c>
      <c r="L1" s="11" t="s">
        <v>80</v>
      </c>
    </row>
    <row r="2" spans="1:12" x14ac:dyDescent="0.35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1999</v>
      </c>
      <c r="H2" s="3">
        <v>35.4</v>
      </c>
      <c r="I2" s="6">
        <v>100</v>
      </c>
      <c r="J2" s="8">
        <f>(I2/55)*690</f>
        <v>1254.5454545454545</v>
      </c>
      <c r="K2" s="9">
        <v>21.1</v>
      </c>
      <c r="L2" s="4">
        <f>J2*0.15</f>
        <v>188.18181818181816</v>
      </c>
    </row>
    <row r="3" spans="1:12" x14ac:dyDescent="0.35">
      <c r="A3" s="3">
        <v>2</v>
      </c>
      <c r="B3" s="3" t="s">
        <v>14</v>
      </c>
      <c r="C3" s="3" t="s">
        <v>15</v>
      </c>
      <c r="D3" s="3" t="s">
        <v>11</v>
      </c>
      <c r="E3" s="3" t="s">
        <v>12</v>
      </c>
      <c r="F3" s="3" t="s">
        <v>16</v>
      </c>
      <c r="G3" s="3">
        <v>2008</v>
      </c>
      <c r="H3" s="3">
        <v>20</v>
      </c>
      <c r="I3" s="6">
        <v>49.5</v>
      </c>
      <c r="J3" s="8">
        <f t="shared" ref="J3:J21" si="0">(I3/55)*690</f>
        <v>621</v>
      </c>
      <c r="K3" s="9">
        <v>11.8</v>
      </c>
      <c r="L3" s="4">
        <f t="shared" ref="L3:L23" si="1">J3*0.15</f>
        <v>93.149999999999991</v>
      </c>
    </row>
    <row r="4" spans="1:12" x14ac:dyDescent="0.35">
      <c r="A4" s="3">
        <v>3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>
        <v>1963</v>
      </c>
      <c r="H4" s="3">
        <v>15.5</v>
      </c>
      <c r="I4" s="6">
        <v>55</v>
      </c>
      <c r="J4" s="8">
        <f t="shared" si="0"/>
        <v>690</v>
      </c>
      <c r="K4" s="9">
        <v>10.8</v>
      </c>
      <c r="L4" s="4">
        <f t="shared" si="1"/>
        <v>103.5</v>
      </c>
    </row>
    <row r="5" spans="1:12" x14ac:dyDescent="0.35">
      <c r="A5" s="3">
        <v>4</v>
      </c>
      <c r="B5" s="3" t="s">
        <v>22</v>
      </c>
      <c r="C5" s="3" t="s">
        <v>23</v>
      </c>
      <c r="D5" s="3" t="s">
        <v>19</v>
      </c>
      <c r="E5" s="3" t="s">
        <v>24</v>
      </c>
      <c r="F5" s="3" t="s">
        <v>25</v>
      </c>
      <c r="G5" s="3">
        <v>1988</v>
      </c>
      <c r="H5" s="3">
        <v>15</v>
      </c>
      <c r="I5" s="6">
        <v>46.8</v>
      </c>
      <c r="J5" s="8">
        <f t="shared" si="0"/>
        <v>587.12727272727273</v>
      </c>
      <c r="K5" s="9">
        <v>10.6</v>
      </c>
      <c r="L5" s="4">
        <f t="shared" si="1"/>
        <v>88.069090909090903</v>
      </c>
    </row>
    <row r="6" spans="1:12" x14ac:dyDescent="0.35">
      <c r="A6" s="3">
        <v>5</v>
      </c>
      <c r="B6" s="3" t="s">
        <v>26</v>
      </c>
      <c r="C6" s="3" t="s">
        <v>27</v>
      </c>
      <c r="D6" s="3" t="s">
        <v>19</v>
      </c>
      <c r="E6" s="3" t="s">
        <v>28</v>
      </c>
      <c r="F6" s="3" t="s">
        <v>29</v>
      </c>
      <c r="G6" s="3">
        <v>2016</v>
      </c>
      <c r="H6" s="3">
        <v>15</v>
      </c>
      <c r="I6" s="6">
        <v>29.6</v>
      </c>
      <c r="J6" s="8">
        <f t="shared" si="0"/>
        <v>371.34545454545457</v>
      </c>
      <c r="K6" s="9">
        <v>12.2</v>
      </c>
      <c r="L6" s="4">
        <f t="shared" si="1"/>
        <v>55.701818181818183</v>
      </c>
    </row>
    <row r="7" spans="1:12" x14ac:dyDescent="0.35">
      <c r="A7" s="3">
        <v>6</v>
      </c>
      <c r="B7" s="3" t="s">
        <v>30</v>
      </c>
      <c r="C7" s="3" t="s">
        <v>27</v>
      </c>
      <c r="D7" s="3" t="s">
        <v>19</v>
      </c>
      <c r="E7" s="3" t="s">
        <v>31</v>
      </c>
      <c r="F7" s="3" t="s">
        <v>32</v>
      </c>
      <c r="G7" s="3">
        <v>1998</v>
      </c>
      <c r="H7" s="3">
        <v>15</v>
      </c>
      <c r="I7" s="6">
        <v>42.8</v>
      </c>
      <c r="J7" s="8">
        <f t="shared" si="0"/>
        <v>536.94545454545448</v>
      </c>
      <c r="K7" s="9">
        <v>10.5</v>
      </c>
      <c r="L7" s="4">
        <f t="shared" si="1"/>
        <v>80.541818181818172</v>
      </c>
    </row>
    <row r="8" spans="1:12" x14ac:dyDescent="0.35">
      <c r="A8" s="3">
        <v>7</v>
      </c>
      <c r="B8" s="3" t="s">
        <v>33</v>
      </c>
      <c r="C8" s="3" t="s">
        <v>27</v>
      </c>
      <c r="D8" s="3" t="s">
        <v>19</v>
      </c>
      <c r="E8" s="3" t="s">
        <v>12</v>
      </c>
      <c r="F8" s="3" t="s">
        <v>34</v>
      </c>
      <c r="G8" s="3">
        <v>1965</v>
      </c>
      <c r="H8" s="3">
        <v>13.7</v>
      </c>
      <c r="I8" s="6">
        <v>48.3</v>
      </c>
      <c r="J8" s="8">
        <f t="shared" si="0"/>
        <v>605.9454545454546</v>
      </c>
      <c r="K8" s="9">
        <v>10</v>
      </c>
      <c r="L8" s="4">
        <f t="shared" si="1"/>
        <v>90.891818181818181</v>
      </c>
    </row>
    <row r="9" spans="1:12" x14ac:dyDescent="0.35">
      <c r="A9" s="3">
        <v>8</v>
      </c>
      <c r="B9" s="3" t="s">
        <v>35</v>
      </c>
      <c r="C9" s="3" t="s">
        <v>18</v>
      </c>
      <c r="D9" s="3" t="s">
        <v>19</v>
      </c>
      <c r="E9" s="3" t="s">
        <v>36</v>
      </c>
      <c r="F9" s="3" t="s">
        <v>37</v>
      </c>
      <c r="G9" s="3">
        <v>1955</v>
      </c>
      <c r="H9" s="3">
        <v>12</v>
      </c>
      <c r="I9" s="6">
        <v>43.8</v>
      </c>
      <c r="J9" s="8">
        <f t="shared" si="0"/>
        <v>549.49090909090899</v>
      </c>
      <c r="K9" s="9">
        <v>5.6</v>
      </c>
      <c r="L9" s="4">
        <f t="shared" si="1"/>
        <v>82.423636363636348</v>
      </c>
    </row>
    <row r="10" spans="1:12" x14ac:dyDescent="0.35">
      <c r="A10" s="3">
        <v>9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42</v>
      </c>
      <c r="G10" s="3">
        <v>2012</v>
      </c>
      <c r="H10" s="3">
        <v>11.3</v>
      </c>
      <c r="I10" s="6">
        <v>25.6</v>
      </c>
      <c r="J10" s="8">
        <f t="shared" si="0"/>
        <v>321.16363636363639</v>
      </c>
      <c r="K10" s="9">
        <v>12.6</v>
      </c>
      <c r="L10" s="4">
        <f t="shared" si="1"/>
        <v>48.174545454545459</v>
      </c>
    </row>
    <row r="11" spans="1:12" x14ac:dyDescent="0.35">
      <c r="A11" s="3">
        <v>10</v>
      </c>
      <c r="B11" s="3" t="s">
        <v>43</v>
      </c>
      <c r="C11" s="3" t="s">
        <v>44</v>
      </c>
      <c r="D11" s="3" t="s">
        <v>19</v>
      </c>
      <c r="E11" s="3" t="s">
        <v>45</v>
      </c>
      <c r="F11" s="3" t="s">
        <v>46</v>
      </c>
      <c r="G11" s="3">
        <v>1969</v>
      </c>
      <c r="H11" s="3">
        <v>10.5</v>
      </c>
      <c r="I11" s="6">
        <v>36.4</v>
      </c>
      <c r="J11" s="8">
        <f t="shared" si="0"/>
        <v>456.65454545454543</v>
      </c>
      <c r="K11" s="9">
        <v>9.5</v>
      </c>
      <c r="L11" s="4">
        <f t="shared" si="1"/>
        <v>68.498181818181806</v>
      </c>
    </row>
    <row r="12" spans="1:12" x14ac:dyDescent="0.35">
      <c r="A12" s="3">
        <v>11</v>
      </c>
      <c r="B12" s="3" t="s">
        <v>47</v>
      </c>
      <c r="C12" s="3" t="s">
        <v>48</v>
      </c>
      <c r="D12" s="3" t="s">
        <v>19</v>
      </c>
      <c r="E12" s="3" t="s">
        <v>49</v>
      </c>
      <c r="F12" s="3" t="s">
        <v>50</v>
      </c>
      <c r="G12" s="3">
        <v>1957</v>
      </c>
      <c r="H12" s="3">
        <v>8.3000000000000007</v>
      </c>
      <c r="I12" s="6">
        <v>30.1</v>
      </c>
      <c r="J12" s="8">
        <f t="shared" si="0"/>
        <v>377.61818181818182</v>
      </c>
      <c r="K12" s="9">
        <v>7.8</v>
      </c>
      <c r="L12" s="4">
        <f t="shared" si="1"/>
        <v>56.642727272727271</v>
      </c>
    </row>
    <row r="13" spans="1:12" x14ac:dyDescent="0.35">
      <c r="A13" s="3">
        <v>12</v>
      </c>
      <c r="B13" s="3" t="s">
        <v>51</v>
      </c>
      <c r="C13" s="3" t="s">
        <v>27</v>
      </c>
      <c r="D13" s="3" t="s">
        <v>19</v>
      </c>
      <c r="E13" s="3" t="s">
        <v>52</v>
      </c>
      <c r="F13" s="3" t="s">
        <v>53</v>
      </c>
      <c r="G13" s="3">
        <v>1982</v>
      </c>
      <c r="H13" s="3">
        <v>8</v>
      </c>
      <c r="I13" s="6">
        <v>25.9</v>
      </c>
      <c r="J13" s="8">
        <f t="shared" si="0"/>
        <v>324.92727272727274</v>
      </c>
      <c r="K13" s="9">
        <v>8.4</v>
      </c>
      <c r="L13" s="4">
        <f t="shared" si="1"/>
        <v>48.739090909090912</v>
      </c>
    </row>
    <row r="14" spans="1:12" x14ac:dyDescent="0.35">
      <c r="A14" s="3">
        <v>13</v>
      </c>
      <c r="B14" s="3" t="s">
        <v>54</v>
      </c>
      <c r="C14" s="3" t="s">
        <v>27</v>
      </c>
      <c r="D14" s="3" t="s">
        <v>19</v>
      </c>
      <c r="E14" s="3" t="s">
        <v>55</v>
      </c>
      <c r="F14" s="3" t="s">
        <v>56</v>
      </c>
      <c r="G14" s="3">
        <v>1975</v>
      </c>
      <c r="H14" s="3">
        <v>8</v>
      </c>
      <c r="I14" s="6">
        <v>27</v>
      </c>
      <c r="J14" s="8">
        <f t="shared" si="0"/>
        <v>338.72727272727275</v>
      </c>
      <c r="K14" s="9">
        <v>10.4</v>
      </c>
      <c r="L14" s="4">
        <f t="shared" si="1"/>
        <v>50.809090909090912</v>
      </c>
    </row>
    <row r="15" spans="1:12" x14ac:dyDescent="0.35">
      <c r="A15" s="3">
        <v>14</v>
      </c>
      <c r="B15" s="3" t="s">
        <v>57</v>
      </c>
      <c r="C15" s="3" t="s">
        <v>18</v>
      </c>
      <c r="D15" s="3" t="s">
        <v>19</v>
      </c>
      <c r="E15" s="3" t="s">
        <v>58</v>
      </c>
      <c r="F15" s="3" t="s">
        <v>59</v>
      </c>
      <c r="G15" s="3">
        <v>2011</v>
      </c>
      <c r="H15" s="3">
        <v>7.8</v>
      </c>
      <c r="I15" s="6">
        <v>18.100000000000001</v>
      </c>
      <c r="J15" s="8">
        <f t="shared" si="0"/>
        <v>227.07272727272729</v>
      </c>
      <c r="K15" s="9">
        <v>11.58</v>
      </c>
      <c r="L15" s="4">
        <f t="shared" si="1"/>
        <v>34.060909090909092</v>
      </c>
    </row>
    <row r="16" spans="1:12" x14ac:dyDescent="0.35">
      <c r="A16" s="3">
        <v>15</v>
      </c>
      <c r="B16" s="3" t="s">
        <v>60</v>
      </c>
      <c r="C16" s="3" t="s">
        <v>48</v>
      </c>
      <c r="D16" s="3" t="s">
        <v>19</v>
      </c>
      <c r="E16" s="3" t="s">
        <v>36</v>
      </c>
      <c r="F16" s="3" t="s">
        <v>37</v>
      </c>
      <c r="G16" s="3">
        <v>1954</v>
      </c>
      <c r="H16" s="3">
        <v>9.5</v>
      </c>
      <c r="I16" s="6">
        <v>34.799999999999997</v>
      </c>
      <c r="J16" s="8">
        <f t="shared" si="0"/>
        <v>436.58181818181816</v>
      </c>
      <c r="K16" s="9">
        <v>10.4</v>
      </c>
      <c r="L16" s="4">
        <f t="shared" si="1"/>
        <v>65.487272727272725</v>
      </c>
    </row>
    <row r="17" spans="1:12" x14ac:dyDescent="0.35">
      <c r="A17" s="3">
        <v>16</v>
      </c>
      <c r="B17" s="3" t="s">
        <v>61</v>
      </c>
      <c r="C17" s="3" t="s">
        <v>27</v>
      </c>
      <c r="D17" s="3" t="s">
        <v>19</v>
      </c>
      <c r="E17" s="3" t="s">
        <v>62</v>
      </c>
      <c r="F17" s="3" t="s">
        <v>63</v>
      </c>
      <c r="G17" s="3">
        <v>1964</v>
      </c>
      <c r="H17" s="3">
        <v>6</v>
      </c>
      <c r="I17" s="6">
        <v>21.2</v>
      </c>
      <c r="J17" s="8">
        <f t="shared" si="0"/>
        <v>265.96363636363634</v>
      </c>
      <c r="K17" s="9">
        <v>7.8</v>
      </c>
      <c r="L17" s="4">
        <f t="shared" si="1"/>
        <v>39.894545454545451</v>
      </c>
    </row>
    <row r="18" spans="1:12" x14ac:dyDescent="0.35">
      <c r="A18" s="3">
        <v>17</v>
      </c>
      <c r="B18" s="3" t="s">
        <v>64</v>
      </c>
      <c r="C18" s="3" t="s">
        <v>65</v>
      </c>
      <c r="D18" s="3" t="s">
        <v>19</v>
      </c>
      <c r="E18" s="3" t="s">
        <v>66</v>
      </c>
      <c r="F18" s="3" t="s">
        <v>67</v>
      </c>
      <c r="G18" s="3">
        <v>2000</v>
      </c>
      <c r="H18" s="3">
        <v>3</v>
      </c>
      <c r="I18" s="6">
        <v>8.4</v>
      </c>
      <c r="J18" s="8">
        <f t="shared" si="0"/>
        <v>105.38181818181819</v>
      </c>
      <c r="K18" s="9">
        <v>9.6</v>
      </c>
      <c r="L18" s="4">
        <f t="shared" si="1"/>
        <v>15.807272727272728</v>
      </c>
    </row>
    <row r="19" spans="1:12" x14ac:dyDescent="0.35">
      <c r="A19" s="3">
        <v>18</v>
      </c>
      <c r="B19" s="3" t="s">
        <v>68</v>
      </c>
      <c r="C19" s="3" t="s">
        <v>27</v>
      </c>
      <c r="D19" s="3" t="s">
        <v>19</v>
      </c>
      <c r="E19" s="3" t="s">
        <v>66</v>
      </c>
      <c r="F19" s="3" t="s">
        <v>69</v>
      </c>
      <c r="G19" s="3">
        <v>1974</v>
      </c>
      <c r="H19" s="3">
        <v>2.35</v>
      </c>
      <c r="I19" s="6">
        <v>8</v>
      </c>
      <c r="J19" s="8">
        <f t="shared" si="0"/>
        <v>100.36363636363636</v>
      </c>
      <c r="K19" s="9">
        <v>8.1999999999999993</v>
      </c>
      <c r="L19" s="4">
        <f t="shared" si="1"/>
        <v>15.054545454545453</v>
      </c>
    </row>
    <row r="20" spans="1:12" x14ac:dyDescent="0.35">
      <c r="A20" s="3">
        <v>19</v>
      </c>
      <c r="B20" s="3" t="s">
        <v>70</v>
      </c>
      <c r="C20" s="3" t="s">
        <v>27</v>
      </c>
      <c r="D20" s="3" t="s">
        <v>19</v>
      </c>
      <c r="E20" s="3" t="s">
        <v>66</v>
      </c>
      <c r="F20" s="3" t="s">
        <v>71</v>
      </c>
      <c r="G20" s="3">
        <v>1962</v>
      </c>
      <c r="H20" s="3">
        <v>1</v>
      </c>
      <c r="I20" s="6">
        <v>3.6</v>
      </c>
      <c r="J20" s="8">
        <f t="shared" si="0"/>
        <v>45.163636363636364</v>
      </c>
      <c r="K20" s="9">
        <v>6.7</v>
      </c>
      <c r="L20" s="4">
        <f t="shared" si="1"/>
        <v>6.7745454545454544</v>
      </c>
    </row>
    <row r="21" spans="1:12" x14ac:dyDescent="0.35">
      <c r="A21" s="3">
        <v>20</v>
      </c>
      <c r="B21" s="3" t="s">
        <v>72</v>
      </c>
      <c r="C21" s="3" t="s">
        <v>44</v>
      </c>
      <c r="D21" s="3" t="s">
        <v>19</v>
      </c>
      <c r="E21" s="3" t="s">
        <v>45</v>
      </c>
      <c r="F21" s="3" t="s">
        <v>73</v>
      </c>
      <c r="G21" s="3">
        <v>1993</v>
      </c>
      <c r="H21" s="3">
        <v>1</v>
      </c>
      <c r="I21" s="6">
        <v>3</v>
      </c>
      <c r="J21" s="8">
        <f t="shared" si="0"/>
        <v>37.636363636363633</v>
      </c>
      <c r="K21" s="9">
        <v>7.9</v>
      </c>
      <c r="L21" s="4">
        <f t="shared" si="1"/>
        <v>5.6454545454545446</v>
      </c>
    </row>
    <row r="22" spans="1:12" x14ac:dyDescent="0.35">
      <c r="A22" s="3">
        <v>22</v>
      </c>
      <c r="B22" s="3" t="s">
        <v>76</v>
      </c>
      <c r="C22" s="3" t="s">
        <v>27</v>
      </c>
      <c r="D22" s="3" t="s">
        <v>19</v>
      </c>
      <c r="E22" s="3" t="s">
        <v>66</v>
      </c>
      <c r="F22" s="3" t="s">
        <v>77</v>
      </c>
      <c r="G22" s="3">
        <v>1901</v>
      </c>
      <c r="H22" s="3">
        <v>0.65</v>
      </c>
      <c r="I22" s="6">
        <v>2.7</v>
      </c>
      <c r="J22" s="8">
        <f>(I22/55)*690</f>
        <v>33.872727272727275</v>
      </c>
      <c r="K22" s="9">
        <v>11</v>
      </c>
      <c r="L22" s="4">
        <f t="shared" si="1"/>
        <v>5.080909090909091</v>
      </c>
    </row>
    <row r="23" spans="1:12" x14ac:dyDescent="0.35">
      <c r="A23" s="3">
        <v>21</v>
      </c>
      <c r="B23" s="3" t="s">
        <v>74</v>
      </c>
      <c r="C23" s="3" t="s">
        <v>23</v>
      </c>
      <c r="D23" s="3" t="s">
        <v>19</v>
      </c>
      <c r="E23" s="3" t="s">
        <v>49</v>
      </c>
      <c r="F23" s="3" t="s">
        <v>75</v>
      </c>
      <c r="G23" s="3">
        <v>2001</v>
      </c>
      <c r="H23" s="3">
        <v>1</v>
      </c>
      <c r="I23" s="6">
        <v>2.8</v>
      </c>
      <c r="J23" s="8">
        <f>(I23/55)*690</f>
        <v>35.127272727272725</v>
      </c>
      <c r="L23" s="4">
        <f t="shared" si="1"/>
        <v>5.2690909090909086</v>
      </c>
    </row>
    <row r="24" spans="1:12" x14ac:dyDescent="0.35">
      <c r="I24" s="4">
        <f>AVERAGE(I2:I22)</f>
        <v>31.457142857142863</v>
      </c>
    </row>
    <row r="27" spans="1:12" x14ac:dyDescent="0.35">
      <c r="I27" s="4">
        <v>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A6DD-E70C-4849-AD6C-080648B1D046}">
  <dimension ref="A1:G27"/>
  <sheetViews>
    <sheetView zoomScale="74" workbookViewId="0">
      <selection activeCell="J23" sqref="J23"/>
    </sheetView>
  </sheetViews>
  <sheetFormatPr defaultRowHeight="14.5" x14ac:dyDescent="0.35"/>
  <cols>
    <col min="1" max="1" width="13.453125" style="10" customWidth="1"/>
    <col min="2" max="2" width="23.1796875" style="10" customWidth="1"/>
    <col min="3" max="3" width="8.90625" style="10" customWidth="1"/>
    <col min="4" max="16384" width="8.7265625" style="10"/>
  </cols>
  <sheetData>
    <row r="1" spans="1:7" x14ac:dyDescent="0.35">
      <c r="B1" s="10" t="s">
        <v>82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</row>
    <row r="2" spans="1:7" x14ac:dyDescent="0.35">
      <c r="B2" s="10" t="s">
        <v>81</v>
      </c>
      <c r="C2" s="12">
        <v>0.02</v>
      </c>
      <c r="D2" s="13">
        <v>3.5000000000000003E-2</v>
      </c>
      <c r="E2" s="12">
        <v>0.05</v>
      </c>
      <c r="F2" s="13">
        <v>7.4999999999999997E-2</v>
      </c>
      <c r="G2" s="12">
        <v>0.1</v>
      </c>
    </row>
    <row r="3" spans="1:7" x14ac:dyDescent="0.35">
      <c r="B3" s="13"/>
    </row>
    <row r="4" spans="1:7" x14ac:dyDescent="0.35">
      <c r="B4" s="12"/>
    </row>
    <row r="5" spans="1:7" x14ac:dyDescent="0.35">
      <c r="A5" s="10" t="s">
        <v>83</v>
      </c>
      <c r="B5" s="13"/>
    </row>
    <row r="6" spans="1:7" x14ac:dyDescent="0.35">
      <c r="B6" s="3" t="s">
        <v>9</v>
      </c>
      <c r="C6" s="10">
        <f>Data!L2*0.02</f>
        <v>3.7636363636363632</v>
      </c>
      <c r="D6" s="10">
        <f>Data!L2*0.035</f>
        <v>6.586363636363636</v>
      </c>
      <c r="E6" s="10">
        <f>Data!L2*0.05</f>
        <v>9.4090909090909083</v>
      </c>
      <c r="F6" s="10">
        <f>Data!L2*0.075</f>
        <v>14.113636363636362</v>
      </c>
      <c r="G6" s="10">
        <f>Data!L2*0.1</f>
        <v>18.818181818181817</v>
      </c>
    </row>
    <row r="7" spans="1:7" x14ac:dyDescent="0.35">
      <c r="B7" s="3" t="s">
        <v>14</v>
      </c>
      <c r="C7" s="10">
        <f>Data!L3*0.02</f>
        <v>1.8629999999999998</v>
      </c>
      <c r="D7" s="10">
        <f>Data!L3*0.035</f>
        <v>3.2602500000000001</v>
      </c>
      <c r="E7" s="10">
        <f>Data!L3*0.05</f>
        <v>4.6574999999999998</v>
      </c>
      <c r="F7" s="10">
        <f>Data!L3*0.075</f>
        <v>6.9862499999999992</v>
      </c>
      <c r="G7" s="10">
        <f>Data!L3*0.1</f>
        <v>9.3149999999999995</v>
      </c>
    </row>
    <row r="8" spans="1:7" x14ac:dyDescent="0.35">
      <c r="B8" s="3" t="s">
        <v>17</v>
      </c>
      <c r="C8" s="10">
        <f>Data!L4*0.02</f>
        <v>2.0699999999999998</v>
      </c>
      <c r="D8" s="10">
        <f>Data!L4*0.035</f>
        <v>3.6225000000000005</v>
      </c>
      <c r="E8" s="10">
        <f>Data!L4*0.05</f>
        <v>5.1750000000000007</v>
      </c>
      <c r="F8" s="10">
        <f>Data!L4*0.075</f>
        <v>7.7624999999999993</v>
      </c>
      <c r="G8" s="10">
        <f>Data!L4*0.1</f>
        <v>10.350000000000001</v>
      </c>
    </row>
    <row r="9" spans="1:7" x14ac:dyDescent="0.35">
      <c r="B9" s="3" t="s">
        <v>22</v>
      </c>
      <c r="C9" s="10">
        <f>Data!L5*0.02</f>
        <v>1.7613818181818182</v>
      </c>
      <c r="D9" s="10">
        <f>Data!L5*0.035</f>
        <v>3.0824181818181819</v>
      </c>
      <c r="E9" s="10">
        <f>Data!L5*0.05</f>
        <v>4.4034545454545455</v>
      </c>
      <c r="F9" s="10">
        <f>Data!L5*0.075</f>
        <v>6.6051818181818174</v>
      </c>
      <c r="G9" s="10">
        <f>Data!L5*0.1</f>
        <v>8.806909090909091</v>
      </c>
    </row>
    <row r="10" spans="1:7" x14ac:dyDescent="0.35">
      <c r="B10" s="3" t="s">
        <v>26</v>
      </c>
      <c r="C10" s="10">
        <f>Data!L6*0.02</f>
        <v>1.1140363636363637</v>
      </c>
      <c r="D10" s="10">
        <f>Data!L6*0.035</f>
        <v>1.9495636363636366</v>
      </c>
      <c r="E10" s="10">
        <f>Data!L6*0.05</f>
        <v>2.7850909090909095</v>
      </c>
      <c r="F10" s="10">
        <f>Data!L6*0.075</f>
        <v>4.1776363636363634</v>
      </c>
      <c r="G10" s="10">
        <f>Data!L6*0.1</f>
        <v>5.570181818181819</v>
      </c>
    </row>
    <row r="11" spans="1:7" x14ac:dyDescent="0.35">
      <c r="B11" s="3" t="s">
        <v>30</v>
      </c>
      <c r="C11" s="10">
        <f>Data!L7*0.02</f>
        <v>1.6108363636363634</v>
      </c>
      <c r="D11" s="10">
        <f>Data!L7*0.035</f>
        <v>2.8189636363636361</v>
      </c>
      <c r="E11" s="10">
        <f>Data!L7*0.05</f>
        <v>4.0270909090909086</v>
      </c>
      <c r="F11" s="10">
        <f>Data!L7*0.075</f>
        <v>6.0406363636363629</v>
      </c>
      <c r="G11" s="10">
        <f>Data!L7*0.1</f>
        <v>8.0541818181818172</v>
      </c>
    </row>
    <row r="12" spans="1:7" x14ac:dyDescent="0.35">
      <c r="B12" s="3" t="s">
        <v>33</v>
      </c>
      <c r="C12" s="10">
        <f>Data!L8*0.02</f>
        <v>1.8178363636363637</v>
      </c>
      <c r="D12" s="10">
        <f>Data!L8*0.035</f>
        <v>3.1812136363636365</v>
      </c>
      <c r="E12" s="10">
        <f>Data!L8*0.05</f>
        <v>4.5445909090909096</v>
      </c>
      <c r="F12" s="10">
        <f>Data!L8*0.075</f>
        <v>6.816886363636363</v>
      </c>
      <c r="G12" s="10">
        <f>Data!L8*0.1</f>
        <v>9.0891818181818191</v>
      </c>
    </row>
    <row r="13" spans="1:7" x14ac:dyDescent="0.35">
      <c r="B13" s="3" t="s">
        <v>35</v>
      </c>
      <c r="C13" s="10">
        <f>Data!L9*0.02</f>
        <v>1.6484727272727271</v>
      </c>
      <c r="D13" s="10">
        <f>Data!L9*0.035</f>
        <v>2.8848272727272724</v>
      </c>
      <c r="E13" s="10">
        <f>Data!L9*0.05</f>
        <v>4.1211818181818174</v>
      </c>
      <c r="F13" s="10">
        <f>Data!L9*0.075</f>
        <v>6.1817727272727261</v>
      </c>
      <c r="G13" s="10">
        <f>Data!L9*0.1</f>
        <v>8.2423636363636348</v>
      </c>
    </row>
    <row r="14" spans="1:7" x14ac:dyDescent="0.35">
      <c r="B14" s="3" t="s">
        <v>38</v>
      </c>
      <c r="C14" s="10">
        <f>Data!L10*0.02</f>
        <v>0.96349090909090918</v>
      </c>
      <c r="D14" s="10">
        <f>Data!L10*0.035</f>
        <v>1.6861090909090912</v>
      </c>
      <c r="E14" s="10">
        <f>Data!L10*0.05</f>
        <v>2.408727272727273</v>
      </c>
      <c r="F14" s="10">
        <f>Data!L10*0.075</f>
        <v>3.6130909090909094</v>
      </c>
      <c r="G14" s="10">
        <f>Data!L10*0.1</f>
        <v>4.8174545454545461</v>
      </c>
    </row>
    <row r="15" spans="1:7" x14ac:dyDescent="0.35">
      <c r="B15" s="3" t="s">
        <v>43</v>
      </c>
      <c r="C15" s="10">
        <f>Data!L11*0.02</f>
        <v>1.3699636363636361</v>
      </c>
      <c r="D15" s="10">
        <f>Data!L11*0.035</f>
        <v>2.3974363636363636</v>
      </c>
      <c r="E15" s="10">
        <f>Data!L11*0.05</f>
        <v>3.4249090909090905</v>
      </c>
      <c r="F15" s="10">
        <f>Data!L11*0.075</f>
        <v>5.1373636363636352</v>
      </c>
      <c r="G15" s="10">
        <f>Data!L11*0.1</f>
        <v>6.8498181818181809</v>
      </c>
    </row>
    <row r="16" spans="1:7" x14ac:dyDescent="0.35">
      <c r="B16" s="3" t="s">
        <v>47</v>
      </c>
      <c r="C16" s="10">
        <f>Data!L12*0.02</f>
        <v>1.1328545454545453</v>
      </c>
      <c r="D16" s="10">
        <f>Data!L12*0.035</f>
        <v>1.9824954545454547</v>
      </c>
      <c r="E16" s="10">
        <f>Data!L12*0.05</f>
        <v>2.8321363636363639</v>
      </c>
      <c r="F16" s="10">
        <f>Data!L12*0.075</f>
        <v>4.248204545454545</v>
      </c>
      <c r="G16" s="10">
        <f>Data!L12*0.1</f>
        <v>5.6642727272727278</v>
      </c>
    </row>
    <row r="17" spans="2:7" x14ac:dyDescent="0.35">
      <c r="B17" s="3" t="s">
        <v>51</v>
      </c>
      <c r="C17" s="10">
        <f>Data!L13*0.02</f>
        <v>0.9747818181818183</v>
      </c>
      <c r="D17" s="10">
        <f>Data!L13*0.035</f>
        <v>1.705868181818182</v>
      </c>
      <c r="E17" s="10">
        <f>Data!L13*0.05</f>
        <v>2.4369545454545456</v>
      </c>
      <c r="F17" s="10">
        <f>Data!L13*0.075</f>
        <v>3.6554318181818184</v>
      </c>
      <c r="G17" s="10">
        <f>Data!L13*0.1</f>
        <v>4.8739090909090912</v>
      </c>
    </row>
    <row r="18" spans="2:7" x14ac:dyDescent="0.35">
      <c r="B18" s="3" t="s">
        <v>54</v>
      </c>
      <c r="C18" s="10">
        <f>Data!L14*0.02</f>
        <v>1.0161818181818183</v>
      </c>
      <c r="D18" s="10">
        <f>Data!L14*0.035</f>
        <v>1.7783181818181821</v>
      </c>
      <c r="E18" s="10">
        <f>Data!L14*0.05</f>
        <v>2.540454545454546</v>
      </c>
      <c r="F18" s="10">
        <f>Data!L14*0.075</f>
        <v>3.8106818181818181</v>
      </c>
      <c r="G18" s="10">
        <f>Data!L14*0.1</f>
        <v>5.0809090909090919</v>
      </c>
    </row>
    <row r="19" spans="2:7" x14ac:dyDescent="0.35">
      <c r="B19" s="3" t="s">
        <v>57</v>
      </c>
      <c r="C19" s="10">
        <f>Data!L15*0.02</f>
        <v>0.68121818181818183</v>
      </c>
      <c r="D19" s="10">
        <f>Data!L15*0.035</f>
        <v>1.1921318181818183</v>
      </c>
      <c r="E19" s="10">
        <f>Data!L15*0.05</f>
        <v>1.7030454545454548</v>
      </c>
      <c r="F19" s="10">
        <f>Data!L15*0.075</f>
        <v>2.554568181818182</v>
      </c>
      <c r="G19" s="10">
        <f>Data!L15*0.1</f>
        <v>3.4060909090909095</v>
      </c>
    </row>
    <row r="20" spans="2:7" x14ac:dyDescent="0.35">
      <c r="B20" s="3" t="s">
        <v>60</v>
      </c>
      <c r="C20" s="10">
        <f>Data!L16*0.02</f>
        <v>1.3097454545454545</v>
      </c>
      <c r="D20" s="10">
        <f>Data!L16*0.035</f>
        <v>2.2920545454545458</v>
      </c>
      <c r="E20" s="10">
        <f>Data!L16*0.05</f>
        <v>3.2743636363636366</v>
      </c>
      <c r="F20" s="10">
        <f>Data!L16*0.075</f>
        <v>4.911545454545454</v>
      </c>
      <c r="G20" s="10">
        <f>Data!L16*0.1</f>
        <v>6.5487272727272732</v>
      </c>
    </row>
    <row r="21" spans="2:7" x14ac:dyDescent="0.35">
      <c r="B21" s="3" t="s">
        <v>61</v>
      </c>
      <c r="C21" s="10">
        <f>Data!L17*0.02</f>
        <v>0.79789090909090898</v>
      </c>
      <c r="D21" s="10">
        <f>Data!L17*0.035</f>
        <v>1.3963090909090909</v>
      </c>
      <c r="E21" s="10">
        <f>Data!L17*0.05</f>
        <v>1.9947272727272727</v>
      </c>
      <c r="F21" s="10">
        <f>Data!L17*0.075</f>
        <v>2.9920909090909089</v>
      </c>
      <c r="G21" s="10">
        <f>Data!L17*0.1</f>
        <v>3.9894545454545454</v>
      </c>
    </row>
    <row r="22" spans="2:7" x14ac:dyDescent="0.35">
      <c r="B22" s="3" t="s">
        <v>64</v>
      </c>
      <c r="C22" s="10">
        <f>Data!L18*0.02</f>
        <v>0.31614545454545456</v>
      </c>
      <c r="D22" s="10">
        <f>Data!L18*0.035</f>
        <v>0.55325454545454555</v>
      </c>
      <c r="E22" s="10">
        <f>Data!L18*0.05</f>
        <v>0.79036363636363649</v>
      </c>
      <c r="F22" s="10">
        <f>Data!L18*0.075</f>
        <v>1.1855454545454547</v>
      </c>
      <c r="G22" s="10">
        <f>Data!L18*0.1</f>
        <v>1.580727272727273</v>
      </c>
    </row>
    <row r="23" spans="2:7" x14ac:dyDescent="0.35">
      <c r="B23" s="3" t="s">
        <v>68</v>
      </c>
      <c r="C23" s="10">
        <f>Data!L19*0.02</f>
        <v>0.30109090909090908</v>
      </c>
      <c r="D23" s="10">
        <f>Data!L19*0.035</f>
        <v>0.52690909090909088</v>
      </c>
      <c r="E23" s="10">
        <f>Data!L19*0.05</f>
        <v>0.75272727272727269</v>
      </c>
      <c r="F23" s="10">
        <f>Data!L19*0.075</f>
        <v>1.1290909090909089</v>
      </c>
      <c r="G23" s="10">
        <f>Data!L19*0.1</f>
        <v>1.5054545454545454</v>
      </c>
    </row>
    <row r="24" spans="2:7" x14ac:dyDescent="0.35">
      <c r="B24" s="3" t="s">
        <v>70</v>
      </c>
      <c r="C24" s="10">
        <f>Data!L20*0.02</f>
        <v>0.13549090909090908</v>
      </c>
      <c r="D24" s="10">
        <f>Data!L20*0.035</f>
        <v>0.23710909090909094</v>
      </c>
      <c r="E24" s="10">
        <f>Data!L20*0.05</f>
        <v>0.33872727272727277</v>
      </c>
      <c r="F24" s="10">
        <f>Data!L20*0.075</f>
        <v>0.50809090909090904</v>
      </c>
      <c r="G24" s="10">
        <f>Data!L20*0.1</f>
        <v>0.67745454545454553</v>
      </c>
    </row>
    <row r="25" spans="2:7" x14ac:dyDescent="0.35">
      <c r="B25" s="3" t="s">
        <v>72</v>
      </c>
      <c r="C25" s="10">
        <f>Data!L21*0.02</f>
        <v>0.11290909090909089</v>
      </c>
      <c r="D25" s="10">
        <f>Data!L21*0.035</f>
        <v>0.19759090909090907</v>
      </c>
      <c r="E25" s="10">
        <f>Data!L21*0.05</f>
        <v>0.28227272727272723</v>
      </c>
      <c r="F25" s="10">
        <f>Data!L21*0.075</f>
        <v>0.42340909090909085</v>
      </c>
      <c r="G25" s="10">
        <f>Data!L21*0.1</f>
        <v>0.56454545454545446</v>
      </c>
    </row>
    <row r="26" spans="2:7" x14ac:dyDescent="0.35">
      <c r="B26" s="3" t="s">
        <v>76</v>
      </c>
      <c r="C26" s="10">
        <f>Data!L22*0.02</f>
        <v>0.10161818181818183</v>
      </c>
      <c r="D26" s="10">
        <f>Data!L22*0.035</f>
        <v>0.1778318181818182</v>
      </c>
      <c r="E26" s="10">
        <f>Data!L22*0.05</f>
        <v>0.25404545454545457</v>
      </c>
      <c r="F26" s="10">
        <f>Data!L22*0.075</f>
        <v>0.38106818181818181</v>
      </c>
      <c r="G26" s="10">
        <f>Data!L22*0.1</f>
        <v>0.50809090909090915</v>
      </c>
    </row>
    <row r="27" spans="2:7" x14ac:dyDescent="0.35">
      <c r="B27" s="3" t="s">
        <v>74</v>
      </c>
      <c r="C27" s="10">
        <f>Data!L23*0.02</f>
        <v>0.10538181818181817</v>
      </c>
      <c r="D27" s="10">
        <f>Data!L23*0.035</f>
        <v>0.18441818181818181</v>
      </c>
      <c r="E27" s="10">
        <f>Data!L23*0.05</f>
        <v>0.26345454545454544</v>
      </c>
      <c r="F27" s="10">
        <f>Data!L23*0.075</f>
        <v>0.39518181818181813</v>
      </c>
      <c r="G27" s="10">
        <f>Data!L23*0.1</f>
        <v>0.52690909090909088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3681-8680-483B-8C6C-015CA620E6BE}">
  <dimension ref="A1:G27"/>
  <sheetViews>
    <sheetView zoomScale="86" workbookViewId="0">
      <selection activeCell="J19" sqref="J19"/>
    </sheetView>
  </sheetViews>
  <sheetFormatPr defaultRowHeight="14.5" x14ac:dyDescent="0.35"/>
  <cols>
    <col min="2" max="2" width="25.81640625" customWidth="1"/>
  </cols>
  <sheetData>
    <row r="1" spans="1:7" x14ac:dyDescent="0.35">
      <c r="A1" s="10"/>
      <c r="B1" s="10" t="s">
        <v>82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</row>
    <row r="2" spans="1:7" x14ac:dyDescent="0.35">
      <c r="A2" s="10"/>
      <c r="B2" s="10" t="s">
        <v>81</v>
      </c>
      <c r="C2" s="12">
        <v>0.05</v>
      </c>
      <c r="D2" s="13">
        <v>0.1</v>
      </c>
      <c r="E2" s="12">
        <v>0.15</v>
      </c>
      <c r="F2" s="13">
        <v>0.22500000000000001</v>
      </c>
      <c r="G2" s="12">
        <v>0.3</v>
      </c>
    </row>
    <row r="3" spans="1:7" x14ac:dyDescent="0.35">
      <c r="A3" s="10"/>
      <c r="B3" s="13"/>
      <c r="C3" s="10"/>
      <c r="D3" s="10"/>
      <c r="E3" s="10"/>
      <c r="F3" s="10"/>
      <c r="G3" s="10"/>
    </row>
    <row r="4" spans="1:7" x14ac:dyDescent="0.35">
      <c r="A4" s="10"/>
      <c r="B4" s="12"/>
      <c r="C4" s="10"/>
      <c r="D4" s="10"/>
      <c r="E4" s="10"/>
      <c r="F4" s="10"/>
      <c r="G4" s="10"/>
    </row>
    <row r="5" spans="1:7" x14ac:dyDescent="0.35">
      <c r="A5" s="10" t="s">
        <v>83</v>
      </c>
      <c r="B5" s="13"/>
      <c r="C5" s="10"/>
      <c r="D5" s="10"/>
      <c r="E5" s="10"/>
      <c r="F5" s="10"/>
      <c r="G5" s="10"/>
    </row>
    <row r="6" spans="1:7" x14ac:dyDescent="0.35">
      <c r="A6" s="10"/>
      <c r="B6" s="3" t="s">
        <v>9</v>
      </c>
      <c r="C6" s="10">
        <f>Data!L2*0.05</f>
        <v>9.4090909090909083</v>
      </c>
      <c r="D6" s="10">
        <f>Data!L2*0.1</f>
        <v>18.818181818181817</v>
      </c>
      <c r="E6" s="10">
        <f>Data!L2*0.15</f>
        <v>28.227272727272723</v>
      </c>
      <c r="F6" s="10">
        <f>Data!L2*0.225</f>
        <v>42.340909090909086</v>
      </c>
      <c r="G6" s="10">
        <f>Data!L2*0.3</f>
        <v>56.454545454545446</v>
      </c>
    </row>
    <row r="7" spans="1:7" x14ac:dyDescent="0.35">
      <c r="A7" s="10"/>
      <c r="B7" s="3" t="s">
        <v>14</v>
      </c>
      <c r="C7" s="10">
        <f>Data!L3*0.05</f>
        <v>4.6574999999999998</v>
      </c>
      <c r="D7" s="10">
        <f>Data!L3*0.1</f>
        <v>9.3149999999999995</v>
      </c>
      <c r="E7" s="10">
        <f>Data!L3*0.15</f>
        <v>13.972499999999998</v>
      </c>
      <c r="F7" s="10">
        <f>Data!L3*0.225</f>
        <v>20.958749999999998</v>
      </c>
      <c r="G7" s="10">
        <f>Data!L3*0.3</f>
        <v>27.944999999999997</v>
      </c>
    </row>
    <row r="8" spans="1:7" x14ac:dyDescent="0.35">
      <c r="A8" s="10"/>
      <c r="B8" s="3" t="s">
        <v>17</v>
      </c>
      <c r="C8" s="10">
        <f>Data!L4*0.05</f>
        <v>5.1750000000000007</v>
      </c>
      <c r="D8" s="10">
        <f>Data!L4*0.1</f>
        <v>10.350000000000001</v>
      </c>
      <c r="E8" s="10">
        <f>Data!L4*0.15</f>
        <v>15.524999999999999</v>
      </c>
      <c r="F8" s="10">
        <f>Data!L4*0.225</f>
        <v>23.287500000000001</v>
      </c>
      <c r="G8" s="10">
        <f>Data!L4*0.3</f>
        <v>31.049999999999997</v>
      </c>
    </row>
    <row r="9" spans="1:7" x14ac:dyDescent="0.35">
      <c r="A9" s="10"/>
      <c r="B9" s="3" t="s">
        <v>22</v>
      </c>
      <c r="C9" s="10">
        <f>Data!L5*0.05</f>
        <v>4.4034545454545455</v>
      </c>
      <c r="D9" s="10">
        <f>Data!L5*0.1</f>
        <v>8.806909090909091</v>
      </c>
      <c r="E9" s="10">
        <f>Data!L5*0.15</f>
        <v>13.210363636363635</v>
      </c>
      <c r="F9" s="10">
        <f>Data!L5*0.225</f>
        <v>19.815545454545454</v>
      </c>
      <c r="G9" s="10">
        <f>Data!L5*0.3</f>
        <v>26.42072727272727</v>
      </c>
    </row>
    <row r="10" spans="1:7" x14ac:dyDescent="0.35">
      <c r="A10" s="10"/>
      <c r="B10" s="3" t="s">
        <v>26</v>
      </c>
      <c r="C10" s="10">
        <f>Data!L6*0.05</f>
        <v>2.7850909090909095</v>
      </c>
      <c r="D10" s="10">
        <f>Data!L6*0.1</f>
        <v>5.570181818181819</v>
      </c>
      <c r="E10" s="10">
        <f>Data!L6*0.15</f>
        <v>8.3552727272727267</v>
      </c>
      <c r="F10" s="10">
        <f>Data!L6*0.225</f>
        <v>12.532909090909092</v>
      </c>
      <c r="G10" s="10">
        <f>Data!L6*0.3</f>
        <v>16.710545454545453</v>
      </c>
    </row>
    <row r="11" spans="1:7" x14ac:dyDescent="0.35">
      <c r="A11" s="10"/>
      <c r="B11" s="3" t="s">
        <v>30</v>
      </c>
      <c r="C11" s="10">
        <f>Data!L7*0.05</f>
        <v>4.0270909090909086</v>
      </c>
      <c r="D11" s="10">
        <f>Data!L7*0.1</f>
        <v>8.0541818181818172</v>
      </c>
      <c r="E11" s="10">
        <f>Data!L7*0.15</f>
        <v>12.081272727272726</v>
      </c>
      <c r="F11" s="10">
        <f>Data!L7*0.225</f>
        <v>18.121909090909089</v>
      </c>
      <c r="G11" s="10">
        <f>Data!L7*0.3</f>
        <v>24.162545454545452</v>
      </c>
    </row>
    <row r="12" spans="1:7" x14ac:dyDescent="0.35">
      <c r="A12" s="10"/>
      <c r="B12" s="3" t="s">
        <v>33</v>
      </c>
      <c r="C12" s="10">
        <f>Data!L8*0.05</f>
        <v>4.5445909090909096</v>
      </c>
      <c r="D12" s="10">
        <f>Data!L8*0.1</f>
        <v>9.0891818181818191</v>
      </c>
      <c r="E12" s="10">
        <f>Data!L8*0.15</f>
        <v>13.633772727272726</v>
      </c>
      <c r="F12" s="10">
        <f>Data!L8*0.225</f>
        <v>20.450659090909092</v>
      </c>
      <c r="G12" s="10">
        <f>Data!L8*0.3</f>
        <v>27.267545454545452</v>
      </c>
    </row>
    <row r="13" spans="1:7" x14ac:dyDescent="0.35">
      <c r="A13" s="10"/>
      <c r="B13" s="3" t="s">
        <v>35</v>
      </c>
      <c r="C13" s="10">
        <f>Data!L9*0.05</f>
        <v>4.1211818181818174</v>
      </c>
      <c r="D13" s="10">
        <f>Data!L9*0.1</f>
        <v>8.2423636363636348</v>
      </c>
      <c r="E13" s="10">
        <f>Data!L9*0.15</f>
        <v>12.363545454545452</v>
      </c>
      <c r="F13" s="10">
        <f>Data!L9*0.225</f>
        <v>18.545318181818178</v>
      </c>
      <c r="G13" s="10">
        <f>Data!L9*0.3</f>
        <v>24.727090909090904</v>
      </c>
    </row>
    <row r="14" spans="1:7" x14ac:dyDescent="0.35">
      <c r="A14" s="10"/>
      <c r="B14" s="3" t="s">
        <v>38</v>
      </c>
      <c r="C14" s="10">
        <f>Data!L10*0.05</f>
        <v>2.408727272727273</v>
      </c>
      <c r="D14" s="10">
        <f>Data!L10*0.1</f>
        <v>4.8174545454545461</v>
      </c>
      <c r="E14" s="10">
        <f>Data!L10*0.15</f>
        <v>7.2261818181818187</v>
      </c>
      <c r="F14" s="10">
        <f>Data!L10*0.225</f>
        <v>10.839272727272729</v>
      </c>
      <c r="G14" s="10">
        <f>Data!L10*0.3</f>
        <v>14.452363636363637</v>
      </c>
    </row>
    <row r="15" spans="1:7" x14ac:dyDescent="0.35">
      <c r="A15" s="10"/>
      <c r="B15" s="3" t="s">
        <v>43</v>
      </c>
      <c r="C15" s="10">
        <f>Data!L11*0.05</f>
        <v>3.4249090909090905</v>
      </c>
      <c r="D15" s="10">
        <f>Data!L11*0.1</f>
        <v>6.8498181818181809</v>
      </c>
      <c r="E15" s="10">
        <f>Data!L11*0.15</f>
        <v>10.27472727272727</v>
      </c>
      <c r="F15" s="10">
        <f>Data!L11*0.225</f>
        <v>15.412090909090907</v>
      </c>
      <c r="G15" s="10">
        <f>Data!L11*0.3</f>
        <v>20.549454545454541</v>
      </c>
    </row>
    <row r="16" spans="1:7" x14ac:dyDescent="0.35">
      <c r="A16" s="10"/>
      <c r="B16" s="3" t="s">
        <v>47</v>
      </c>
      <c r="C16" s="10">
        <f>Data!L12*0.05</f>
        <v>2.8321363636363639</v>
      </c>
      <c r="D16" s="10">
        <f>Data!L12*0.1</f>
        <v>5.6642727272727278</v>
      </c>
      <c r="E16" s="10">
        <f>Data!L12*0.15</f>
        <v>8.4964090909090899</v>
      </c>
      <c r="F16" s="10">
        <f>Data!L12*0.225</f>
        <v>12.744613636363637</v>
      </c>
      <c r="G16" s="10">
        <f>Data!L12*0.3</f>
        <v>16.99281818181818</v>
      </c>
    </row>
    <row r="17" spans="1:7" x14ac:dyDescent="0.35">
      <c r="A17" s="10"/>
      <c r="B17" s="3" t="s">
        <v>51</v>
      </c>
      <c r="C17" s="10">
        <f>Data!L13*0.05</f>
        <v>2.4369545454545456</v>
      </c>
      <c r="D17" s="10">
        <f>Data!L13*0.1</f>
        <v>4.8739090909090912</v>
      </c>
      <c r="E17" s="10">
        <f>Data!L13*0.15</f>
        <v>7.3108636363636368</v>
      </c>
      <c r="F17" s="10">
        <f>Data!L13*0.225</f>
        <v>10.966295454545456</v>
      </c>
      <c r="G17" s="10">
        <f>Data!L13*0.3</f>
        <v>14.621727272727274</v>
      </c>
    </row>
    <row r="18" spans="1:7" x14ac:dyDescent="0.35">
      <c r="A18" s="10"/>
      <c r="B18" s="3" t="s">
        <v>54</v>
      </c>
      <c r="C18" s="10">
        <f>Data!L14*0.05</f>
        <v>2.540454545454546</v>
      </c>
      <c r="D18" s="10">
        <f>Data!L14*0.1</f>
        <v>5.0809090909090919</v>
      </c>
      <c r="E18" s="10">
        <f>Data!L14*0.15</f>
        <v>7.6213636363636361</v>
      </c>
      <c r="F18" s="10">
        <f>Data!L14*0.225</f>
        <v>11.432045454545456</v>
      </c>
      <c r="G18" s="10">
        <f>Data!L14*0.3</f>
        <v>15.242727272727272</v>
      </c>
    </row>
    <row r="19" spans="1:7" x14ac:dyDescent="0.35">
      <c r="A19" s="10"/>
      <c r="B19" s="3" t="s">
        <v>57</v>
      </c>
      <c r="C19" s="10">
        <f>Data!L15*0.05</f>
        <v>1.7030454545454548</v>
      </c>
      <c r="D19" s="10">
        <f>Data!L15*0.1</f>
        <v>3.4060909090909095</v>
      </c>
      <c r="E19" s="10">
        <f>Data!L15*0.15</f>
        <v>5.109136363636364</v>
      </c>
      <c r="F19" s="10">
        <f>Data!L15*0.225</f>
        <v>7.6637045454545456</v>
      </c>
      <c r="G19" s="10">
        <f>Data!L15*0.3</f>
        <v>10.218272727272728</v>
      </c>
    </row>
    <row r="20" spans="1:7" x14ac:dyDescent="0.35">
      <c r="A20" s="10"/>
      <c r="B20" s="3" t="s">
        <v>60</v>
      </c>
      <c r="C20" s="10">
        <f>Data!L16*0.05</f>
        <v>3.2743636363636366</v>
      </c>
      <c r="D20" s="10">
        <f>Data!L16*0.1</f>
        <v>6.5487272727272732</v>
      </c>
      <c r="E20" s="10">
        <f>Data!L16*0.15</f>
        <v>9.823090909090908</v>
      </c>
      <c r="F20" s="10">
        <f>Data!L16*0.225</f>
        <v>14.734636363636364</v>
      </c>
      <c r="G20" s="10">
        <f>Data!L16*0.3</f>
        <v>19.646181818181816</v>
      </c>
    </row>
    <row r="21" spans="1:7" x14ac:dyDescent="0.35">
      <c r="A21" s="10"/>
      <c r="B21" s="3" t="s">
        <v>61</v>
      </c>
      <c r="C21" s="10">
        <f>Data!L17*0.05</f>
        <v>1.9947272727272727</v>
      </c>
      <c r="D21" s="10">
        <f>Data!L17*0.1</f>
        <v>3.9894545454545454</v>
      </c>
      <c r="E21" s="10">
        <f>Data!L17*0.15</f>
        <v>5.9841818181818178</v>
      </c>
      <c r="F21" s="10">
        <f>Data!L17*0.225</f>
        <v>8.9762727272727272</v>
      </c>
      <c r="G21" s="10">
        <f>Data!L17*0.3</f>
        <v>11.968363636363636</v>
      </c>
    </row>
    <row r="22" spans="1:7" x14ac:dyDescent="0.35">
      <c r="A22" s="10"/>
      <c r="B22" s="3" t="s">
        <v>64</v>
      </c>
      <c r="C22" s="10">
        <f>Data!L18*0.05</f>
        <v>0.79036363636363649</v>
      </c>
      <c r="D22" s="10">
        <f>Data!L18*0.1</f>
        <v>1.580727272727273</v>
      </c>
      <c r="E22" s="10">
        <f>Data!L18*0.15</f>
        <v>2.3710909090909094</v>
      </c>
      <c r="F22" s="10">
        <f>Data!L18*0.225</f>
        <v>3.5566363636363638</v>
      </c>
      <c r="G22" s="10">
        <f>Data!L18*0.3</f>
        <v>4.7421818181818187</v>
      </c>
    </row>
    <row r="23" spans="1:7" x14ac:dyDescent="0.35">
      <c r="A23" s="10"/>
      <c r="B23" s="3" t="s">
        <v>68</v>
      </c>
      <c r="C23" s="10">
        <f>Data!L19*0.05</f>
        <v>0.75272727272727269</v>
      </c>
      <c r="D23" s="10">
        <f>Data!L19*0.1</f>
        <v>1.5054545454545454</v>
      </c>
      <c r="E23" s="10">
        <f>Data!L19*0.15</f>
        <v>2.2581818181818178</v>
      </c>
      <c r="F23" s="10">
        <f>Data!L19*0.225</f>
        <v>3.3872727272727268</v>
      </c>
      <c r="G23" s="10">
        <f>Data!L19*0.3</f>
        <v>4.5163636363636357</v>
      </c>
    </row>
    <row r="24" spans="1:7" x14ac:dyDescent="0.35">
      <c r="A24" s="10"/>
      <c r="B24" s="3" t="s">
        <v>70</v>
      </c>
      <c r="C24" s="10">
        <f>Data!L20*0.05</f>
        <v>0.33872727272727277</v>
      </c>
      <c r="D24" s="10">
        <f>Data!L20*0.1</f>
        <v>0.67745454545454553</v>
      </c>
      <c r="E24" s="10">
        <f>Data!L20*0.15</f>
        <v>1.0161818181818181</v>
      </c>
      <c r="F24" s="10">
        <f>Data!L20*0.225</f>
        <v>1.5242727272727272</v>
      </c>
      <c r="G24" s="10">
        <f>Data!L20*0.3</f>
        <v>2.0323636363636362</v>
      </c>
    </row>
    <row r="25" spans="1:7" x14ac:dyDescent="0.35">
      <c r="A25" s="10"/>
      <c r="B25" s="3" t="s">
        <v>72</v>
      </c>
      <c r="C25" s="10">
        <f>Data!L21*0.05</f>
        <v>0.28227272727272723</v>
      </c>
      <c r="D25" s="10">
        <f>Data!L21*0.1</f>
        <v>0.56454545454545446</v>
      </c>
      <c r="E25" s="10">
        <f>Data!L21*0.15</f>
        <v>0.84681818181818169</v>
      </c>
      <c r="F25" s="10">
        <f>Data!L21*0.225</f>
        <v>1.2702272727272725</v>
      </c>
      <c r="G25" s="10">
        <f>Data!L21*0.3</f>
        <v>1.6936363636363634</v>
      </c>
    </row>
    <row r="26" spans="1:7" x14ac:dyDescent="0.35">
      <c r="A26" s="10"/>
      <c r="B26" s="3" t="s">
        <v>76</v>
      </c>
      <c r="C26" s="10">
        <f>Data!L22*0.05</f>
        <v>0.25404545454545457</v>
      </c>
      <c r="D26" s="10">
        <f>Data!L22*0.1</f>
        <v>0.50809090909090915</v>
      </c>
      <c r="E26" s="10">
        <f>Data!L22*0.15</f>
        <v>0.76213636363636361</v>
      </c>
      <c r="F26" s="10">
        <f>Data!L22*0.225</f>
        <v>1.1432045454545454</v>
      </c>
      <c r="G26" s="10">
        <f>Data!L22*0.3</f>
        <v>1.5242727272727272</v>
      </c>
    </row>
    <row r="27" spans="1:7" x14ac:dyDescent="0.35">
      <c r="A27" s="10"/>
      <c r="B27" s="3" t="s">
        <v>74</v>
      </c>
      <c r="C27" s="10">
        <f>Data!L23*0.05</f>
        <v>0.26345454545454544</v>
      </c>
      <c r="D27" s="10">
        <f>Data!L23*0.1</f>
        <v>0.52690909090909088</v>
      </c>
      <c r="E27" s="10">
        <f>Data!L23*0.15</f>
        <v>0.79036363636363627</v>
      </c>
      <c r="F27" s="10">
        <f>Data!L23*0.225</f>
        <v>1.1855454545454545</v>
      </c>
      <c r="G27" s="10">
        <f>Data!L23*0.3</f>
        <v>1.5807272727272725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3D24-8EBA-45AA-8232-D29D4E98C8D2}">
  <dimension ref="A1:G27"/>
  <sheetViews>
    <sheetView zoomScale="74" workbookViewId="0">
      <selection activeCell="I25" sqref="I25"/>
    </sheetView>
  </sheetViews>
  <sheetFormatPr defaultRowHeight="14.5" x14ac:dyDescent="0.35"/>
  <cols>
    <col min="2" max="2" width="22.90625" customWidth="1"/>
  </cols>
  <sheetData>
    <row r="1" spans="1:7" x14ac:dyDescent="0.35">
      <c r="A1" s="10"/>
      <c r="B1" s="10" t="s">
        <v>82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</row>
    <row r="2" spans="1:7" x14ac:dyDescent="0.35">
      <c r="A2" s="10"/>
      <c r="B2" s="10" t="s">
        <v>81</v>
      </c>
      <c r="C2" s="12">
        <v>0.1</v>
      </c>
      <c r="D2" s="13">
        <v>0.17499999999999999</v>
      </c>
      <c r="E2" s="12">
        <v>0.25</v>
      </c>
      <c r="F2" s="13">
        <v>0.36499999999999999</v>
      </c>
      <c r="G2" s="12">
        <v>0.5</v>
      </c>
    </row>
    <row r="3" spans="1:7" x14ac:dyDescent="0.35">
      <c r="A3" s="10"/>
      <c r="B3" s="13"/>
      <c r="C3" s="10"/>
      <c r="D3" s="10"/>
      <c r="E3" s="10"/>
      <c r="F3" s="10"/>
      <c r="G3" s="10"/>
    </row>
    <row r="4" spans="1:7" x14ac:dyDescent="0.35">
      <c r="A4" s="10"/>
      <c r="B4" s="12"/>
      <c r="C4" s="10"/>
      <c r="D4" s="10"/>
      <c r="E4" s="10"/>
      <c r="F4" s="10"/>
      <c r="G4" s="10"/>
    </row>
    <row r="5" spans="1:7" x14ac:dyDescent="0.35">
      <c r="A5" s="10" t="s">
        <v>83</v>
      </c>
      <c r="B5" s="13"/>
      <c r="C5" s="10"/>
      <c r="D5" s="10"/>
      <c r="E5" s="10"/>
      <c r="F5" s="10"/>
      <c r="G5" s="10"/>
    </row>
    <row r="6" spans="1:7" x14ac:dyDescent="0.35">
      <c r="A6" s="10"/>
      <c r="B6" s="3" t="s">
        <v>9</v>
      </c>
      <c r="C6" s="10">
        <f>Data!L2*0.1</f>
        <v>18.818181818181817</v>
      </c>
      <c r="D6" s="10">
        <f>Data!L2*0.175</f>
        <v>32.931818181818173</v>
      </c>
      <c r="E6" s="10">
        <f>Data!L2*0.25</f>
        <v>47.04545454545454</v>
      </c>
      <c r="F6" s="10">
        <f>Data!L2*0.365</f>
        <v>68.686363636363623</v>
      </c>
      <c r="G6" s="10">
        <f>Data!L2*0.5</f>
        <v>94.090909090909079</v>
      </c>
    </row>
    <row r="7" spans="1:7" x14ac:dyDescent="0.35">
      <c r="A7" s="10"/>
      <c r="B7" s="3" t="s">
        <v>14</v>
      </c>
      <c r="C7" s="10">
        <f>Data!L3*0.1</f>
        <v>9.3149999999999995</v>
      </c>
      <c r="D7" s="10">
        <f>Data!L3*0.175</f>
        <v>16.301249999999996</v>
      </c>
      <c r="E7" s="10">
        <f>Data!L3*0.25</f>
        <v>23.287499999999998</v>
      </c>
      <c r="F7" s="10">
        <f>Data!L3*0.365</f>
        <v>33.999749999999999</v>
      </c>
      <c r="G7" s="10">
        <f>Data!L3*0.5</f>
        <v>46.574999999999996</v>
      </c>
    </row>
    <row r="8" spans="1:7" x14ac:dyDescent="0.35">
      <c r="A8" s="10"/>
      <c r="B8" s="3" t="s">
        <v>17</v>
      </c>
      <c r="C8" s="10">
        <f>Data!L4*0.1</f>
        <v>10.350000000000001</v>
      </c>
      <c r="D8" s="10">
        <f>Data!L4*0.175</f>
        <v>18.112499999999997</v>
      </c>
      <c r="E8" s="10">
        <f>Data!L4*0.25</f>
        <v>25.875</v>
      </c>
      <c r="F8" s="10">
        <f>Data!L4*0.365</f>
        <v>37.777499999999996</v>
      </c>
      <c r="G8" s="10">
        <f>Data!L4*0.5</f>
        <v>51.75</v>
      </c>
    </row>
    <row r="9" spans="1:7" x14ac:dyDescent="0.35">
      <c r="A9" s="10"/>
      <c r="B9" s="3" t="s">
        <v>22</v>
      </c>
      <c r="C9" s="10">
        <f>Data!L5*0.1</f>
        <v>8.806909090909091</v>
      </c>
      <c r="D9" s="10">
        <f>Data!L5*0.175</f>
        <v>15.412090909090907</v>
      </c>
      <c r="E9" s="10">
        <f>Data!L5*0.25</f>
        <v>22.017272727272726</v>
      </c>
      <c r="F9" s="10">
        <f>Data!L5*0.365</f>
        <v>32.14521818181818</v>
      </c>
      <c r="G9" s="10">
        <f>Data!L5*0.5</f>
        <v>44.034545454545452</v>
      </c>
    </row>
    <row r="10" spans="1:7" x14ac:dyDescent="0.35">
      <c r="A10" s="10"/>
      <c r="B10" s="3" t="s">
        <v>26</v>
      </c>
      <c r="C10" s="10">
        <f>Data!L6*0.1</f>
        <v>5.570181818181819</v>
      </c>
      <c r="D10" s="10">
        <f>Data!L6*0.175</f>
        <v>9.7478181818181806</v>
      </c>
      <c r="E10" s="10">
        <f>Data!L6*0.25</f>
        <v>13.925454545454546</v>
      </c>
      <c r="F10" s="10">
        <f>Data!L6*0.365</f>
        <v>20.331163636363637</v>
      </c>
      <c r="G10" s="10">
        <f>Data!L6*0.5</f>
        <v>27.850909090909092</v>
      </c>
    </row>
    <row r="11" spans="1:7" x14ac:dyDescent="0.35">
      <c r="A11" s="10"/>
      <c r="B11" s="3" t="s">
        <v>30</v>
      </c>
      <c r="C11" s="10">
        <f>Data!L7*0.1</f>
        <v>8.0541818181818172</v>
      </c>
      <c r="D11" s="10">
        <f>Data!L7*0.175</f>
        <v>14.094818181818178</v>
      </c>
      <c r="E11" s="10">
        <f>Data!L7*0.25</f>
        <v>20.135454545454543</v>
      </c>
      <c r="F11" s="10">
        <f>Data!L7*0.365</f>
        <v>29.397763636363631</v>
      </c>
      <c r="G11" s="10">
        <f>Data!L7*0.5</f>
        <v>40.270909090909086</v>
      </c>
    </row>
    <row r="12" spans="1:7" x14ac:dyDescent="0.35">
      <c r="A12" s="10"/>
      <c r="B12" s="3" t="s">
        <v>33</v>
      </c>
      <c r="C12" s="10">
        <f>Data!L8*0.1</f>
        <v>9.0891818181818191</v>
      </c>
      <c r="D12" s="10">
        <f>Data!L8*0.175</f>
        <v>15.906068181818181</v>
      </c>
      <c r="E12" s="10">
        <f>Data!L8*0.25</f>
        <v>22.722954545454545</v>
      </c>
      <c r="F12" s="10">
        <f>Data!L8*0.365</f>
        <v>33.175513636363632</v>
      </c>
      <c r="G12" s="10">
        <f>Data!L8*0.5</f>
        <v>45.44590909090909</v>
      </c>
    </row>
    <row r="13" spans="1:7" x14ac:dyDescent="0.35">
      <c r="A13" s="10"/>
      <c r="B13" s="3" t="s">
        <v>35</v>
      </c>
      <c r="C13" s="10">
        <f>Data!L9*0.1</f>
        <v>8.2423636363636348</v>
      </c>
      <c r="D13" s="10">
        <f>Data!L9*0.175</f>
        <v>14.424136363636359</v>
      </c>
      <c r="E13" s="10">
        <f>Data!L9*0.25</f>
        <v>20.605909090909087</v>
      </c>
      <c r="F13" s="10">
        <f>Data!L9*0.365</f>
        <v>30.084627272727268</v>
      </c>
      <c r="G13" s="10">
        <f>Data!L9*0.5</f>
        <v>41.211818181818174</v>
      </c>
    </row>
    <row r="14" spans="1:7" x14ac:dyDescent="0.35">
      <c r="A14" s="10"/>
      <c r="B14" s="3" t="s">
        <v>38</v>
      </c>
      <c r="C14" s="10">
        <f>Data!L10*0.1</f>
        <v>4.8174545454545461</v>
      </c>
      <c r="D14" s="10">
        <f>Data!L10*0.175</f>
        <v>8.4305454545454541</v>
      </c>
      <c r="E14" s="10">
        <f>Data!L10*0.25</f>
        <v>12.043636363636365</v>
      </c>
      <c r="F14" s="10">
        <f>Data!L10*0.365</f>
        <v>17.583709090909093</v>
      </c>
      <c r="G14" s="10">
        <f>Data!L10*0.5</f>
        <v>24.08727272727273</v>
      </c>
    </row>
    <row r="15" spans="1:7" x14ac:dyDescent="0.35">
      <c r="A15" s="10"/>
      <c r="B15" s="3" t="s">
        <v>43</v>
      </c>
      <c r="C15" s="10">
        <f>Data!L11*0.1</f>
        <v>6.8498181818181809</v>
      </c>
      <c r="D15" s="10">
        <f>Data!L11*0.175</f>
        <v>11.987181818181815</v>
      </c>
      <c r="E15" s="10">
        <f>Data!L11*0.25</f>
        <v>17.124545454545451</v>
      </c>
      <c r="F15" s="10">
        <f>Data!L11*0.365</f>
        <v>25.001836363636357</v>
      </c>
      <c r="G15" s="10">
        <f>Data!L11*0.5</f>
        <v>34.249090909090903</v>
      </c>
    </row>
    <row r="16" spans="1:7" x14ac:dyDescent="0.35">
      <c r="A16" s="10"/>
      <c r="B16" s="3" t="s">
        <v>47</v>
      </c>
      <c r="C16" s="10">
        <f>Data!L12*0.1</f>
        <v>5.6642727272727278</v>
      </c>
      <c r="D16" s="10">
        <f>Data!L12*0.175</f>
        <v>9.912477272727271</v>
      </c>
      <c r="E16" s="10">
        <f>Data!L12*0.25</f>
        <v>14.160681818181818</v>
      </c>
      <c r="F16" s="10">
        <f>Data!L12*0.365</f>
        <v>20.674595454545454</v>
      </c>
      <c r="G16" s="10">
        <f>Data!L12*0.5</f>
        <v>28.321363636363635</v>
      </c>
    </row>
    <row r="17" spans="1:7" x14ac:dyDescent="0.35">
      <c r="A17" s="10"/>
      <c r="B17" s="3" t="s">
        <v>51</v>
      </c>
      <c r="C17" s="10">
        <f>Data!L13*0.1</f>
        <v>4.8739090909090912</v>
      </c>
      <c r="D17" s="10">
        <f>Data!L13*0.175</f>
        <v>8.5293409090909087</v>
      </c>
      <c r="E17" s="10">
        <f>Data!L13*0.25</f>
        <v>12.184772727272728</v>
      </c>
      <c r="F17" s="10">
        <f>Data!L13*0.365</f>
        <v>17.789768181818182</v>
      </c>
      <c r="G17" s="10">
        <f>Data!L13*0.5</f>
        <v>24.369545454545456</v>
      </c>
    </row>
    <row r="18" spans="1:7" x14ac:dyDescent="0.35">
      <c r="A18" s="10"/>
      <c r="B18" s="3" t="s">
        <v>54</v>
      </c>
      <c r="C18" s="10">
        <f>Data!L14*0.1</f>
        <v>5.0809090909090919</v>
      </c>
      <c r="D18" s="10">
        <f>Data!L14*0.175</f>
        <v>8.8915909090909082</v>
      </c>
      <c r="E18" s="10">
        <f>Data!L14*0.25</f>
        <v>12.702272727272728</v>
      </c>
      <c r="F18" s="10">
        <f>Data!L14*0.365</f>
        <v>18.545318181818182</v>
      </c>
      <c r="G18" s="10">
        <f>Data!L14*0.5</f>
        <v>25.404545454545456</v>
      </c>
    </row>
    <row r="19" spans="1:7" x14ac:dyDescent="0.35">
      <c r="A19" s="10"/>
      <c r="B19" s="3" t="s">
        <v>57</v>
      </c>
      <c r="C19" s="10">
        <f>Data!L15*0.1</f>
        <v>3.4060909090909095</v>
      </c>
      <c r="D19" s="10">
        <f>Data!L15*0.175</f>
        <v>5.9606590909090906</v>
      </c>
      <c r="E19" s="10">
        <f>Data!L15*0.25</f>
        <v>8.5152272727272731</v>
      </c>
      <c r="F19" s="10">
        <f>Data!L15*0.365</f>
        <v>12.432231818181819</v>
      </c>
      <c r="G19" s="10">
        <f>Data!L15*0.5</f>
        <v>17.030454545454546</v>
      </c>
    </row>
    <row r="20" spans="1:7" x14ac:dyDescent="0.35">
      <c r="A20" s="10"/>
      <c r="B20" s="3" t="s">
        <v>60</v>
      </c>
      <c r="C20" s="10">
        <f>Data!L16*0.1</f>
        <v>6.5487272727272732</v>
      </c>
      <c r="D20" s="10">
        <f>Data!L16*0.175</f>
        <v>11.460272727272725</v>
      </c>
      <c r="E20" s="10">
        <f>Data!L16*0.25</f>
        <v>16.371818181818181</v>
      </c>
      <c r="F20" s="10">
        <f>Data!L16*0.365</f>
        <v>23.902854545454545</v>
      </c>
      <c r="G20" s="10">
        <f>Data!L16*0.5</f>
        <v>32.743636363636362</v>
      </c>
    </row>
    <row r="21" spans="1:7" x14ac:dyDescent="0.35">
      <c r="A21" s="10"/>
      <c r="B21" s="3" t="s">
        <v>61</v>
      </c>
      <c r="C21" s="10">
        <f>Data!L17*0.1</f>
        <v>3.9894545454545454</v>
      </c>
      <c r="D21" s="10">
        <f>Data!L17*0.175</f>
        <v>6.9815454545454534</v>
      </c>
      <c r="E21" s="10">
        <f>Data!L17*0.25</f>
        <v>9.9736363636363627</v>
      </c>
      <c r="F21" s="10">
        <f>Data!L17*0.365</f>
        <v>14.561509090909089</v>
      </c>
      <c r="G21" s="10">
        <f>Data!L17*0.5</f>
        <v>19.947272727272725</v>
      </c>
    </row>
    <row r="22" spans="1:7" x14ac:dyDescent="0.35">
      <c r="A22" s="10"/>
      <c r="B22" s="3" t="s">
        <v>64</v>
      </c>
      <c r="C22" s="10">
        <f>Data!L18*0.1</f>
        <v>1.580727272727273</v>
      </c>
      <c r="D22" s="10">
        <f>Data!L18*0.175</f>
        <v>2.7662727272727272</v>
      </c>
      <c r="E22" s="10">
        <f>Data!L18*0.25</f>
        <v>3.9518181818181821</v>
      </c>
      <c r="F22" s="10">
        <f>Data!L18*0.365</f>
        <v>5.7696545454545456</v>
      </c>
      <c r="G22" s="10">
        <f>Data!L18*0.5</f>
        <v>7.9036363636363642</v>
      </c>
    </row>
    <row r="23" spans="1:7" x14ac:dyDescent="0.35">
      <c r="A23" s="10"/>
      <c r="B23" s="3" t="s">
        <v>68</v>
      </c>
      <c r="C23" s="10">
        <f>Data!L19*0.1</f>
        <v>1.5054545454545454</v>
      </c>
      <c r="D23" s="10">
        <f>Data!L19*0.175</f>
        <v>2.6345454545454543</v>
      </c>
      <c r="E23" s="10">
        <f>Data!L19*0.25</f>
        <v>3.7636363636363632</v>
      </c>
      <c r="F23" s="10">
        <f>Data!L19*0.365</f>
        <v>5.4949090909090899</v>
      </c>
      <c r="G23" s="10">
        <f>Data!L19*0.5</f>
        <v>7.5272727272727264</v>
      </c>
    </row>
    <row r="24" spans="1:7" x14ac:dyDescent="0.35">
      <c r="A24" s="10"/>
      <c r="B24" s="3" t="s">
        <v>70</v>
      </c>
      <c r="C24" s="10">
        <f>Data!L20*0.1</f>
        <v>0.67745454545454553</v>
      </c>
      <c r="D24" s="10">
        <f>Data!L20*0.175</f>
        <v>1.1855454545454545</v>
      </c>
      <c r="E24" s="10">
        <f>Data!L20*0.25</f>
        <v>1.6936363636363636</v>
      </c>
      <c r="F24" s="10">
        <f>Data!L20*0.365</f>
        <v>2.472709090909091</v>
      </c>
      <c r="G24" s="10">
        <f>Data!L20*0.5</f>
        <v>3.3872727272727272</v>
      </c>
    </row>
    <row r="25" spans="1:7" x14ac:dyDescent="0.35">
      <c r="A25" s="10"/>
      <c r="B25" s="3" t="s">
        <v>72</v>
      </c>
      <c r="C25" s="10">
        <f>Data!L21*0.1</f>
        <v>0.56454545454545446</v>
      </c>
      <c r="D25" s="10">
        <f>Data!L21*0.175</f>
        <v>0.9879545454545452</v>
      </c>
      <c r="E25" s="10">
        <f>Data!L21*0.25</f>
        <v>1.4113636363636362</v>
      </c>
      <c r="F25" s="10">
        <f>Data!L21*0.365</f>
        <v>2.0605909090909087</v>
      </c>
      <c r="G25" s="10">
        <f>Data!L21*0.5</f>
        <v>2.8227272727272723</v>
      </c>
    </row>
    <row r="26" spans="1:7" x14ac:dyDescent="0.35">
      <c r="A26" s="10"/>
      <c r="B26" s="3" t="s">
        <v>76</v>
      </c>
      <c r="C26" s="10">
        <f>Data!L22*0.1</f>
        <v>0.50809090909090915</v>
      </c>
      <c r="D26" s="10">
        <f>Data!L22*0.175</f>
        <v>0.88915909090909084</v>
      </c>
      <c r="E26" s="10">
        <f>Data!L22*0.25</f>
        <v>1.2702272727272728</v>
      </c>
      <c r="F26" s="10">
        <f>Data!L22*0.365</f>
        <v>1.8545318181818182</v>
      </c>
      <c r="G26" s="10">
        <f>Data!L22*0.5</f>
        <v>2.5404545454545455</v>
      </c>
    </row>
    <row r="27" spans="1:7" x14ac:dyDescent="0.35">
      <c r="A27" s="10"/>
      <c r="B27" s="3" t="s">
        <v>74</v>
      </c>
      <c r="C27" s="10">
        <f>Data!L23*0.1</f>
        <v>0.52690909090909088</v>
      </c>
      <c r="D27" s="10">
        <f>Data!L23*0.175</f>
        <v>0.92209090909090896</v>
      </c>
      <c r="E27" s="10">
        <f>Data!L23*0.25</f>
        <v>1.3172727272727272</v>
      </c>
      <c r="F27" s="10">
        <f>Data!L23*0.365</f>
        <v>1.9232181818181815</v>
      </c>
      <c r="G27" s="10">
        <f>Data!L23*0.5</f>
        <v>2.6345454545454543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Bearish</vt:lpstr>
      <vt:lpstr>Standard</vt:lpstr>
      <vt:lpstr>Bullish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Krishna Chaitanya</dc:creator>
  <cp:lastModifiedBy>Sri Krishna Chaitanya</cp:lastModifiedBy>
  <dcterms:created xsi:type="dcterms:W3CDTF">2026-06-16T17:00:36Z</dcterms:created>
  <dcterms:modified xsi:type="dcterms:W3CDTF">2026-06-18T04:31:29Z</dcterms:modified>
</cp:coreProperties>
</file>