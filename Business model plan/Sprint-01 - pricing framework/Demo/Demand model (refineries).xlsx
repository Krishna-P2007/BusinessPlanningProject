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22EFC277-6471-46CA-BF3F-1512097CD791}" xr6:coauthVersionLast="47" xr6:coauthVersionMax="47" xr10:uidLastSave="{00000000-0000-0000-0000-000000000000}"/>
  <bookViews>
    <workbookView xWindow="-110" yWindow="-110" windowWidth="19420" windowHeight="11500" xr2:uid="{5D480AE7-EC94-45B7-81F7-7AB8A6C920B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2" i="1"/>
  <c r="J2" i="1"/>
</calcChain>
</file>

<file path=xl/sharedStrings.xml><?xml version="1.0" encoding="utf-8"?>
<sst xmlns="http://schemas.openxmlformats.org/spreadsheetml/2006/main" count="121" uniqueCount="80">
  <si>
    <t>No.</t>
  </si>
  <si>
    <t>Refinery Name</t>
  </si>
  <si>
    <t>Owner / Operator</t>
  </si>
  <si>
    <t>Sector</t>
  </si>
  <si>
    <t>State</t>
  </si>
  <si>
    <t>Location</t>
  </si>
  <si>
    <t>Year Commissioned</t>
  </si>
  <si>
    <t>Capacity (MMTPA)</t>
  </si>
  <si>
    <t>Nelson Complexity Index</t>
  </si>
  <si>
    <t>Jamnagar Refinery (SEZ)</t>
  </si>
  <si>
    <t>Reliance Industries</t>
  </si>
  <si>
    <t>Private</t>
  </si>
  <si>
    <t>Gujarat</t>
  </si>
  <si>
    <t>Jamnagar</t>
  </si>
  <si>
    <t>Vadinar Refinery</t>
  </si>
  <si>
    <t>Nayara Energy</t>
  </si>
  <si>
    <t>Vadinar</t>
  </si>
  <si>
    <t>Kochi Refinery</t>
  </si>
  <si>
    <t>Bharat Petroleum (BPCL)</t>
  </si>
  <si>
    <t>Public</t>
  </si>
  <si>
    <t>Kerala</t>
  </si>
  <si>
    <t>Kochi</t>
  </si>
  <si>
    <t>Mangalore Refinery (MRPL)</t>
  </si>
  <si>
    <t>ONGC</t>
  </si>
  <si>
    <t>Karnataka</t>
  </si>
  <si>
    <t>Mangalore</t>
  </si>
  <si>
    <t>Paradip Refinery</t>
  </si>
  <si>
    <t>Indian Oil (IOCL)</t>
  </si>
  <si>
    <t>Odisha</t>
  </si>
  <si>
    <t>Paradip</t>
  </si>
  <si>
    <t>Panipat Refinery</t>
  </si>
  <si>
    <t>Haryana</t>
  </si>
  <si>
    <t>Panipat</t>
  </si>
  <si>
    <t>Gujarat Refinery</t>
  </si>
  <si>
    <t>Vadodara</t>
  </si>
  <si>
    <t>Mumbai Refinery</t>
  </si>
  <si>
    <t>Maharashtra</t>
  </si>
  <si>
    <t>Mumbai</t>
  </si>
  <si>
    <t>Guru Gobind Singh Refinery</t>
  </si>
  <si>
    <t>HPCL-Mittal Energy Ltd (HMEL)</t>
  </si>
  <si>
    <t>Joint Venture</t>
  </si>
  <si>
    <t>Punjab</t>
  </si>
  <si>
    <t>Bathinda</t>
  </si>
  <si>
    <t>Manali Refinery</t>
  </si>
  <si>
    <t>CPCL (Chennai Petroleum)</t>
  </si>
  <si>
    <t>Tamil Nadu</t>
  </si>
  <si>
    <t>Chennai</t>
  </si>
  <si>
    <t>Visakhapatnam Refinery</t>
  </si>
  <si>
    <t>Hindustan Petroleum (HPCL)</t>
  </si>
  <si>
    <t>Andhra Pradesh</t>
  </si>
  <si>
    <t>Visakhapatnam</t>
  </si>
  <si>
    <t>Mathura Refinery</t>
  </si>
  <si>
    <t>Uttar Pradesh</t>
  </si>
  <si>
    <t>Mathura</t>
  </si>
  <si>
    <t>Haldia Refinery</t>
  </si>
  <si>
    <t>West Bengal</t>
  </si>
  <si>
    <t>Haldia</t>
  </si>
  <si>
    <t>Bina Refinery</t>
  </si>
  <si>
    <t>Madhya Pradesh</t>
  </si>
  <si>
    <t>Bina</t>
  </si>
  <si>
    <t>Mumbai Refinery (HPCL)</t>
  </si>
  <si>
    <t>Barauni Refinery</t>
  </si>
  <si>
    <t>Bihar</t>
  </si>
  <si>
    <t>Barauni</t>
  </si>
  <si>
    <t>Numaligarh Refinery</t>
  </si>
  <si>
    <t>Oil India / Govt. of Assam</t>
  </si>
  <si>
    <t>Assam</t>
  </si>
  <si>
    <t>Numaligarh</t>
  </si>
  <si>
    <t>Bongaigaon Refinery</t>
  </si>
  <si>
    <t>Bongaigaon</t>
  </si>
  <si>
    <t>Guwahati Refinery</t>
  </si>
  <si>
    <t>Guwahati</t>
  </si>
  <si>
    <t>Nagapattinam Refinery</t>
  </si>
  <si>
    <t>Nagapattinam</t>
  </si>
  <si>
    <t>Tatipaka Refinery</t>
  </si>
  <si>
    <t>Tatipaka</t>
  </si>
  <si>
    <t>Digboi Refinery</t>
  </si>
  <si>
    <t>Digboi</t>
  </si>
  <si>
    <t>Estimated spend (cr/year)</t>
  </si>
  <si>
    <t>Asset Intensity Score
(0 - 100)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</si>
</sst>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5460-F1DE-4552-864F-9C59A365DE45}">
  <dimension ref="A1:K27"/>
  <sheetViews>
    <sheetView tabSelected="1" topLeftCell="D1" workbookViewId="0">
      <selection activeCell="M16" sqref="M16"/>
    </sheetView>
  </sheetViews>
  <sheetFormatPr defaultRowHeight="14.5" x14ac:dyDescent="0.35"/>
  <cols>
    <col min="1" max="1" width="8.7265625" style="4" customWidth="1"/>
    <col min="2" max="2" width="27.90625" style="4" customWidth="1"/>
    <col min="3" max="3" width="25.90625" style="4" customWidth="1"/>
    <col min="4" max="4" width="12.08984375" style="4" customWidth="1"/>
    <col min="5" max="5" width="19.81640625" style="4" customWidth="1"/>
    <col min="6" max="6" width="20.36328125" style="4" customWidth="1"/>
    <col min="7" max="7" width="12.1796875" style="4" customWidth="1"/>
    <col min="8" max="8" width="12.6328125" style="4" customWidth="1"/>
    <col min="9" max="9" width="22.08984375" style="4" customWidth="1"/>
    <col min="10" max="10" width="24.08984375" style="4" customWidth="1"/>
    <col min="11" max="11" width="13.90625" style="4" customWidth="1"/>
    <col min="12" max="16384" width="8.7265625" style="4"/>
  </cols>
  <sheetData>
    <row r="1" spans="1:11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79</v>
      </c>
      <c r="J1" s="7" t="s">
        <v>78</v>
      </c>
      <c r="K1" s="1" t="s">
        <v>8</v>
      </c>
    </row>
    <row r="2" spans="1:11" x14ac:dyDescent="0.3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1999</v>
      </c>
      <c r="H2" s="3">
        <v>35.4</v>
      </c>
      <c r="I2" s="6">
        <v>100</v>
      </c>
      <c r="J2" s="8">
        <f>(I2/55)*690</f>
        <v>1254.5454545454545</v>
      </c>
      <c r="K2" s="9">
        <v>21.1</v>
      </c>
    </row>
    <row r="3" spans="1:11" x14ac:dyDescent="0.35">
      <c r="A3" s="3">
        <v>2</v>
      </c>
      <c r="B3" s="3" t="s">
        <v>14</v>
      </c>
      <c r="C3" s="3" t="s">
        <v>15</v>
      </c>
      <c r="D3" s="3" t="s">
        <v>11</v>
      </c>
      <c r="E3" s="3" t="s">
        <v>12</v>
      </c>
      <c r="F3" s="3" t="s">
        <v>16</v>
      </c>
      <c r="G3" s="3">
        <v>2008</v>
      </c>
      <c r="H3" s="3">
        <v>20</v>
      </c>
      <c r="I3" s="6">
        <v>49.5</v>
      </c>
      <c r="J3" s="8">
        <f t="shared" ref="J3:J21" si="0">(I3/55)*690</f>
        <v>621</v>
      </c>
      <c r="K3" s="9">
        <v>11.8</v>
      </c>
    </row>
    <row r="4" spans="1:11" x14ac:dyDescent="0.35">
      <c r="A4" s="3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>
        <v>1963</v>
      </c>
      <c r="H4" s="3">
        <v>15.5</v>
      </c>
      <c r="I4" s="6">
        <v>55</v>
      </c>
      <c r="J4" s="8">
        <f t="shared" si="0"/>
        <v>690</v>
      </c>
      <c r="K4" s="9">
        <v>10.8</v>
      </c>
    </row>
    <row r="5" spans="1:11" x14ac:dyDescent="0.35">
      <c r="A5" s="3">
        <v>4</v>
      </c>
      <c r="B5" s="3" t="s">
        <v>22</v>
      </c>
      <c r="C5" s="3" t="s">
        <v>23</v>
      </c>
      <c r="D5" s="3" t="s">
        <v>19</v>
      </c>
      <c r="E5" s="3" t="s">
        <v>24</v>
      </c>
      <c r="F5" s="3" t="s">
        <v>25</v>
      </c>
      <c r="G5" s="3">
        <v>1988</v>
      </c>
      <c r="H5" s="3">
        <v>15</v>
      </c>
      <c r="I5" s="6">
        <v>46.8</v>
      </c>
      <c r="J5" s="8">
        <f t="shared" si="0"/>
        <v>587.12727272727273</v>
      </c>
      <c r="K5" s="9">
        <v>10.6</v>
      </c>
    </row>
    <row r="6" spans="1:11" x14ac:dyDescent="0.35">
      <c r="A6" s="3">
        <v>5</v>
      </c>
      <c r="B6" s="3" t="s">
        <v>26</v>
      </c>
      <c r="C6" s="3" t="s">
        <v>27</v>
      </c>
      <c r="D6" s="3" t="s">
        <v>19</v>
      </c>
      <c r="E6" s="3" t="s">
        <v>28</v>
      </c>
      <c r="F6" s="3" t="s">
        <v>29</v>
      </c>
      <c r="G6" s="3">
        <v>2016</v>
      </c>
      <c r="H6" s="3">
        <v>15</v>
      </c>
      <c r="I6" s="6">
        <v>29.6</v>
      </c>
      <c r="J6" s="8">
        <f t="shared" si="0"/>
        <v>371.34545454545457</v>
      </c>
      <c r="K6" s="9">
        <v>12.2</v>
      </c>
    </row>
    <row r="7" spans="1:11" x14ac:dyDescent="0.35">
      <c r="A7" s="3">
        <v>6</v>
      </c>
      <c r="B7" s="3" t="s">
        <v>30</v>
      </c>
      <c r="C7" s="3" t="s">
        <v>27</v>
      </c>
      <c r="D7" s="3" t="s">
        <v>19</v>
      </c>
      <c r="E7" s="3" t="s">
        <v>31</v>
      </c>
      <c r="F7" s="3" t="s">
        <v>32</v>
      </c>
      <c r="G7" s="3">
        <v>1998</v>
      </c>
      <c r="H7" s="3">
        <v>15</v>
      </c>
      <c r="I7" s="6">
        <v>42.8</v>
      </c>
      <c r="J7" s="8">
        <f t="shared" si="0"/>
        <v>536.94545454545448</v>
      </c>
      <c r="K7" s="9">
        <v>10.5</v>
      </c>
    </row>
    <row r="8" spans="1:11" x14ac:dyDescent="0.35">
      <c r="A8" s="3">
        <v>7</v>
      </c>
      <c r="B8" s="3" t="s">
        <v>33</v>
      </c>
      <c r="C8" s="3" t="s">
        <v>27</v>
      </c>
      <c r="D8" s="3" t="s">
        <v>19</v>
      </c>
      <c r="E8" s="3" t="s">
        <v>12</v>
      </c>
      <c r="F8" s="3" t="s">
        <v>34</v>
      </c>
      <c r="G8" s="3">
        <v>1965</v>
      </c>
      <c r="H8" s="3">
        <v>13.7</v>
      </c>
      <c r="I8" s="6">
        <v>48.3</v>
      </c>
      <c r="J8" s="8">
        <f t="shared" si="0"/>
        <v>605.9454545454546</v>
      </c>
      <c r="K8" s="9">
        <v>10</v>
      </c>
    </row>
    <row r="9" spans="1:11" x14ac:dyDescent="0.35">
      <c r="A9" s="3">
        <v>8</v>
      </c>
      <c r="B9" s="3" t="s">
        <v>35</v>
      </c>
      <c r="C9" s="3" t="s">
        <v>18</v>
      </c>
      <c r="D9" s="3" t="s">
        <v>19</v>
      </c>
      <c r="E9" s="3" t="s">
        <v>36</v>
      </c>
      <c r="F9" s="3" t="s">
        <v>37</v>
      </c>
      <c r="G9" s="3">
        <v>1955</v>
      </c>
      <c r="H9" s="3">
        <v>12</v>
      </c>
      <c r="I9" s="6">
        <v>43.8</v>
      </c>
      <c r="J9" s="8">
        <f t="shared" si="0"/>
        <v>549.49090909090899</v>
      </c>
      <c r="K9" s="9">
        <v>5.6</v>
      </c>
    </row>
    <row r="10" spans="1:11" x14ac:dyDescent="0.35">
      <c r="A10" s="3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>
        <v>2012</v>
      </c>
      <c r="H10" s="3">
        <v>11.3</v>
      </c>
      <c r="I10" s="6">
        <v>25.6</v>
      </c>
      <c r="J10" s="8">
        <f t="shared" si="0"/>
        <v>321.16363636363639</v>
      </c>
      <c r="K10" s="9">
        <v>12.6</v>
      </c>
    </row>
    <row r="11" spans="1:11" x14ac:dyDescent="0.35">
      <c r="A11" s="3">
        <v>10</v>
      </c>
      <c r="B11" s="3" t="s">
        <v>43</v>
      </c>
      <c r="C11" s="3" t="s">
        <v>44</v>
      </c>
      <c r="D11" s="3" t="s">
        <v>19</v>
      </c>
      <c r="E11" s="3" t="s">
        <v>45</v>
      </c>
      <c r="F11" s="3" t="s">
        <v>46</v>
      </c>
      <c r="G11" s="3">
        <v>1969</v>
      </c>
      <c r="H11" s="3">
        <v>10.5</v>
      </c>
      <c r="I11" s="6">
        <v>36.4</v>
      </c>
      <c r="J11" s="8">
        <f t="shared" si="0"/>
        <v>456.65454545454543</v>
      </c>
      <c r="K11" s="9">
        <v>9.5</v>
      </c>
    </row>
    <row r="12" spans="1:11" x14ac:dyDescent="0.35">
      <c r="A12" s="3">
        <v>11</v>
      </c>
      <c r="B12" s="3" t="s">
        <v>47</v>
      </c>
      <c r="C12" s="3" t="s">
        <v>48</v>
      </c>
      <c r="D12" s="3" t="s">
        <v>19</v>
      </c>
      <c r="E12" s="3" t="s">
        <v>49</v>
      </c>
      <c r="F12" s="3" t="s">
        <v>50</v>
      </c>
      <c r="G12" s="3">
        <v>1957</v>
      </c>
      <c r="H12" s="3">
        <v>8.3000000000000007</v>
      </c>
      <c r="I12" s="6">
        <v>30.1</v>
      </c>
      <c r="J12" s="8">
        <f t="shared" si="0"/>
        <v>377.61818181818182</v>
      </c>
      <c r="K12" s="9">
        <v>7.8</v>
      </c>
    </row>
    <row r="13" spans="1:11" x14ac:dyDescent="0.35">
      <c r="A13" s="3">
        <v>12</v>
      </c>
      <c r="B13" s="3" t="s">
        <v>51</v>
      </c>
      <c r="C13" s="3" t="s">
        <v>27</v>
      </c>
      <c r="D13" s="3" t="s">
        <v>19</v>
      </c>
      <c r="E13" s="3" t="s">
        <v>52</v>
      </c>
      <c r="F13" s="3" t="s">
        <v>53</v>
      </c>
      <c r="G13" s="3">
        <v>1982</v>
      </c>
      <c r="H13" s="3">
        <v>8</v>
      </c>
      <c r="I13" s="6">
        <v>25.9</v>
      </c>
      <c r="J13" s="8">
        <f t="shared" si="0"/>
        <v>324.92727272727274</v>
      </c>
      <c r="K13" s="9">
        <v>8.4</v>
      </c>
    </row>
    <row r="14" spans="1:11" x14ac:dyDescent="0.35">
      <c r="A14" s="3">
        <v>13</v>
      </c>
      <c r="B14" s="3" t="s">
        <v>54</v>
      </c>
      <c r="C14" s="3" t="s">
        <v>27</v>
      </c>
      <c r="D14" s="3" t="s">
        <v>19</v>
      </c>
      <c r="E14" s="3" t="s">
        <v>55</v>
      </c>
      <c r="F14" s="3" t="s">
        <v>56</v>
      </c>
      <c r="G14" s="3">
        <v>1975</v>
      </c>
      <c r="H14" s="3">
        <v>8</v>
      </c>
      <c r="I14" s="6">
        <v>27</v>
      </c>
      <c r="J14" s="8">
        <f t="shared" si="0"/>
        <v>338.72727272727275</v>
      </c>
      <c r="K14" s="9">
        <v>10.4</v>
      </c>
    </row>
    <row r="15" spans="1:11" x14ac:dyDescent="0.35">
      <c r="A15" s="3">
        <v>14</v>
      </c>
      <c r="B15" s="3" t="s">
        <v>57</v>
      </c>
      <c r="C15" s="3" t="s">
        <v>18</v>
      </c>
      <c r="D15" s="3" t="s">
        <v>19</v>
      </c>
      <c r="E15" s="3" t="s">
        <v>58</v>
      </c>
      <c r="F15" s="3" t="s">
        <v>59</v>
      </c>
      <c r="G15" s="3">
        <v>2011</v>
      </c>
      <c r="H15" s="3">
        <v>7.8</v>
      </c>
      <c r="I15" s="6">
        <v>18.100000000000001</v>
      </c>
      <c r="J15" s="8">
        <f t="shared" si="0"/>
        <v>227.07272727272729</v>
      </c>
      <c r="K15" s="9">
        <v>11.58</v>
      </c>
    </row>
    <row r="16" spans="1:11" x14ac:dyDescent="0.35">
      <c r="A16" s="3">
        <v>15</v>
      </c>
      <c r="B16" s="3" t="s">
        <v>60</v>
      </c>
      <c r="C16" s="3" t="s">
        <v>48</v>
      </c>
      <c r="D16" s="3" t="s">
        <v>19</v>
      </c>
      <c r="E16" s="3" t="s">
        <v>36</v>
      </c>
      <c r="F16" s="3" t="s">
        <v>37</v>
      </c>
      <c r="G16" s="3">
        <v>1954</v>
      </c>
      <c r="H16" s="3">
        <v>9.5</v>
      </c>
      <c r="I16" s="6">
        <v>34.799999999999997</v>
      </c>
      <c r="J16" s="8">
        <f t="shared" si="0"/>
        <v>436.58181818181816</v>
      </c>
      <c r="K16" s="9">
        <v>10.4</v>
      </c>
    </row>
    <row r="17" spans="1:11" x14ac:dyDescent="0.35">
      <c r="A17" s="3">
        <v>16</v>
      </c>
      <c r="B17" s="3" t="s">
        <v>61</v>
      </c>
      <c r="C17" s="3" t="s">
        <v>27</v>
      </c>
      <c r="D17" s="3" t="s">
        <v>19</v>
      </c>
      <c r="E17" s="3" t="s">
        <v>62</v>
      </c>
      <c r="F17" s="3" t="s">
        <v>63</v>
      </c>
      <c r="G17" s="3">
        <v>1964</v>
      </c>
      <c r="H17" s="3">
        <v>6</v>
      </c>
      <c r="I17" s="6">
        <v>21.2</v>
      </c>
      <c r="J17" s="8">
        <f t="shared" si="0"/>
        <v>265.96363636363634</v>
      </c>
      <c r="K17" s="9">
        <v>7.8</v>
      </c>
    </row>
    <row r="18" spans="1:11" x14ac:dyDescent="0.35">
      <c r="A18" s="3">
        <v>17</v>
      </c>
      <c r="B18" s="3" t="s">
        <v>64</v>
      </c>
      <c r="C18" s="3" t="s">
        <v>65</v>
      </c>
      <c r="D18" s="3" t="s">
        <v>19</v>
      </c>
      <c r="E18" s="3" t="s">
        <v>66</v>
      </c>
      <c r="F18" s="3" t="s">
        <v>67</v>
      </c>
      <c r="G18" s="3">
        <v>2000</v>
      </c>
      <c r="H18" s="3">
        <v>3</v>
      </c>
      <c r="I18" s="6">
        <v>8.4</v>
      </c>
      <c r="J18" s="8">
        <f t="shared" si="0"/>
        <v>105.38181818181819</v>
      </c>
      <c r="K18" s="9">
        <v>9.6</v>
      </c>
    </row>
    <row r="19" spans="1:11" x14ac:dyDescent="0.35">
      <c r="A19" s="3">
        <v>18</v>
      </c>
      <c r="B19" s="3" t="s">
        <v>68</v>
      </c>
      <c r="C19" s="3" t="s">
        <v>27</v>
      </c>
      <c r="D19" s="3" t="s">
        <v>19</v>
      </c>
      <c r="E19" s="3" t="s">
        <v>66</v>
      </c>
      <c r="F19" s="3" t="s">
        <v>69</v>
      </c>
      <c r="G19" s="3">
        <v>1974</v>
      </c>
      <c r="H19" s="3">
        <v>2.35</v>
      </c>
      <c r="I19" s="6">
        <v>8</v>
      </c>
      <c r="J19" s="8">
        <f t="shared" si="0"/>
        <v>100.36363636363636</v>
      </c>
      <c r="K19" s="9">
        <v>8.1999999999999993</v>
      </c>
    </row>
    <row r="20" spans="1:11" x14ac:dyDescent="0.35">
      <c r="A20" s="3">
        <v>19</v>
      </c>
      <c r="B20" s="3" t="s">
        <v>70</v>
      </c>
      <c r="C20" s="3" t="s">
        <v>27</v>
      </c>
      <c r="D20" s="3" t="s">
        <v>19</v>
      </c>
      <c r="E20" s="3" t="s">
        <v>66</v>
      </c>
      <c r="F20" s="3" t="s">
        <v>71</v>
      </c>
      <c r="G20" s="3">
        <v>1962</v>
      </c>
      <c r="H20" s="3">
        <v>1</v>
      </c>
      <c r="I20" s="6">
        <v>3.6</v>
      </c>
      <c r="J20" s="8">
        <f t="shared" si="0"/>
        <v>45.163636363636364</v>
      </c>
      <c r="K20" s="9">
        <v>6.7</v>
      </c>
    </row>
    <row r="21" spans="1:11" x14ac:dyDescent="0.35">
      <c r="A21" s="3">
        <v>20</v>
      </c>
      <c r="B21" s="3" t="s">
        <v>72</v>
      </c>
      <c r="C21" s="3" t="s">
        <v>44</v>
      </c>
      <c r="D21" s="3" t="s">
        <v>19</v>
      </c>
      <c r="E21" s="3" t="s">
        <v>45</v>
      </c>
      <c r="F21" s="3" t="s">
        <v>73</v>
      </c>
      <c r="G21" s="3">
        <v>1993</v>
      </c>
      <c r="H21" s="3">
        <v>1</v>
      </c>
      <c r="I21" s="6">
        <v>3</v>
      </c>
      <c r="J21" s="8">
        <f t="shared" si="0"/>
        <v>37.636363636363633</v>
      </c>
      <c r="K21" s="9">
        <v>7.9</v>
      </c>
    </row>
    <row r="22" spans="1:11" x14ac:dyDescent="0.35">
      <c r="A22" s="3">
        <v>22</v>
      </c>
      <c r="B22" s="3" t="s">
        <v>76</v>
      </c>
      <c r="C22" s="3" t="s">
        <v>27</v>
      </c>
      <c r="D22" s="3" t="s">
        <v>19</v>
      </c>
      <c r="E22" s="3" t="s">
        <v>66</v>
      </c>
      <c r="F22" s="3" t="s">
        <v>77</v>
      </c>
      <c r="G22" s="3">
        <v>1901</v>
      </c>
      <c r="H22" s="3">
        <v>0.65</v>
      </c>
      <c r="I22" s="6">
        <v>2.7</v>
      </c>
      <c r="J22" s="8">
        <f>(I22/55)*690</f>
        <v>33.872727272727275</v>
      </c>
      <c r="K22" s="9">
        <v>11</v>
      </c>
    </row>
    <row r="23" spans="1:11" x14ac:dyDescent="0.35">
      <c r="A23" s="3">
        <v>21</v>
      </c>
      <c r="B23" s="3" t="s">
        <v>74</v>
      </c>
      <c r="C23" s="3" t="s">
        <v>23</v>
      </c>
      <c r="D23" s="3" t="s">
        <v>19</v>
      </c>
      <c r="E23" s="3" t="s">
        <v>49</v>
      </c>
      <c r="F23" s="3" t="s">
        <v>75</v>
      </c>
      <c r="G23" s="3">
        <v>2001</v>
      </c>
      <c r="H23" s="3">
        <v>1</v>
      </c>
      <c r="I23" s="6">
        <v>2.8</v>
      </c>
      <c r="J23" s="8">
        <f>(I23/55)*690</f>
        <v>35.127272727272725</v>
      </c>
    </row>
    <row r="24" spans="1:11" x14ac:dyDescent="0.35">
      <c r="I24" s="4">
        <f>AVERAGE(I2:I22)</f>
        <v>31.457142857142863</v>
      </c>
    </row>
    <row r="27" spans="1:11" x14ac:dyDescent="0.35">
      <c r="I27" s="4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 Chaitanya</dc:creator>
  <cp:lastModifiedBy>Sri Krishna Chaitanya</cp:lastModifiedBy>
  <dcterms:created xsi:type="dcterms:W3CDTF">2026-06-16T17:00:36Z</dcterms:created>
  <dcterms:modified xsi:type="dcterms:W3CDTF">2026-06-17T03:27:13Z</dcterms:modified>
</cp:coreProperties>
</file>