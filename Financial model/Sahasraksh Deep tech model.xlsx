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0" documentId="13_ncr:2001_{B0FAE971-342A-4A9F-8967-D7794B82BAFC}" xr6:coauthVersionLast="47" xr6:coauthVersionMax="47" xr10:uidLastSave="{00000000-0000-0000-0000-000000000000}"/>
  <bookViews>
    <workbookView xWindow="-110" yWindow="-110" windowWidth="19420" windowHeight="11500" xr2:uid="{A83D9EE0-616D-4993-AD92-1A6E07E9C2F6}"/>
  </bookViews>
  <sheets>
    <sheet name="Table of Contents" sheetId="2" r:id="rId1"/>
    <sheet name="Bill of materials" sheetId="26" r:id="rId2"/>
    <sheet name="Assumptions" sheetId="1" r:id="rId3"/>
    <sheet name="Revenue" sheetId="19" r:id="rId4"/>
    <sheet name="Income" sheetId="20" r:id="rId5"/>
    <sheet name="Cash flow" sheetId="23" r:id="rId6"/>
    <sheet name="Balance" sheetId="25" r:id="rId7"/>
    <sheet name="Valuation sheet" sheetId="27" r:id="rId8"/>
    <sheet name="Net Income Analysis" sheetId="3" state="hidden" r:id="rId9"/>
    <sheet name="Expense Analysis" sheetId="4" state="hidden" r:id="rId10"/>
    <sheet name="Revenue Analysis" sheetId="5" state="hidden" r:id="rId11"/>
    <sheet name="Cashflow Analysis" sheetId="6" state="hidden" r:id="rId12"/>
    <sheet name="Loan Repayment Schedule" sheetId="11" r:id="rId13"/>
    <sheet name="Depreciation Schedule" sheetId="12" r:id="rId14"/>
    <sheet name="Dashboard" sheetId="13" state="hidden" r:id="rId15"/>
    <sheet name="Existing Practice Valuation" sheetId="14" state="hidden" r:id="rId16"/>
  </sheets>
  <externalReferences>
    <externalReference r:id="rId17"/>
    <externalReference r:id="rId18"/>
    <externalReference r:id="rId19"/>
    <externalReference r:id="rId20"/>
  </externalReferences>
  <calcPr calcId="191029" iterate="1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7" i="12" l="1"/>
  <c r="E1099" i="20"/>
  <c r="F1099" i="20"/>
  <c r="G1099" i="20" s="1"/>
  <c r="H1099" i="20" s="1"/>
  <c r="I1099" i="20" s="1"/>
  <c r="J1099" i="20" s="1"/>
  <c r="K1099" i="20" s="1"/>
  <c r="L1099" i="20" s="1"/>
  <c r="E1100" i="20"/>
  <c r="F1100" i="20"/>
  <c r="G1100" i="20"/>
  <c r="H1100" i="20"/>
  <c r="I1100" i="20" s="1"/>
  <c r="J1100" i="20" s="1"/>
  <c r="K1100" i="20" s="1"/>
  <c r="L1100" i="20" s="1"/>
  <c r="D1100" i="20"/>
  <c r="D1099" i="20"/>
  <c r="C1100" i="20"/>
  <c r="C1099" i="20"/>
  <c r="E1094" i="20"/>
  <c r="F1094" i="20"/>
  <c r="G1094" i="20"/>
  <c r="H1094" i="20" s="1"/>
  <c r="I1094" i="20" s="1"/>
  <c r="J1094" i="20" s="1"/>
  <c r="K1094" i="20" s="1"/>
  <c r="L1094" i="20" s="1"/>
  <c r="D1094" i="20"/>
  <c r="C1094" i="20"/>
  <c r="E1093" i="20"/>
  <c r="F1093" i="20"/>
  <c r="G1093" i="20"/>
  <c r="H1093" i="20" s="1"/>
  <c r="I1093" i="20" s="1"/>
  <c r="J1093" i="20" s="1"/>
  <c r="K1093" i="20" s="1"/>
  <c r="L1093" i="20" s="1"/>
  <c r="D1093" i="20"/>
  <c r="C1093" i="20"/>
  <c r="E1092" i="20"/>
  <c r="F1092" i="20"/>
  <c r="G1092" i="20"/>
  <c r="H1092" i="20"/>
  <c r="I1092" i="20"/>
  <c r="J1092" i="20" s="1"/>
  <c r="K1092" i="20" s="1"/>
  <c r="L1092" i="20" s="1"/>
  <c r="D1092" i="20"/>
  <c r="C1092" i="20"/>
  <c r="E1091" i="20"/>
  <c r="F1091" i="20"/>
  <c r="G1091" i="20" s="1"/>
  <c r="H1091" i="20" s="1"/>
  <c r="I1091" i="20" s="1"/>
  <c r="J1091" i="20" s="1"/>
  <c r="K1091" i="20" s="1"/>
  <c r="L1091" i="20" s="1"/>
  <c r="D1091" i="20"/>
  <c r="C1091" i="20"/>
  <c r="E1090" i="20"/>
  <c r="F1090" i="20"/>
  <c r="G1090" i="20"/>
  <c r="H1090" i="20"/>
  <c r="I1090" i="20"/>
  <c r="J1090" i="20"/>
  <c r="K1090" i="20"/>
  <c r="L1090" i="20" s="1"/>
  <c r="D1090" i="20"/>
  <c r="C1090" i="20"/>
  <c r="E1089" i="20"/>
  <c r="F1089" i="20"/>
  <c r="D1089" i="20"/>
  <c r="C1089" i="20"/>
  <c r="E1088" i="20"/>
  <c r="F1088" i="20"/>
  <c r="G1088" i="20"/>
  <c r="H1088" i="20" s="1"/>
  <c r="I1088" i="20" s="1"/>
  <c r="J1088" i="20" s="1"/>
  <c r="K1088" i="20" s="1"/>
  <c r="L1088" i="20" s="1"/>
  <c r="D1088" i="20"/>
  <c r="C1088" i="20"/>
  <c r="E1087" i="20"/>
  <c r="F1087" i="20"/>
  <c r="G1087" i="20" s="1"/>
  <c r="H1087" i="20" s="1"/>
  <c r="I1087" i="20" s="1"/>
  <c r="J1087" i="20" s="1"/>
  <c r="K1087" i="20" s="1"/>
  <c r="L1087" i="20" s="1"/>
  <c r="D1087" i="20"/>
  <c r="C1087" i="20"/>
  <c r="E1086" i="20"/>
  <c r="F1086" i="20"/>
  <c r="G1086" i="20"/>
  <c r="H1086" i="20" s="1"/>
  <c r="I1086" i="20" s="1"/>
  <c r="J1086" i="20" s="1"/>
  <c r="K1086" i="20" s="1"/>
  <c r="L1086" i="20" s="1"/>
  <c r="D1086" i="20"/>
  <c r="C1086" i="20"/>
  <c r="E1085" i="20"/>
  <c r="F1085" i="20"/>
  <c r="D1085" i="20"/>
  <c r="C1085" i="20"/>
  <c r="E1084" i="20"/>
  <c r="F1084" i="20"/>
  <c r="D1084" i="20"/>
  <c r="C1084" i="20"/>
  <c r="E1081" i="20"/>
  <c r="F1081" i="20"/>
  <c r="G1081" i="20" s="1"/>
  <c r="H1081" i="20" s="1"/>
  <c r="I1081" i="20" s="1"/>
  <c r="J1081" i="20" s="1"/>
  <c r="K1081" i="20" s="1"/>
  <c r="L1081" i="20" s="1"/>
  <c r="E1082" i="20"/>
  <c r="F1082" i="20"/>
  <c r="G1082" i="20"/>
  <c r="H1082" i="20"/>
  <c r="I1082" i="20" s="1"/>
  <c r="J1082" i="20" s="1"/>
  <c r="K1082" i="20" s="1"/>
  <c r="L1082" i="20" s="1"/>
  <c r="E1083" i="20"/>
  <c r="F1083" i="20"/>
  <c r="G1083" i="20"/>
  <c r="H1083" i="20"/>
  <c r="I1083" i="20"/>
  <c r="J1083" i="20"/>
  <c r="K1083" i="20"/>
  <c r="L1083" i="20"/>
  <c r="D1083" i="20"/>
  <c r="D1082" i="20"/>
  <c r="C1082" i="20"/>
  <c r="C1083" i="20"/>
  <c r="D1081" i="20"/>
  <c r="C1081" i="20"/>
  <c r="D1069" i="20"/>
  <c r="E1069" i="20"/>
  <c r="F1069" i="20"/>
  <c r="G1069" i="20"/>
  <c r="H1069" i="20"/>
  <c r="I1069" i="20"/>
  <c r="J1069" i="20"/>
  <c r="K1069" i="20"/>
  <c r="L1069" i="20"/>
  <c r="D1070" i="20"/>
  <c r="E1070" i="20"/>
  <c r="F1070" i="20"/>
  <c r="G1070" i="20"/>
  <c r="H1070" i="20"/>
  <c r="I1070" i="20"/>
  <c r="J1070" i="20"/>
  <c r="K1070" i="20"/>
  <c r="L1070" i="20"/>
  <c r="D1071" i="20"/>
  <c r="E1071" i="20"/>
  <c r="F1071" i="20"/>
  <c r="G1071" i="20"/>
  <c r="H1071" i="20"/>
  <c r="I1071" i="20"/>
  <c r="J1071" i="20"/>
  <c r="K1071" i="20"/>
  <c r="L1071" i="20"/>
  <c r="D1072" i="20"/>
  <c r="E1072" i="20"/>
  <c r="F1072" i="20"/>
  <c r="G1072" i="20"/>
  <c r="H1072" i="20"/>
  <c r="I1072" i="20"/>
  <c r="J1072" i="20"/>
  <c r="K1072" i="20"/>
  <c r="L1072" i="20"/>
  <c r="D1073" i="20"/>
  <c r="E1073" i="20"/>
  <c r="F1073" i="20"/>
  <c r="G1073" i="20"/>
  <c r="H1073" i="20"/>
  <c r="I1073" i="20"/>
  <c r="J1073" i="20"/>
  <c r="K1073" i="20"/>
  <c r="L1073" i="20"/>
  <c r="D1074" i="20"/>
  <c r="E1074" i="20"/>
  <c r="F1074" i="20"/>
  <c r="G1074" i="20"/>
  <c r="H1074" i="20"/>
  <c r="I1074" i="20"/>
  <c r="J1074" i="20"/>
  <c r="K1074" i="20"/>
  <c r="L1074" i="20"/>
  <c r="D1075" i="20"/>
  <c r="E1075" i="20"/>
  <c r="F1075" i="20"/>
  <c r="G1075" i="20"/>
  <c r="H1075" i="20"/>
  <c r="I1075" i="20"/>
  <c r="J1075" i="20"/>
  <c r="K1075" i="20"/>
  <c r="L1075" i="20"/>
  <c r="C1070" i="20"/>
  <c r="C1071" i="20"/>
  <c r="C1072" i="20"/>
  <c r="C1073" i="20"/>
  <c r="C1074" i="20"/>
  <c r="C1075" i="20"/>
  <c r="C1069" i="20"/>
  <c r="E988" i="20"/>
  <c r="F988" i="20"/>
  <c r="G988" i="20" s="1"/>
  <c r="H988" i="20" s="1"/>
  <c r="I988" i="20" s="1"/>
  <c r="J988" i="20" s="1"/>
  <c r="K988" i="20" s="1"/>
  <c r="L988" i="20" s="1"/>
  <c r="E989" i="20"/>
  <c r="F989" i="20"/>
  <c r="G989" i="20"/>
  <c r="H989" i="20"/>
  <c r="I989" i="20" s="1"/>
  <c r="J989" i="20" s="1"/>
  <c r="K989" i="20" s="1"/>
  <c r="L989" i="20" s="1"/>
  <c r="D989" i="20"/>
  <c r="D988" i="20"/>
  <c r="C989" i="20"/>
  <c r="C988" i="20"/>
  <c r="E983" i="20"/>
  <c r="F983" i="20"/>
  <c r="G983" i="20" s="1"/>
  <c r="H983" i="20" s="1"/>
  <c r="I983" i="20" s="1"/>
  <c r="J983" i="20" s="1"/>
  <c r="K983" i="20" s="1"/>
  <c r="L983" i="20" s="1"/>
  <c r="D983" i="20"/>
  <c r="C983" i="20"/>
  <c r="E982" i="20"/>
  <c r="F982" i="20"/>
  <c r="G982" i="20"/>
  <c r="H982" i="20"/>
  <c r="I982" i="20"/>
  <c r="J982" i="20"/>
  <c r="K982" i="20"/>
  <c r="L982" i="20"/>
  <c r="D982" i="20"/>
  <c r="C982" i="20"/>
  <c r="E981" i="20"/>
  <c r="F981" i="20"/>
  <c r="G981" i="20" s="1"/>
  <c r="H981" i="20" s="1"/>
  <c r="I981" i="20" s="1"/>
  <c r="J981" i="20" s="1"/>
  <c r="K981" i="20" s="1"/>
  <c r="L981" i="20" s="1"/>
  <c r="D981" i="20"/>
  <c r="C981" i="20"/>
  <c r="E980" i="20"/>
  <c r="F980" i="20"/>
  <c r="G980" i="20" s="1"/>
  <c r="H980" i="20" s="1"/>
  <c r="I980" i="20" s="1"/>
  <c r="J980" i="20" s="1"/>
  <c r="K980" i="20" s="1"/>
  <c r="L980" i="20" s="1"/>
  <c r="D980" i="20"/>
  <c r="C980" i="20"/>
  <c r="E979" i="20"/>
  <c r="F979" i="20"/>
  <c r="G979" i="20" s="1"/>
  <c r="H979" i="20" s="1"/>
  <c r="I979" i="20" s="1"/>
  <c r="J979" i="20" s="1"/>
  <c r="K979" i="20" s="1"/>
  <c r="L979" i="20" s="1"/>
  <c r="D979" i="20"/>
  <c r="C979" i="20"/>
  <c r="E978" i="20"/>
  <c r="F978" i="20"/>
  <c r="D978" i="20"/>
  <c r="C978" i="20"/>
  <c r="E977" i="20"/>
  <c r="F977" i="20"/>
  <c r="G977" i="20" s="1"/>
  <c r="H977" i="20" s="1"/>
  <c r="I977" i="20" s="1"/>
  <c r="J977" i="20" s="1"/>
  <c r="K977" i="20" s="1"/>
  <c r="L977" i="20" s="1"/>
  <c r="D977" i="20"/>
  <c r="C977" i="20"/>
  <c r="E976" i="20"/>
  <c r="F976" i="20"/>
  <c r="G976" i="20"/>
  <c r="H976" i="20"/>
  <c r="I976" i="20" s="1"/>
  <c r="J976" i="20" s="1"/>
  <c r="K976" i="20" s="1"/>
  <c r="L976" i="20" s="1"/>
  <c r="D976" i="20"/>
  <c r="C976" i="20"/>
  <c r="E975" i="20"/>
  <c r="F975" i="20"/>
  <c r="G975" i="20"/>
  <c r="H975" i="20" s="1"/>
  <c r="I975" i="20" s="1"/>
  <c r="J975" i="20" s="1"/>
  <c r="K975" i="20" s="1"/>
  <c r="L975" i="20" s="1"/>
  <c r="D975" i="20"/>
  <c r="C975" i="20"/>
  <c r="E974" i="20"/>
  <c r="F974" i="20"/>
  <c r="D974" i="20"/>
  <c r="C974" i="20"/>
  <c r="C862" i="20"/>
  <c r="E973" i="20"/>
  <c r="F973" i="20"/>
  <c r="D973" i="20"/>
  <c r="C973" i="20"/>
  <c r="E970" i="20"/>
  <c r="F970" i="20"/>
  <c r="G970" i="20"/>
  <c r="H970" i="20"/>
  <c r="I970" i="20"/>
  <c r="J970" i="20"/>
  <c r="K970" i="20"/>
  <c r="L970" i="20"/>
  <c r="E971" i="20"/>
  <c r="F971" i="20"/>
  <c r="G971" i="20"/>
  <c r="H971" i="20"/>
  <c r="I971" i="20" s="1"/>
  <c r="J971" i="20" s="1"/>
  <c r="K971" i="20" s="1"/>
  <c r="L971" i="20" s="1"/>
  <c r="E972" i="20"/>
  <c r="F972" i="20"/>
  <c r="G972" i="20"/>
  <c r="H972" i="20"/>
  <c r="I972" i="20"/>
  <c r="J972" i="20"/>
  <c r="K972" i="20" s="1"/>
  <c r="L972" i="20" s="1"/>
  <c r="D972" i="20"/>
  <c r="D971" i="20"/>
  <c r="C971" i="20"/>
  <c r="C972" i="20"/>
  <c r="D970" i="20"/>
  <c r="C970" i="20"/>
  <c r="D958" i="20"/>
  <c r="E958" i="20"/>
  <c r="F958" i="20"/>
  <c r="G958" i="20"/>
  <c r="H958" i="20"/>
  <c r="I958" i="20"/>
  <c r="J958" i="20"/>
  <c r="K958" i="20"/>
  <c r="L958" i="20"/>
  <c r="D959" i="20"/>
  <c r="E959" i="20"/>
  <c r="F959" i="20"/>
  <c r="G959" i="20"/>
  <c r="H959" i="20"/>
  <c r="I959" i="20"/>
  <c r="J959" i="20"/>
  <c r="K959" i="20"/>
  <c r="L959" i="20"/>
  <c r="D960" i="20"/>
  <c r="E960" i="20"/>
  <c r="F960" i="20"/>
  <c r="G960" i="20"/>
  <c r="H960" i="20"/>
  <c r="I960" i="20"/>
  <c r="J960" i="20"/>
  <c r="K960" i="20"/>
  <c r="L960" i="20"/>
  <c r="D961" i="20"/>
  <c r="E961" i="20"/>
  <c r="F961" i="20"/>
  <c r="G961" i="20"/>
  <c r="H961" i="20"/>
  <c r="I961" i="20"/>
  <c r="J961" i="20"/>
  <c r="K961" i="20"/>
  <c r="L961" i="20"/>
  <c r="D962" i="20"/>
  <c r="E962" i="20"/>
  <c r="F962" i="20"/>
  <c r="G962" i="20"/>
  <c r="H962" i="20"/>
  <c r="I962" i="20"/>
  <c r="J962" i="20"/>
  <c r="K962" i="20"/>
  <c r="L962" i="20"/>
  <c r="D963" i="20"/>
  <c r="E963" i="20"/>
  <c r="F963" i="20"/>
  <c r="G963" i="20"/>
  <c r="H963" i="20"/>
  <c r="I963" i="20"/>
  <c r="J963" i="20"/>
  <c r="K963" i="20"/>
  <c r="L963" i="20"/>
  <c r="D964" i="20"/>
  <c r="E964" i="20"/>
  <c r="F964" i="20"/>
  <c r="G964" i="20"/>
  <c r="H964" i="20"/>
  <c r="I964" i="20"/>
  <c r="J964" i="20"/>
  <c r="K964" i="20"/>
  <c r="L964" i="20"/>
  <c r="C959" i="20"/>
  <c r="C960" i="20"/>
  <c r="C961" i="20"/>
  <c r="C962" i="20"/>
  <c r="C963" i="20"/>
  <c r="C964" i="20"/>
  <c r="C958" i="20"/>
  <c r="E878" i="20"/>
  <c r="F878" i="20"/>
  <c r="G878" i="20"/>
  <c r="H878" i="20"/>
  <c r="I878" i="20"/>
  <c r="J878" i="20"/>
  <c r="K878" i="20"/>
  <c r="L878" i="20" s="1"/>
  <c r="D878" i="20"/>
  <c r="E877" i="20"/>
  <c r="F877" i="20"/>
  <c r="G877" i="20"/>
  <c r="H877" i="20"/>
  <c r="I877" i="20" s="1"/>
  <c r="J877" i="20" s="1"/>
  <c r="K877" i="20" s="1"/>
  <c r="L877" i="20" s="1"/>
  <c r="D877" i="20"/>
  <c r="C878" i="20"/>
  <c r="C877" i="20"/>
  <c r="E872" i="20"/>
  <c r="F872" i="20"/>
  <c r="G872" i="20" s="1"/>
  <c r="H872" i="20" s="1"/>
  <c r="I872" i="20" s="1"/>
  <c r="J872" i="20" s="1"/>
  <c r="K872" i="20" s="1"/>
  <c r="L872" i="20" s="1"/>
  <c r="D872" i="20"/>
  <c r="C872" i="20"/>
  <c r="E871" i="20"/>
  <c r="F871" i="20"/>
  <c r="G871" i="20" s="1"/>
  <c r="H871" i="20" s="1"/>
  <c r="I871" i="20" s="1"/>
  <c r="J871" i="20" s="1"/>
  <c r="K871" i="20" s="1"/>
  <c r="L871" i="20" s="1"/>
  <c r="D871" i="20"/>
  <c r="C871" i="20"/>
  <c r="E870" i="20"/>
  <c r="F870" i="20"/>
  <c r="G870" i="20"/>
  <c r="H870" i="20"/>
  <c r="I870" i="20"/>
  <c r="J870" i="20"/>
  <c r="K870" i="20"/>
  <c r="L870" i="20"/>
  <c r="D870" i="20"/>
  <c r="C870" i="20"/>
  <c r="D647" i="20"/>
  <c r="E758" i="20"/>
  <c r="F758" i="20"/>
  <c r="G758" i="20"/>
  <c r="H758" i="20"/>
  <c r="I758" i="20" s="1"/>
  <c r="J758" i="20" s="1"/>
  <c r="K758" i="20" s="1"/>
  <c r="L758" i="20" s="1"/>
  <c r="D758" i="20"/>
  <c r="E869" i="20"/>
  <c r="F869" i="20"/>
  <c r="G869" i="20" s="1"/>
  <c r="H869" i="20" s="1"/>
  <c r="I869" i="20" s="1"/>
  <c r="J869" i="20" s="1"/>
  <c r="K869" i="20" s="1"/>
  <c r="L869" i="20" s="1"/>
  <c r="D869" i="20"/>
  <c r="C869" i="20"/>
  <c r="E868" i="20"/>
  <c r="F868" i="20"/>
  <c r="G868" i="20"/>
  <c r="H868" i="20"/>
  <c r="I868" i="20"/>
  <c r="J868" i="20"/>
  <c r="K868" i="20"/>
  <c r="L868" i="20"/>
  <c r="D868" i="20"/>
  <c r="C868" i="20"/>
  <c r="E867" i="20"/>
  <c r="F867" i="20"/>
  <c r="D867" i="20"/>
  <c r="C867" i="20"/>
  <c r="E866" i="20"/>
  <c r="F866" i="20"/>
  <c r="G866" i="20"/>
  <c r="H866" i="20"/>
  <c r="I866" i="20"/>
  <c r="J866" i="20"/>
  <c r="K866" i="20"/>
  <c r="L866" i="20"/>
  <c r="D866" i="20"/>
  <c r="C866" i="20"/>
  <c r="E865" i="20"/>
  <c r="F865" i="20"/>
  <c r="G865" i="20" s="1"/>
  <c r="H865" i="20" s="1"/>
  <c r="I865" i="20" s="1"/>
  <c r="J865" i="20" s="1"/>
  <c r="K865" i="20" s="1"/>
  <c r="L865" i="20" s="1"/>
  <c r="D865" i="20"/>
  <c r="C865" i="20"/>
  <c r="E864" i="20"/>
  <c r="F864" i="20"/>
  <c r="G864" i="20" s="1"/>
  <c r="H864" i="20" s="1"/>
  <c r="I864" i="20" s="1"/>
  <c r="J864" i="20" s="1"/>
  <c r="K864" i="20" s="1"/>
  <c r="L864" i="20" s="1"/>
  <c r="D864" i="20"/>
  <c r="C864" i="20"/>
  <c r="E863" i="20"/>
  <c r="F863" i="20"/>
  <c r="D863" i="20"/>
  <c r="C863" i="20"/>
  <c r="E862" i="20"/>
  <c r="F862" i="20"/>
  <c r="D862" i="20"/>
  <c r="E861" i="20"/>
  <c r="F861" i="20"/>
  <c r="G861" i="20" s="1"/>
  <c r="H861" i="20" s="1"/>
  <c r="I861" i="20" s="1"/>
  <c r="J861" i="20" s="1"/>
  <c r="K861" i="20" s="1"/>
  <c r="L861" i="20" s="1"/>
  <c r="D861" i="20"/>
  <c r="C861" i="20"/>
  <c r="E860" i="20"/>
  <c r="F860" i="20"/>
  <c r="G860" i="20"/>
  <c r="H860" i="20"/>
  <c r="I860" i="20" s="1"/>
  <c r="J860" i="20" s="1"/>
  <c r="K860" i="20" s="1"/>
  <c r="L860" i="20" s="1"/>
  <c r="D860" i="20"/>
  <c r="C860" i="20"/>
  <c r="E859" i="20"/>
  <c r="F859" i="20"/>
  <c r="G859" i="20" s="1"/>
  <c r="H859" i="20" s="1"/>
  <c r="I859" i="20" s="1"/>
  <c r="J859" i="20" s="1"/>
  <c r="K859" i="20" s="1"/>
  <c r="L859" i="20" s="1"/>
  <c r="D859" i="20"/>
  <c r="C859" i="20"/>
  <c r="D292" i="20"/>
  <c r="E292" i="20"/>
  <c r="F292" i="20"/>
  <c r="G292" i="20"/>
  <c r="H292" i="20"/>
  <c r="I292" i="20"/>
  <c r="J292" i="20"/>
  <c r="K292" i="20"/>
  <c r="L292" i="20"/>
  <c r="D293" i="20"/>
  <c r="E293" i="20"/>
  <c r="F293" i="20"/>
  <c r="G293" i="20"/>
  <c r="H293" i="20"/>
  <c r="I293" i="20"/>
  <c r="J293" i="20"/>
  <c r="K293" i="20"/>
  <c r="L293" i="20"/>
  <c r="D294" i="20"/>
  <c r="E294" i="20"/>
  <c r="F294" i="20"/>
  <c r="G294" i="20"/>
  <c r="H294" i="20"/>
  <c r="I294" i="20"/>
  <c r="J294" i="20"/>
  <c r="K294" i="20"/>
  <c r="L294" i="20"/>
  <c r="D295" i="20"/>
  <c r="E295" i="20"/>
  <c r="F295" i="20"/>
  <c r="G295" i="20"/>
  <c r="H295" i="20"/>
  <c r="I295" i="20"/>
  <c r="J295" i="20"/>
  <c r="K295" i="20"/>
  <c r="L295" i="20"/>
  <c r="D296" i="20"/>
  <c r="E296" i="20"/>
  <c r="F296" i="20"/>
  <c r="G296" i="20"/>
  <c r="H296" i="20"/>
  <c r="I296" i="20"/>
  <c r="J296" i="20"/>
  <c r="K296" i="20"/>
  <c r="L296" i="20"/>
  <c r="D297" i="20"/>
  <c r="E297" i="20"/>
  <c r="F297" i="20"/>
  <c r="G297" i="20"/>
  <c r="H297" i="20"/>
  <c r="I297" i="20"/>
  <c r="J297" i="20"/>
  <c r="K297" i="20"/>
  <c r="L297" i="20"/>
  <c r="D298" i="20"/>
  <c r="E298" i="20"/>
  <c r="F298" i="20"/>
  <c r="G298" i="20"/>
  <c r="H298" i="20"/>
  <c r="I298" i="20"/>
  <c r="J298" i="20"/>
  <c r="K298" i="20"/>
  <c r="L298" i="20"/>
  <c r="C293" i="20"/>
  <c r="C294" i="20"/>
  <c r="C295" i="20"/>
  <c r="C296" i="20"/>
  <c r="C297" i="20"/>
  <c r="C298" i="20"/>
  <c r="C292" i="20"/>
  <c r="D403" i="20"/>
  <c r="E403" i="20"/>
  <c r="F403" i="20"/>
  <c r="G403" i="20"/>
  <c r="H403" i="20"/>
  <c r="I403" i="20"/>
  <c r="J403" i="20"/>
  <c r="K403" i="20"/>
  <c r="L403" i="20"/>
  <c r="D404" i="20"/>
  <c r="E404" i="20"/>
  <c r="F404" i="20"/>
  <c r="G404" i="20"/>
  <c r="H404" i="20"/>
  <c r="I404" i="20"/>
  <c r="J404" i="20"/>
  <c r="K404" i="20"/>
  <c r="L404" i="20"/>
  <c r="D405" i="20"/>
  <c r="E405" i="20"/>
  <c r="F405" i="20"/>
  <c r="G405" i="20"/>
  <c r="H405" i="20"/>
  <c r="I405" i="20"/>
  <c r="J405" i="20"/>
  <c r="K405" i="20"/>
  <c r="L405" i="20"/>
  <c r="D406" i="20"/>
  <c r="E406" i="20"/>
  <c r="F406" i="20"/>
  <c r="G406" i="20"/>
  <c r="H406" i="20"/>
  <c r="I406" i="20"/>
  <c r="J406" i="20"/>
  <c r="K406" i="20"/>
  <c r="L406" i="20"/>
  <c r="D407" i="20"/>
  <c r="E407" i="20"/>
  <c r="F407" i="20"/>
  <c r="G407" i="20"/>
  <c r="H407" i="20"/>
  <c r="I407" i="20"/>
  <c r="J407" i="20"/>
  <c r="K407" i="20"/>
  <c r="L407" i="20"/>
  <c r="D408" i="20"/>
  <c r="E408" i="20"/>
  <c r="F408" i="20"/>
  <c r="G408" i="20"/>
  <c r="H408" i="20"/>
  <c r="I408" i="20"/>
  <c r="J408" i="20"/>
  <c r="K408" i="20"/>
  <c r="L408" i="20"/>
  <c r="D409" i="20"/>
  <c r="E409" i="20"/>
  <c r="F409" i="20"/>
  <c r="G409" i="20"/>
  <c r="H409" i="20"/>
  <c r="I409" i="20"/>
  <c r="J409" i="20"/>
  <c r="K409" i="20"/>
  <c r="L409" i="20"/>
  <c r="C404" i="20"/>
  <c r="C405" i="20"/>
  <c r="C406" i="20"/>
  <c r="C407" i="20"/>
  <c r="C408" i="20"/>
  <c r="C409" i="20"/>
  <c r="C403" i="20"/>
  <c r="D514" i="20"/>
  <c r="E514" i="20"/>
  <c r="F514" i="20"/>
  <c r="G514" i="20"/>
  <c r="H514" i="20"/>
  <c r="I514" i="20"/>
  <c r="J514" i="20"/>
  <c r="K514" i="20"/>
  <c r="L514" i="20"/>
  <c r="D515" i="20"/>
  <c r="E515" i="20"/>
  <c r="F515" i="20"/>
  <c r="G515" i="20"/>
  <c r="H515" i="20"/>
  <c r="I515" i="20"/>
  <c r="J515" i="20"/>
  <c r="K515" i="20"/>
  <c r="L515" i="20"/>
  <c r="D516" i="20"/>
  <c r="E516" i="20"/>
  <c r="F516" i="20"/>
  <c r="G516" i="20"/>
  <c r="H516" i="20"/>
  <c r="I516" i="20"/>
  <c r="J516" i="20"/>
  <c r="K516" i="20"/>
  <c r="L516" i="20"/>
  <c r="D517" i="20"/>
  <c r="E517" i="20"/>
  <c r="F517" i="20"/>
  <c r="G517" i="20"/>
  <c r="H517" i="20"/>
  <c r="I517" i="20"/>
  <c r="J517" i="20"/>
  <c r="K517" i="20"/>
  <c r="L517" i="20"/>
  <c r="D518" i="20"/>
  <c r="E518" i="20"/>
  <c r="F518" i="20"/>
  <c r="G518" i="20"/>
  <c r="H518" i="20"/>
  <c r="I518" i="20"/>
  <c r="J518" i="20"/>
  <c r="K518" i="20"/>
  <c r="L518" i="20"/>
  <c r="D519" i="20"/>
  <c r="E519" i="20"/>
  <c r="F519" i="20"/>
  <c r="G519" i="20"/>
  <c r="H519" i="20"/>
  <c r="I519" i="20"/>
  <c r="J519" i="20"/>
  <c r="K519" i="20"/>
  <c r="L519" i="20"/>
  <c r="D520" i="20"/>
  <c r="E520" i="20"/>
  <c r="F520" i="20"/>
  <c r="G520" i="20"/>
  <c r="H520" i="20"/>
  <c r="I520" i="20"/>
  <c r="J520" i="20"/>
  <c r="K520" i="20"/>
  <c r="L520" i="20"/>
  <c r="C515" i="20"/>
  <c r="C516" i="20"/>
  <c r="C517" i="20"/>
  <c r="C518" i="20"/>
  <c r="C519" i="20"/>
  <c r="C520" i="20"/>
  <c r="C514" i="20"/>
  <c r="D625" i="20"/>
  <c r="E625" i="20"/>
  <c r="F625" i="20"/>
  <c r="G625" i="20"/>
  <c r="H625" i="20"/>
  <c r="I625" i="20"/>
  <c r="J625" i="20"/>
  <c r="K625" i="20"/>
  <c r="L625" i="20"/>
  <c r="D626" i="20"/>
  <c r="E626" i="20"/>
  <c r="F626" i="20"/>
  <c r="G626" i="20"/>
  <c r="H626" i="20"/>
  <c r="I626" i="20"/>
  <c r="J626" i="20"/>
  <c r="K626" i="20"/>
  <c r="L626" i="20"/>
  <c r="D627" i="20"/>
  <c r="E627" i="20"/>
  <c r="F627" i="20"/>
  <c r="G627" i="20"/>
  <c r="H627" i="20"/>
  <c r="I627" i="20"/>
  <c r="J627" i="20"/>
  <c r="K627" i="20"/>
  <c r="L627" i="20"/>
  <c r="D628" i="20"/>
  <c r="E628" i="20"/>
  <c r="F628" i="20"/>
  <c r="G628" i="20"/>
  <c r="H628" i="20"/>
  <c r="I628" i="20"/>
  <c r="J628" i="20"/>
  <c r="K628" i="20"/>
  <c r="L628" i="20"/>
  <c r="D629" i="20"/>
  <c r="E629" i="20"/>
  <c r="F629" i="20"/>
  <c r="G629" i="20"/>
  <c r="H629" i="20"/>
  <c r="I629" i="20"/>
  <c r="J629" i="20"/>
  <c r="K629" i="20"/>
  <c r="L629" i="20"/>
  <c r="D630" i="20"/>
  <c r="E630" i="20"/>
  <c r="F630" i="20"/>
  <c r="G630" i="20"/>
  <c r="H630" i="20"/>
  <c r="I630" i="20"/>
  <c r="J630" i="20"/>
  <c r="K630" i="20"/>
  <c r="L630" i="20"/>
  <c r="D631" i="20"/>
  <c r="E631" i="20"/>
  <c r="F631" i="20"/>
  <c r="G631" i="20"/>
  <c r="H631" i="20"/>
  <c r="I631" i="20"/>
  <c r="J631" i="20"/>
  <c r="K631" i="20"/>
  <c r="L631" i="20"/>
  <c r="C626" i="20"/>
  <c r="C627" i="20"/>
  <c r="C628" i="20"/>
  <c r="C629" i="20"/>
  <c r="C630" i="20"/>
  <c r="C631" i="20"/>
  <c r="C625" i="20"/>
  <c r="D847" i="20"/>
  <c r="E847" i="20"/>
  <c r="F847" i="20"/>
  <c r="G847" i="20"/>
  <c r="H847" i="20"/>
  <c r="I847" i="20"/>
  <c r="J847" i="20"/>
  <c r="K847" i="20"/>
  <c r="L847" i="20"/>
  <c r="D848" i="20"/>
  <c r="E848" i="20"/>
  <c r="F848" i="20"/>
  <c r="G848" i="20"/>
  <c r="H848" i="20"/>
  <c r="I848" i="20"/>
  <c r="J848" i="20"/>
  <c r="K848" i="20"/>
  <c r="L848" i="20"/>
  <c r="D849" i="20"/>
  <c r="E849" i="20"/>
  <c r="F849" i="20"/>
  <c r="G849" i="20"/>
  <c r="H849" i="20"/>
  <c r="I849" i="20"/>
  <c r="J849" i="20"/>
  <c r="K849" i="20"/>
  <c r="L849" i="20"/>
  <c r="D850" i="20"/>
  <c r="E850" i="20"/>
  <c r="F850" i="20"/>
  <c r="G850" i="20"/>
  <c r="H850" i="20"/>
  <c r="I850" i="20"/>
  <c r="J850" i="20"/>
  <c r="K850" i="20"/>
  <c r="L850" i="20"/>
  <c r="D851" i="20"/>
  <c r="E851" i="20"/>
  <c r="F851" i="20"/>
  <c r="G851" i="20"/>
  <c r="H851" i="20"/>
  <c r="I851" i="20"/>
  <c r="J851" i="20"/>
  <c r="K851" i="20"/>
  <c r="L851" i="20"/>
  <c r="D852" i="20"/>
  <c r="E852" i="20"/>
  <c r="F852" i="20"/>
  <c r="G852" i="20"/>
  <c r="H852" i="20"/>
  <c r="I852" i="20"/>
  <c r="J852" i="20"/>
  <c r="K852" i="20"/>
  <c r="L852" i="20"/>
  <c r="D853" i="20"/>
  <c r="E853" i="20"/>
  <c r="F853" i="20"/>
  <c r="G853" i="20"/>
  <c r="H853" i="20"/>
  <c r="I853" i="20"/>
  <c r="J853" i="20"/>
  <c r="K853" i="20"/>
  <c r="L853" i="20"/>
  <c r="C848" i="20"/>
  <c r="C849" i="20"/>
  <c r="C850" i="20"/>
  <c r="C851" i="20"/>
  <c r="C852" i="20"/>
  <c r="C853" i="20"/>
  <c r="C847" i="20"/>
  <c r="D736" i="20"/>
  <c r="E736" i="20"/>
  <c r="F736" i="20"/>
  <c r="G736" i="20"/>
  <c r="H736" i="20"/>
  <c r="I736" i="20"/>
  <c r="J736" i="20"/>
  <c r="K736" i="20"/>
  <c r="L736" i="20"/>
  <c r="D737" i="20"/>
  <c r="E737" i="20"/>
  <c r="F737" i="20"/>
  <c r="G737" i="20"/>
  <c r="H737" i="20"/>
  <c r="I737" i="20"/>
  <c r="J737" i="20"/>
  <c r="K737" i="20"/>
  <c r="L737" i="20"/>
  <c r="D738" i="20"/>
  <c r="E738" i="20"/>
  <c r="F738" i="20"/>
  <c r="G738" i="20"/>
  <c r="H738" i="20"/>
  <c r="I738" i="20"/>
  <c r="J738" i="20"/>
  <c r="K738" i="20"/>
  <c r="L738" i="20"/>
  <c r="D739" i="20"/>
  <c r="E739" i="20"/>
  <c r="F739" i="20"/>
  <c r="G739" i="20"/>
  <c r="H739" i="20"/>
  <c r="I739" i="20"/>
  <c r="J739" i="20"/>
  <c r="K739" i="20"/>
  <c r="L739" i="20"/>
  <c r="D740" i="20"/>
  <c r="E740" i="20"/>
  <c r="F740" i="20"/>
  <c r="G740" i="20"/>
  <c r="H740" i="20"/>
  <c r="I740" i="20"/>
  <c r="J740" i="20"/>
  <c r="K740" i="20"/>
  <c r="L740" i="20"/>
  <c r="D741" i="20"/>
  <c r="E741" i="20"/>
  <c r="F741" i="20"/>
  <c r="G741" i="20"/>
  <c r="H741" i="20"/>
  <c r="I741" i="20"/>
  <c r="J741" i="20"/>
  <c r="K741" i="20"/>
  <c r="L741" i="20"/>
  <c r="D742" i="20"/>
  <c r="E742" i="20"/>
  <c r="F742" i="20"/>
  <c r="G742" i="20"/>
  <c r="H742" i="20"/>
  <c r="I742" i="20"/>
  <c r="J742" i="20"/>
  <c r="K742" i="20"/>
  <c r="L742" i="20"/>
  <c r="C737" i="20"/>
  <c r="C738" i="20"/>
  <c r="C739" i="20"/>
  <c r="C740" i="20"/>
  <c r="C741" i="20"/>
  <c r="C742" i="20"/>
  <c r="C736" i="20"/>
  <c r="E767" i="20"/>
  <c r="F767" i="20"/>
  <c r="G767" i="20" s="1"/>
  <c r="H767" i="20" s="1"/>
  <c r="I767" i="20" s="1"/>
  <c r="J767" i="20" s="1"/>
  <c r="K767" i="20" s="1"/>
  <c r="L767" i="20" s="1"/>
  <c r="D767" i="20"/>
  <c r="E766" i="20"/>
  <c r="F766" i="20"/>
  <c r="G766" i="20"/>
  <c r="H766" i="20"/>
  <c r="I766" i="20" s="1"/>
  <c r="J766" i="20" s="1"/>
  <c r="K766" i="20" s="1"/>
  <c r="L766" i="20" s="1"/>
  <c r="D766" i="20"/>
  <c r="C767" i="20"/>
  <c r="C766" i="20"/>
  <c r="E761" i="20"/>
  <c r="F761" i="20"/>
  <c r="G761" i="20"/>
  <c r="H761" i="20" s="1"/>
  <c r="I761" i="20" s="1"/>
  <c r="J761" i="20" s="1"/>
  <c r="K761" i="20" s="1"/>
  <c r="L761" i="20" s="1"/>
  <c r="D761" i="20"/>
  <c r="C761" i="20"/>
  <c r="E760" i="20"/>
  <c r="F760" i="20"/>
  <c r="G760" i="20"/>
  <c r="H760" i="20" s="1"/>
  <c r="I760" i="20" s="1"/>
  <c r="J760" i="20" s="1"/>
  <c r="K760" i="20" s="1"/>
  <c r="L760" i="20" s="1"/>
  <c r="D760" i="20"/>
  <c r="C760" i="20"/>
  <c r="E759" i="20"/>
  <c r="F759" i="20"/>
  <c r="G759" i="20" s="1"/>
  <c r="H759" i="20" s="1"/>
  <c r="I759" i="20" s="1"/>
  <c r="J759" i="20" s="1"/>
  <c r="K759" i="20" s="1"/>
  <c r="L759" i="20" s="1"/>
  <c r="D759" i="20"/>
  <c r="C648" i="20"/>
  <c r="C759" i="20"/>
  <c r="C758" i="20"/>
  <c r="E757" i="20"/>
  <c r="F757" i="20"/>
  <c r="G757" i="20"/>
  <c r="H757" i="20"/>
  <c r="I757" i="20" s="1"/>
  <c r="J757" i="20" s="1"/>
  <c r="K757" i="20" s="1"/>
  <c r="L757" i="20" s="1"/>
  <c r="D757" i="20"/>
  <c r="E755" i="20"/>
  <c r="F755" i="20"/>
  <c r="G755" i="20" s="1"/>
  <c r="H755" i="20" s="1"/>
  <c r="I755" i="20" s="1"/>
  <c r="J755" i="20" s="1"/>
  <c r="K755" i="20" s="1"/>
  <c r="L755" i="20" s="1"/>
  <c r="E756" i="20"/>
  <c r="F756" i="20"/>
  <c r="D756" i="20"/>
  <c r="D755" i="20"/>
  <c r="C757" i="20"/>
  <c r="C756" i="20"/>
  <c r="C755" i="20"/>
  <c r="E754" i="20"/>
  <c r="F754" i="20"/>
  <c r="G754" i="20"/>
  <c r="H754" i="20"/>
  <c r="I754" i="20"/>
  <c r="J754" i="20"/>
  <c r="K754" i="20"/>
  <c r="L754" i="20"/>
  <c r="D754" i="20"/>
  <c r="C754" i="20"/>
  <c r="E753" i="20"/>
  <c r="F753" i="20"/>
  <c r="G753" i="20" s="1"/>
  <c r="H753" i="20" s="1"/>
  <c r="I753" i="20" s="1"/>
  <c r="J753" i="20" s="1"/>
  <c r="K753" i="20" s="1"/>
  <c r="L753" i="20" s="1"/>
  <c r="D753" i="20"/>
  <c r="C753" i="20"/>
  <c r="E752" i="20"/>
  <c r="F752" i="20"/>
  <c r="D752" i="20"/>
  <c r="C752" i="20"/>
  <c r="E751" i="20"/>
  <c r="F751" i="20"/>
  <c r="D751" i="20"/>
  <c r="C751" i="20"/>
  <c r="E640" i="20"/>
  <c r="F640" i="20"/>
  <c r="D640" i="20"/>
  <c r="C529" i="20"/>
  <c r="C640" i="20"/>
  <c r="C750" i="20"/>
  <c r="E750" i="20"/>
  <c r="F750" i="20"/>
  <c r="G750" i="20" s="1"/>
  <c r="H750" i="20" s="1"/>
  <c r="I750" i="20" s="1"/>
  <c r="J750" i="20" s="1"/>
  <c r="K750" i="20" s="1"/>
  <c r="L750" i="20" s="1"/>
  <c r="D750" i="20"/>
  <c r="D749" i="20"/>
  <c r="E749" i="20"/>
  <c r="F749" i="20"/>
  <c r="G749" i="20" s="1"/>
  <c r="H749" i="20" s="1"/>
  <c r="I749" i="20" s="1"/>
  <c r="J749" i="20" s="1"/>
  <c r="K749" i="20" s="1"/>
  <c r="L749" i="20" s="1"/>
  <c r="C749" i="20"/>
  <c r="E748" i="20"/>
  <c r="F748" i="20"/>
  <c r="G748" i="20"/>
  <c r="H748" i="20" s="1"/>
  <c r="I748" i="20" s="1"/>
  <c r="J748" i="20" s="1"/>
  <c r="K748" i="20" s="1"/>
  <c r="L748" i="20" s="1"/>
  <c r="D748" i="20"/>
  <c r="C748" i="20"/>
  <c r="E656" i="20"/>
  <c r="F656" i="20"/>
  <c r="G656" i="20"/>
  <c r="H656" i="20"/>
  <c r="I656" i="20"/>
  <c r="J656" i="20"/>
  <c r="K656" i="20"/>
  <c r="L656" i="20"/>
  <c r="D656" i="20"/>
  <c r="E655" i="20"/>
  <c r="F655" i="20"/>
  <c r="G655" i="20" s="1"/>
  <c r="H655" i="20" s="1"/>
  <c r="I655" i="20" s="1"/>
  <c r="J655" i="20" s="1"/>
  <c r="K655" i="20" s="1"/>
  <c r="L655" i="20" s="1"/>
  <c r="D655" i="20"/>
  <c r="C656" i="20"/>
  <c r="C655" i="20"/>
  <c r="E650" i="20"/>
  <c r="F650" i="20"/>
  <c r="G650" i="20"/>
  <c r="H650" i="20"/>
  <c r="I650" i="20"/>
  <c r="J650" i="20"/>
  <c r="K650" i="20"/>
  <c r="L650" i="20"/>
  <c r="D650" i="20"/>
  <c r="C650" i="20"/>
  <c r="E649" i="20"/>
  <c r="F649" i="20"/>
  <c r="G649" i="20" s="1"/>
  <c r="H649" i="20" s="1"/>
  <c r="I649" i="20" s="1"/>
  <c r="J649" i="20" s="1"/>
  <c r="K649" i="20" s="1"/>
  <c r="L649" i="20" s="1"/>
  <c r="D649" i="20"/>
  <c r="C649" i="20"/>
  <c r="E648" i="20"/>
  <c r="F648" i="20"/>
  <c r="G648" i="20" s="1"/>
  <c r="H648" i="20" s="1"/>
  <c r="I648" i="20" s="1"/>
  <c r="J648" i="20" s="1"/>
  <c r="K648" i="20" s="1"/>
  <c r="L648" i="20" s="1"/>
  <c r="D648" i="20"/>
  <c r="E647" i="20"/>
  <c r="F647" i="20"/>
  <c r="G647" i="20" s="1"/>
  <c r="H647" i="20" s="1"/>
  <c r="I647" i="20" s="1"/>
  <c r="J647" i="20" s="1"/>
  <c r="K647" i="20" s="1"/>
  <c r="L647" i="20" s="1"/>
  <c r="C647" i="20"/>
  <c r="E646" i="20"/>
  <c r="F646" i="20"/>
  <c r="G646" i="20" s="1"/>
  <c r="H646" i="20" s="1"/>
  <c r="I646" i="20" s="1"/>
  <c r="J646" i="20" s="1"/>
  <c r="K646" i="20" s="1"/>
  <c r="L646" i="20" s="1"/>
  <c r="D646" i="20"/>
  <c r="C646" i="20"/>
  <c r="E645" i="20"/>
  <c r="F645" i="20"/>
  <c r="D645" i="20"/>
  <c r="C645" i="20"/>
  <c r="E644" i="20"/>
  <c r="F644" i="20"/>
  <c r="G644" i="20"/>
  <c r="H644" i="20"/>
  <c r="I644" i="20" s="1"/>
  <c r="J644" i="20" s="1"/>
  <c r="K644" i="20" s="1"/>
  <c r="L644" i="20" s="1"/>
  <c r="D644" i="20"/>
  <c r="C644" i="20"/>
  <c r="E643" i="20"/>
  <c r="F643" i="20"/>
  <c r="G643" i="20" s="1"/>
  <c r="H643" i="20" s="1"/>
  <c r="I643" i="20" s="1"/>
  <c r="J643" i="20" s="1"/>
  <c r="K643" i="20" s="1"/>
  <c r="L643" i="20" s="1"/>
  <c r="D643" i="20"/>
  <c r="C643" i="20"/>
  <c r="E198" i="20"/>
  <c r="F198" i="20"/>
  <c r="G198" i="20" s="1"/>
  <c r="H198" i="20" s="1"/>
  <c r="I198" i="20" s="1"/>
  <c r="J198" i="20" s="1"/>
  <c r="K198" i="20" s="1"/>
  <c r="L198" i="20" s="1"/>
  <c r="D198" i="20"/>
  <c r="C198" i="20"/>
  <c r="E309" i="20"/>
  <c r="F309" i="20"/>
  <c r="G309" i="20"/>
  <c r="H309" i="20"/>
  <c r="I309" i="20"/>
  <c r="J309" i="20"/>
  <c r="K309" i="20"/>
  <c r="L309" i="20"/>
  <c r="E310" i="20"/>
  <c r="F310" i="20"/>
  <c r="G310" i="20"/>
  <c r="H310" i="20"/>
  <c r="I310" i="20" s="1"/>
  <c r="J310" i="20" s="1"/>
  <c r="K310" i="20" s="1"/>
  <c r="L310" i="20" s="1"/>
  <c r="D310" i="20"/>
  <c r="D309" i="20"/>
  <c r="E420" i="20"/>
  <c r="F420" i="20"/>
  <c r="G420" i="20"/>
  <c r="H420" i="20" s="1"/>
  <c r="I420" i="20" s="1"/>
  <c r="J420" i="20" s="1"/>
  <c r="K420" i="20" s="1"/>
  <c r="L420" i="20" s="1"/>
  <c r="D420" i="20"/>
  <c r="E531" i="20"/>
  <c r="F531" i="20"/>
  <c r="G531" i="20"/>
  <c r="H531" i="20" s="1"/>
  <c r="I531" i="20" s="1"/>
  <c r="J531" i="20" s="1"/>
  <c r="K531" i="20" s="1"/>
  <c r="L531" i="20" s="1"/>
  <c r="D531" i="20"/>
  <c r="E642" i="20"/>
  <c r="F642" i="20"/>
  <c r="G642" i="20" s="1"/>
  <c r="H642" i="20" s="1"/>
  <c r="I642" i="20" s="1"/>
  <c r="J642" i="20" s="1"/>
  <c r="K642" i="20" s="1"/>
  <c r="L642" i="20" s="1"/>
  <c r="D642" i="20"/>
  <c r="C642" i="20"/>
  <c r="E641" i="20"/>
  <c r="F641" i="20"/>
  <c r="D641" i="20"/>
  <c r="C641" i="20"/>
  <c r="E637" i="20"/>
  <c r="F637" i="20"/>
  <c r="G637" i="20"/>
  <c r="H637" i="20" s="1"/>
  <c r="I637" i="20" s="1"/>
  <c r="J637" i="20" s="1"/>
  <c r="K637" i="20" s="1"/>
  <c r="L637" i="20" s="1"/>
  <c r="E638" i="20"/>
  <c r="F638" i="20"/>
  <c r="G638" i="20"/>
  <c r="H638" i="20"/>
  <c r="I638" i="20" s="1"/>
  <c r="J638" i="20" s="1"/>
  <c r="K638" i="20" s="1"/>
  <c r="L638" i="20" s="1"/>
  <c r="E639" i="20"/>
  <c r="F639" i="20"/>
  <c r="G639" i="20"/>
  <c r="H639" i="20"/>
  <c r="I639" i="20"/>
  <c r="J639" i="20"/>
  <c r="K639" i="20"/>
  <c r="L639" i="20"/>
  <c r="D639" i="20"/>
  <c r="D638" i="20"/>
  <c r="D637" i="20"/>
  <c r="C638" i="20"/>
  <c r="C639" i="20"/>
  <c r="C637" i="20"/>
  <c r="E545" i="20"/>
  <c r="F545" i="20"/>
  <c r="G545" i="20"/>
  <c r="H545" i="20"/>
  <c r="I545" i="20"/>
  <c r="J545" i="20"/>
  <c r="K545" i="20"/>
  <c r="L545" i="20"/>
  <c r="D545" i="20"/>
  <c r="C545" i="20"/>
  <c r="E544" i="20"/>
  <c r="F544" i="20"/>
  <c r="G544" i="20"/>
  <c r="H544" i="20"/>
  <c r="I544" i="20"/>
  <c r="J544" i="20"/>
  <c r="K544" i="20"/>
  <c r="L544" i="20"/>
  <c r="D544" i="20"/>
  <c r="C544" i="20"/>
  <c r="E539" i="20"/>
  <c r="F539" i="20"/>
  <c r="G539" i="20" s="1"/>
  <c r="H539" i="20" s="1"/>
  <c r="I539" i="20" s="1"/>
  <c r="J539" i="20" s="1"/>
  <c r="K539" i="20" s="1"/>
  <c r="L539" i="20" s="1"/>
  <c r="D539" i="20"/>
  <c r="C539" i="20"/>
  <c r="E538" i="20"/>
  <c r="F538" i="20"/>
  <c r="G538" i="20"/>
  <c r="H538" i="20"/>
  <c r="I538" i="20" s="1"/>
  <c r="J538" i="20" s="1"/>
  <c r="K538" i="20" s="1"/>
  <c r="L538" i="20" s="1"/>
  <c r="D538" i="20"/>
  <c r="C538" i="20"/>
  <c r="E537" i="20"/>
  <c r="F537" i="20"/>
  <c r="G537" i="20" s="1"/>
  <c r="H537" i="20" s="1"/>
  <c r="I537" i="20" s="1"/>
  <c r="J537" i="20" s="1"/>
  <c r="K537" i="20" s="1"/>
  <c r="L537" i="20" s="1"/>
  <c r="D537" i="20"/>
  <c r="C537" i="20"/>
  <c r="E314" i="20"/>
  <c r="F314" i="20"/>
  <c r="G314" i="20"/>
  <c r="H314" i="20"/>
  <c r="I314" i="20"/>
  <c r="J314" i="20"/>
  <c r="K314" i="20"/>
  <c r="L314" i="20"/>
  <c r="D314" i="20"/>
  <c r="E425" i="20"/>
  <c r="F425" i="20"/>
  <c r="G425" i="20"/>
  <c r="H425" i="20"/>
  <c r="I425" i="20"/>
  <c r="J425" i="20"/>
  <c r="K425" i="20"/>
  <c r="L425" i="20"/>
  <c r="D425" i="20"/>
  <c r="E536" i="20"/>
  <c r="F536" i="20"/>
  <c r="G536" i="20"/>
  <c r="H536" i="20" s="1"/>
  <c r="I536" i="20" s="1"/>
  <c r="J536" i="20" s="1"/>
  <c r="K536" i="20" s="1"/>
  <c r="L536" i="20" s="1"/>
  <c r="D536" i="20"/>
  <c r="C536" i="20"/>
  <c r="E535" i="20"/>
  <c r="F535" i="20"/>
  <c r="G535" i="20" s="1"/>
  <c r="H535" i="20" s="1"/>
  <c r="I535" i="20" s="1"/>
  <c r="J535" i="20" s="1"/>
  <c r="K535" i="20" s="1"/>
  <c r="L535" i="20" s="1"/>
  <c r="D535" i="20"/>
  <c r="C535" i="20"/>
  <c r="E534" i="20"/>
  <c r="F534" i="20"/>
  <c r="D534" i="20"/>
  <c r="C534" i="20"/>
  <c r="E311" i="20"/>
  <c r="F311" i="20"/>
  <c r="G311" i="20"/>
  <c r="H311" i="20"/>
  <c r="I311" i="20" s="1"/>
  <c r="J311" i="20" s="1"/>
  <c r="K311" i="20" s="1"/>
  <c r="L311" i="20" s="1"/>
  <c r="D311" i="20"/>
  <c r="E422" i="20"/>
  <c r="F422" i="20"/>
  <c r="G422" i="20"/>
  <c r="H422" i="20"/>
  <c r="I422" i="20" s="1"/>
  <c r="J422" i="20" s="1"/>
  <c r="K422" i="20" s="1"/>
  <c r="L422" i="20" s="1"/>
  <c r="D422" i="20"/>
  <c r="E533" i="20"/>
  <c r="F533" i="20"/>
  <c r="G533" i="20" s="1"/>
  <c r="H533" i="20" s="1"/>
  <c r="I533" i="20" s="1"/>
  <c r="J533" i="20" s="1"/>
  <c r="K533" i="20" s="1"/>
  <c r="L533" i="20" s="1"/>
  <c r="D533" i="20"/>
  <c r="C533" i="20"/>
  <c r="E532" i="20"/>
  <c r="F532" i="20"/>
  <c r="G532" i="20"/>
  <c r="H532" i="20" s="1"/>
  <c r="I532" i="20" s="1"/>
  <c r="J532" i="20" s="1"/>
  <c r="K532" i="20" s="1"/>
  <c r="L532" i="20" s="1"/>
  <c r="D532" i="20"/>
  <c r="C532" i="20"/>
  <c r="C531" i="20"/>
  <c r="E530" i="20"/>
  <c r="F530" i="20"/>
  <c r="D530" i="20"/>
  <c r="C530" i="20"/>
  <c r="E529" i="20"/>
  <c r="F529" i="20"/>
  <c r="D529" i="20"/>
  <c r="E528" i="20"/>
  <c r="F528" i="20"/>
  <c r="G528" i="20"/>
  <c r="H528" i="20"/>
  <c r="I528" i="20"/>
  <c r="J528" i="20"/>
  <c r="K528" i="20"/>
  <c r="L528" i="20"/>
  <c r="D528" i="20"/>
  <c r="E527" i="20"/>
  <c r="F527" i="20"/>
  <c r="G527" i="20"/>
  <c r="H527" i="20" s="1"/>
  <c r="I527" i="20" s="1"/>
  <c r="J527" i="20" s="1"/>
  <c r="K527" i="20" s="1"/>
  <c r="L527" i="20" s="1"/>
  <c r="D527" i="20"/>
  <c r="C528" i="20"/>
  <c r="C526" i="20"/>
  <c r="C527" i="20"/>
  <c r="E526" i="20"/>
  <c r="F526" i="20"/>
  <c r="G526" i="20"/>
  <c r="H526" i="20" s="1"/>
  <c r="I526" i="20" s="1"/>
  <c r="J526" i="20" s="1"/>
  <c r="K526" i="20" s="1"/>
  <c r="L526" i="20" s="1"/>
  <c r="D526" i="20"/>
  <c r="E434" i="20"/>
  <c r="F434" i="20"/>
  <c r="G434" i="20"/>
  <c r="H434" i="20"/>
  <c r="I434" i="20"/>
  <c r="J434" i="20"/>
  <c r="K434" i="20"/>
  <c r="L434" i="20"/>
  <c r="D434" i="20"/>
  <c r="C434" i="20"/>
  <c r="E433" i="20"/>
  <c r="F433" i="20"/>
  <c r="G433" i="20"/>
  <c r="H433" i="20"/>
  <c r="I433" i="20"/>
  <c r="J433" i="20"/>
  <c r="K433" i="20"/>
  <c r="L433" i="20"/>
  <c r="D433" i="20"/>
  <c r="C433" i="20"/>
  <c r="E428" i="20"/>
  <c r="F428" i="20"/>
  <c r="G428" i="20" s="1"/>
  <c r="H428" i="20" s="1"/>
  <c r="I428" i="20" s="1"/>
  <c r="J428" i="20" s="1"/>
  <c r="K428" i="20" s="1"/>
  <c r="L428" i="20" s="1"/>
  <c r="D428" i="20"/>
  <c r="C428" i="20"/>
  <c r="E427" i="20"/>
  <c r="F427" i="20"/>
  <c r="G427" i="20" s="1"/>
  <c r="H427" i="20" s="1"/>
  <c r="I427" i="20" s="1"/>
  <c r="J427" i="20" s="1"/>
  <c r="K427" i="20" s="1"/>
  <c r="L427" i="20" s="1"/>
  <c r="D427" i="20"/>
  <c r="C427" i="20"/>
  <c r="E426" i="20"/>
  <c r="F426" i="20"/>
  <c r="G426" i="20" s="1"/>
  <c r="H426" i="20" s="1"/>
  <c r="I426" i="20" s="1"/>
  <c r="J426" i="20" s="1"/>
  <c r="K426" i="20" s="1"/>
  <c r="L426" i="20" s="1"/>
  <c r="D426" i="20"/>
  <c r="C426" i="20"/>
  <c r="C425" i="20"/>
  <c r="E424" i="20"/>
  <c r="F424" i="20"/>
  <c r="G424" i="20" s="1"/>
  <c r="H424" i="20" s="1"/>
  <c r="I424" i="20" s="1"/>
  <c r="J424" i="20" s="1"/>
  <c r="K424" i="20" s="1"/>
  <c r="L424" i="20" s="1"/>
  <c r="D424" i="20"/>
  <c r="E423" i="20"/>
  <c r="F423" i="20"/>
  <c r="D423" i="20"/>
  <c r="C423" i="20"/>
  <c r="E421" i="20"/>
  <c r="F421" i="20"/>
  <c r="G421" i="20"/>
  <c r="H421" i="20"/>
  <c r="I421" i="20"/>
  <c r="J421" i="20"/>
  <c r="K421" i="20"/>
  <c r="L421" i="20"/>
  <c r="D421" i="20"/>
  <c r="E419" i="20"/>
  <c r="D419" i="20"/>
  <c r="E418" i="20"/>
  <c r="F418" i="20"/>
  <c r="D418" i="20"/>
  <c r="C418" i="20"/>
  <c r="E417" i="20"/>
  <c r="F417" i="20"/>
  <c r="G417" i="20"/>
  <c r="H417" i="20" s="1"/>
  <c r="I417" i="20" s="1"/>
  <c r="J417" i="20" s="1"/>
  <c r="K417" i="20" s="1"/>
  <c r="L417" i="20" s="1"/>
  <c r="D416" i="20"/>
  <c r="D417" i="20"/>
  <c r="E416" i="20"/>
  <c r="F416" i="20"/>
  <c r="G416" i="20" s="1"/>
  <c r="H416" i="20" s="1"/>
  <c r="I416" i="20" s="1"/>
  <c r="J416" i="20" s="1"/>
  <c r="K416" i="20" s="1"/>
  <c r="L416" i="20" s="1"/>
  <c r="E415" i="20"/>
  <c r="F415" i="20"/>
  <c r="G415" i="20" s="1"/>
  <c r="H415" i="20" s="1"/>
  <c r="I415" i="20" s="1"/>
  <c r="J415" i="20" s="1"/>
  <c r="K415" i="20" s="1"/>
  <c r="L415" i="20" s="1"/>
  <c r="D415" i="20"/>
  <c r="C424" i="20"/>
  <c r="C419" i="20"/>
  <c r="C323" i="20"/>
  <c r="E323" i="20"/>
  <c r="F323" i="20"/>
  <c r="G323" i="20"/>
  <c r="H323" i="20"/>
  <c r="I323" i="20"/>
  <c r="J323" i="20"/>
  <c r="K323" i="20"/>
  <c r="L323" i="20"/>
  <c r="D323" i="20"/>
  <c r="E322" i="20"/>
  <c r="F322" i="20"/>
  <c r="G322" i="20" s="1"/>
  <c r="D322" i="20"/>
  <c r="C322" i="20"/>
  <c r="E317" i="20"/>
  <c r="F317" i="20"/>
  <c r="G317" i="20" s="1"/>
  <c r="H317" i="20" s="1"/>
  <c r="I317" i="20" s="1"/>
  <c r="J317" i="20" s="1"/>
  <c r="K317" i="20" s="1"/>
  <c r="L317" i="20" s="1"/>
  <c r="D317" i="20"/>
  <c r="C317" i="20"/>
  <c r="E316" i="20"/>
  <c r="F316" i="20"/>
  <c r="G316" i="20"/>
  <c r="H316" i="20" s="1"/>
  <c r="I316" i="20" s="1"/>
  <c r="J316" i="20" s="1"/>
  <c r="K316" i="20" s="1"/>
  <c r="L316" i="20" s="1"/>
  <c r="D316" i="20"/>
  <c r="C316" i="20"/>
  <c r="E315" i="20"/>
  <c r="F315" i="20"/>
  <c r="G315" i="20" s="1"/>
  <c r="H315" i="20" s="1"/>
  <c r="I315" i="20" s="1"/>
  <c r="J315" i="20" s="1"/>
  <c r="K315" i="20" s="1"/>
  <c r="L315" i="20" s="1"/>
  <c r="D315" i="20"/>
  <c r="C315" i="20"/>
  <c r="E313" i="20"/>
  <c r="F313" i="20"/>
  <c r="G313" i="20" s="1"/>
  <c r="H313" i="20" s="1"/>
  <c r="I313" i="20" s="1"/>
  <c r="J313" i="20" s="1"/>
  <c r="K313" i="20" s="1"/>
  <c r="L313" i="20" s="1"/>
  <c r="D313" i="20"/>
  <c r="C313" i="20"/>
  <c r="E312" i="20"/>
  <c r="F312" i="20"/>
  <c r="D312" i="20"/>
  <c r="C312" i="20"/>
  <c r="C311" i="20"/>
  <c r="C310" i="20"/>
  <c r="C309" i="20"/>
  <c r="E308" i="20"/>
  <c r="F308" i="20"/>
  <c r="D308" i="20"/>
  <c r="C308" i="20"/>
  <c r="E307" i="20"/>
  <c r="F307" i="20"/>
  <c r="D307" i="20"/>
  <c r="C307" i="20"/>
  <c r="E305" i="20"/>
  <c r="F305" i="20"/>
  <c r="G305" i="20" s="1"/>
  <c r="H305" i="20" s="1"/>
  <c r="I305" i="20" s="1"/>
  <c r="J305" i="20" s="1"/>
  <c r="K305" i="20" s="1"/>
  <c r="L305" i="20" s="1"/>
  <c r="D305" i="20"/>
  <c r="E306" i="20"/>
  <c r="F306" i="20"/>
  <c r="G306" i="20" s="1"/>
  <c r="H306" i="20" s="1"/>
  <c r="I306" i="20" s="1"/>
  <c r="J306" i="20" s="1"/>
  <c r="K306" i="20" s="1"/>
  <c r="L306" i="20" s="1"/>
  <c r="D306" i="20"/>
  <c r="C306" i="20"/>
  <c r="C305" i="20"/>
  <c r="E304" i="20"/>
  <c r="F304" i="20"/>
  <c r="G304" i="20" s="1"/>
  <c r="H304" i="20" s="1"/>
  <c r="I304" i="20" s="1"/>
  <c r="J304" i="20" s="1"/>
  <c r="K304" i="20" s="1"/>
  <c r="L304" i="20" s="1"/>
  <c r="D304" i="20"/>
  <c r="C304" i="20"/>
  <c r="E201" i="20"/>
  <c r="F201" i="20"/>
  <c r="D200" i="20"/>
  <c r="D201" i="20"/>
  <c r="C201" i="20"/>
  <c r="C422" i="20"/>
  <c r="C421" i="20"/>
  <c r="C420" i="20"/>
  <c r="C416" i="20"/>
  <c r="C417" i="20"/>
  <c r="C415" i="20"/>
  <c r="E212" i="20"/>
  <c r="F212" i="20"/>
  <c r="G212" i="20"/>
  <c r="H212" i="20"/>
  <c r="I212" i="20"/>
  <c r="J212" i="20"/>
  <c r="K212" i="20"/>
  <c r="L212" i="20"/>
  <c r="C212" i="20"/>
  <c r="C211" i="20"/>
  <c r="D211" i="20"/>
  <c r="D212" i="20"/>
  <c r="E211" i="20"/>
  <c r="F211" i="20"/>
  <c r="G211" i="20" s="1"/>
  <c r="H211" i="20" s="1"/>
  <c r="I211" i="20" s="1"/>
  <c r="J211" i="20" s="1"/>
  <c r="K211" i="20" s="1"/>
  <c r="L211" i="20" s="1"/>
  <c r="C314" i="20"/>
  <c r="D181" i="20"/>
  <c r="E181" i="20"/>
  <c r="F181" i="20"/>
  <c r="G181" i="20"/>
  <c r="H181" i="20"/>
  <c r="I181" i="20"/>
  <c r="J181" i="20"/>
  <c r="K181" i="20"/>
  <c r="L181" i="20"/>
  <c r="D182" i="20"/>
  <c r="E182" i="20"/>
  <c r="F182" i="20"/>
  <c r="G182" i="20"/>
  <c r="H182" i="20"/>
  <c r="I182" i="20"/>
  <c r="J182" i="20"/>
  <c r="K182" i="20"/>
  <c r="L182" i="20"/>
  <c r="D183" i="20"/>
  <c r="E183" i="20"/>
  <c r="F183" i="20"/>
  <c r="G183" i="20"/>
  <c r="H183" i="20"/>
  <c r="I183" i="20"/>
  <c r="J183" i="20"/>
  <c r="K183" i="20"/>
  <c r="L183" i="20"/>
  <c r="D184" i="20"/>
  <c r="E184" i="20"/>
  <c r="F184" i="20"/>
  <c r="G184" i="20"/>
  <c r="H184" i="20"/>
  <c r="I184" i="20"/>
  <c r="J184" i="20"/>
  <c r="K184" i="20"/>
  <c r="L184" i="20"/>
  <c r="D185" i="20"/>
  <c r="E185" i="20"/>
  <c r="F185" i="20"/>
  <c r="G185" i="20"/>
  <c r="H185" i="20"/>
  <c r="I185" i="20"/>
  <c r="J185" i="20"/>
  <c r="K185" i="20"/>
  <c r="L185" i="20"/>
  <c r="D186" i="20"/>
  <c r="E186" i="20"/>
  <c r="F186" i="20"/>
  <c r="G186" i="20"/>
  <c r="H186" i="20"/>
  <c r="I186" i="20"/>
  <c r="J186" i="20"/>
  <c r="K186" i="20"/>
  <c r="L186" i="20"/>
  <c r="D187" i="20"/>
  <c r="E187" i="20"/>
  <c r="F187" i="20"/>
  <c r="G187" i="20"/>
  <c r="H187" i="20"/>
  <c r="I187" i="20"/>
  <c r="J187" i="20"/>
  <c r="K187" i="20"/>
  <c r="L187" i="20"/>
  <c r="C182" i="20"/>
  <c r="C183" i="20"/>
  <c r="C184" i="20"/>
  <c r="C185" i="20"/>
  <c r="C186" i="20"/>
  <c r="C187" i="20"/>
  <c r="C181" i="20"/>
  <c r="E204" i="20"/>
  <c r="F204" i="20"/>
  <c r="G204" i="20" s="1"/>
  <c r="H204" i="20" s="1"/>
  <c r="I204" i="20" s="1"/>
  <c r="J204" i="20" s="1"/>
  <c r="K204" i="20" s="1"/>
  <c r="L204" i="20" s="1"/>
  <c r="E205" i="20"/>
  <c r="F205" i="20"/>
  <c r="G205" i="20"/>
  <c r="H205" i="20"/>
  <c r="I205" i="20"/>
  <c r="J205" i="20" s="1"/>
  <c r="K205" i="20" s="1"/>
  <c r="L205" i="20" s="1"/>
  <c r="E206" i="20"/>
  <c r="F206" i="20"/>
  <c r="G206" i="20"/>
  <c r="H206" i="20" s="1"/>
  <c r="I206" i="20" s="1"/>
  <c r="J206" i="20" s="1"/>
  <c r="K206" i="20" s="1"/>
  <c r="L206" i="20" s="1"/>
  <c r="D205" i="20"/>
  <c r="D206" i="20"/>
  <c r="D204" i="20"/>
  <c r="C205" i="20"/>
  <c r="C206" i="20"/>
  <c r="C204" i="20"/>
  <c r="E203" i="20"/>
  <c r="F203" i="20"/>
  <c r="G203" i="20"/>
  <c r="H203" i="20" s="1"/>
  <c r="I203" i="20" s="1"/>
  <c r="J203" i="20" s="1"/>
  <c r="K203" i="20" s="1"/>
  <c r="L203" i="20" s="1"/>
  <c r="D203" i="20"/>
  <c r="E202" i="20"/>
  <c r="F202" i="20"/>
  <c r="G202" i="20"/>
  <c r="H202" i="20" s="1"/>
  <c r="I202" i="20" s="1"/>
  <c r="J202" i="20" s="1"/>
  <c r="K202" i="20" s="1"/>
  <c r="L202" i="20" s="1"/>
  <c r="D202" i="20"/>
  <c r="C203" i="20"/>
  <c r="C202" i="20"/>
  <c r="E199" i="20"/>
  <c r="F199" i="20"/>
  <c r="G199" i="20"/>
  <c r="H199" i="20"/>
  <c r="I199" i="20"/>
  <c r="J199" i="20"/>
  <c r="K199" i="20"/>
  <c r="L199" i="20"/>
  <c r="E200" i="20"/>
  <c r="F200" i="20"/>
  <c r="G200" i="20"/>
  <c r="H200" i="20"/>
  <c r="I200" i="20" s="1"/>
  <c r="J200" i="20" s="1"/>
  <c r="K200" i="20" s="1"/>
  <c r="L200" i="20" s="1"/>
  <c r="D199" i="20"/>
  <c r="C200" i="20"/>
  <c r="C199" i="20"/>
  <c r="E197" i="20"/>
  <c r="F197" i="20"/>
  <c r="D197" i="20"/>
  <c r="C197" i="20"/>
  <c r="E196" i="20"/>
  <c r="F196" i="20"/>
  <c r="D196" i="20"/>
  <c r="C196" i="20"/>
  <c r="E193" i="20"/>
  <c r="F193" i="20"/>
  <c r="G193" i="20" s="1"/>
  <c r="H193" i="20" s="1"/>
  <c r="I193" i="20" s="1"/>
  <c r="J193" i="20" s="1"/>
  <c r="K193" i="20" s="1"/>
  <c r="L193" i="20" s="1"/>
  <c r="E194" i="20"/>
  <c r="F194" i="20"/>
  <c r="G194" i="20"/>
  <c r="H194" i="20" s="1"/>
  <c r="I194" i="20" s="1"/>
  <c r="J194" i="20" s="1"/>
  <c r="K194" i="20" s="1"/>
  <c r="L194" i="20" s="1"/>
  <c r="E195" i="20"/>
  <c r="F195" i="20"/>
  <c r="G195" i="20" s="1"/>
  <c r="H195" i="20" s="1"/>
  <c r="I195" i="20" s="1"/>
  <c r="J195" i="20" s="1"/>
  <c r="K195" i="20" s="1"/>
  <c r="L195" i="20" s="1"/>
  <c r="D194" i="20"/>
  <c r="D195" i="20"/>
  <c r="D193" i="20"/>
  <c r="C194" i="20"/>
  <c r="C195" i="20"/>
  <c r="C193" i="20"/>
  <c r="AS16" i="19"/>
  <c r="AT16" i="19"/>
  <c r="AU16" i="19"/>
  <c r="AR16" i="19"/>
  <c r="S45" i="19"/>
  <c r="T45" i="19"/>
  <c r="U45" i="19"/>
  <c r="R45" i="19"/>
  <c r="F24" i="12"/>
  <c r="F28" i="26"/>
  <c r="H322" i="20" l="1"/>
  <c r="F5" i="27"/>
  <c r="F6" i="27"/>
  <c r="AS132" i="19"/>
  <c r="AR137" i="19"/>
  <c r="AR136" i="19"/>
  <c r="D1046" i="20" s="1"/>
  <c r="AR135" i="19"/>
  <c r="D1042" i="20" s="1"/>
  <c r="AR134" i="19"/>
  <c r="AR133" i="19"/>
  <c r="AR132" i="19"/>
  <c r="D1030" i="20" s="1"/>
  <c r="AR131" i="19"/>
  <c r="AR130" i="19"/>
  <c r="AR129" i="19"/>
  <c r="AR128" i="19"/>
  <c r="AQ137" i="19"/>
  <c r="AQ136" i="19"/>
  <c r="C1046" i="20" s="1"/>
  <c r="AQ135" i="19"/>
  <c r="AQ134" i="19"/>
  <c r="C1038" i="20" s="1"/>
  <c r="AQ133" i="19"/>
  <c r="AQ132" i="19"/>
  <c r="AQ131" i="19"/>
  <c r="C1026" i="20" s="1"/>
  <c r="AQ130" i="19"/>
  <c r="AQ129" i="19"/>
  <c r="AQ128" i="19"/>
  <c r="AE128" i="19"/>
  <c r="AF128" i="19"/>
  <c r="AG128" i="19" s="1"/>
  <c r="AH128" i="19" s="1"/>
  <c r="AI128" i="19" s="1"/>
  <c r="AJ128" i="19" s="1"/>
  <c r="AK128" i="19" s="1"/>
  <c r="AL128" i="19" s="1"/>
  <c r="AE132" i="19"/>
  <c r="AF132" i="19"/>
  <c r="AG132" i="19"/>
  <c r="AH132" i="19"/>
  <c r="AI132" i="19" s="1"/>
  <c r="AJ132" i="19" s="1"/>
  <c r="AK132" i="19" s="1"/>
  <c r="AL132" i="19" s="1"/>
  <c r="AE133" i="19"/>
  <c r="AF133" i="19"/>
  <c r="AG133" i="19"/>
  <c r="AH133" i="19"/>
  <c r="AI133" i="19"/>
  <c r="AJ133" i="19"/>
  <c r="AK133" i="19" s="1"/>
  <c r="AL133" i="19" s="1"/>
  <c r="AE134" i="19"/>
  <c r="AF134" i="19"/>
  <c r="AG134" i="19" s="1"/>
  <c r="AH134" i="19" s="1"/>
  <c r="AI134" i="19" s="1"/>
  <c r="AJ134" i="19" s="1"/>
  <c r="AK134" i="19" s="1"/>
  <c r="AL134" i="19" s="1"/>
  <c r="AE135" i="19"/>
  <c r="AF135" i="19"/>
  <c r="AG135" i="19"/>
  <c r="AH135" i="19" s="1"/>
  <c r="AI135" i="19" s="1"/>
  <c r="AJ135" i="19" s="1"/>
  <c r="AK135" i="19" s="1"/>
  <c r="AL135" i="19" s="1"/>
  <c r="AE136" i="19"/>
  <c r="AF136" i="19"/>
  <c r="AG136" i="19"/>
  <c r="AH136" i="19"/>
  <c r="AI136" i="19" s="1"/>
  <c r="AJ136" i="19" s="1"/>
  <c r="AK136" i="19" s="1"/>
  <c r="AL136" i="19" s="1"/>
  <c r="AE137" i="19"/>
  <c r="AF137" i="19"/>
  <c r="AG137" i="19" s="1"/>
  <c r="AH137" i="19" s="1"/>
  <c r="AI137" i="19" s="1"/>
  <c r="AJ137" i="19" s="1"/>
  <c r="AK137" i="19" s="1"/>
  <c r="AL137" i="19" s="1"/>
  <c r="AD137" i="19"/>
  <c r="AD136" i="19"/>
  <c r="AD135" i="19"/>
  <c r="AD134" i="19"/>
  <c r="AD133" i="19"/>
  <c r="AD132" i="19"/>
  <c r="D1031" i="20" s="1"/>
  <c r="AD131" i="19"/>
  <c r="AE131" i="19" s="1"/>
  <c r="AF131" i="19" s="1"/>
  <c r="AG131" i="19" s="1"/>
  <c r="AH131" i="19" s="1"/>
  <c r="AI131" i="19" s="1"/>
  <c r="AJ131" i="19" s="1"/>
  <c r="AK131" i="19" s="1"/>
  <c r="AL131" i="19" s="1"/>
  <c r="AD130" i="19"/>
  <c r="AE130" i="19" s="1"/>
  <c r="AF130" i="19" s="1"/>
  <c r="AG130" i="19" s="1"/>
  <c r="AH130" i="19" s="1"/>
  <c r="AI130" i="19" s="1"/>
  <c r="AJ130" i="19" s="1"/>
  <c r="AK130" i="19" s="1"/>
  <c r="AL130" i="19" s="1"/>
  <c r="AD129" i="19"/>
  <c r="AE129" i="19" s="1"/>
  <c r="AF129" i="19" s="1"/>
  <c r="AG129" i="19" s="1"/>
  <c r="AH129" i="19" s="1"/>
  <c r="AI129" i="19" s="1"/>
  <c r="AJ129" i="19" s="1"/>
  <c r="AK129" i="19" s="1"/>
  <c r="AL129" i="19" s="1"/>
  <c r="AD128" i="19"/>
  <c r="AC137" i="19"/>
  <c r="AQ150" i="19" s="1"/>
  <c r="AC136" i="19"/>
  <c r="AQ149" i="19" s="1"/>
  <c r="AC135" i="19"/>
  <c r="AQ148" i="19" s="1"/>
  <c r="AC134" i="19"/>
  <c r="AC133" i="19"/>
  <c r="AC132" i="19"/>
  <c r="C1031" i="20" s="1"/>
  <c r="AC131" i="19"/>
  <c r="C1027" i="20" s="1"/>
  <c r="AC130" i="19"/>
  <c r="AQ144" i="19" s="1"/>
  <c r="AC129" i="19"/>
  <c r="AC128" i="19"/>
  <c r="S132" i="19"/>
  <c r="R137" i="19"/>
  <c r="R136" i="19"/>
  <c r="R135" i="19"/>
  <c r="D931" i="20" s="1"/>
  <c r="R134" i="19"/>
  <c r="R133" i="19"/>
  <c r="R132" i="19"/>
  <c r="D919" i="20" s="1"/>
  <c r="R131" i="19"/>
  <c r="R130" i="19"/>
  <c r="R129" i="19"/>
  <c r="R128" i="19"/>
  <c r="Q137" i="19"/>
  <c r="Q136" i="19"/>
  <c r="Q135" i="19"/>
  <c r="C931" i="20" s="1"/>
  <c r="Q134" i="19"/>
  <c r="Q133" i="19"/>
  <c r="Q132" i="19"/>
  <c r="Q131" i="19"/>
  <c r="Q130" i="19"/>
  <c r="Q129" i="19"/>
  <c r="Q128" i="19"/>
  <c r="E128" i="19"/>
  <c r="F128" i="19"/>
  <c r="G128" i="19"/>
  <c r="H128" i="19" s="1"/>
  <c r="I128" i="19" s="1"/>
  <c r="J128" i="19" s="1"/>
  <c r="K128" i="19" s="1"/>
  <c r="L128" i="19" s="1"/>
  <c r="E132" i="19"/>
  <c r="E920" i="20" s="1"/>
  <c r="F132" i="19"/>
  <c r="G132" i="19"/>
  <c r="H132" i="19"/>
  <c r="I132" i="19" s="1"/>
  <c r="J132" i="19" s="1"/>
  <c r="K132" i="19" s="1"/>
  <c r="L132" i="19" s="1"/>
  <c r="E133" i="19"/>
  <c r="F133" i="19"/>
  <c r="G133" i="19"/>
  <c r="H133" i="19"/>
  <c r="I133" i="19"/>
  <c r="J133" i="19"/>
  <c r="K133" i="19" s="1"/>
  <c r="L133" i="19" s="1"/>
  <c r="E134" i="19"/>
  <c r="F134" i="19"/>
  <c r="G134" i="19"/>
  <c r="H134" i="19" s="1"/>
  <c r="I134" i="19" s="1"/>
  <c r="J134" i="19" s="1"/>
  <c r="K134" i="19" s="1"/>
  <c r="L134" i="19" s="1"/>
  <c r="E135" i="19"/>
  <c r="F135" i="19"/>
  <c r="G135" i="19"/>
  <c r="H135" i="19"/>
  <c r="I135" i="19" s="1"/>
  <c r="J135" i="19" s="1"/>
  <c r="K135" i="19" s="1"/>
  <c r="L135" i="19" s="1"/>
  <c r="E136" i="19"/>
  <c r="F136" i="19"/>
  <c r="G136" i="19"/>
  <c r="H136" i="19" s="1"/>
  <c r="I136" i="19" s="1"/>
  <c r="J136" i="19" s="1"/>
  <c r="K136" i="19" s="1"/>
  <c r="L136" i="19" s="1"/>
  <c r="E137" i="19"/>
  <c r="F137" i="19"/>
  <c r="G137" i="19"/>
  <c r="H137" i="19" s="1"/>
  <c r="I137" i="19" s="1"/>
  <c r="J137" i="19" s="1"/>
  <c r="K137" i="19" s="1"/>
  <c r="L137" i="19" s="1"/>
  <c r="D137" i="19"/>
  <c r="D136" i="19"/>
  <c r="D135" i="19"/>
  <c r="D134" i="19"/>
  <c r="D133" i="19"/>
  <c r="D132" i="19"/>
  <c r="D131" i="19"/>
  <c r="D916" i="20" s="1"/>
  <c r="D128" i="19"/>
  <c r="C134" i="19"/>
  <c r="C137" i="19"/>
  <c r="C136" i="19"/>
  <c r="C936" i="20" s="1"/>
  <c r="C135" i="19"/>
  <c r="C932" i="20" s="1"/>
  <c r="C133" i="19"/>
  <c r="C132" i="19"/>
  <c r="C131" i="19"/>
  <c r="C129" i="19"/>
  <c r="C908" i="20" s="1"/>
  <c r="C130" i="19"/>
  <c r="D130" i="19" s="1"/>
  <c r="E130" i="19" s="1"/>
  <c r="F130" i="19" s="1"/>
  <c r="G130" i="19" s="1"/>
  <c r="H130" i="19" s="1"/>
  <c r="I130" i="19" s="1"/>
  <c r="J130" i="19" s="1"/>
  <c r="K130" i="19" s="1"/>
  <c r="L130" i="19" s="1"/>
  <c r="C128" i="19"/>
  <c r="AS102" i="19"/>
  <c r="AQ104" i="19"/>
  <c r="AR107" i="19"/>
  <c r="AR106" i="19"/>
  <c r="AR105" i="19"/>
  <c r="AR104" i="19"/>
  <c r="AR103" i="19"/>
  <c r="AR102" i="19"/>
  <c r="AR101" i="19"/>
  <c r="AR100" i="19"/>
  <c r="AR99" i="19"/>
  <c r="AR98" i="19"/>
  <c r="AQ107" i="19"/>
  <c r="AQ106" i="19"/>
  <c r="AQ105" i="19"/>
  <c r="AQ103" i="19"/>
  <c r="AQ102" i="19"/>
  <c r="AQ101" i="19"/>
  <c r="C804" i="20" s="1"/>
  <c r="AQ100" i="19"/>
  <c r="AQ99" i="19"/>
  <c r="AQ98" i="19"/>
  <c r="AE98" i="19"/>
  <c r="AF98" i="19" s="1"/>
  <c r="AG98" i="19" s="1"/>
  <c r="AH98" i="19" s="1"/>
  <c r="AI98" i="19" s="1"/>
  <c r="AJ98" i="19" s="1"/>
  <c r="AK98" i="19" s="1"/>
  <c r="AL98" i="19" s="1"/>
  <c r="AE101" i="19"/>
  <c r="AF101" i="19" s="1"/>
  <c r="AG101" i="19" s="1"/>
  <c r="AH101" i="19" s="1"/>
  <c r="AI101" i="19" s="1"/>
  <c r="AJ101" i="19" s="1"/>
  <c r="AK101" i="19" s="1"/>
  <c r="AL101" i="19" s="1"/>
  <c r="AE102" i="19"/>
  <c r="AF102" i="19"/>
  <c r="AG102" i="19"/>
  <c r="AH102" i="19"/>
  <c r="AI102" i="19" s="1"/>
  <c r="AJ102" i="19" s="1"/>
  <c r="AK102" i="19" s="1"/>
  <c r="AL102" i="19" s="1"/>
  <c r="AE103" i="19"/>
  <c r="AF103" i="19"/>
  <c r="AG103" i="19" s="1"/>
  <c r="AH103" i="19" s="1"/>
  <c r="AI103" i="19" s="1"/>
  <c r="AJ103" i="19" s="1"/>
  <c r="AK103" i="19" s="1"/>
  <c r="AL103" i="19" s="1"/>
  <c r="AE104" i="19"/>
  <c r="AF104" i="19" s="1"/>
  <c r="AG104" i="19" s="1"/>
  <c r="AH104" i="19" s="1"/>
  <c r="AI104" i="19" s="1"/>
  <c r="AJ104" i="19" s="1"/>
  <c r="AK104" i="19" s="1"/>
  <c r="AL104" i="19" s="1"/>
  <c r="AE105" i="19"/>
  <c r="AF105" i="19"/>
  <c r="AG105" i="19"/>
  <c r="AH105" i="19"/>
  <c r="AI105" i="19" s="1"/>
  <c r="AJ105" i="19" s="1"/>
  <c r="AK105" i="19" s="1"/>
  <c r="AL105" i="19" s="1"/>
  <c r="AE106" i="19"/>
  <c r="AF106" i="19"/>
  <c r="AG106" i="19"/>
  <c r="AH106" i="19"/>
  <c r="AI106" i="19"/>
  <c r="AJ106" i="19"/>
  <c r="AK106" i="19" s="1"/>
  <c r="AL106" i="19" s="1"/>
  <c r="AE107" i="19"/>
  <c r="AF107" i="19" s="1"/>
  <c r="AG107" i="19" s="1"/>
  <c r="AH107" i="19" s="1"/>
  <c r="AI107" i="19" s="1"/>
  <c r="AJ107" i="19" s="1"/>
  <c r="AK107" i="19" s="1"/>
  <c r="AL107" i="19" s="1"/>
  <c r="AD107" i="19"/>
  <c r="AD106" i="19"/>
  <c r="D825" i="20" s="1"/>
  <c r="AD105" i="19"/>
  <c r="AD104" i="19"/>
  <c r="AD103" i="19"/>
  <c r="AD102" i="19"/>
  <c r="AD101" i="19"/>
  <c r="D805" i="20" s="1"/>
  <c r="AD99" i="19"/>
  <c r="AE99" i="19" s="1"/>
  <c r="AF99" i="19" s="1"/>
  <c r="AG99" i="19" s="1"/>
  <c r="AH99" i="19" s="1"/>
  <c r="AI99" i="19" s="1"/>
  <c r="AJ99" i="19" s="1"/>
  <c r="AK99" i="19" s="1"/>
  <c r="AL99" i="19" s="1"/>
  <c r="AD98" i="19"/>
  <c r="AC107" i="19"/>
  <c r="AC106" i="19"/>
  <c r="AC105" i="19"/>
  <c r="AC103" i="19"/>
  <c r="AC102" i="19"/>
  <c r="AC101" i="19"/>
  <c r="C805" i="20" s="1"/>
  <c r="AC100" i="19"/>
  <c r="AD100" i="19" s="1"/>
  <c r="AE100" i="19" s="1"/>
  <c r="AF100" i="19" s="1"/>
  <c r="AG100" i="19" s="1"/>
  <c r="AH100" i="19" s="1"/>
  <c r="AI100" i="19" s="1"/>
  <c r="AJ100" i="19" s="1"/>
  <c r="AK100" i="19" s="1"/>
  <c r="AL100" i="19" s="1"/>
  <c r="AC99" i="19"/>
  <c r="AC98" i="19"/>
  <c r="AC104" i="19" s="1"/>
  <c r="S102" i="19"/>
  <c r="R99" i="19"/>
  <c r="R107" i="19"/>
  <c r="R106" i="19"/>
  <c r="R105" i="19"/>
  <c r="R104" i="19"/>
  <c r="R103" i="19"/>
  <c r="R102" i="19"/>
  <c r="R101" i="19"/>
  <c r="R100" i="19"/>
  <c r="R98" i="19"/>
  <c r="Q104" i="19"/>
  <c r="Q107" i="19"/>
  <c r="Q106" i="19"/>
  <c r="Q105" i="19"/>
  <c r="Q103" i="19"/>
  <c r="Q102" i="19"/>
  <c r="Q101" i="19"/>
  <c r="Q99" i="19"/>
  <c r="Q100" i="19"/>
  <c r="Q98" i="19"/>
  <c r="E98" i="19"/>
  <c r="F98" i="19"/>
  <c r="G98" i="19"/>
  <c r="H98" i="19"/>
  <c r="I98" i="19" s="1"/>
  <c r="J98" i="19" s="1"/>
  <c r="K98" i="19" s="1"/>
  <c r="L98" i="19" s="1"/>
  <c r="E102" i="19"/>
  <c r="E698" i="20" s="1"/>
  <c r="F102" i="19"/>
  <c r="G102" i="19"/>
  <c r="H102" i="19"/>
  <c r="I102" i="19" s="1"/>
  <c r="J102" i="19" s="1"/>
  <c r="K102" i="19" s="1"/>
  <c r="L102" i="19" s="1"/>
  <c r="E103" i="19"/>
  <c r="F103" i="19"/>
  <c r="G103" i="19"/>
  <c r="H103" i="19" s="1"/>
  <c r="I103" i="19" s="1"/>
  <c r="J103" i="19" s="1"/>
  <c r="K103" i="19" s="1"/>
  <c r="L103" i="19" s="1"/>
  <c r="E104" i="19"/>
  <c r="F104" i="19"/>
  <c r="G104" i="19"/>
  <c r="H104" i="19"/>
  <c r="I104" i="19" s="1"/>
  <c r="J104" i="19" s="1"/>
  <c r="K104" i="19" s="1"/>
  <c r="L104" i="19" s="1"/>
  <c r="E105" i="19"/>
  <c r="F105" i="19"/>
  <c r="G105" i="19"/>
  <c r="H105" i="19"/>
  <c r="I105" i="19" s="1"/>
  <c r="J105" i="19" s="1"/>
  <c r="K105" i="19" s="1"/>
  <c r="L105" i="19" s="1"/>
  <c r="E106" i="19"/>
  <c r="F106" i="19"/>
  <c r="G106" i="19"/>
  <c r="H106" i="19" s="1"/>
  <c r="I106" i="19" s="1"/>
  <c r="J106" i="19" s="1"/>
  <c r="K106" i="19" s="1"/>
  <c r="L106" i="19" s="1"/>
  <c r="E107" i="19"/>
  <c r="F107" i="19"/>
  <c r="G107" i="19"/>
  <c r="H107" i="19"/>
  <c r="I107" i="19" s="1"/>
  <c r="J107" i="19" s="1"/>
  <c r="K107" i="19" s="1"/>
  <c r="L107" i="19" s="1"/>
  <c r="D107" i="19"/>
  <c r="D106" i="19"/>
  <c r="D105" i="19"/>
  <c r="D710" i="20" s="1"/>
  <c r="D104" i="19"/>
  <c r="D103" i="19"/>
  <c r="D102" i="19"/>
  <c r="D101" i="19"/>
  <c r="E101" i="19" s="1"/>
  <c r="F101" i="19" s="1"/>
  <c r="G101" i="19" s="1"/>
  <c r="H101" i="19" s="1"/>
  <c r="I101" i="19" s="1"/>
  <c r="J101" i="19" s="1"/>
  <c r="K101" i="19" s="1"/>
  <c r="L101" i="19" s="1"/>
  <c r="D100" i="19"/>
  <c r="E100" i="19" s="1"/>
  <c r="F100" i="19" s="1"/>
  <c r="G100" i="19" s="1"/>
  <c r="H100" i="19" s="1"/>
  <c r="I100" i="19" s="1"/>
  <c r="J100" i="19" s="1"/>
  <c r="K100" i="19" s="1"/>
  <c r="L100" i="19" s="1"/>
  <c r="D98" i="19"/>
  <c r="C107" i="19"/>
  <c r="C106" i="19"/>
  <c r="C105" i="19"/>
  <c r="C710" i="20" s="1"/>
  <c r="C104" i="19"/>
  <c r="C103" i="19"/>
  <c r="C102" i="19"/>
  <c r="C698" i="20" s="1"/>
  <c r="C101" i="19"/>
  <c r="C100" i="19"/>
  <c r="C99" i="19"/>
  <c r="D99" i="19" s="1"/>
  <c r="E99" i="19" s="1"/>
  <c r="F99" i="19" s="1"/>
  <c r="G99" i="19" s="1"/>
  <c r="H99" i="19" s="1"/>
  <c r="I99" i="19" s="1"/>
  <c r="J99" i="19" s="1"/>
  <c r="K99" i="19" s="1"/>
  <c r="L99" i="19" s="1"/>
  <c r="C98" i="19"/>
  <c r="AS72" i="19"/>
  <c r="AR77" i="19"/>
  <c r="AR76" i="19"/>
  <c r="AR75" i="19"/>
  <c r="AR74" i="19"/>
  <c r="AR73" i="19"/>
  <c r="AR72" i="19"/>
  <c r="D586" i="20" s="1"/>
  <c r="AR71" i="19"/>
  <c r="D582" i="20" s="1"/>
  <c r="AR70" i="19"/>
  <c r="AR69" i="19"/>
  <c r="AR68" i="19"/>
  <c r="AQ76" i="19"/>
  <c r="C602" i="20" s="1"/>
  <c r="AQ75" i="19"/>
  <c r="C598" i="20" s="1"/>
  <c r="AQ74" i="19"/>
  <c r="AQ73" i="19"/>
  <c r="AQ72" i="19"/>
  <c r="AQ71" i="19"/>
  <c r="C582" i="20" s="1"/>
  <c r="AQ70" i="19"/>
  <c r="AQ69" i="19"/>
  <c r="C574" i="20" s="1"/>
  <c r="AQ68" i="19"/>
  <c r="AE68" i="19"/>
  <c r="AF68" i="19"/>
  <c r="AG68" i="19" s="1"/>
  <c r="AH68" i="19" s="1"/>
  <c r="AI68" i="19" s="1"/>
  <c r="AJ68" i="19" s="1"/>
  <c r="AK68" i="19" s="1"/>
  <c r="AL68" i="19" s="1"/>
  <c r="AE72" i="19"/>
  <c r="AF72" i="19"/>
  <c r="AG72" i="19"/>
  <c r="AH72" i="19"/>
  <c r="AI72" i="19" s="1"/>
  <c r="AJ72" i="19" s="1"/>
  <c r="AK72" i="19" s="1"/>
  <c r="AL72" i="19" s="1"/>
  <c r="AE73" i="19"/>
  <c r="AF73" i="19"/>
  <c r="AG73" i="19"/>
  <c r="AH73" i="19"/>
  <c r="AI73" i="19"/>
  <c r="AJ73" i="19" s="1"/>
  <c r="AK73" i="19" s="1"/>
  <c r="AL73" i="19" s="1"/>
  <c r="AE74" i="19"/>
  <c r="AF74" i="19"/>
  <c r="AG74" i="19"/>
  <c r="AH74" i="19" s="1"/>
  <c r="AI74" i="19" s="1"/>
  <c r="AJ74" i="19" s="1"/>
  <c r="AK74" i="19" s="1"/>
  <c r="AL74" i="19" s="1"/>
  <c r="AE75" i="19"/>
  <c r="AF75" i="19"/>
  <c r="AG75" i="19"/>
  <c r="AH75" i="19"/>
  <c r="AI75" i="19" s="1"/>
  <c r="AJ75" i="19" s="1"/>
  <c r="AK75" i="19" s="1"/>
  <c r="AL75" i="19" s="1"/>
  <c r="AE76" i="19"/>
  <c r="AF76" i="19"/>
  <c r="AG76" i="19"/>
  <c r="AH76" i="19"/>
  <c r="AI76" i="19" s="1"/>
  <c r="AJ76" i="19" s="1"/>
  <c r="AK76" i="19" s="1"/>
  <c r="AL76" i="19" s="1"/>
  <c r="AE77" i="19"/>
  <c r="AF77" i="19"/>
  <c r="AG77" i="19"/>
  <c r="AH77" i="19" s="1"/>
  <c r="AI77" i="19" s="1"/>
  <c r="AJ77" i="19" s="1"/>
  <c r="AK77" i="19" s="1"/>
  <c r="AL77" i="19" s="1"/>
  <c r="AD77" i="19"/>
  <c r="AD76" i="19"/>
  <c r="AR89" i="19" s="1"/>
  <c r="AD75" i="19"/>
  <c r="D599" i="20" s="1"/>
  <c r="AD74" i="19"/>
  <c r="AD73" i="19"/>
  <c r="AD72" i="19"/>
  <c r="AD71" i="19"/>
  <c r="AE71" i="19" s="1"/>
  <c r="AF71" i="19" s="1"/>
  <c r="AG71" i="19" s="1"/>
  <c r="AH71" i="19" s="1"/>
  <c r="AI71" i="19" s="1"/>
  <c r="AJ71" i="19" s="1"/>
  <c r="AK71" i="19" s="1"/>
  <c r="AL71" i="19" s="1"/>
  <c r="AQ77" i="19"/>
  <c r="AD68" i="19"/>
  <c r="AC77" i="19"/>
  <c r="AC76" i="19"/>
  <c r="AC75" i="19"/>
  <c r="C599" i="20" s="1"/>
  <c r="AC74" i="19"/>
  <c r="AC73" i="19"/>
  <c r="AC72" i="19"/>
  <c r="AC71" i="19"/>
  <c r="AC70" i="19"/>
  <c r="AD70" i="19" s="1"/>
  <c r="AE70" i="19" s="1"/>
  <c r="AF70" i="19" s="1"/>
  <c r="AG70" i="19" s="1"/>
  <c r="AH70" i="19" s="1"/>
  <c r="AI70" i="19" s="1"/>
  <c r="AJ70" i="19" s="1"/>
  <c r="AK70" i="19" s="1"/>
  <c r="AL70" i="19" s="1"/>
  <c r="AC69" i="19"/>
  <c r="AD69" i="19" s="1"/>
  <c r="AE69" i="19" s="1"/>
  <c r="AF69" i="19" s="1"/>
  <c r="AG69" i="19" s="1"/>
  <c r="AH69" i="19" s="1"/>
  <c r="AI69" i="19" s="1"/>
  <c r="AJ69" i="19" s="1"/>
  <c r="AK69" i="19" s="1"/>
  <c r="AL69" i="19" s="1"/>
  <c r="AC68" i="19"/>
  <c r="AS42" i="19"/>
  <c r="AR47" i="19"/>
  <c r="AR46" i="19"/>
  <c r="D491" i="20" s="1"/>
  <c r="AR45" i="19"/>
  <c r="D487" i="20" s="1"/>
  <c r="AR44" i="19"/>
  <c r="AR43" i="19"/>
  <c r="AR42" i="19"/>
  <c r="D475" i="20" s="1"/>
  <c r="AR41" i="19"/>
  <c r="AR40" i="19"/>
  <c r="AR39" i="19"/>
  <c r="AR38" i="19"/>
  <c r="AQ47" i="19"/>
  <c r="AQ46" i="19"/>
  <c r="AQ45" i="19"/>
  <c r="AQ44" i="19"/>
  <c r="AQ43" i="19"/>
  <c r="C479" i="20" s="1"/>
  <c r="AQ42" i="19"/>
  <c r="C475" i="20" s="1"/>
  <c r="AQ41" i="19"/>
  <c r="AQ40" i="19"/>
  <c r="AQ39" i="19"/>
  <c r="AQ38" i="19"/>
  <c r="AE38" i="19"/>
  <c r="AF38" i="19"/>
  <c r="AG38" i="19"/>
  <c r="AH38" i="19" s="1"/>
  <c r="AI38" i="19" s="1"/>
  <c r="AJ38" i="19" s="1"/>
  <c r="AK38" i="19" s="1"/>
  <c r="AL38" i="19" s="1"/>
  <c r="AE42" i="19"/>
  <c r="E476" i="20" s="1"/>
  <c r="AF42" i="19"/>
  <c r="AG42" i="19"/>
  <c r="AH42" i="19"/>
  <c r="AI42" i="19" s="1"/>
  <c r="AJ42" i="19" s="1"/>
  <c r="AK42" i="19" s="1"/>
  <c r="AL42" i="19" s="1"/>
  <c r="AE43" i="19"/>
  <c r="AF43" i="19"/>
  <c r="AG43" i="19" s="1"/>
  <c r="AH43" i="19" s="1"/>
  <c r="AI43" i="19" s="1"/>
  <c r="AJ43" i="19" s="1"/>
  <c r="AK43" i="19" s="1"/>
  <c r="AL43" i="19" s="1"/>
  <c r="AE44" i="19"/>
  <c r="AF44" i="19"/>
  <c r="AG44" i="19"/>
  <c r="AH44" i="19" s="1"/>
  <c r="AI44" i="19" s="1"/>
  <c r="AJ44" i="19" s="1"/>
  <c r="AK44" i="19" s="1"/>
  <c r="AL44" i="19" s="1"/>
  <c r="AE45" i="19"/>
  <c r="AF45" i="19"/>
  <c r="AG45" i="19"/>
  <c r="AH45" i="19" s="1"/>
  <c r="AI45" i="19" s="1"/>
  <c r="AJ45" i="19" s="1"/>
  <c r="AK45" i="19" s="1"/>
  <c r="AL45" i="19" s="1"/>
  <c r="AE46" i="19"/>
  <c r="AF46" i="19"/>
  <c r="AG46" i="19"/>
  <c r="AH46" i="19"/>
  <c r="AI46" i="19"/>
  <c r="AJ46" i="19"/>
  <c r="AK46" i="19" s="1"/>
  <c r="AL46" i="19" s="1"/>
  <c r="AE47" i="19"/>
  <c r="AF47" i="19"/>
  <c r="AG47" i="19"/>
  <c r="AH47" i="19" s="1"/>
  <c r="AI47" i="19" s="1"/>
  <c r="AJ47" i="19" s="1"/>
  <c r="AK47" i="19" s="1"/>
  <c r="AL47" i="19" s="1"/>
  <c r="AD47" i="19"/>
  <c r="AD46" i="19"/>
  <c r="AD45" i="19"/>
  <c r="AD44" i="19"/>
  <c r="AD43" i="19"/>
  <c r="AD42" i="19"/>
  <c r="D476" i="20" s="1"/>
  <c r="AD41" i="19"/>
  <c r="AE41" i="19" s="1"/>
  <c r="AF41" i="19" s="1"/>
  <c r="AG41" i="19" s="1"/>
  <c r="AH41" i="19" s="1"/>
  <c r="AI41" i="19" s="1"/>
  <c r="AJ41" i="19" s="1"/>
  <c r="AK41" i="19" s="1"/>
  <c r="AL41" i="19" s="1"/>
  <c r="AD40" i="19"/>
  <c r="AE40" i="19" s="1"/>
  <c r="AF40" i="19" s="1"/>
  <c r="AG40" i="19" s="1"/>
  <c r="AH40" i="19" s="1"/>
  <c r="AI40" i="19" s="1"/>
  <c r="AJ40" i="19" s="1"/>
  <c r="AK40" i="19" s="1"/>
  <c r="AL40" i="19" s="1"/>
  <c r="AD38" i="19"/>
  <c r="AC44" i="19"/>
  <c r="AC47" i="19"/>
  <c r="AC46" i="19"/>
  <c r="C492" i="20" s="1"/>
  <c r="AC45" i="19"/>
  <c r="AC43" i="19"/>
  <c r="AC42" i="19"/>
  <c r="C476" i="20" s="1"/>
  <c r="AC41" i="19"/>
  <c r="C472" i="20" s="1"/>
  <c r="AC40" i="19"/>
  <c r="C468" i="20" s="1"/>
  <c r="AC39" i="19"/>
  <c r="AD39" i="19" s="1"/>
  <c r="AE39" i="19" s="1"/>
  <c r="AF39" i="19" s="1"/>
  <c r="AG39" i="19" s="1"/>
  <c r="AH39" i="19" s="1"/>
  <c r="AI39" i="19" s="1"/>
  <c r="AJ39" i="19" s="1"/>
  <c r="AK39" i="19" s="1"/>
  <c r="AL39" i="19" s="1"/>
  <c r="AC38" i="19"/>
  <c r="AS12" i="19"/>
  <c r="AR14" i="19"/>
  <c r="AR17" i="19"/>
  <c r="AR15" i="19"/>
  <c r="D376" i="20" s="1"/>
  <c r="AR13" i="19"/>
  <c r="AR12" i="19"/>
  <c r="D364" i="20" s="1"/>
  <c r="AR11" i="19"/>
  <c r="AR10" i="19"/>
  <c r="AR9" i="19"/>
  <c r="AR8" i="19"/>
  <c r="AQ14" i="19"/>
  <c r="AQ17" i="19"/>
  <c r="AQ16" i="19"/>
  <c r="AQ15" i="19"/>
  <c r="AQ13" i="19"/>
  <c r="AQ12" i="19"/>
  <c r="C364" i="20" s="1"/>
  <c r="AQ11" i="19"/>
  <c r="C360" i="20" s="1"/>
  <c r="AQ10" i="19"/>
  <c r="C356" i="20" s="1"/>
  <c r="AQ9" i="19"/>
  <c r="AQ8" i="19"/>
  <c r="R9" i="19"/>
  <c r="Q9" i="19"/>
  <c r="C9" i="19"/>
  <c r="D9" i="19" s="1"/>
  <c r="E9" i="19" s="1"/>
  <c r="F9" i="19" s="1"/>
  <c r="G9" i="19" s="1"/>
  <c r="H9" i="19" s="1"/>
  <c r="I9" i="19" s="1"/>
  <c r="J9" i="19" s="1"/>
  <c r="K9" i="19" s="1"/>
  <c r="L9" i="19" s="1"/>
  <c r="AC9" i="19"/>
  <c r="AD9" i="19" s="1"/>
  <c r="AE9" i="19" s="1"/>
  <c r="AF9" i="19" s="1"/>
  <c r="AG9" i="19" s="1"/>
  <c r="AH9" i="19" s="1"/>
  <c r="AI9" i="19" s="1"/>
  <c r="AJ9" i="19" s="1"/>
  <c r="AK9" i="19" s="1"/>
  <c r="AL9" i="19" s="1"/>
  <c r="R69" i="19"/>
  <c r="R68" i="19"/>
  <c r="C69" i="19"/>
  <c r="Q77" i="19"/>
  <c r="Q76" i="19"/>
  <c r="Q75" i="19"/>
  <c r="Q74" i="19"/>
  <c r="Q73" i="19"/>
  <c r="Q72" i="19"/>
  <c r="C253" i="20" s="1"/>
  <c r="Q71" i="19"/>
  <c r="C249" i="20" s="1"/>
  <c r="Q70" i="19"/>
  <c r="C245" i="20" s="1"/>
  <c r="Q69" i="19"/>
  <c r="Q68" i="19"/>
  <c r="E68" i="19"/>
  <c r="F68" i="19" s="1"/>
  <c r="G68" i="19" s="1"/>
  <c r="H68" i="19" s="1"/>
  <c r="I68" i="19" s="1"/>
  <c r="J68" i="19" s="1"/>
  <c r="K68" i="19" s="1"/>
  <c r="L68" i="19" s="1"/>
  <c r="E72" i="19"/>
  <c r="F72" i="19"/>
  <c r="G72" i="19"/>
  <c r="H72" i="19"/>
  <c r="I72" i="19" s="1"/>
  <c r="J72" i="19" s="1"/>
  <c r="K72" i="19" s="1"/>
  <c r="L72" i="19" s="1"/>
  <c r="E73" i="19"/>
  <c r="F73" i="19"/>
  <c r="G73" i="19"/>
  <c r="H73" i="19"/>
  <c r="I73" i="19"/>
  <c r="J73" i="19" s="1"/>
  <c r="K73" i="19" s="1"/>
  <c r="L73" i="19" s="1"/>
  <c r="E74" i="19"/>
  <c r="F74" i="19" s="1"/>
  <c r="G74" i="19" s="1"/>
  <c r="H74" i="19" s="1"/>
  <c r="I74" i="19" s="1"/>
  <c r="J74" i="19" s="1"/>
  <c r="K74" i="19" s="1"/>
  <c r="L74" i="19" s="1"/>
  <c r="E75" i="19"/>
  <c r="F75" i="19"/>
  <c r="G75" i="19"/>
  <c r="H75" i="19" s="1"/>
  <c r="I75" i="19" s="1"/>
  <c r="J75" i="19" s="1"/>
  <c r="K75" i="19" s="1"/>
  <c r="L75" i="19" s="1"/>
  <c r="E76" i="19"/>
  <c r="F76" i="19"/>
  <c r="G76" i="19"/>
  <c r="H76" i="19"/>
  <c r="I76" i="19" s="1"/>
  <c r="J76" i="19" s="1"/>
  <c r="K76" i="19" s="1"/>
  <c r="L76" i="19" s="1"/>
  <c r="E77" i="19"/>
  <c r="F77" i="19" s="1"/>
  <c r="G77" i="19" s="1"/>
  <c r="H77" i="19" s="1"/>
  <c r="I77" i="19" s="1"/>
  <c r="J77" i="19" s="1"/>
  <c r="K77" i="19" s="1"/>
  <c r="L77" i="19" s="1"/>
  <c r="D77" i="19"/>
  <c r="D76" i="19"/>
  <c r="D75" i="19"/>
  <c r="D74" i="19"/>
  <c r="D73" i="19"/>
  <c r="D72" i="19"/>
  <c r="D71" i="19"/>
  <c r="E71" i="19" s="1"/>
  <c r="F71" i="19" s="1"/>
  <c r="G71" i="19" s="1"/>
  <c r="H71" i="19" s="1"/>
  <c r="I71" i="19" s="1"/>
  <c r="J71" i="19" s="1"/>
  <c r="K71" i="19" s="1"/>
  <c r="L71" i="19" s="1"/>
  <c r="D69" i="19"/>
  <c r="E69" i="19" s="1"/>
  <c r="F69" i="19" s="1"/>
  <c r="G69" i="19" s="1"/>
  <c r="H69" i="19" s="1"/>
  <c r="I69" i="19" s="1"/>
  <c r="J69" i="19" s="1"/>
  <c r="K69" i="19" s="1"/>
  <c r="L69" i="19" s="1"/>
  <c r="D68" i="19"/>
  <c r="C77" i="19"/>
  <c r="C76" i="19"/>
  <c r="C75" i="19"/>
  <c r="C74" i="19"/>
  <c r="C72" i="19"/>
  <c r="C73" i="19"/>
  <c r="C71" i="19"/>
  <c r="C68" i="19"/>
  <c r="AC11" i="19"/>
  <c r="C361" i="20" s="1"/>
  <c r="AC10" i="19"/>
  <c r="AD10" i="19" s="1"/>
  <c r="AE10" i="19" s="1"/>
  <c r="AF10" i="19" s="1"/>
  <c r="AG10" i="19" s="1"/>
  <c r="AH10" i="19" s="1"/>
  <c r="AI10" i="19" s="1"/>
  <c r="AJ10" i="19" s="1"/>
  <c r="AK10" i="19" s="1"/>
  <c r="AL10" i="19" s="1"/>
  <c r="AE8" i="19"/>
  <c r="AF8" i="19" s="1"/>
  <c r="AG8" i="19" s="1"/>
  <c r="AH8" i="19" s="1"/>
  <c r="AI8" i="19" s="1"/>
  <c r="AJ8" i="19" s="1"/>
  <c r="AK8" i="19" s="1"/>
  <c r="AL8" i="19" s="1"/>
  <c r="AD8" i="19"/>
  <c r="AD17" i="19"/>
  <c r="AE17" i="19" s="1"/>
  <c r="AF17" i="19" s="1"/>
  <c r="AG17" i="19" s="1"/>
  <c r="AH17" i="19" s="1"/>
  <c r="AI17" i="19" s="1"/>
  <c r="AJ17" i="19" s="1"/>
  <c r="AK17" i="19" s="1"/>
  <c r="AL17" i="19" s="1"/>
  <c r="AC17" i="19"/>
  <c r="AD16" i="19"/>
  <c r="AE16" i="19" s="1"/>
  <c r="AF16" i="19" s="1"/>
  <c r="AG16" i="19" s="1"/>
  <c r="AH16" i="19" s="1"/>
  <c r="AI16" i="19" s="1"/>
  <c r="AJ16" i="19" s="1"/>
  <c r="AK16" i="19" s="1"/>
  <c r="AL16" i="19" s="1"/>
  <c r="AC16" i="19"/>
  <c r="C381" i="20" s="1"/>
  <c r="AD15" i="19"/>
  <c r="AE15" i="19" s="1"/>
  <c r="AF15" i="19" s="1"/>
  <c r="AG15" i="19" s="1"/>
  <c r="AH15" i="19" s="1"/>
  <c r="AI15" i="19" s="1"/>
  <c r="AJ15" i="19" s="1"/>
  <c r="AK15" i="19" s="1"/>
  <c r="AL15" i="19" s="1"/>
  <c r="AC15" i="19"/>
  <c r="C377" i="20" s="1"/>
  <c r="AD14" i="19"/>
  <c r="AE14" i="19" s="1"/>
  <c r="AF14" i="19" s="1"/>
  <c r="AG14" i="19" s="1"/>
  <c r="AH14" i="19" s="1"/>
  <c r="AI14" i="19" s="1"/>
  <c r="AJ14" i="19" s="1"/>
  <c r="AK14" i="19" s="1"/>
  <c r="AL14" i="19" s="1"/>
  <c r="AC14" i="19"/>
  <c r="AC13" i="19"/>
  <c r="AD13" i="19" s="1"/>
  <c r="AE13" i="19" s="1"/>
  <c r="AF13" i="19" s="1"/>
  <c r="AG13" i="19" s="1"/>
  <c r="AH13" i="19" s="1"/>
  <c r="AI13" i="19" s="1"/>
  <c r="AJ13" i="19" s="1"/>
  <c r="AK13" i="19" s="1"/>
  <c r="AL13" i="19" s="1"/>
  <c r="AE12" i="19"/>
  <c r="AF12" i="19" s="1"/>
  <c r="AG12" i="19" s="1"/>
  <c r="AH12" i="19" s="1"/>
  <c r="AI12" i="19" s="1"/>
  <c r="AJ12" i="19" s="1"/>
  <c r="AK12" i="19" s="1"/>
  <c r="AL12" i="19" s="1"/>
  <c r="AD12" i="19"/>
  <c r="D365" i="20" s="1"/>
  <c r="AC12" i="19"/>
  <c r="C365" i="20" s="1"/>
  <c r="AD11" i="19"/>
  <c r="AE11" i="19" s="1"/>
  <c r="AF11" i="19" s="1"/>
  <c r="AG11" i="19" s="1"/>
  <c r="AH11" i="19" s="1"/>
  <c r="AI11" i="19" s="1"/>
  <c r="AJ11" i="19" s="1"/>
  <c r="AK11" i="19" s="1"/>
  <c r="AL11" i="19" s="1"/>
  <c r="AC8" i="19"/>
  <c r="C70" i="19"/>
  <c r="D70" i="19" s="1"/>
  <c r="E70" i="19" s="1"/>
  <c r="F70" i="19" s="1"/>
  <c r="G70" i="19" s="1"/>
  <c r="H70" i="19" s="1"/>
  <c r="I70" i="19" s="1"/>
  <c r="J70" i="19" s="1"/>
  <c r="K70" i="19" s="1"/>
  <c r="L70" i="19" s="1"/>
  <c r="R14" i="19"/>
  <c r="Q14" i="19"/>
  <c r="R44" i="19"/>
  <c r="Q44" i="19"/>
  <c r="C265" i="20"/>
  <c r="R74" i="19"/>
  <c r="C269" i="20"/>
  <c r="R39" i="19"/>
  <c r="Q39" i="19"/>
  <c r="C39" i="19"/>
  <c r="D39" i="19" s="1"/>
  <c r="E39" i="19" s="1"/>
  <c r="F39" i="19" s="1"/>
  <c r="G39" i="19" s="1"/>
  <c r="H39" i="19" s="1"/>
  <c r="I39" i="19" s="1"/>
  <c r="J39" i="19" s="1"/>
  <c r="K39" i="19" s="1"/>
  <c r="L39" i="19" s="1"/>
  <c r="R77" i="19"/>
  <c r="R76" i="19"/>
  <c r="D269" i="20" s="1"/>
  <c r="R75" i="19"/>
  <c r="R73" i="19"/>
  <c r="S72" i="19"/>
  <c r="E253" i="20" s="1"/>
  <c r="R72" i="19"/>
  <c r="D253" i="20" s="1"/>
  <c r="R71" i="19"/>
  <c r="R47" i="19"/>
  <c r="Q47" i="19"/>
  <c r="R46" i="19"/>
  <c r="D158" i="20" s="1"/>
  <c r="Q46" i="19"/>
  <c r="Q45" i="19"/>
  <c r="R43" i="19"/>
  <c r="Q43" i="19"/>
  <c r="S42" i="19"/>
  <c r="R42" i="19"/>
  <c r="Q42" i="19"/>
  <c r="R41" i="19"/>
  <c r="Q41" i="19"/>
  <c r="C138" i="20" s="1"/>
  <c r="R40" i="19"/>
  <c r="Q40" i="19"/>
  <c r="Q38" i="19"/>
  <c r="R38" i="19" s="1"/>
  <c r="E47" i="19"/>
  <c r="F47" i="19" s="1"/>
  <c r="G47" i="19" s="1"/>
  <c r="H47" i="19" s="1"/>
  <c r="I47" i="19" s="1"/>
  <c r="J47" i="19" s="1"/>
  <c r="K47" i="19" s="1"/>
  <c r="L47" i="19" s="1"/>
  <c r="D47" i="19"/>
  <c r="C47" i="19"/>
  <c r="E46" i="19"/>
  <c r="F46" i="19"/>
  <c r="G46" i="19"/>
  <c r="H46" i="19"/>
  <c r="I46" i="19"/>
  <c r="J46" i="19"/>
  <c r="K46" i="19"/>
  <c r="L46" i="19"/>
  <c r="D46" i="19"/>
  <c r="C46" i="19"/>
  <c r="C159" i="20" s="1"/>
  <c r="E45" i="19"/>
  <c r="F45" i="19"/>
  <c r="G45" i="19" s="1"/>
  <c r="H45" i="19" s="1"/>
  <c r="I45" i="19" s="1"/>
  <c r="J45" i="19" s="1"/>
  <c r="K45" i="19" s="1"/>
  <c r="L45" i="19" s="1"/>
  <c r="D45" i="19"/>
  <c r="C45" i="19"/>
  <c r="D44" i="19"/>
  <c r="E44" i="19" s="1"/>
  <c r="F44" i="19" s="1"/>
  <c r="G44" i="19" s="1"/>
  <c r="H44" i="19" s="1"/>
  <c r="I44" i="19" s="1"/>
  <c r="J44" i="19" s="1"/>
  <c r="K44" i="19" s="1"/>
  <c r="L44" i="19" s="1"/>
  <c r="E43" i="19"/>
  <c r="F43" i="19"/>
  <c r="G43" i="19" s="1"/>
  <c r="H43" i="19" s="1"/>
  <c r="I43" i="19" s="1"/>
  <c r="J43" i="19" s="1"/>
  <c r="K43" i="19" s="1"/>
  <c r="L43" i="19" s="1"/>
  <c r="D43" i="19"/>
  <c r="C43" i="19"/>
  <c r="E42" i="19"/>
  <c r="F42" i="19"/>
  <c r="G42" i="19"/>
  <c r="H42" i="19" s="1"/>
  <c r="I42" i="19" s="1"/>
  <c r="J42" i="19" s="1"/>
  <c r="K42" i="19" s="1"/>
  <c r="L42" i="19" s="1"/>
  <c r="D42" i="19"/>
  <c r="D143" i="20" s="1"/>
  <c r="C42" i="19"/>
  <c r="C143" i="20" s="1"/>
  <c r="E41" i="19"/>
  <c r="F41" i="19"/>
  <c r="G41" i="19"/>
  <c r="H41" i="19"/>
  <c r="I41" i="19" s="1"/>
  <c r="J41" i="19" s="1"/>
  <c r="K41" i="19" s="1"/>
  <c r="L41" i="19" s="1"/>
  <c r="D41" i="19"/>
  <c r="C41" i="19"/>
  <c r="C139" i="20" s="1"/>
  <c r="C40" i="19"/>
  <c r="D40" i="19" s="1"/>
  <c r="E40" i="19" s="1"/>
  <c r="F40" i="19" s="1"/>
  <c r="G40" i="19" s="1"/>
  <c r="H40" i="19" s="1"/>
  <c r="I40" i="19" s="1"/>
  <c r="J40" i="19" s="1"/>
  <c r="K40" i="19" s="1"/>
  <c r="L40" i="19" s="1"/>
  <c r="D38" i="19"/>
  <c r="E38" i="19" s="1"/>
  <c r="F38" i="19" s="1"/>
  <c r="G38" i="19" s="1"/>
  <c r="H38" i="19" s="1"/>
  <c r="I38" i="19" s="1"/>
  <c r="J38" i="19" s="1"/>
  <c r="K38" i="19" s="1"/>
  <c r="L38" i="19" s="1"/>
  <c r="C38" i="19"/>
  <c r="C44" i="19" s="1"/>
  <c r="S49" i="1"/>
  <c r="T48" i="1"/>
  <c r="S48" i="1" s="1"/>
  <c r="T47" i="1"/>
  <c r="S47" i="1" s="1"/>
  <c r="T46" i="1"/>
  <c r="S46" i="1" s="1"/>
  <c r="C1030" i="20"/>
  <c r="C824" i="20"/>
  <c r="E808" i="20"/>
  <c r="D808" i="20"/>
  <c r="C808" i="20"/>
  <c r="C586" i="20"/>
  <c r="C487" i="20"/>
  <c r="C463" i="20"/>
  <c r="D380" i="20"/>
  <c r="C372" i="20"/>
  <c r="C935" i="20"/>
  <c r="C927" i="20"/>
  <c r="C919" i="20"/>
  <c r="C915" i="20"/>
  <c r="C709" i="20"/>
  <c r="D697" i="20"/>
  <c r="C697" i="20"/>
  <c r="C693" i="20"/>
  <c r="E142" i="20"/>
  <c r="D142" i="20"/>
  <c r="C142" i="20"/>
  <c r="C130" i="20"/>
  <c r="AQ90" i="19"/>
  <c r="D373" i="20"/>
  <c r="C369" i="20"/>
  <c r="D488" i="20"/>
  <c r="C488" i="20"/>
  <c r="D595" i="20"/>
  <c r="D587" i="20"/>
  <c r="C587" i="20"/>
  <c r="C583" i="20"/>
  <c r="D809" i="20"/>
  <c r="C809" i="20"/>
  <c r="C797" i="20"/>
  <c r="C1019" i="20"/>
  <c r="D920" i="20"/>
  <c r="C920" i="20"/>
  <c r="C916" i="20"/>
  <c r="C714" i="20"/>
  <c r="D698" i="20"/>
  <c r="C694" i="20"/>
  <c r="C690" i="20"/>
  <c r="C686" i="20"/>
  <c r="D159" i="20"/>
  <c r="C155" i="20"/>
  <c r="E143" i="20"/>
  <c r="R17" i="19"/>
  <c r="D47" i="20" s="1"/>
  <c r="Q17" i="19"/>
  <c r="C47" i="20" s="1"/>
  <c r="R16" i="19"/>
  <c r="D43" i="20" s="1"/>
  <c r="Q16" i="19"/>
  <c r="C43" i="20" s="1"/>
  <c r="R15" i="19"/>
  <c r="D39" i="20" s="1"/>
  <c r="Q15" i="19"/>
  <c r="C39" i="20" s="1"/>
  <c r="Q13" i="19"/>
  <c r="R13" i="19" s="1"/>
  <c r="D35" i="20" s="1"/>
  <c r="S12" i="19"/>
  <c r="R12" i="19"/>
  <c r="Q12" i="19"/>
  <c r="C31" i="20" s="1"/>
  <c r="R11" i="19"/>
  <c r="Q11" i="19"/>
  <c r="C27" i="20" s="1"/>
  <c r="Q10" i="19"/>
  <c r="R10" i="19" s="1"/>
  <c r="D23" i="20" s="1"/>
  <c r="C19" i="20"/>
  <c r="Q8" i="19"/>
  <c r="C15" i="20" s="1"/>
  <c r="C17" i="19"/>
  <c r="C48" i="20" s="1"/>
  <c r="D17" i="19"/>
  <c r="D16" i="19"/>
  <c r="C16" i="19"/>
  <c r="D15" i="19"/>
  <c r="C15" i="19"/>
  <c r="C40" i="20" s="1"/>
  <c r="D14" i="19"/>
  <c r="E14" i="19" s="1"/>
  <c r="F14" i="19" s="1"/>
  <c r="G14" i="19" s="1"/>
  <c r="H14" i="19" s="1"/>
  <c r="I14" i="19" s="1"/>
  <c r="J14" i="19" s="1"/>
  <c r="K14" i="19" s="1"/>
  <c r="L14" i="19" s="1"/>
  <c r="C13" i="19"/>
  <c r="E12" i="19"/>
  <c r="D12" i="19"/>
  <c r="D32" i="20" s="1"/>
  <c r="C12" i="19"/>
  <c r="C32" i="20" s="1"/>
  <c r="D11" i="19"/>
  <c r="D28" i="20" s="1"/>
  <c r="C11" i="19"/>
  <c r="C28" i="20" s="1"/>
  <c r="C10" i="19"/>
  <c r="D10" i="19" s="1"/>
  <c r="C20" i="20"/>
  <c r="D45" i="1"/>
  <c r="C8" i="19"/>
  <c r="D30" i="19"/>
  <c r="E30" i="19" s="1"/>
  <c r="F30" i="19" s="1"/>
  <c r="G30" i="19" s="1"/>
  <c r="H30" i="19" s="1"/>
  <c r="I30" i="19" s="1"/>
  <c r="J30" i="19" s="1"/>
  <c r="K30" i="19" s="1"/>
  <c r="L30" i="19" s="1"/>
  <c r="D29" i="19"/>
  <c r="E29" i="19" s="1"/>
  <c r="F29" i="19" s="1"/>
  <c r="G29" i="19" s="1"/>
  <c r="H29" i="19" s="1"/>
  <c r="I29" i="19" s="1"/>
  <c r="J29" i="19" s="1"/>
  <c r="K29" i="19" s="1"/>
  <c r="L29" i="19" s="1"/>
  <c r="D28" i="19"/>
  <c r="E28" i="19" s="1"/>
  <c r="F28" i="19" s="1"/>
  <c r="G28" i="19" s="1"/>
  <c r="H28" i="19" s="1"/>
  <c r="I28" i="19" s="1"/>
  <c r="J28" i="19" s="1"/>
  <c r="K28" i="19" s="1"/>
  <c r="L28" i="19" s="1"/>
  <c r="D27" i="19"/>
  <c r="E27" i="19" s="1"/>
  <c r="F27" i="19" s="1"/>
  <c r="G27" i="19" s="1"/>
  <c r="H27" i="19" s="1"/>
  <c r="I27" i="19" s="1"/>
  <c r="J27" i="19" s="1"/>
  <c r="K27" i="19" s="1"/>
  <c r="L27" i="19" s="1"/>
  <c r="D26" i="19"/>
  <c r="E26" i="19" s="1"/>
  <c r="F26" i="19" s="1"/>
  <c r="G26" i="19" s="1"/>
  <c r="H26" i="19" s="1"/>
  <c r="I26" i="19" s="1"/>
  <c r="J26" i="19" s="1"/>
  <c r="K26" i="19" s="1"/>
  <c r="L26" i="19" s="1"/>
  <c r="D25" i="19"/>
  <c r="E25" i="19" s="1"/>
  <c r="F25" i="19" s="1"/>
  <c r="G25" i="19" s="1"/>
  <c r="H25" i="19" s="1"/>
  <c r="I25" i="19" s="1"/>
  <c r="J25" i="19" s="1"/>
  <c r="K25" i="19" s="1"/>
  <c r="L25" i="19" s="1"/>
  <c r="D24" i="19"/>
  <c r="E24" i="19" s="1"/>
  <c r="F24" i="19" s="1"/>
  <c r="G24" i="19" s="1"/>
  <c r="H24" i="19" s="1"/>
  <c r="I24" i="19" s="1"/>
  <c r="J24" i="19" s="1"/>
  <c r="K24" i="19" s="1"/>
  <c r="L24" i="19" s="1"/>
  <c r="D23" i="19"/>
  <c r="E23" i="19" s="1"/>
  <c r="F23" i="19" s="1"/>
  <c r="G23" i="19" s="1"/>
  <c r="H23" i="19" s="1"/>
  <c r="I23" i="19" s="1"/>
  <c r="J23" i="19" s="1"/>
  <c r="K23" i="19" s="1"/>
  <c r="L23" i="19" s="1"/>
  <c r="D22" i="19"/>
  <c r="E22" i="19" s="1"/>
  <c r="F22" i="19" s="1"/>
  <c r="G22" i="19" s="1"/>
  <c r="H22" i="19" s="1"/>
  <c r="I22" i="19" s="1"/>
  <c r="J22" i="19" s="1"/>
  <c r="K22" i="19" s="1"/>
  <c r="L22" i="19" s="1"/>
  <c r="H35" i="25"/>
  <c r="I35" i="25" s="1"/>
  <c r="J35" i="25" s="1"/>
  <c r="K35" i="25" s="1"/>
  <c r="L35" i="25" s="1"/>
  <c r="M35" i="25" s="1"/>
  <c r="N35" i="25" s="1"/>
  <c r="O35" i="25" s="1"/>
  <c r="P35" i="25" s="1"/>
  <c r="F21" i="23"/>
  <c r="G21" i="23"/>
  <c r="H21" i="23"/>
  <c r="I21" i="23"/>
  <c r="J21" i="23"/>
  <c r="K21" i="23"/>
  <c r="L21" i="23"/>
  <c r="M21" i="23"/>
  <c r="N21" i="23"/>
  <c r="C1102" i="20"/>
  <c r="C880" i="20"/>
  <c r="C101" i="20"/>
  <c r="D101" i="20" s="1"/>
  <c r="E101" i="20" s="1"/>
  <c r="F101" i="20" s="1"/>
  <c r="G101" i="20" s="1"/>
  <c r="H101" i="20" s="1"/>
  <c r="I101" i="20" s="1"/>
  <c r="J101" i="20" s="1"/>
  <c r="K101" i="20" s="1"/>
  <c r="L101" i="20" s="1"/>
  <c r="C100" i="20"/>
  <c r="C71" i="20"/>
  <c r="C72" i="20"/>
  <c r="C73" i="20"/>
  <c r="C74" i="20"/>
  <c r="C75" i="20"/>
  <c r="C76" i="20"/>
  <c r="C70" i="20"/>
  <c r="D336" i="20"/>
  <c r="E336" i="20"/>
  <c r="F336" i="20"/>
  <c r="G336" i="20"/>
  <c r="H336" i="20"/>
  <c r="I336" i="20"/>
  <c r="J336" i="20"/>
  <c r="K336" i="20"/>
  <c r="L336" i="20"/>
  <c r="C336" i="20"/>
  <c r="D331" i="20"/>
  <c r="E331" i="20"/>
  <c r="F331" i="20"/>
  <c r="G331" i="20"/>
  <c r="H331" i="20"/>
  <c r="I331" i="20"/>
  <c r="J331" i="20"/>
  <c r="K331" i="20"/>
  <c r="L331" i="20"/>
  <c r="C331" i="20"/>
  <c r="S131" i="20"/>
  <c r="T131" i="20"/>
  <c r="U131" i="20"/>
  <c r="V131" i="20"/>
  <c r="W131" i="20"/>
  <c r="X131" i="20"/>
  <c r="Y131" i="20"/>
  <c r="Z131" i="20"/>
  <c r="AA131" i="20"/>
  <c r="R131" i="20"/>
  <c r="C83" i="20"/>
  <c r="C84" i="20"/>
  <c r="C87" i="20"/>
  <c r="C88" i="20"/>
  <c r="C89" i="20"/>
  <c r="C91" i="20"/>
  <c r="C92" i="20"/>
  <c r="C93" i="20"/>
  <c r="C94" i="20"/>
  <c r="C95" i="20"/>
  <c r="C82" i="20"/>
  <c r="D484" i="20"/>
  <c r="C594" i="20"/>
  <c r="C570" i="20"/>
  <c r="E31" i="20"/>
  <c r="D31" i="20"/>
  <c r="S91" i="20"/>
  <c r="T91" i="20"/>
  <c r="U91" i="20"/>
  <c r="V91" i="20"/>
  <c r="W91" i="20"/>
  <c r="X91" i="20"/>
  <c r="Y91" i="20"/>
  <c r="Z91" i="20"/>
  <c r="AA91" i="20"/>
  <c r="S92" i="20"/>
  <c r="S93" i="20"/>
  <c r="S94" i="20"/>
  <c r="S95" i="20"/>
  <c r="S96" i="20"/>
  <c r="S97" i="20"/>
  <c r="R10" i="20"/>
  <c r="S10" i="20" s="1"/>
  <c r="T10" i="20" s="1"/>
  <c r="U10" i="20" s="1"/>
  <c r="V10" i="20" s="1"/>
  <c r="W10" i="20" s="1"/>
  <c r="X10" i="20" s="1"/>
  <c r="Y10" i="20" s="1"/>
  <c r="Z10" i="20" s="1"/>
  <c r="AA10" i="20" s="1"/>
  <c r="L1077" i="20"/>
  <c r="K1077" i="20"/>
  <c r="J1077" i="20"/>
  <c r="I1077" i="20"/>
  <c r="H1077" i="20"/>
  <c r="G1077" i="20"/>
  <c r="F1077" i="20"/>
  <c r="E1077" i="20"/>
  <c r="D1077" i="20"/>
  <c r="L966" i="20"/>
  <c r="K966" i="20"/>
  <c r="J966" i="20"/>
  <c r="I966" i="20"/>
  <c r="H966" i="20"/>
  <c r="G966" i="20"/>
  <c r="F966" i="20"/>
  <c r="E966" i="20"/>
  <c r="D966" i="20"/>
  <c r="L855" i="20"/>
  <c r="K855" i="20"/>
  <c r="J855" i="20"/>
  <c r="I855" i="20"/>
  <c r="H855" i="20"/>
  <c r="G855" i="20"/>
  <c r="F855" i="20"/>
  <c r="E855" i="20"/>
  <c r="D855" i="20"/>
  <c r="L801" i="20"/>
  <c r="I34" i="1"/>
  <c r="I35" i="1"/>
  <c r="I36" i="1"/>
  <c r="I37" i="1"/>
  <c r="C769" i="20"/>
  <c r="L744" i="20"/>
  <c r="K744" i="20"/>
  <c r="J744" i="20"/>
  <c r="I744" i="20"/>
  <c r="H744" i="20"/>
  <c r="G744" i="20"/>
  <c r="F744" i="20"/>
  <c r="E744" i="20"/>
  <c r="D744" i="20"/>
  <c r="D93" i="19"/>
  <c r="E93" i="19"/>
  <c r="F93" i="19"/>
  <c r="G93" i="19"/>
  <c r="H93" i="19"/>
  <c r="I93" i="19"/>
  <c r="J93" i="19"/>
  <c r="K93" i="19"/>
  <c r="L93" i="19"/>
  <c r="C93" i="19"/>
  <c r="AD93" i="19"/>
  <c r="AE93" i="19"/>
  <c r="AF93" i="19"/>
  <c r="AG93" i="19"/>
  <c r="AH93" i="19"/>
  <c r="AI93" i="19"/>
  <c r="AJ93" i="19"/>
  <c r="AK93" i="19"/>
  <c r="AL93" i="19"/>
  <c r="AC93" i="19"/>
  <c r="AD123" i="19"/>
  <c r="AE123" i="19"/>
  <c r="AF123" i="19"/>
  <c r="AG123" i="19"/>
  <c r="AH123" i="19"/>
  <c r="AI123" i="19"/>
  <c r="AJ123" i="19"/>
  <c r="AK123" i="19"/>
  <c r="AL123" i="19"/>
  <c r="AC123" i="19"/>
  <c r="D123" i="19"/>
  <c r="E123" i="19"/>
  <c r="F123" i="19"/>
  <c r="G123" i="19"/>
  <c r="H123" i="19"/>
  <c r="I123" i="19"/>
  <c r="J123" i="19"/>
  <c r="K123" i="19"/>
  <c r="L123" i="19"/>
  <c r="C123" i="19"/>
  <c r="AD150" i="19"/>
  <c r="AE150" i="19" s="1"/>
  <c r="AF150" i="19" s="1"/>
  <c r="AG150" i="19" s="1"/>
  <c r="AH150" i="19" s="1"/>
  <c r="AI150" i="19" s="1"/>
  <c r="AJ150" i="19" s="1"/>
  <c r="AK150" i="19" s="1"/>
  <c r="AL150" i="19" s="1"/>
  <c r="AD149" i="19"/>
  <c r="AE149" i="19" s="1"/>
  <c r="AF149" i="19" s="1"/>
  <c r="AG149" i="19" s="1"/>
  <c r="AH149" i="19" s="1"/>
  <c r="AI149" i="19" s="1"/>
  <c r="AJ149" i="19" s="1"/>
  <c r="AK149" i="19" s="1"/>
  <c r="AL149" i="19" s="1"/>
  <c r="AD148" i="19"/>
  <c r="AS135" i="19" s="1"/>
  <c r="AD147" i="19"/>
  <c r="AE147" i="19" s="1"/>
  <c r="AF147" i="19" s="1"/>
  <c r="AG147" i="19" s="1"/>
  <c r="AH147" i="19" s="1"/>
  <c r="AI147" i="19" s="1"/>
  <c r="AJ147" i="19" s="1"/>
  <c r="AK147" i="19" s="1"/>
  <c r="AL147" i="19" s="1"/>
  <c r="AD146" i="19"/>
  <c r="AE146" i="19" s="1"/>
  <c r="AF146" i="19" s="1"/>
  <c r="AG146" i="19" s="1"/>
  <c r="AH146" i="19" s="1"/>
  <c r="AI146" i="19" s="1"/>
  <c r="AJ146" i="19" s="1"/>
  <c r="AK146" i="19" s="1"/>
  <c r="AL146" i="19" s="1"/>
  <c r="AD145" i="19"/>
  <c r="AE145" i="19" s="1"/>
  <c r="AF145" i="19" s="1"/>
  <c r="AG145" i="19" s="1"/>
  <c r="AH145" i="19" s="1"/>
  <c r="AI145" i="19" s="1"/>
  <c r="AJ145" i="19" s="1"/>
  <c r="AK145" i="19" s="1"/>
  <c r="AL145" i="19" s="1"/>
  <c r="AD144" i="19"/>
  <c r="AE144" i="19" s="1"/>
  <c r="AF144" i="19" s="1"/>
  <c r="AD143" i="19"/>
  <c r="AE143" i="19" s="1"/>
  <c r="AF143" i="19" s="1"/>
  <c r="AG143" i="19" s="1"/>
  <c r="AH143" i="19" s="1"/>
  <c r="AI143" i="19" s="1"/>
  <c r="AJ143" i="19" s="1"/>
  <c r="AK143" i="19" s="1"/>
  <c r="AL143" i="19" s="1"/>
  <c r="AD142" i="19"/>
  <c r="AE142" i="19" s="1"/>
  <c r="AF142" i="19" s="1"/>
  <c r="AG142" i="19" s="1"/>
  <c r="AH142" i="19" s="1"/>
  <c r="AI142" i="19" s="1"/>
  <c r="AJ142" i="19" s="1"/>
  <c r="AK142" i="19" s="1"/>
  <c r="AL142" i="19" s="1"/>
  <c r="D150" i="19"/>
  <c r="E150" i="19" s="1"/>
  <c r="F150" i="19" s="1"/>
  <c r="G150" i="19" s="1"/>
  <c r="H150" i="19" s="1"/>
  <c r="I150" i="19" s="1"/>
  <c r="J150" i="19" s="1"/>
  <c r="K150" i="19" s="1"/>
  <c r="L150" i="19" s="1"/>
  <c r="D149" i="19"/>
  <c r="S136" i="19" s="1"/>
  <c r="D148" i="19"/>
  <c r="S135" i="19" s="1"/>
  <c r="D147" i="19"/>
  <c r="E147" i="19" s="1"/>
  <c r="F147" i="19" s="1"/>
  <c r="G147" i="19" s="1"/>
  <c r="H147" i="19" s="1"/>
  <c r="I147" i="19" s="1"/>
  <c r="J147" i="19" s="1"/>
  <c r="K147" i="19" s="1"/>
  <c r="L147" i="19" s="1"/>
  <c r="D146" i="19"/>
  <c r="E146" i="19" s="1"/>
  <c r="F146" i="19" s="1"/>
  <c r="G146" i="19" s="1"/>
  <c r="H146" i="19" s="1"/>
  <c r="I146" i="19" s="1"/>
  <c r="J146" i="19" s="1"/>
  <c r="K146" i="19" s="1"/>
  <c r="L146" i="19" s="1"/>
  <c r="D145" i="19"/>
  <c r="S131" i="19" s="1"/>
  <c r="D144" i="19"/>
  <c r="D143" i="19"/>
  <c r="E143" i="19" s="1"/>
  <c r="F143" i="19" s="1"/>
  <c r="G143" i="19" s="1"/>
  <c r="H143" i="19" s="1"/>
  <c r="I143" i="19" s="1"/>
  <c r="J143" i="19" s="1"/>
  <c r="K143" i="19" s="1"/>
  <c r="L143" i="19" s="1"/>
  <c r="D142" i="19"/>
  <c r="E142" i="19" s="1"/>
  <c r="F142" i="19" s="1"/>
  <c r="G142" i="19" s="1"/>
  <c r="H142" i="19" s="1"/>
  <c r="I142" i="19" s="1"/>
  <c r="J142" i="19" s="1"/>
  <c r="K142" i="19" s="1"/>
  <c r="L142" i="19" s="1"/>
  <c r="AD120" i="19"/>
  <c r="AS107" i="19" s="1"/>
  <c r="AD119" i="19"/>
  <c r="AE119" i="19" s="1"/>
  <c r="AF119" i="19" s="1"/>
  <c r="AG119" i="19" s="1"/>
  <c r="AH119" i="19" s="1"/>
  <c r="AI119" i="19" s="1"/>
  <c r="AJ119" i="19" s="1"/>
  <c r="AK119" i="19" s="1"/>
  <c r="AL119" i="19" s="1"/>
  <c r="AD118" i="19"/>
  <c r="AS105" i="19" s="1"/>
  <c r="AD117" i="19"/>
  <c r="AE117" i="19" s="1"/>
  <c r="AF117" i="19" s="1"/>
  <c r="AG117" i="19" s="1"/>
  <c r="AH117" i="19" s="1"/>
  <c r="AI117" i="19" s="1"/>
  <c r="AJ117" i="19" s="1"/>
  <c r="AK117" i="19" s="1"/>
  <c r="AL117" i="19" s="1"/>
  <c r="AD116" i="19"/>
  <c r="AE116" i="19" s="1"/>
  <c r="AF116" i="19" s="1"/>
  <c r="AG116" i="19" s="1"/>
  <c r="AH116" i="19" s="1"/>
  <c r="AI116" i="19" s="1"/>
  <c r="AJ116" i="19" s="1"/>
  <c r="AK116" i="19" s="1"/>
  <c r="AL116" i="19" s="1"/>
  <c r="AD115" i="19"/>
  <c r="AE115" i="19" s="1"/>
  <c r="AF115" i="19" s="1"/>
  <c r="AG115" i="19" s="1"/>
  <c r="AH115" i="19" s="1"/>
  <c r="AI115" i="19" s="1"/>
  <c r="AJ115" i="19" s="1"/>
  <c r="AK115" i="19" s="1"/>
  <c r="AL115" i="19" s="1"/>
  <c r="AD114" i="19"/>
  <c r="AE114" i="19" s="1"/>
  <c r="AF114" i="19" s="1"/>
  <c r="AD113" i="19"/>
  <c r="AS99" i="19" s="1"/>
  <c r="AD112" i="19"/>
  <c r="AE112" i="19" s="1"/>
  <c r="AF112" i="19" s="1"/>
  <c r="AG112" i="19" s="1"/>
  <c r="AH112" i="19" s="1"/>
  <c r="AI112" i="19" s="1"/>
  <c r="AJ112" i="19" s="1"/>
  <c r="AK112" i="19" s="1"/>
  <c r="AL112" i="19" s="1"/>
  <c r="D120" i="19"/>
  <c r="E120" i="19" s="1"/>
  <c r="F120" i="19" s="1"/>
  <c r="G120" i="19" s="1"/>
  <c r="H120" i="19" s="1"/>
  <c r="I120" i="19" s="1"/>
  <c r="J120" i="19" s="1"/>
  <c r="K120" i="19" s="1"/>
  <c r="L120" i="19" s="1"/>
  <c r="D119" i="19"/>
  <c r="S106" i="19" s="1"/>
  <c r="D118" i="19"/>
  <c r="E118" i="19" s="1"/>
  <c r="F118" i="19" s="1"/>
  <c r="G118" i="19" s="1"/>
  <c r="H118" i="19" s="1"/>
  <c r="I118" i="19" s="1"/>
  <c r="J118" i="19" s="1"/>
  <c r="K118" i="19" s="1"/>
  <c r="L118" i="19" s="1"/>
  <c r="D117" i="19"/>
  <c r="E117" i="19" s="1"/>
  <c r="F117" i="19" s="1"/>
  <c r="G117" i="19" s="1"/>
  <c r="H117" i="19" s="1"/>
  <c r="I117" i="19" s="1"/>
  <c r="J117" i="19" s="1"/>
  <c r="K117" i="19" s="1"/>
  <c r="L117" i="19" s="1"/>
  <c r="D116" i="19"/>
  <c r="E116" i="19" s="1"/>
  <c r="D115" i="19"/>
  <c r="E115" i="19" s="1"/>
  <c r="F115" i="19" s="1"/>
  <c r="G115" i="19" s="1"/>
  <c r="H115" i="19" s="1"/>
  <c r="I115" i="19" s="1"/>
  <c r="J115" i="19" s="1"/>
  <c r="K115" i="19" s="1"/>
  <c r="L115" i="19" s="1"/>
  <c r="D114" i="19"/>
  <c r="E114" i="19" s="1"/>
  <c r="F114" i="19" s="1"/>
  <c r="G114" i="19" s="1"/>
  <c r="H114" i="19" s="1"/>
  <c r="I114" i="19" s="1"/>
  <c r="J114" i="19" s="1"/>
  <c r="K114" i="19" s="1"/>
  <c r="L114" i="19" s="1"/>
  <c r="D113" i="19"/>
  <c r="E113" i="19" s="1"/>
  <c r="F113" i="19" s="1"/>
  <c r="G113" i="19" s="1"/>
  <c r="H113" i="19" s="1"/>
  <c r="I113" i="19" s="1"/>
  <c r="J113" i="19" s="1"/>
  <c r="K113" i="19" s="1"/>
  <c r="L113" i="19" s="1"/>
  <c r="D112" i="19"/>
  <c r="E112" i="19" s="1"/>
  <c r="F112" i="19" s="1"/>
  <c r="G112" i="19" s="1"/>
  <c r="H112" i="19" s="1"/>
  <c r="I112" i="19" s="1"/>
  <c r="J112" i="19" s="1"/>
  <c r="K112" i="19" s="1"/>
  <c r="L112" i="19" s="1"/>
  <c r="AD63" i="19"/>
  <c r="AE63" i="19"/>
  <c r="AF63" i="19"/>
  <c r="AG63" i="19"/>
  <c r="AH63" i="19"/>
  <c r="AI63" i="19"/>
  <c r="AJ63" i="19"/>
  <c r="AK63" i="19"/>
  <c r="AL63" i="19"/>
  <c r="AC63" i="19"/>
  <c r="D63" i="19"/>
  <c r="E63" i="19"/>
  <c r="F63" i="19"/>
  <c r="G63" i="19"/>
  <c r="H63" i="19"/>
  <c r="I63" i="19"/>
  <c r="J63" i="19"/>
  <c r="K63" i="19"/>
  <c r="L63" i="19"/>
  <c r="C63" i="19"/>
  <c r="AD33" i="19"/>
  <c r="AE33" i="19"/>
  <c r="AF33" i="19"/>
  <c r="AG33" i="19"/>
  <c r="AH33" i="19"/>
  <c r="AI33" i="19"/>
  <c r="AJ33" i="19"/>
  <c r="AK33" i="19"/>
  <c r="AL33" i="19"/>
  <c r="AC33" i="19"/>
  <c r="AD3" i="19"/>
  <c r="AE3" i="19"/>
  <c r="AF3" i="19"/>
  <c r="AG3" i="19"/>
  <c r="AH3" i="19"/>
  <c r="AI3" i="19"/>
  <c r="AJ3" i="19"/>
  <c r="AK3" i="19"/>
  <c r="AL3" i="19"/>
  <c r="AC3" i="19"/>
  <c r="D33" i="19"/>
  <c r="E33" i="19"/>
  <c r="F33" i="19"/>
  <c r="G33" i="19"/>
  <c r="H33" i="19"/>
  <c r="I33" i="19"/>
  <c r="J33" i="19"/>
  <c r="K33" i="19"/>
  <c r="L33" i="19"/>
  <c r="C33" i="19"/>
  <c r="D3" i="19"/>
  <c r="E3" i="19"/>
  <c r="F3" i="19"/>
  <c r="G3" i="19"/>
  <c r="H3" i="19"/>
  <c r="I3" i="19"/>
  <c r="J3" i="19"/>
  <c r="K3" i="19"/>
  <c r="L3" i="19"/>
  <c r="C3" i="19"/>
  <c r="L633" i="20"/>
  <c r="K633" i="20"/>
  <c r="J633" i="20"/>
  <c r="I633" i="20"/>
  <c r="H633" i="20"/>
  <c r="G633" i="20"/>
  <c r="F633" i="20"/>
  <c r="E633" i="20"/>
  <c r="D633" i="20"/>
  <c r="L522" i="20"/>
  <c r="K522" i="20"/>
  <c r="J522" i="20"/>
  <c r="I522" i="20"/>
  <c r="H522" i="20"/>
  <c r="G522" i="20"/>
  <c r="F522" i="20"/>
  <c r="E522" i="20"/>
  <c r="D522" i="20"/>
  <c r="L411" i="20"/>
  <c r="K411" i="20"/>
  <c r="J411" i="20"/>
  <c r="I411" i="20"/>
  <c r="H411" i="20"/>
  <c r="G411" i="20"/>
  <c r="F411" i="20"/>
  <c r="E411" i="20"/>
  <c r="D411" i="20"/>
  <c r="D300" i="20"/>
  <c r="L189" i="20"/>
  <c r="K189" i="20"/>
  <c r="J189" i="20"/>
  <c r="I189" i="20"/>
  <c r="H189" i="20"/>
  <c r="G189" i="20"/>
  <c r="F189" i="20"/>
  <c r="E189" i="20"/>
  <c r="D189" i="20"/>
  <c r="L78" i="20"/>
  <c r="K78" i="20"/>
  <c r="J78" i="20"/>
  <c r="I78" i="20"/>
  <c r="H78" i="20"/>
  <c r="G78" i="20"/>
  <c r="F78" i="20"/>
  <c r="E78" i="20"/>
  <c r="D78" i="20"/>
  <c r="C10" i="20"/>
  <c r="D10" i="20" s="1"/>
  <c r="E10" i="20" s="1"/>
  <c r="F10" i="20" s="1"/>
  <c r="G10" i="20" s="1"/>
  <c r="H10" i="20" s="1"/>
  <c r="I10" i="20" s="1"/>
  <c r="J10" i="20" s="1"/>
  <c r="K10" i="20" s="1"/>
  <c r="L10" i="20" s="1"/>
  <c r="AD90" i="19"/>
  <c r="AE90" i="19" s="1"/>
  <c r="AF90" i="19" s="1"/>
  <c r="AG90" i="19" s="1"/>
  <c r="AH90" i="19" s="1"/>
  <c r="AI90" i="19" s="1"/>
  <c r="AJ90" i="19" s="1"/>
  <c r="AK90" i="19" s="1"/>
  <c r="AL90" i="19" s="1"/>
  <c r="AD89" i="19"/>
  <c r="AE89" i="19" s="1"/>
  <c r="AF89" i="19" s="1"/>
  <c r="AG89" i="19" s="1"/>
  <c r="AH89" i="19" s="1"/>
  <c r="AI89" i="19" s="1"/>
  <c r="AJ89" i="19" s="1"/>
  <c r="AK89" i="19" s="1"/>
  <c r="AL89" i="19" s="1"/>
  <c r="AD88" i="19"/>
  <c r="AE88" i="19" s="1"/>
  <c r="AF88" i="19" s="1"/>
  <c r="AG88" i="19" s="1"/>
  <c r="AH88" i="19" s="1"/>
  <c r="AI88" i="19" s="1"/>
  <c r="AJ88" i="19" s="1"/>
  <c r="AK88" i="19" s="1"/>
  <c r="AL88" i="19" s="1"/>
  <c r="AD87" i="19"/>
  <c r="AE87" i="19" s="1"/>
  <c r="AF87" i="19" s="1"/>
  <c r="AG87" i="19" s="1"/>
  <c r="AH87" i="19" s="1"/>
  <c r="AI87" i="19" s="1"/>
  <c r="AJ87" i="19" s="1"/>
  <c r="AK87" i="19" s="1"/>
  <c r="AL87" i="19" s="1"/>
  <c r="AD60" i="19"/>
  <c r="AE60" i="19" s="1"/>
  <c r="AF60" i="19" s="1"/>
  <c r="AG60" i="19" s="1"/>
  <c r="AH60" i="19" s="1"/>
  <c r="AI60" i="19" s="1"/>
  <c r="AJ60" i="19" s="1"/>
  <c r="AK60" i="19" s="1"/>
  <c r="AL60" i="19" s="1"/>
  <c r="AD59" i="19"/>
  <c r="AE59" i="19" s="1"/>
  <c r="AF59" i="19" s="1"/>
  <c r="AG59" i="19" s="1"/>
  <c r="AH59" i="19" s="1"/>
  <c r="AI59" i="19" s="1"/>
  <c r="AJ59" i="19" s="1"/>
  <c r="AK59" i="19" s="1"/>
  <c r="AL59" i="19" s="1"/>
  <c r="AD58" i="19"/>
  <c r="AE58" i="19" s="1"/>
  <c r="AF58" i="19" s="1"/>
  <c r="AG58" i="19" s="1"/>
  <c r="AH58" i="19" s="1"/>
  <c r="AI58" i="19" s="1"/>
  <c r="AJ58" i="19" s="1"/>
  <c r="AK58" i="19" s="1"/>
  <c r="AL58" i="19" s="1"/>
  <c r="AD57" i="19"/>
  <c r="AE57" i="19" s="1"/>
  <c r="AF57" i="19" s="1"/>
  <c r="AG57" i="19" s="1"/>
  <c r="AH57" i="19" s="1"/>
  <c r="AI57" i="19" s="1"/>
  <c r="AJ57" i="19" s="1"/>
  <c r="AK57" i="19" s="1"/>
  <c r="AL57" i="19" s="1"/>
  <c r="AD30" i="19"/>
  <c r="AE30" i="19" s="1"/>
  <c r="AF30" i="19" s="1"/>
  <c r="AG30" i="19" s="1"/>
  <c r="AH30" i="19" s="1"/>
  <c r="AI30" i="19" s="1"/>
  <c r="AJ30" i="19" s="1"/>
  <c r="AK30" i="19" s="1"/>
  <c r="AL30" i="19" s="1"/>
  <c r="AD29" i="19"/>
  <c r="AE29" i="19" s="1"/>
  <c r="AF29" i="19" s="1"/>
  <c r="AG29" i="19" s="1"/>
  <c r="AD28" i="19"/>
  <c r="AE28" i="19" s="1"/>
  <c r="AF28" i="19" s="1"/>
  <c r="AG28" i="19" s="1"/>
  <c r="AH28" i="19" s="1"/>
  <c r="AI28" i="19" s="1"/>
  <c r="AJ28" i="19" s="1"/>
  <c r="AK28" i="19" s="1"/>
  <c r="AL28" i="19" s="1"/>
  <c r="AD27" i="19"/>
  <c r="AE27" i="19" s="1"/>
  <c r="AF27" i="19" s="1"/>
  <c r="AG27" i="19" s="1"/>
  <c r="AH27" i="19" s="1"/>
  <c r="AI27" i="19" s="1"/>
  <c r="AJ27" i="19" s="1"/>
  <c r="AK27" i="19" s="1"/>
  <c r="AL27" i="19" s="1"/>
  <c r="D90" i="19"/>
  <c r="E90" i="19" s="1"/>
  <c r="F90" i="19" s="1"/>
  <c r="G90" i="19" s="1"/>
  <c r="H90" i="19" s="1"/>
  <c r="I90" i="19" s="1"/>
  <c r="J90" i="19" s="1"/>
  <c r="K90" i="19" s="1"/>
  <c r="L90" i="19" s="1"/>
  <c r="D89" i="19"/>
  <c r="E89" i="19" s="1"/>
  <c r="F89" i="19" s="1"/>
  <c r="G89" i="19" s="1"/>
  <c r="H89" i="19" s="1"/>
  <c r="I89" i="19" s="1"/>
  <c r="J89" i="19" s="1"/>
  <c r="K89" i="19" s="1"/>
  <c r="L89" i="19" s="1"/>
  <c r="D88" i="19"/>
  <c r="E88" i="19" s="1"/>
  <c r="F88" i="19" s="1"/>
  <c r="G88" i="19" s="1"/>
  <c r="H88" i="19" s="1"/>
  <c r="I88" i="19" s="1"/>
  <c r="J88" i="19" s="1"/>
  <c r="K88" i="19" s="1"/>
  <c r="L88" i="19" s="1"/>
  <c r="D87" i="19"/>
  <c r="E87" i="19" s="1"/>
  <c r="F87" i="19" s="1"/>
  <c r="G87" i="19" s="1"/>
  <c r="H87" i="19" s="1"/>
  <c r="I87" i="19" s="1"/>
  <c r="J87" i="19" s="1"/>
  <c r="K87" i="19" s="1"/>
  <c r="L87" i="19" s="1"/>
  <c r="D60" i="19"/>
  <c r="E60" i="19" s="1"/>
  <c r="F60" i="19" s="1"/>
  <c r="G60" i="19" s="1"/>
  <c r="H60" i="19" s="1"/>
  <c r="I60" i="19" s="1"/>
  <c r="J60" i="19" s="1"/>
  <c r="K60" i="19" s="1"/>
  <c r="L60" i="19" s="1"/>
  <c r="D59" i="19"/>
  <c r="E59" i="19" s="1"/>
  <c r="F59" i="19" s="1"/>
  <c r="G59" i="19" s="1"/>
  <c r="H59" i="19" s="1"/>
  <c r="I59" i="19" s="1"/>
  <c r="J59" i="19" s="1"/>
  <c r="K59" i="19" s="1"/>
  <c r="L59" i="19" s="1"/>
  <c r="D58" i="19"/>
  <c r="E58" i="19" s="1"/>
  <c r="F58" i="19" s="1"/>
  <c r="G58" i="19" s="1"/>
  <c r="D57" i="19"/>
  <c r="E57" i="19" s="1"/>
  <c r="F57" i="19" s="1"/>
  <c r="G57" i="19" s="1"/>
  <c r="H57" i="19" s="1"/>
  <c r="I57" i="19" s="1"/>
  <c r="J57" i="19" s="1"/>
  <c r="K57" i="19" s="1"/>
  <c r="L57" i="19" s="1"/>
  <c r="AD86" i="19"/>
  <c r="AE86" i="19" s="1"/>
  <c r="AT72" i="19" s="1"/>
  <c r="AD85" i="19"/>
  <c r="AS71" i="19" s="1"/>
  <c r="AD84" i="19"/>
  <c r="AE84" i="19" s="1"/>
  <c r="AF84" i="19" s="1"/>
  <c r="AG84" i="19" s="1"/>
  <c r="AH84" i="19" s="1"/>
  <c r="AI84" i="19" s="1"/>
  <c r="AJ84" i="19" s="1"/>
  <c r="AK84" i="19" s="1"/>
  <c r="AL84" i="19" s="1"/>
  <c r="AD83" i="19"/>
  <c r="AE83" i="19" s="1"/>
  <c r="AF83" i="19" s="1"/>
  <c r="AG83" i="19" s="1"/>
  <c r="AH83" i="19" s="1"/>
  <c r="AI83" i="19" s="1"/>
  <c r="AJ83" i="19" s="1"/>
  <c r="AK83" i="19" s="1"/>
  <c r="AL83" i="19" s="1"/>
  <c r="AD82" i="19"/>
  <c r="AE82" i="19" s="1"/>
  <c r="AF82" i="19" s="1"/>
  <c r="AG82" i="19" s="1"/>
  <c r="AH82" i="19" s="1"/>
  <c r="AI82" i="19" s="1"/>
  <c r="AJ82" i="19" s="1"/>
  <c r="AK82" i="19" s="1"/>
  <c r="AL82" i="19" s="1"/>
  <c r="D86" i="19"/>
  <c r="E86" i="19" s="1"/>
  <c r="D85" i="19"/>
  <c r="D84" i="19"/>
  <c r="E84" i="19" s="1"/>
  <c r="F84" i="19" s="1"/>
  <c r="G84" i="19" s="1"/>
  <c r="H84" i="19" s="1"/>
  <c r="I84" i="19" s="1"/>
  <c r="J84" i="19" s="1"/>
  <c r="K84" i="19" s="1"/>
  <c r="L84" i="19" s="1"/>
  <c r="D83" i="19"/>
  <c r="S69" i="19" s="1"/>
  <c r="D82" i="19"/>
  <c r="E82" i="19" s="1"/>
  <c r="F82" i="19" s="1"/>
  <c r="G82" i="19" s="1"/>
  <c r="H82" i="19" s="1"/>
  <c r="I82" i="19" s="1"/>
  <c r="J82" i="19" s="1"/>
  <c r="K82" i="19" s="1"/>
  <c r="L82" i="19" s="1"/>
  <c r="AD56" i="19"/>
  <c r="AE56" i="19" s="1"/>
  <c r="AF56" i="19" s="1"/>
  <c r="AG56" i="19" s="1"/>
  <c r="AH56" i="19" s="1"/>
  <c r="AI56" i="19" s="1"/>
  <c r="AJ56" i="19" s="1"/>
  <c r="AK56" i="19" s="1"/>
  <c r="AL56" i="19" s="1"/>
  <c r="AD55" i="19"/>
  <c r="AS41" i="19" s="1"/>
  <c r="AD54" i="19"/>
  <c r="AE54" i="19" s="1"/>
  <c r="AF54" i="19" s="1"/>
  <c r="AG54" i="19" s="1"/>
  <c r="AH54" i="19" s="1"/>
  <c r="AI54" i="19" s="1"/>
  <c r="AJ54" i="19" s="1"/>
  <c r="AK54" i="19" s="1"/>
  <c r="AL54" i="19" s="1"/>
  <c r="AD53" i="19"/>
  <c r="AS39" i="19" s="1"/>
  <c r="AD52" i="19"/>
  <c r="AE52" i="19" s="1"/>
  <c r="AF52" i="19" s="1"/>
  <c r="AG52" i="19" s="1"/>
  <c r="AH52" i="19" s="1"/>
  <c r="AI52" i="19" s="1"/>
  <c r="AJ52" i="19" s="1"/>
  <c r="AK52" i="19" s="1"/>
  <c r="AL52" i="19" s="1"/>
  <c r="AD26" i="19"/>
  <c r="AE26" i="19" s="1"/>
  <c r="AT12" i="19" s="1"/>
  <c r="AD25" i="19"/>
  <c r="AS11" i="19" s="1"/>
  <c r="AD24" i="19"/>
  <c r="AE24" i="19" s="1"/>
  <c r="AF24" i="19" s="1"/>
  <c r="AG24" i="19" s="1"/>
  <c r="AH24" i="19" s="1"/>
  <c r="AI24" i="19" s="1"/>
  <c r="AJ24" i="19" s="1"/>
  <c r="AK24" i="19" s="1"/>
  <c r="AL24" i="19" s="1"/>
  <c r="AD23" i="19"/>
  <c r="AE23" i="19" s="1"/>
  <c r="AF23" i="19" s="1"/>
  <c r="AG23" i="19" s="1"/>
  <c r="AH23" i="19" s="1"/>
  <c r="AI23" i="19" s="1"/>
  <c r="AJ23" i="19" s="1"/>
  <c r="AK23" i="19" s="1"/>
  <c r="AL23" i="19" s="1"/>
  <c r="AD22" i="19"/>
  <c r="AE22" i="19" s="1"/>
  <c r="AF22" i="19" s="1"/>
  <c r="AG22" i="19" s="1"/>
  <c r="AH22" i="19" s="1"/>
  <c r="AI22" i="19" s="1"/>
  <c r="AJ22" i="19" s="1"/>
  <c r="AK22" i="19" s="1"/>
  <c r="AL22" i="19" s="1"/>
  <c r="D56" i="19"/>
  <c r="E56" i="19" s="1"/>
  <c r="T42" i="19" s="1"/>
  <c r="D55" i="19"/>
  <c r="S41" i="19" s="1"/>
  <c r="D54" i="19"/>
  <c r="E54" i="19" s="1"/>
  <c r="F54" i="19" s="1"/>
  <c r="G54" i="19" s="1"/>
  <c r="H54" i="19" s="1"/>
  <c r="I54" i="19" s="1"/>
  <c r="J54" i="19" s="1"/>
  <c r="K54" i="19" s="1"/>
  <c r="L54" i="19" s="1"/>
  <c r="D53" i="19"/>
  <c r="E53" i="19" s="1"/>
  <c r="F53" i="19" s="1"/>
  <c r="G53" i="19" s="1"/>
  <c r="H53" i="19" s="1"/>
  <c r="I53" i="19" s="1"/>
  <c r="J53" i="19" s="1"/>
  <c r="K53" i="19" s="1"/>
  <c r="L53" i="19" s="1"/>
  <c r="D52" i="19"/>
  <c r="E52" i="19" s="1"/>
  <c r="F52" i="19" s="1"/>
  <c r="G52" i="19" s="1"/>
  <c r="H52" i="19" s="1"/>
  <c r="I52" i="19" s="1"/>
  <c r="J52" i="19" s="1"/>
  <c r="K52" i="19" s="1"/>
  <c r="L52" i="19" s="1"/>
  <c r="F21" i="12"/>
  <c r="AG144" i="19" l="1"/>
  <c r="AH144" i="19" s="1"/>
  <c r="AI144" i="19" s="1"/>
  <c r="AJ144" i="19" s="1"/>
  <c r="AK144" i="19" s="1"/>
  <c r="AL144" i="19" s="1"/>
  <c r="AG114" i="19"/>
  <c r="AH114" i="19" s="1"/>
  <c r="AI114" i="19" s="1"/>
  <c r="AJ114" i="19" s="1"/>
  <c r="AK114" i="19" s="1"/>
  <c r="AL114" i="19" s="1"/>
  <c r="I322" i="20"/>
  <c r="E144" i="19"/>
  <c r="F144" i="19" s="1"/>
  <c r="G144" i="19" s="1"/>
  <c r="H144" i="19" s="1"/>
  <c r="I144" i="19" s="1"/>
  <c r="J144" i="19" s="1"/>
  <c r="K144" i="19" s="1"/>
  <c r="L144" i="19" s="1"/>
  <c r="S99" i="20"/>
  <c r="AH29" i="19"/>
  <c r="AI29" i="19" s="1"/>
  <c r="AJ29" i="19" s="1"/>
  <c r="AK29" i="19" s="1"/>
  <c r="AL29" i="19" s="1"/>
  <c r="AV16" i="19"/>
  <c r="H58" i="19"/>
  <c r="I58" i="19" s="1"/>
  <c r="J58" i="19" s="1"/>
  <c r="K58" i="19" s="1"/>
  <c r="L58" i="19" s="1"/>
  <c r="V45" i="19"/>
  <c r="C1043" i="20"/>
  <c r="C579" i="20"/>
  <c r="C575" i="20"/>
  <c r="C131" i="20"/>
  <c r="E131" i="19"/>
  <c r="F131" i="19" s="1"/>
  <c r="G131" i="19" s="1"/>
  <c r="H131" i="19" s="1"/>
  <c r="I131" i="19" s="1"/>
  <c r="J131" i="19" s="1"/>
  <c r="K131" i="19" s="1"/>
  <c r="L131" i="19" s="1"/>
  <c r="C912" i="20"/>
  <c r="D129" i="19"/>
  <c r="E129" i="19" s="1"/>
  <c r="F129" i="19" s="1"/>
  <c r="G129" i="19" s="1"/>
  <c r="H129" i="19" s="1"/>
  <c r="I129" i="19" s="1"/>
  <c r="J129" i="19" s="1"/>
  <c r="K129" i="19" s="1"/>
  <c r="L129" i="19" s="1"/>
  <c r="AQ83" i="19"/>
  <c r="Q143" i="19"/>
  <c r="AT132" i="19"/>
  <c r="AU132" i="19" s="1"/>
  <c r="AV132" i="19" s="1"/>
  <c r="AW132" i="19" s="1"/>
  <c r="AX132" i="19" s="1"/>
  <c r="AY132" i="19" s="1"/>
  <c r="AZ132" i="19" s="1"/>
  <c r="AS129" i="19"/>
  <c r="AT129" i="19" s="1"/>
  <c r="AU129" i="19" s="1"/>
  <c r="AV129" i="19" s="1"/>
  <c r="AW129" i="19" s="1"/>
  <c r="AX129" i="19" s="1"/>
  <c r="AY129" i="19" s="1"/>
  <c r="AZ129" i="19" s="1"/>
  <c r="AS136" i="19"/>
  <c r="AT136" i="19" s="1"/>
  <c r="AU136" i="19" s="1"/>
  <c r="AV136" i="19" s="1"/>
  <c r="AW136" i="19" s="1"/>
  <c r="AX136" i="19" s="1"/>
  <c r="AY136" i="19" s="1"/>
  <c r="AZ136" i="19" s="1"/>
  <c r="AS133" i="19"/>
  <c r="AT133" i="19" s="1"/>
  <c r="AU133" i="19" s="1"/>
  <c r="AV133" i="19" s="1"/>
  <c r="AW133" i="19" s="1"/>
  <c r="AX133" i="19" s="1"/>
  <c r="AY133" i="19" s="1"/>
  <c r="AZ133" i="19" s="1"/>
  <c r="AS130" i="19"/>
  <c r="AT130" i="19" s="1"/>
  <c r="AU130" i="19" s="1"/>
  <c r="G1089" i="20" s="1"/>
  <c r="AS137" i="19"/>
  <c r="AT137" i="19" s="1"/>
  <c r="AU137" i="19" s="1"/>
  <c r="AV137" i="19" s="1"/>
  <c r="AW137" i="19" s="1"/>
  <c r="AX137" i="19" s="1"/>
  <c r="AY137" i="19" s="1"/>
  <c r="AZ137" i="19" s="1"/>
  <c r="AS134" i="19"/>
  <c r="AT134" i="19" s="1"/>
  <c r="AU134" i="19" s="1"/>
  <c r="AV134" i="19" s="1"/>
  <c r="AW134" i="19" s="1"/>
  <c r="AX134" i="19" s="1"/>
  <c r="AY134" i="19" s="1"/>
  <c r="AZ134" i="19" s="1"/>
  <c r="AS131" i="19"/>
  <c r="AT131" i="19" s="1"/>
  <c r="AU131" i="19" s="1"/>
  <c r="AV131" i="19" s="1"/>
  <c r="AW131" i="19" s="1"/>
  <c r="AX131" i="19" s="1"/>
  <c r="AY131" i="19" s="1"/>
  <c r="AZ131" i="19" s="1"/>
  <c r="AS128" i="19"/>
  <c r="AT128" i="19" s="1"/>
  <c r="AU128" i="19" s="1"/>
  <c r="T132" i="19"/>
  <c r="U132" i="19" s="1"/>
  <c r="V132" i="19" s="1"/>
  <c r="W132" i="19" s="1"/>
  <c r="X132" i="19" s="1"/>
  <c r="Y132" i="19" s="1"/>
  <c r="Z132" i="19" s="1"/>
  <c r="S133" i="19"/>
  <c r="T133" i="19" s="1"/>
  <c r="U133" i="19" s="1"/>
  <c r="V133" i="19" s="1"/>
  <c r="W133" i="19" s="1"/>
  <c r="X133" i="19" s="1"/>
  <c r="Y133" i="19" s="1"/>
  <c r="Z133" i="19" s="1"/>
  <c r="S130" i="19"/>
  <c r="T130" i="19" s="1"/>
  <c r="S129" i="19"/>
  <c r="T129" i="19" s="1"/>
  <c r="U129" i="19" s="1"/>
  <c r="V129" i="19" s="1"/>
  <c r="W129" i="19" s="1"/>
  <c r="X129" i="19" s="1"/>
  <c r="Y129" i="19" s="1"/>
  <c r="Z129" i="19" s="1"/>
  <c r="S137" i="19"/>
  <c r="T137" i="19" s="1"/>
  <c r="U137" i="19" s="1"/>
  <c r="V137" i="19" s="1"/>
  <c r="W137" i="19" s="1"/>
  <c r="X137" i="19" s="1"/>
  <c r="Y137" i="19" s="1"/>
  <c r="Z137" i="19" s="1"/>
  <c r="S134" i="19"/>
  <c r="T134" i="19" s="1"/>
  <c r="U134" i="19" s="1"/>
  <c r="V134" i="19" s="1"/>
  <c r="W134" i="19" s="1"/>
  <c r="X134" i="19" s="1"/>
  <c r="Y134" i="19" s="1"/>
  <c r="Z134" i="19" s="1"/>
  <c r="S128" i="19"/>
  <c r="T128" i="19" s="1"/>
  <c r="U128" i="19" s="1"/>
  <c r="R149" i="19"/>
  <c r="Q148" i="19"/>
  <c r="AT102" i="19"/>
  <c r="AU102" i="19" s="1"/>
  <c r="AV102" i="19" s="1"/>
  <c r="AW102" i="19" s="1"/>
  <c r="AX102" i="19" s="1"/>
  <c r="AY102" i="19" s="1"/>
  <c r="AZ102" i="19" s="1"/>
  <c r="AS106" i="19"/>
  <c r="AT106" i="19" s="1"/>
  <c r="AU106" i="19" s="1"/>
  <c r="AV106" i="19" s="1"/>
  <c r="AW106" i="19" s="1"/>
  <c r="AX106" i="19" s="1"/>
  <c r="AY106" i="19" s="1"/>
  <c r="AZ106" i="19" s="1"/>
  <c r="AS103" i="19"/>
  <c r="AT103" i="19" s="1"/>
  <c r="AU103" i="19" s="1"/>
  <c r="AV103" i="19" s="1"/>
  <c r="AW103" i="19" s="1"/>
  <c r="AX103" i="19" s="1"/>
  <c r="AY103" i="19" s="1"/>
  <c r="AZ103" i="19" s="1"/>
  <c r="AS100" i="19"/>
  <c r="AT100" i="19" s="1"/>
  <c r="AU100" i="19" s="1"/>
  <c r="G867" i="20" s="1"/>
  <c r="AS104" i="19"/>
  <c r="AT104" i="19" s="1"/>
  <c r="AU104" i="19" s="1"/>
  <c r="AV104" i="19" s="1"/>
  <c r="AW104" i="19" s="1"/>
  <c r="AX104" i="19" s="1"/>
  <c r="AY104" i="19" s="1"/>
  <c r="AZ104" i="19" s="1"/>
  <c r="AS101" i="19"/>
  <c r="AT101" i="19" s="1"/>
  <c r="AU101" i="19" s="1"/>
  <c r="AV101" i="19" s="1"/>
  <c r="AW101" i="19" s="1"/>
  <c r="AX101" i="19" s="1"/>
  <c r="AY101" i="19" s="1"/>
  <c r="AZ101" i="19" s="1"/>
  <c r="AS98" i="19"/>
  <c r="AT98" i="19" s="1"/>
  <c r="AU98" i="19" s="1"/>
  <c r="T102" i="19"/>
  <c r="S99" i="19"/>
  <c r="T99" i="19" s="1"/>
  <c r="U99" i="19" s="1"/>
  <c r="V99" i="19" s="1"/>
  <c r="W99" i="19" s="1"/>
  <c r="X99" i="19" s="1"/>
  <c r="Y99" i="19" s="1"/>
  <c r="Z99" i="19" s="1"/>
  <c r="S105" i="19"/>
  <c r="T105" i="19" s="1"/>
  <c r="U105" i="19" s="1"/>
  <c r="V105" i="19" s="1"/>
  <c r="W105" i="19" s="1"/>
  <c r="X105" i="19" s="1"/>
  <c r="Y105" i="19" s="1"/>
  <c r="Z105" i="19" s="1"/>
  <c r="S103" i="19"/>
  <c r="T103" i="19" s="1"/>
  <c r="U103" i="19" s="1"/>
  <c r="V103" i="19" s="1"/>
  <c r="W103" i="19" s="1"/>
  <c r="X103" i="19" s="1"/>
  <c r="Y103" i="19" s="1"/>
  <c r="Z103" i="19" s="1"/>
  <c r="S100" i="19"/>
  <c r="T100" i="19" s="1"/>
  <c r="U100" i="19" s="1"/>
  <c r="G756" i="20" s="1"/>
  <c r="S107" i="19"/>
  <c r="T107" i="19" s="1"/>
  <c r="U107" i="19" s="1"/>
  <c r="V107" i="19" s="1"/>
  <c r="W107" i="19" s="1"/>
  <c r="X107" i="19" s="1"/>
  <c r="Y107" i="19" s="1"/>
  <c r="Z107" i="19" s="1"/>
  <c r="S104" i="19"/>
  <c r="T104" i="19" s="1"/>
  <c r="U104" i="19" s="1"/>
  <c r="V104" i="19" s="1"/>
  <c r="W104" i="19" s="1"/>
  <c r="X104" i="19" s="1"/>
  <c r="Y104" i="19" s="1"/>
  <c r="Z104" i="19" s="1"/>
  <c r="S101" i="19"/>
  <c r="T101" i="19" s="1"/>
  <c r="U101" i="19" s="1"/>
  <c r="V101" i="19" s="1"/>
  <c r="W101" i="19" s="1"/>
  <c r="X101" i="19" s="1"/>
  <c r="Y101" i="19" s="1"/>
  <c r="Z101" i="19" s="1"/>
  <c r="S98" i="19"/>
  <c r="T98" i="19" s="1"/>
  <c r="U98" i="19" s="1"/>
  <c r="AS76" i="19"/>
  <c r="AT76" i="19" s="1"/>
  <c r="AU76" i="19" s="1"/>
  <c r="AV76" i="19" s="1"/>
  <c r="AW76" i="19" s="1"/>
  <c r="AX76" i="19" s="1"/>
  <c r="AY76" i="19" s="1"/>
  <c r="AZ76" i="19" s="1"/>
  <c r="AS75" i="19"/>
  <c r="AT75" i="19" s="1"/>
  <c r="AU75" i="19" s="1"/>
  <c r="AV75" i="19" s="1"/>
  <c r="AW75" i="19" s="1"/>
  <c r="AX75" i="19" s="1"/>
  <c r="AY75" i="19" s="1"/>
  <c r="AZ75" i="19" s="1"/>
  <c r="AS69" i="19"/>
  <c r="AT69" i="19" s="1"/>
  <c r="AU69" i="19" s="1"/>
  <c r="AV69" i="19" s="1"/>
  <c r="AW69" i="19" s="1"/>
  <c r="AX69" i="19" s="1"/>
  <c r="AY69" i="19" s="1"/>
  <c r="AZ69" i="19" s="1"/>
  <c r="AS73" i="19"/>
  <c r="AT73" i="19" s="1"/>
  <c r="AU73" i="19" s="1"/>
  <c r="AV73" i="19" s="1"/>
  <c r="AW73" i="19" s="1"/>
  <c r="AX73" i="19" s="1"/>
  <c r="AY73" i="19" s="1"/>
  <c r="AZ73" i="19" s="1"/>
  <c r="AS70" i="19"/>
  <c r="AT70" i="19" s="1"/>
  <c r="AU70" i="19" s="1"/>
  <c r="AS77" i="19"/>
  <c r="AT77" i="19" s="1"/>
  <c r="AU77" i="19" s="1"/>
  <c r="AV77" i="19" s="1"/>
  <c r="AW77" i="19" s="1"/>
  <c r="AX77" i="19" s="1"/>
  <c r="AY77" i="19" s="1"/>
  <c r="AZ77" i="19" s="1"/>
  <c r="AS74" i="19"/>
  <c r="AT74" i="19" s="1"/>
  <c r="AU74" i="19" s="1"/>
  <c r="AV74" i="19" s="1"/>
  <c r="AW74" i="19" s="1"/>
  <c r="AX74" i="19" s="1"/>
  <c r="AY74" i="19" s="1"/>
  <c r="AZ74" i="19" s="1"/>
  <c r="AS68" i="19"/>
  <c r="AT68" i="19" s="1"/>
  <c r="AU68" i="19" s="1"/>
  <c r="AR90" i="19"/>
  <c r="AS45" i="19"/>
  <c r="AT45" i="19" s="1"/>
  <c r="AU45" i="19" s="1"/>
  <c r="AV45" i="19" s="1"/>
  <c r="AW45" i="19" s="1"/>
  <c r="AX45" i="19" s="1"/>
  <c r="AY45" i="19" s="1"/>
  <c r="AZ45" i="19" s="1"/>
  <c r="AT42" i="19"/>
  <c r="AU42" i="19" s="1"/>
  <c r="AV42" i="19" s="1"/>
  <c r="AW42" i="19" s="1"/>
  <c r="AX42" i="19" s="1"/>
  <c r="AY42" i="19" s="1"/>
  <c r="AZ42" i="19" s="1"/>
  <c r="AS46" i="19"/>
  <c r="AT46" i="19" s="1"/>
  <c r="AU46" i="19" s="1"/>
  <c r="AV46" i="19" s="1"/>
  <c r="AW46" i="19" s="1"/>
  <c r="AX46" i="19" s="1"/>
  <c r="AY46" i="19" s="1"/>
  <c r="AZ46" i="19" s="1"/>
  <c r="AS43" i="19"/>
  <c r="AT43" i="19" s="1"/>
  <c r="AU43" i="19" s="1"/>
  <c r="AV43" i="19" s="1"/>
  <c r="AW43" i="19" s="1"/>
  <c r="AX43" i="19" s="1"/>
  <c r="AY43" i="19" s="1"/>
  <c r="AZ43" i="19" s="1"/>
  <c r="AS40" i="19"/>
  <c r="AT40" i="19" s="1"/>
  <c r="AU40" i="19" s="1"/>
  <c r="AS47" i="19"/>
  <c r="AT47" i="19" s="1"/>
  <c r="AU47" i="19" s="1"/>
  <c r="AV47" i="19" s="1"/>
  <c r="AW47" i="19" s="1"/>
  <c r="AX47" i="19" s="1"/>
  <c r="AY47" i="19" s="1"/>
  <c r="AZ47" i="19" s="1"/>
  <c r="AS44" i="19"/>
  <c r="AT44" i="19" s="1"/>
  <c r="AU44" i="19" s="1"/>
  <c r="AV44" i="19" s="1"/>
  <c r="AW44" i="19" s="1"/>
  <c r="AX44" i="19" s="1"/>
  <c r="AY44" i="19" s="1"/>
  <c r="AZ44" i="19" s="1"/>
  <c r="AS38" i="19"/>
  <c r="AT38" i="19" s="1"/>
  <c r="AU38" i="19" s="1"/>
  <c r="AS15" i="19"/>
  <c r="AT15" i="19" s="1"/>
  <c r="AU15" i="19" s="1"/>
  <c r="AV15" i="19" s="1"/>
  <c r="AW15" i="19" s="1"/>
  <c r="AX15" i="19" s="1"/>
  <c r="AY15" i="19" s="1"/>
  <c r="AZ15" i="19" s="1"/>
  <c r="AS9" i="19"/>
  <c r="AT9" i="19" s="1"/>
  <c r="AU9" i="19" s="1"/>
  <c r="AV9" i="19" s="1"/>
  <c r="AW9" i="19" s="1"/>
  <c r="AX9" i="19" s="1"/>
  <c r="AY9" i="19" s="1"/>
  <c r="AZ9" i="19" s="1"/>
  <c r="AS10" i="19"/>
  <c r="AT10" i="19" s="1"/>
  <c r="AU10" i="19" s="1"/>
  <c r="G423" i="20" s="1"/>
  <c r="AS13" i="19"/>
  <c r="AT13" i="19" s="1"/>
  <c r="AU13" i="19" s="1"/>
  <c r="AV13" i="19" s="1"/>
  <c r="AW13" i="19" s="1"/>
  <c r="AX13" i="19" s="1"/>
  <c r="AY13" i="19" s="1"/>
  <c r="AZ13" i="19" s="1"/>
  <c r="AS17" i="19"/>
  <c r="AT17" i="19" s="1"/>
  <c r="AU17" i="19" s="1"/>
  <c r="AV17" i="19" s="1"/>
  <c r="AW17" i="19" s="1"/>
  <c r="AX17" i="19" s="1"/>
  <c r="AY17" i="19" s="1"/>
  <c r="AZ17" i="19" s="1"/>
  <c r="AS14" i="19"/>
  <c r="AT14" i="19" s="1"/>
  <c r="AU14" i="19" s="1"/>
  <c r="AV14" i="19" s="1"/>
  <c r="AW14" i="19" s="1"/>
  <c r="AX14" i="19" s="1"/>
  <c r="AY14" i="19" s="1"/>
  <c r="AZ14" i="19" s="1"/>
  <c r="AS8" i="19"/>
  <c r="AT8" i="19" s="1"/>
  <c r="AU8" i="19" s="1"/>
  <c r="S9" i="19"/>
  <c r="T9" i="19" s="1"/>
  <c r="U9" i="19" s="1"/>
  <c r="V9" i="19" s="1"/>
  <c r="W9" i="19" s="1"/>
  <c r="X9" i="19" s="1"/>
  <c r="Y9" i="19" s="1"/>
  <c r="Z9" i="19" s="1"/>
  <c r="R70" i="19"/>
  <c r="D381" i="20"/>
  <c r="C353" i="20"/>
  <c r="D361" i="20"/>
  <c r="S68" i="19"/>
  <c r="T68" i="19" s="1"/>
  <c r="U68" i="19" s="1"/>
  <c r="S14" i="19"/>
  <c r="T14" i="19" s="1"/>
  <c r="U14" i="19" s="1"/>
  <c r="V14" i="19" s="1"/>
  <c r="W14" i="19" s="1"/>
  <c r="X14" i="19" s="1"/>
  <c r="Y14" i="19" s="1"/>
  <c r="Z14" i="19" s="1"/>
  <c r="S44" i="19"/>
  <c r="T44" i="19" s="1"/>
  <c r="U44" i="19" s="1"/>
  <c r="V44" i="19" s="1"/>
  <c r="W44" i="19" s="1"/>
  <c r="X44" i="19" s="1"/>
  <c r="Y44" i="19" s="1"/>
  <c r="Z44" i="19" s="1"/>
  <c r="S71" i="19"/>
  <c r="T72" i="19"/>
  <c r="S39" i="19"/>
  <c r="T39" i="19" s="1"/>
  <c r="U39" i="19" s="1"/>
  <c r="V39" i="19" s="1"/>
  <c r="W39" i="19" s="1"/>
  <c r="X39" i="19" s="1"/>
  <c r="Y39" i="19" s="1"/>
  <c r="Z39" i="19" s="1"/>
  <c r="D250" i="20"/>
  <c r="E254" i="20"/>
  <c r="E255" i="20" s="1"/>
  <c r="E279" i="20" s="1"/>
  <c r="S77" i="19"/>
  <c r="T77" i="19" s="1"/>
  <c r="U77" i="19" s="1"/>
  <c r="V77" i="19" s="1"/>
  <c r="W77" i="19" s="1"/>
  <c r="X77" i="19" s="1"/>
  <c r="Y77" i="19" s="1"/>
  <c r="Z77" i="19" s="1"/>
  <c r="S76" i="19"/>
  <c r="T76" i="19" s="1"/>
  <c r="U76" i="19" s="1"/>
  <c r="V76" i="19" s="1"/>
  <c r="W76" i="19" s="1"/>
  <c r="X76" i="19" s="1"/>
  <c r="Y76" i="19" s="1"/>
  <c r="Z76" i="19" s="1"/>
  <c r="S75" i="19"/>
  <c r="T75" i="19" s="1"/>
  <c r="U75" i="19" s="1"/>
  <c r="V75" i="19" s="1"/>
  <c r="W75" i="19" s="1"/>
  <c r="X75" i="19" s="1"/>
  <c r="Y75" i="19" s="1"/>
  <c r="Z75" i="19" s="1"/>
  <c r="S74" i="19"/>
  <c r="T74" i="19" s="1"/>
  <c r="U74" i="19" s="1"/>
  <c r="V74" i="19" s="1"/>
  <c r="W74" i="19" s="1"/>
  <c r="X74" i="19" s="1"/>
  <c r="Y74" i="19" s="1"/>
  <c r="Z74" i="19" s="1"/>
  <c r="S73" i="19"/>
  <c r="T73" i="19" s="1"/>
  <c r="U73" i="19" s="1"/>
  <c r="V73" i="19" s="1"/>
  <c r="W73" i="19" s="1"/>
  <c r="X73" i="19" s="1"/>
  <c r="Y73" i="19" s="1"/>
  <c r="Z73" i="19" s="1"/>
  <c r="S70" i="19"/>
  <c r="T70" i="19" s="1"/>
  <c r="U70" i="19" s="1"/>
  <c r="G312" i="20" s="1"/>
  <c r="Q84" i="19"/>
  <c r="S47" i="19"/>
  <c r="T47" i="19" s="1"/>
  <c r="U47" i="19" s="1"/>
  <c r="V47" i="19" s="1"/>
  <c r="W47" i="19" s="1"/>
  <c r="X47" i="19" s="1"/>
  <c r="Y47" i="19" s="1"/>
  <c r="Z47" i="19" s="1"/>
  <c r="S46" i="19"/>
  <c r="T46" i="19" s="1"/>
  <c r="U46" i="19" s="1"/>
  <c r="V46" i="19" s="1"/>
  <c r="W46" i="19" s="1"/>
  <c r="X46" i="19" s="1"/>
  <c r="Y46" i="19" s="1"/>
  <c r="Z46" i="19" s="1"/>
  <c r="S43" i="19"/>
  <c r="T43" i="19" s="1"/>
  <c r="U43" i="19" s="1"/>
  <c r="V43" i="19" s="1"/>
  <c r="W43" i="19" s="1"/>
  <c r="X43" i="19" s="1"/>
  <c r="Y43" i="19" s="1"/>
  <c r="Z43" i="19" s="1"/>
  <c r="S40" i="19"/>
  <c r="T40" i="19" s="1"/>
  <c r="U40" i="19" s="1"/>
  <c r="G201" i="20" s="1"/>
  <c r="S38" i="19"/>
  <c r="T38" i="19" s="1"/>
  <c r="U38" i="19" s="1"/>
  <c r="AR150" i="19"/>
  <c r="AQ118" i="19"/>
  <c r="C911" i="20"/>
  <c r="D90" i="20"/>
  <c r="R142" i="19"/>
  <c r="D27" i="20"/>
  <c r="D29" i="20" s="1"/>
  <c r="D56" i="20" s="1"/>
  <c r="Q144" i="19"/>
  <c r="C90" i="20"/>
  <c r="C903" i="20"/>
  <c r="AR118" i="19"/>
  <c r="E17" i="19"/>
  <c r="F17" i="19" s="1"/>
  <c r="G17" i="19" s="1"/>
  <c r="H17" i="19" s="1"/>
  <c r="I17" i="19" s="1"/>
  <c r="J17" i="19" s="1"/>
  <c r="K17" i="19" s="1"/>
  <c r="L17" i="19" s="1"/>
  <c r="AR145" i="19"/>
  <c r="C24" i="20"/>
  <c r="AQ29" i="19"/>
  <c r="D13" i="19"/>
  <c r="AQ89" i="19"/>
  <c r="R118" i="19"/>
  <c r="D928" i="20"/>
  <c r="D479" i="20"/>
  <c r="D709" i="20"/>
  <c r="D711" i="20" s="1"/>
  <c r="D726" i="20" s="1"/>
  <c r="C471" i="20"/>
  <c r="R31" i="20" s="1"/>
  <c r="AS56" i="19"/>
  <c r="C705" i="20"/>
  <c r="C261" i="20"/>
  <c r="E13" i="19"/>
  <c r="F13" i="19" s="1"/>
  <c r="G13" i="19" s="1"/>
  <c r="H13" i="19" s="1"/>
  <c r="I13" i="19" s="1"/>
  <c r="J13" i="19" s="1"/>
  <c r="K13" i="19" s="1"/>
  <c r="L13" i="19" s="1"/>
  <c r="AR58" i="19"/>
  <c r="Q120" i="19"/>
  <c r="AQ59" i="19"/>
  <c r="AR120" i="19"/>
  <c r="AR85" i="19"/>
  <c r="C1047" i="20"/>
  <c r="C1048" i="20" s="1"/>
  <c r="C1060" i="20" s="1"/>
  <c r="AQ54" i="19"/>
  <c r="AR115" i="19"/>
  <c r="Q60" i="19"/>
  <c r="AR148" i="19"/>
  <c r="E11" i="19"/>
  <c r="F11" i="19" s="1"/>
  <c r="G11" i="19" s="1"/>
  <c r="H11" i="19" s="1"/>
  <c r="I11" i="19" s="1"/>
  <c r="J11" i="19" s="1"/>
  <c r="K11" i="19" s="1"/>
  <c r="L11" i="19" s="1"/>
  <c r="L28" i="20" s="1"/>
  <c r="D817" i="20"/>
  <c r="Q54" i="19"/>
  <c r="E10" i="19"/>
  <c r="F10" i="19" s="1"/>
  <c r="G10" i="19" s="1"/>
  <c r="H10" i="19" s="1"/>
  <c r="I10" i="19" s="1"/>
  <c r="J10" i="19" s="1"/>
  <c r="K10" i="19" s="1"/>
  <c r="L10" i="19" s="1"/>
  <c r="D820" i="20"/>
  <c r="C147" i="20"/>
  <c r="E16" i="19"/>
  <c r="F16" i="19" s="1"/>
  <c r="G16" i="19" s="1"/>
  <c r="H16" i="19" s="1"/>
  <c r="I16" i="19" s="1"/>
  <c r="J16" i="19" s="1"/>
  <c r="K16" i="19" s="1"/>
  <c r="L16" i="19" s="1"/>
  <c r="S116" i="19"/>
  <c r="Q150" i="19"/>
  <c r="AR143" i="19"/>
  <c r="E15" i="19"/>
  <c r="F15" i="19" s="1"/>
  <c r="G15" i="19" s="1"/>
  <c r="H15" i="19" s="1"/>
  <c r="I15" i="19" s="1"/>
  <c r="J15" i="19" s="1"/>
  <c r="K15" i="19" s="1"/>
  <c r="L15" i="19" s="1"/>
  <c r="C603" i="20"/>
  <c r="C604" i="20" s="1"/>
  <c r="C616" i="20" s="1"/>
  <c r="D579" i="20"/>
  <c r="R150" i="19"/>
  <c r="C1023" i="20"/>
  <c r="F12" i="19"/>
  <c r="G12" i="19" s="1"/>
  <c r="H12" i="19" s="1"/>
  <c r="I12" i="19" s="1"/>
  <c r="J12" i="19" s="1"/>
  <c r="K12" i="19" s="1"/>
  <c r="L12" i="19" s="1"/>
  <c r="AQ58" i="19"/>
  <c r="Q58" i="19"/>
  <c r="R119" i="19"/>
  <c r="AR25" i="19"/>
  <c r="C36" i="20"/>
  <c r="C820" i="20"/>
  <c r="D932" i="20"/>
  <c r="D8" i="19"/>
  <c r="E8" i="19" s="1"/>
  <c r="F8" i="19" s="1"/>
  <c r="G8" i="19" s="1"/>
  <c r="H8" i="19" s="1"/>
  <c r="I8" i="19" s="1"/>
  <c r="J8" i="19" s="1"/>
  <c r="K8" i="19" s="1"/>
  <c r="L8" i="19" s="1"/>
  <c r="Q114" i="19"/>
  <c r="AQ52" i="19"/>
  <c r="AS146" i="19"/>
  <c r="R8" i="19"/>
  <c r="S8" i="19" s="1"/>
  <c r="R60" i="19"/>
  <c r="C1015" i="20"/>
  <c r="AQ112" i="19"/>
  <c r="AR55" i="19"/>
  <c r="AS26" i="19"/>
  <c r="AQ114" i="19"/>
  <c r="AQ120" i="19"/>
  <c r="D694" i="20"/>
  <c r="C701" i="20"/>
  <c r="R145" i="19"/>
  <c r="AQ119" i="19"/>
  <c r="AR60" i="19"/>
  <c r="C702" i="20"/>
  <c r="C154" i="20"/>
  <c r="C156" i="20" s="1"/>
  <c r="C171" i="20" s="1"/>
  <c r="R55" i="19"/>
  <c r="AR119" i="19"/>
  <c r="AQ28" i="19"/>
  <c r="AR88" i="19"/>
  <c r="C85" i="20"/>
  <c r="D472" i="20"/>
  <c r="R120" i="19"/>
  <c r="Q117" i="19"/>
  <c r="S56" i="19"/>
  <c r="C23" i="20"/>
  <c r="C25" i="20" s="1"/>
  <c r="C55" i="20" s="1"/>
  <c r="E809" i="20"/>
  <c r="E810" i="20" s="1"/>
  <c r="E834" i="20" s="1"/>
  <c r="C14" i="19"/>
  <c r="Q27" i="19" s="1"/>
  <c r="AQ84" i="19"/>
  <c r="AR29" i="19"/>
  <c r="AQ60" i="19"/>
  <c r="D377" i="20"/>
  <c r="D378" i="20" s="1"/>
  <c r="D393" i="20" s="1"/>
  <c r="R148" i="19"/>
  <c r="AR28" i="19"/>
  <c r="Q118" i="19"/>
  <c r="C373" i="20"/>
  <c r="C374" i="20" s="1"/>
  <c r="C392" i="20" s="1"/>
  <c r="Q59" i="19"/>
  <c r="Q113" i="19"/>
  <c r="Q119" i="19"/>
  <c r="AQ24" i="19"/>
  <c r="AQ30" i="19"/>
  <c r="AQ113" i="19"/>
  <c r="Q83" i="19"/>
  <c r="AQ143" i="19"/>
  <c r="AQ23" i="19"/>
  <c r="Q82" i="19"/>
  <c r="AQ22" i="19"/>
  <c r="Q142" i="19"/>
  <c r="C904" i="20"/>
  <c r="C16" i="20"/>
  <c r="C17" i="20" s="1"/>
  <c r="C571" i="20"/>
  <c r="C572" i="20" s="1"/>
  <c r="R27" i="19"/>
  <c r="AQ142" i="19"/>
  <c r="Q52" i="19"/>
  <c r="AQ117" i="19"/>
  <c r="AQ82" i="19"/>
  <c r="D706" i="20"/>
  <c r="AR149" i="19"/>
  <c r="AS120" i="19"/>
  <c r="C816" i="20"/>
  <c r="D804" i="20"/>
  <c r="D806" i="20" s="1"/>
  <c r="D833" i="20" s="1"/>
  <c r="AS116" i="19"/>
  <c r="C812" i="20"/>
  <c r="AT86" i="19"/>
  <c r="E586" i="20"/>
  <c r="AS86" i="19"/>
  <c r="D598" i="20"/>
  <c r="D600" i="20" s="1"/>
  <c r="D615" i="20" s="1"/>
  <c r="AQ88" i="19"/>
  <c r="C491" i="20"/>
  <c r="C493" i="20" s="1"/>
  <c r="C505" i="20" s="1"/>
  <c r="AR59" i="19"/>
  <c r="AQ53" i="19"/>
  <c r="AR30" i="19"/>
  <c r="D360" i="20"/>
  <c r="D927" i="20"/>
  <c r="D935" i="20"/>
  <c r="D907" i="20"/>
  <c r="S146" i="19"/>
  <c r="Q149" i="19"/>
  <c r="D693" i="20"/>
  <c r="R115" i="19"/>
  <c r="C689" i="20"/>
  <c r="C691" i="20" s="1"/>
  <c r="C721" i="20" s="1"/>
  <c r="C713" i="20"/>
  <c r="C715" i="20" s="1"/>
  <c r="Q112" i="19"/>
  <c r="D241" i="20"/>
  <c r="R83" i="19"/>
  <c r="C237" i="20"/>
  <c r="R85" i="19"/>
  <c r="S86" i="19"/>
  <c r="R57" i="19"/>
  <c r="C158" i="20"/>
  <c r="C160" i="20" s="1"/>
  <c r="R58" i="19"/>
  <c r="C126" i="20"/>
  <c r="R59" i="19"/>
  <c r="C150" i="20"/>
  <c r="Q53" i="19"/>
  <c r="D483" i="20"/>
  <c r="D485" i="20" s="1"/>
  <c r="D503" i="20" s="1"/>
  <c r="C483" i="20"/>
  <c r="D594" i="20"/>
  <c r="D596" i="20" s="1"/>
  <c r="D614" i="20" s="1"/>
  <c r="D792" i="20"/>
  <c r="D796" i="20"/>
  <c r="D824" i="20"/>
  <c r="D826" i="20" s="1"/>
  <c r="D838" i="20" s="1"/>
  <c r="C1022" i="20"/>
  <c r="D915" i="20"/>
  <c r="D917" i="20" s="1"/>
  <c r="D944" i="20" s="1"/>
  <c r="E919" i="20"/>
  <c r="E921" i="20" s="1"/>
  <c r="E945" i="20" s="1"/>
  <c r="D705" i="20"/>
  <c r="E697" i="20"/>
  <c r="E699" i="20" s="1"/>
  <c r="E723" i="20" s="1"/>
  <c r="C134" i="20"/>
  <c r="D146" i="20"/>
  <c r="D154" i="20"/>
  <c r="D138" i="20"/>
  <c r="D150" i="20"/>
  <c r="D366" i="20"/>
  <c r="D390" i="20" s="1"/>
  <c r="C588" i="20"/>
  <c r="C612" i="20" s="1"/>
  <c r="E1031" i="20"/>
  <c r="AQ147" i="19"/>
  <c r="D936" i="20"/>
  <c r="C682" i="20"/>
  <c r="D139" i="20"/>
  <c r="S17" i="19"/>
  <c r="T17" i="19" s="1"/>
  <c r="U17" i="19" s="1"/>
  <c r="V17" i="19" s="1"/>
  <c r="W17" i="19" s="1"/>
  <c r="X17" i="19" s="1"/>
  <c r="Y17" i="19" s="1"/>
  <c r="Z17" i="19" s="1"/>
  <c r="S16" i="19"/>
  <c r="T16" i="19" s="1"/>
  <c r="U16" i="19" s="1"/>
  <c r="V16" i="19" s="1"/>
  <c r="W16" i="19" s="1"/>
  <c r="X16" i="19" s="1"/>
  <c r="Y16" i="19" s="1"/>
  <c r="Z16" i="19" s="1"/>
  <c r="S15" i="19"/>
  <c r="T15" i="19" s="1"/>
  <c r="U15" i="19" s="1"/>
  <c r="V15" i="19" s="1"/>
  <c r="W15" i="19" s="1"/>
  <c r="X15" i="19" s="1"/>
  <c r="Y15" i="19" s="1"/>
  <c r="Z15" i="19" s="1"/>
  <c r="S13" i="19"/>
  <c r="T12" i="19"/>
  <c r="U12" i="19" s="1"/>
  <c r="V12" i="19" s="1"/>
  <c r="W12" i="19" s="1"/>
  <c r="X12" i="19" s="1"/>
  <c r="Y12" i="19" s="1"/>
  <c r="Z12" i="19" s="1"/>
  <c r="S11" i="19"/>
  <c r="T11" i="19" s="1"/>
  <c r="U11" i="19" s="1"/>
  <c r="V11" i="19" s="1"/>
  <c r="W11" i="19" s="1"/>
  <c r="X11" i="19" s="1"/>
  <c r="Y11" i="19" s="1"/>
  <c r="Z11" i="19" s="1"/>
  <c r="S10" i="19"/>
  <c r="E32" i="20"/>
  <c r="E33" i="20" s="1"/>
  <c r="E57" i="20" s="1"/>
  <c r="D83" i="20"/>
  <c r="E83" i="20" s="1"/>
  <c r="F83" i="20" s="1"/>
  <c r="G83" i="20" s="1"/>
  <c r="H83" i="20" s="1"/>
  <c r="I83" i="20" s="1"/>
  <c r="J83" i="20" s="1"/>
  <c r="K83" i="20" s="1"/>
  <c r="L83" i="20" s="1"/>
  <c r="C411" i="20"/>
  <c r="C921" i="20"/>
  <c r="C945" i="20" s="1"/>
  <c r="C146" i="20"/>
  <c r="C681" i="20"/>
  <c r="C744" i="20"/>
  <c r="D588" i="20"/>
  <c r="D612" i="20" s="1"/>
  <c r="R92" i="20"/>
  <c r="C817" i="20"/>
  <c r="C855" i="20"/>
  <c r="D82" i="20"/>
  <c r="E82" i="20" s="1"/>
  <c r="F82" i="20" s="1"/>
  <c r="G82" i="20" s="1"/>
  <c r="H82" i="20" s="1"/>
  <c r="I82" i="20" s="1"/>
  <c r="J82" i="20" s="1"/>
  <c r="K82" i="20" s="1"/>
  <c r="L82" i="20" s="1"/>
  <c r="D84" i="20"/>
  <c r="E84" i="20" s="1"/>
  <c r="F84" i="20" s="1"/>
  <c r="G84" i="20" s="1"/>
  <c r="H84" i="20" s="1"/>
  <c r="I84" i="20" s="1"/>
  <c r="J84" i="20" s="1"/>
  <c r="K84" i="20" s="1"/>
  <c r="L84" i="20" s="1"/>
  <c r="D100" i="20"/>
  <c r="E100" i="20" s="1"/>
  <c r="F100" i="20" s="1"/>
  <c r="G100" i="20" s="1"/>
  <c r="H100" i="20" s="1"/>
  <c r="I100" i="20" s="1"/>
  <c r="J100" i="20" s="1"/>
  <c r="K100" i="20" s="1"/>
  <c r="L100" i="20" s="1"/>
  <c r="R122" i="20"/>
  <c r="C821" i="20"/>
  <c r="C467" i="20"/>
  <c r="C469" i="20" s="1"/>
  <c r="C499" i="20" s="1"/>
  <c r="D821" i="20"/>
  <c r="D94" i="20"/>
  <c r="E94" i="20" s="1"/>
  <c r="F94" i="20" s="1"/>
  <c r="G94" i="20" s="1"/>
  <c r="H94" i="20" s="1"/>
  <c r="I94" i="20" s="1"/>
  <c r="J94" i="20" s="1"/>
  <c r="K94" i="20" s="1"/>
  <c r="L94" i="20" s="1"/>
  <c r="R105" i="20"/>
  <c r="D92" i="20"/>
  <c r="E92" i="20" s="1"/>
  <c r="F92" i="20" s="1"/>
  <c r="G92" i="20" s="1"/>
  <c r="H92" i="20" s="1"/>
  <c r="I92" i="20" s="1"/>
  <c r="J92" i="20" s="1"/>
  <c r="K92" i="20" s="1"/>
  <c r="L92" i="20" s="1"/>
  <c r="R116" i="20"/>
  <c r="D812" i="20"/>
  <c r="R91" i="20"/>
  <c r="Q24" i="19"/>
  <c r="C907" i="20"/>
  <c r="C909" i="20" s="1"/>
  <c r="D91" i="20"/>
  <c r="E91" i="20" s="1"/>
  <c r="F91" i="20" s="1"/>
  <c r="G91" i="20" s="1"/>
  <c r="H91" i="20" s="1"/>
  <c r="I91" i="20" s="1"/>
  <c r="J91" i="20" s="1"/>
  <c r="K91" i="20" s="1"/>
  <c r="L91" i="20" s="1"/>
  <c r="C699" i="20"/>
  <c r="C723" i="20" s="1"/>
  <c r="C459" i="20"/>
  <c r="D93" i="20"/>
  <c r="E93" i="20" s="1"/>
  <c r="F93" i="20" s="1"/>
  <c r="G93" i="20" s="1"/>
  <c r="H93" i="20" s="1"/>
  <c r="I93" i="20" s="1"/>
  <c r="J93" i="20" s="1"/>
  <c r="K93" i="20" s="1"/>
  <c r="L93" i="20" s="1"/>
  <c r="D89" i="20"/>
  <c r="E89" i="20" s="1"/>
  <c r="F89" i="20" s="1"/>
  <c r="G89" i="20" s="1"/>
  <c r="H89" i="20" s="1"/>
  <c r="I89" i="20" s="1"/>
  <c r="J89" i="20" s="1"/>
  <c r="K89" i="20" s="1"/>
  <c r="L89" i="20" s="1"/>
  <c r="C991" i="20"/>
  <c r="R104" i="20"/>
  <c r="C706" i="20"/>
  <c r="C590" i="20"/>
  <c r="C35" i="20"/>
  <c r="C257" i="20"/>
  <c r="C380" i="20"/>
  <c r="C591" i="20"/>
  <c r="D1027" i="20"/>
  <c r="D921" i="20"/>
  <c r="D945" i="20" s="1"/>
  <c r="R93" i="20"/>
  <c r="C966" i="20"/>
  <c r="C1077" i="20"/>
  <c r="C480" i="20"/>
  <c r="C481" i="20" s="1"/>
  <c r="C502" i="20" s="1"/>
  <c r="D87" i="20"/>
  <c r="E87" i="20" s="1"/>
  <c r="F87" i="20" s="1"/>
  <c r="G87" i="20" s="1"/>
  <c r="H87" i="20" s="1"/>
  <c r="I87" i="20" s="1"/>
  <c r="J87" i="20" s="1"/>
  <c r="K87" i="20" s="1"/>
  <c r="L87" i="20" s="1"/>
  <c r="C810" i="20"/>
  <c r="C834" i="20" s="1"/>
  <c r="D1039" i="20"/>
  <c r="D88" i="20"/>
  <c r="E88" i="20" s="1"/>
  <c r="F88" i="20" s="1"/>
  <c r="G88" i="20" s="1"/>
  <c r="H88" i="20" s="1"/>
  <c r="I88" i="20" s="1"/>
  <c r="J88" i="20" s="1"/>
  <c r="K88" i="20" s="1"/>
  <c r="L88" i="20" s="1"/>
  <c r="Q30" i="19"/>
  <c r="Q29" i="19"/>
  <c r="C1042" i="20"/>
  <c r="C1044" i="20" s="1"/>
  <c r="C1059" i="20" s="1"/>
  <c r="F587" i="20"/>
  <c r="D95" i="20"/>
  <c r="E95" i="20" s="1"/>
  <c r="F95" i="20" s="1"/>
  <c r="G95" i="20" s="1"/>
  <c r="H95" i="20" s="1"/>
  <c r="I95" i="20" s="1"/>
  <c r="J95" i="20" s="1"/>
  <c r="K95" i="20" s="1"/>
  <c r="L95" i="20" s="1"/>
  <c r="C368" i="20"/>
  <c r="C370" i="20" s="1"/>
  <c r="C391" i="20" s="1"/>
  <c r="C792" i="20"/>
  <c r="C813" i="20"/>
  <c r="C923" i="20"/>
  <c r="C214" i="20"/>
  <c r="C348" i="20"/>
  <c r="C800" i="20"/>
  <c r="C924" i="20"/>
  <c r="R94" i="20"/>
  <c r="C1034" i="20"/>
  <c r="R103" i="20"/>
  <c r="C300" i="20"/>
  <c r="C44" i="20"/>
  <c r="C685" i="20"/>
  <c r="C687" i="20" s="1"/>
  <c r="D48" i="20"/>
  <c r="D49" i="20" s="1"/>
  <c r="C135" i="20"/>
  <c r="C349" i="20"/>
  <c r="Q23" i="19"/>
  <c r="C1035" i="20"/>
  <c r="D1047" i="20"/>
  <c r="D1048" i="20" s="1"/>
  <c r="D1060" i="20" s="1"/>
  <c r="Q28" i="19"/>
  <c r="D160" i="20"/>
  <c r="D172" i="20" s="1"/>
  <c r="D477" i="20"/>
  <c r="D501" i="20" s="1"/>
  <c r="C477" i="20"/>
  <c r="C501" i="20" s="1"/>
  <c r="C49" i="20"/>
  <c r="C61" i="20" s="1"/>
  <c r="C1032" i="20"/>
  <c r="C1056" i="20" s="1"/>
  <c r="C41" i="20"/>
  <c r="C59" i="20" s="1"/>
  <c r="D699" i="20"/>
  <c r="D723" i="20" s="1"/>
  <c r="C366" i="20"/>
  <c r="C390" i="20" s="1"/>
  <c r="C933" i="20"/>
  <c r="C948" i="20" s="1"/>
  <c r="C793" i="20"/>
  <c r="D130" i="20"/>
  <c r="C241" i="20"/>
  <c r="C796" i="20"/>
  <c r="C798" i="20" s="1"/>
  <c r="C464" i="20"/>
  <c r="C465" i="20" s="1"/>
  <c r="Q22" i="19"/>
  <c r="C238" i="20"/>
  <c r="C460" i="20"/>
  <c r="C1014" i="20"/>
  <c r="C1018" i="20"/>
  <c r="R25" i="19"/>
  <c r="R30" i="19"/>
  <c r="R97" i="20"/>
  <c r="R121" i="20"/>
  <c r="R95" i="20"/>
  <c r="T122" i="20"/>
  <c r="S122" i="20"/>
  <c r="C436" i="20"/>
  <c r="R96" i="20"/>
  <c r="R109" i="20"/>
  <c r="R110" i="20"/>
  <c r="R108" i="20"/>
  <c r="R112" i="20"/>
  <c r="R113" i="20"/>
  <c r="R114" i="20"/>
  <c r="R115" i="20"/>
  <c r="D382" i="20"/>
  <c r="D394" i="20" s="1"/>
  <c r="E365" i="20"/>
  <c r="C357" i="20"/>
  <c r="C358" i="20" s="1"/>
  <c r="C388" i="20" s="1"/>
  <c r="C362" i="20"/>
  <c r="C389" i="20" s="1"/>
  <c r="D492" i="20"/>
  <c r="D493" i="20" s="1"/>
  <c r="D505" i="20" s="1"/>
  <c r="E587" i="20"/>
  <c r="C600" i="20"/>
  <c r="C615" i="20" s="1"/>
  <c r="C584" i="20"/>
  <c r="C611" i="20" s="1"/>
  <c r="D583" i="20"/>
  <c r="D584" i="20" s="1"/>
  <c r="D611" i="20" s="1"/>
  <c r="D603" i="20"/>
  <c r="C806" i="20"/>
  <c r="C833" i="20" s="1"/>
  <c r="C801" i="20"/>
  <c r="C825" i="20"/>
  <c r="D810" i="20"/>
  <c r="D834" i="20" s="1"/>
  <c r="E1043" i="20"/>
  <c r="D1043" i="20"/>
  <c r="D1044" i="20" s="1"/>
  <c r="D1059" i="20" s="1"/>
  <c r="D1032" i="20"/>
  <c r="D1056" i="20" s="1"/>
  <c r="C1028" i="20"/>
  <c r="C1055" i="20" s="1"/>
  <c r="C917" i="20"/>
  <c r="C944" i="20" s="1"/>
  <c r="D933" i="20"/>
  <c r="D948" i="20" s="1"/>
  <c r="D714" i="20"/>
  <c r="C711" i="20"/>
  <c r="C726" i="20" s="1"/>
  <c r="C246" i="20"/>
  <c r="C247" i="20" s="1"/>
  <c r="C277" i="20" s="1"/>
  <c r="C242" i="20"/>
  <c r="D257" i="20"/>
  <c r="D249" i="20"/>
  <c r="D261" i="20"/>
  <c r="D265" i="20"/>
  <c r="D701" i="20"/>
  <c r="D713" i="20"/>
  <c r="C695" i="20"/>
  <c r="C722" i="20" s="1"/>
  <c r="D923" i="20"/>
  <c r="D1014" i="20"/>
  <c r="D1018" i="20"/>
  <c r="D1034" i="20"/>
  <c r="E1030" i="20"/>
  <c r="D1026" i="20"/>
  <c r="D590" i="20"/>
  <c r="D578" i="20"/>
  <c r="D602" i="20"/>
  <c r="C578" i="20"/>
  <c r="C580" i="20" s="1"/>
  <c r="C610" i="20" s="1"/>
  <c r="D348" i="20"/>
  <c r="D352" i="20"/>
  <c r="E364" i="20"/>
  <c r="C376" i="20"/>
  <c r="C378" i="20" s="1"/>
  <c r="C393" i="20" s="1"/>
  <c r="C352" i="20"/>
  <c r="C354" i="20" s="1"/>
  <c r="D459" i="20"/>
  <c r="E475" i="20"/>
  <c r="E477" i="20" s="1"/>
  <c r="E501" i="20" s="1"/>
  <c r="D471" i="20"/>
  <c r="S37" i="20"/>
  <c r="R37" i="20"/>
  <c r="D144" i="20"/>
  <c r="D168" i="20" s="1"/>
  <c r="E144" i="20"/>
  <c r="E168" i="20" s="1"/>
  <c r="S26" i="19"/>
  <c r="C33" i="20"/>
  <c r="C57" i="20" s="1"/>
  <c r="D44" i="20"/>
  <c r="D45" i="20" s="1"/>
  <c r="D151" i="20"/>
  <c r="E151" i="20"/>
  <c r="C140" i="20"/>
  <c r="C167" i="20" s="1"/>
  <c r="C132" i="20"/>
  <c r="C127" i="20"/>
  <c r="C144" i="20"/>
  <c r="F32" i="20"/>
  <c r="D33" i="20"/>
  <c r="C29" i="20"/>
  <c r="C21" i="20"/>
  <c r="C937" i="20"/>
  <c r="C949" i="20" s="1"/>
  <c r="D991" i="20"/>
  <c r="E991" i="20"/>
  <c r="E145" i="19"/>
  <c r="F145" i="19" s="1"/>
  <c r="AE148" i="19"/>
  <c r="E149" i="19"/>
  <c r="F149" i="19" s="1"/>
  <c r="G149" i="19" s="1"/>
  <c r="H149" i="19" s="1"/>
  <c r="I149" i="19" s="1"/>
  <c r="J149" i="19" s="1"/>
  <c r="K149" i="19" s="1"/>
  <c r="L149" i="19" s="1"/>
  <c r="AE118" i="19"/>
  <c r="AF118" i="19" s="1"/>
  <c r="AG118" i="19" s="1"/>
  <c r="AH118" i="19" s="1"/>
  <c r="AI118" i="19" s="1"/>
  <c r="AJ118" i="19" s="1"/>
  <c r="AK118" i="19" s="1"/>
  <c r="AL118" i="19" s="1"/>
  <c r="AE113" i="19"/>
  <c r="AF113" i="19" s="1"/>
  <c r="AG113" i="19" s="1"/>
  <c r="AH113" i="19" s="1"/>
  <c r="AI113" i="19" s="1"/>
  <c r="AJ113" i="19" s="1"/>
  <c r="AK113" i="19" s="1"/>
  <c r="AL113" i="19" s="1"/>
  <c r="E148" i="19"/>
  <c r="AE120" i="19"/>
  <c r="AT107" i="19" s="1"/>
  <c r="F116" i="19"/>
  <c r="G116" i="19" s="1"/>
  <c r="H116" i="19" s="1"/>
  <c r="I116" i="19" s="1"/>
  <c r="J116" i="19" s="1"/>
  <c r="K116" i="19" s="1"/>
  <c r="L116" i="19" s="1"/>
  <c r="E119" i="19"/>
  <c r="F119" i="19" s="1"/>
  <c r="G119" i="19" s="1"/>
  <c r="H119" i="19" s="1"/>
  <c r="I119" i="19" s="1"/>
  <c r="J119" i="19" s="1"/>
  <c r="K119" i="19" s="1"/>
  <c r="L119" i="19" s="1"/>
  <c r="C633" i="20"/>
  <c r="C547" i="20"/>
  <c r="C522" i="20"/>
  <c r="C658" i="20"/>
  <c r="D369" i="20"/>
  <c r="C489" i="20"/>
  <c r="C504" i="20" s="1"/>
  <c r="D489" i="20"/>
  <c r="D504" i="20" s="1"/>
  <c r="D368" i="20"/>
  <c r="C576" i="20"/>
  <c r="C473" i="20"/>
  <c r="C500" i="20" s="1"/>
  <c r="C325" i="20"/>
  <c r="C189" i="20"/>
  <c r="C103" i="20"/>
  <c r="C78" i="20"/>
  <c r="R29" i="19"/>
  <c r="AF86" i="19"/>
  <c r="AG86" i="19" s="1"/>
  <c r="AH86" i="19" s="1"/>
  <c r="AI86" i="19" s="1"/>
  <c r="AJ86" i="19" s="1"/>
  <c r="AK86" i="19" s="1"/>
  <c r="AL86" i="19" s="1"/>
  <c r="AE85" i="19"/>
  <c r="AF85" i="19" s="1"/>
  <c r="AG85" i="19" s="1"/>
  <c r="AH85" i="19" s="1"/>
  <c r="AI85" i="19" s="1"/>
  <c r="AJ85" i="19" s="1"/>
  <c r="AK85" i="19" s="1"/>
  <c r="AL85" i="19" s="1"/>
  <c r="F86" i="19"/>
  <c r="G86" i="19" s="1"/>
  <c r="H86" i="19" s="1"/>
  <c r="I86" i="19" s="1"/>
  <c r="J86" i="19" s="1"/>
  <c r="K86" i="19" s="1"/>
  <c r="L86" i="19" s="1"/>
  <c r="E85" i="19"/>
  <c r="F85" i="19" s="1"/>
  <c r="G85" i="19" s="1"/>
  <c r="H85" i="19" s="1"/>
  <c r="I85" i="19" s="1"/>
  <c r="J85" i="19" s="1"/>
  <c r="K85" i="19" s="1"/>
  <c r="L85" i="19" s="1"/>
  <c r="E83" i="19"/>
  <c r="F83" i="19" s="1"/>
  <c r="G83" i="19" s="1"/>
  <c r="H83" i="19" s="1"/>
  <c r="I83" i="19" s="1"/>
  <c r="J83" i="19" s="1"/>
  <c r="K83" i="19" s="1"/>
  <c r="L83" i="19" s="1"/>
  <c r="AE53" i="19"/>
  <c r="AE55" i="19"/>
  <c r="AF55" i="19" s="1"/>
  <c r="AG55" i="19" s="1"/>
  <c r="AH55" i="19" s="1"/>
  <c r="AI55" i="19" s="1"/>
  <c r="AJ55" i="19" s="1"/>
  <c r="AK55" i="19" s="1"/>
  <c r="AL55" i="19" s="1"/>
  <c r="AF26" i="19"/>
  <c r="AE25" i="19"/>
  <c r="AF25" i="19" s="1"/>
  <c r="AG25" i="19" s="1"/>
  <c r="AH25" i="19" s="1"/>
  <c r="AI25" i="19" s="1"/>
  <c r="AJ25" i="19" s="1"/>
  <c r="AK25" i="19" s="1"/>
  <c r="AL25" i="19" s="1"/>
  <c r="F56" i="19"/>
  <c r="U42" i="19" s="1"/>
  <c r="E55" i="19"/>
  <c r="T41" i="19" s="1"/>
  <c r="S50" i="1"/>
  <c r="S51" i="1"/>
  <c r="S52" i="1"/>
  <c r="S53" i="1"/>
  <c r="S54" i="1"/>
  <c r="D7" i="11"/>
  <c r="D6" i="11"/>
  <c r="AV128" i="19" l="1"/>
  <c r="G1084" i="20"/>
  <c r="V128" i="19"/>
  <c r="AV98" i="19"/>
  <c r="V100" i="19"/>
  <c r="H756" i="20" s="1"/>
  <c r="V98" i="19"/>
  <c r="G751" i="20"/>
  <c r="G640" i="20"/>
  <c r="AV70" i="19"/>
  <c r="G645" i="20"/>
  <c r="AV130" i="19"/>
  <c r="AA114" i="20"/>
  <c r="AV68" i="19"/>
  <c r="AA109" i="20"/>
  <c r="AA110" i="20"/>
  <c r="AV40" i="19"/>
  <c r="G534" i="20"/>
  <c r="AV38" i="19"/>
  <c r="AV100" i="19"/>
  <c r="AA105" i="20"/>
  <c r="G418" i="20"/>
  <c r="J322" i="20"/>
  <c r="AV10" i="19"/>
  <c r="AV8" i="19"/>
  <c r="U130" i="19"/>
  <c r="V70" i="19"/>
  <c r="V68" i="19"/>
  <c r="G145" i="19"/>
  <c r="H145" i="19" s="1"/>
  <c r="I145" i="19" s="1"/>
  <c r="J145" i="19" s="1"/>
  <c r="K145" i="19" s="1"/>
  <c r="L145" i="19" s="1"/>
  <c r="V40" i="19"/>
  <c r="V38" i="19"/>
  <c r="G196" i="20"/>
  <c r="W45" i="19"/>
  <c r="X45" i="19" s="1"/>
  <c r="Y45" i="19" s="1"/>
  <c r="Z45" i="19" s="1"/>
  <c r="AW16" i="19"/>
  <c r="AX16" i="19" s="1"/>
  <c r="AY16" i="19" s="1"/>
  <c r="AZ16" i="19" s="1"/>
  <c r="C818" i="20"/>
  <c r="C836" i="20" s="1"/>
  <c r="C913" i="20"/>
  <c r="C943" i="20" s="1"/>
  <c r="D362" i="20"/>
  <c r="D389" i="20" s="1"/>
  <c r="AF148" i="19"/>
  <c r="AG148" i="19" s="1"/>
  <c r="AH148" i="19" s="1"/>
  <c r="AI148" i="19" s="1"/>
  <c r="AJ148" i="19" s="1"/>
  <c r="AK148" i="19" s="1"/>
  <c r="AL148" i="19" s="1"/>
  <c r="AT135" i="19"/>
  <c r="AR142" i="19"/>
  <c r="F148" i="19"/>
  <c r="G148" i="19" s="1"/>
  <c r="H148" i="19" s="1"/>
  <c r="I148" i="19" s="1"/>
  <c r="J148" i="19" s="1"/>
  <c r="K148" i="19" s="1"/>
  <c r="L148" i="19" s="1"/>
  <c r="T135" i="19"/>
  <c r="T131" i="19"/>
  <c r="U131" i="19" s="1"/>
  <c r="T136" i="19"/>
  <c r="U136" i="19" s="1"/>
  <c r="V136" i="19" s="1"/>
  <c r="W136" i="19" s="1"/>
  <c r="X136" i="19" s="1"/>
  <c r="Y136" i="19" s="1"/>
  <c r="Z136" i="19" s="1"/>
  <c r="C905" i="20"/>
  <c r="C942" i="20" s="1"/>
  <c r="D937" i="20"/>
  <c r="D949" i="20" s="1"/>
  <c r="D908" i="20"/>
  <c r="D909" i="20" s="1"/>
  <c r="D904" i="20"/>
  <c r="AT105" i="19"/>
  <c r="AU105" i="19" s="1"/>
  <c r="AV105" i="19" s="1"/>
  <c r="AW105" i="19" s="1"/>
  <c r="AX105" i="19" s="1"/>
  <c r="AY105" i="19" s="1"/>
  <c r="AZ105" i="19" s="1"/>
  <c r="AT99" i="19"/>
  <c r="AU99" i="19" s="1"/>
  <c r="AV99" i="19" s="1"/>
  <c r="AW99" i="19" s="1"/>
  <c r="AX99" i="19" s="1"/>
  <c r="AY99" i="19" s="1"/>
  <c r="AZ99" i="19" s="1"/>
  <c r="D822" i="20"/>
  <c r="D681" i="20"/>
  <c r="T106" i="19"/>
  <c r="U106" i="19" s="1"/>
  <c r="V106" i="19" s="1"/>
  <c r="W106" i="19" s="1"/>
  <c r="X106" i="19" s="1"/>
  <c r="Y106" i="19" s="1"/>
  <c r="Z106" i="19" s="1"/>
  <c r="U102" i="19"/>
  <c r="V102" i="19" s="1"/>
  <c r="W102" i="19" s="1"/>
  <c r="X102" i="19" s="1"/>
  <c r="Y102" i="19" s="1"/>
  <c r="Z102" i="19" s="1"/>
  <c r="C703" i="20"/>
  <c r="C724" i="20" s="1"/>
  <c r="AU72" i="19"/>
  <c r="AV72" i="19" s="1"/>
  <c r="AW72" i="19" s="1"/>
  <c r="AX72" i="19" s="1"/>
  <c r="AY72" i="19" s="1"/>
  <c r="AZ72" i="19" s="1"/>
  <c r="AT71" i="19"/>
  <c r="AU71" i="19" s="1"/>
  <c r="AV71" i="19" s="1"/>
  <c r="AW71" i="19" s="1"/>
  <c r="AX71" i="19" s="1"/>
  <c r="AY71" i="19" s="1"/>
  <c r="AZ71" i="19" s="1"/>
  <c r="AR84" i="19"/>
  <c r="AF53" i="19"/>
  <c r="AG53" i="19" s="1"/>
  <c r="AH53" i="19" s="1"/>
  <c r="AI53" i="19" s="1"/>
  <c r="AJ53" i="19" s="1"/>
  <c r="AK53" i="19" s="1"/>
  <c r="AL53" i="19" s="1"/>
  <c r="AT39" i="19"/>
  <c r="AT41" i="19"/>
  <c r="AU41" i="19" s="1"/>
  <c r="AV41" i="19" s="1"/>
  <c r="AW41" i="19" s="1"/>
  <c r="AX41" i="19" s="1"/>
  <c r="AY41" i="19" s="1"/>
  <c r="AZ41" i="19" s="1"/>
  <c r="AS55" i="19"/>
  <c r="AG26" i="19"/>
  <c r="AH26" i="19" s="1"/>
  <c r="AI26" i="19" s="1"/>
  <c r="AJ26" i="19" s="1"/>
  <c r="AK26" i="19" s="1"/>
  <c r="AL26" i="19" s="1"/>
  <c r="AU12" i="19"/>
  <c r="AT11" i="19"/>
  <c r="AU11" i="19" s="1"/>
  <c r="AV11" i="19" s="1"/>
  <c r="AW11" i="19" s="1"/>
  <c r="AX11" i="19" s="1"/>
  <c r="AY11" i="19" s="1"/>
  <c r="AZ11" i="19" s="1"/>
  <c r="D251" i="20"/>
  <c r="D278" i="20" s="1"/>
  <c r="D254" i="20"/>
  <c r="C250" i="20"/>
  <c r="U72" i="19"/>
  <c r="V72" i="19" s="1"/>
  <c r="W72" i="19" s="1"/>
  <c r="X72" i="19" s="1"/>
  <c r="Y72" i="19" s="1"/>
  <c r="Z72" i="19" s="1"/>
  <c r="T71" i="19"/>
  <c r="U71" i="19" s="1"/>
  <c r="V71" i="19" s="1"/>
  <c r="W71" i="19" s="1"/>
  <c r="X71" i="19" s="1"/>
  <c r="Y71" i="19" s="1"/>
  <c r="Z71" i="19" s="1"/>
  <c r="T69" i="19"/>
  <c r="U69" i="19" s="1"/>
  <c r="V69" i="19" s="1"/>
  <c r="W69" i="19" s="1"/>
  <c r="X69" i="19" s="1"/>
  <c r="Y69" i="19" s="1"/>
  <c r="Z69" i="19" s="1"/>
  <c r="C148" i="20"/>
  <c r="C169" i="20" s="1"/>
  <c r="F1043" i="20"/>
  <c r="C37" i="20"/>
  <c r="C58" i="20" s="1"/>
  <c r="H28" i="20"/>
  <c r="D929" i="20"/>
  <c r="D947" i="20" s="1"/>
  <c r="AR82" i="19"/>
  <c r="C1024" i="20"/>
  <c r="C1054" i="20" s="1"/>
  <c r="T55" i="19"/>
  <c r="D695" i="20"/>
  <c r="D722" i="20" s="1"/>
  <c r="AR57" i="19"/>
  <c r="H1043" i="20"/>
  <c r="D1028" i="20"/>
  <c r="D1055" i="20" s="1"/>
  <c r="R111" i="20"/>
  <c r="D135" i="20"/>
  <c r="C707" i="20"/>
  <c r="C725" i="20" s="1"/>
  <c r="E48" i="20"/>
  <c r="G1043" i="20"/>
  <c r="R84" i="19"/>
  <c r="AR87" i="19"/>
  <c r="G365" i="20"/>
  <c r="E821" i="20"/>
  <c r="D924" i="20"/>
  <c r="D925" i="20" s="1"/>
  <c r="D946" i="20" s="1"/>
  <c r="AQ27" i="19"/>
  <c r="AQ31" i="19" s="1"/>
  <c r="AR27" i="19"/>
  <c r="AR83" i="19"/>
  <c r="R106" i="20"/>
  <c r="S148" i="19"/>
  <c r="AQ121" i="19"/>
  <c r="D140" i="20"/>
  <c r="D167" i="20" s="1"/>
  <c r="D707" i="20"/>
  <c r="D725" i="20" s="1"/>
  <c r="C461" i="20"/>
  <c r="C498" i="20" s="1"/>
  <c r="C814" i="20"/>
  <c r="C835" i="20" s="1"/>
  <c r="C822" i="20"/>
  <c r="C837" i="20" s="1"/>
  <c r="U56" i="19"/>
  <c r="F488" i="20"/>
  <c r="D473" i="20"/>
  <c r="D500" i="20" s="1"/>
  <c r="R147" i="19"/>
  <c r="D372" i="20"/>
  <c r="D374" i="20" s="1"/>
  <c r="D392" i="20" s="1"/>
  <c r="D467" i="20"/>
  <c r="E595" i="20"/>
  <c r="D800" i="20"/>
  <c r="D357" i="20"/>
  <c r="AR23" i="19"/>
  <c r="E90" i="20"/>
  <c r="T10" i="19"/>
  <c r="F90" i="20" s="1"/>
  <c r="Q121" i="19"/>
  <c r="D131" i="20"/>
  <c r="D132" i="20" s="1"/>
  <c r="E1047" i="20"/>
  <c r="E583" i="20"/>
  <c r="S145" i="19"/>
  <c r="F991" i="20"/>
  <c r="E1032" i="20"/>
  <c r="E1056" i="20" s="1"/>
  <c r="D349" i="20"/>
  <c r="D350" i="20" s="1"/>
  <c r="C239" i="20"/>
  <c r="D19" i="20"/>
  <c r="AR22" i="19"/>
  <c r="E805" i="20"/>
  <c r="AR144" i="19"/>
  <c r="AR52" i="19"/>
  <c r="D85" i="20"/>
  <c r="D15" i="20"/>
  <c r="D682" i="20"/>
  <c r="E85" i="20"/>
  <c r="S85" i="19"/>
  <c r="R117" i="19"/>
  <c r="E603" i="20"/>
  <c r="AQ151" i="19"/>
  <c r="AR113" i="19"/>
  <c r="R144" i="19"/>
  <c r="C595" i="20"/>
  <c r="C596" i="20" s="1"/>
  <c r="C614" i="20" s="1"/>
  <c r="AQ87" i="19"/>
  <c r="AQ91" i="19" s="1"/>
  <c r="D912" i="20"/>
  <c r="C484" i="20"/>
  <c r="C485" i="20" s="1"/>
  <c r="AQ57" i="19"/>
  <c r="AQ61" i="19" s="1"/>
  <c r="C151" i="20"/>
  <c r="C152" i="20" s="1"/>
  <c r="C170" i="20" s="1"/>
  <c r="Q57" i="19"/>
  <c r="Q61" i="19" s="1"/>
  <c r="C928" i="20"/>
  <c r="C929" i="20" s="1"/>
  <c r="C947" i="20" s="1"/>
  <c r="Q147" i="19"/>
  <c r="Q151" i="19" s="1"/>
  <c r="AR112" i="19"/>
  <c r="R114" i="19"/>
  <c r="C683" i="20"/>
  <c r="R112" i="19"/>
  <c r="T8" i="19"/>
  <c r="F85" i="20" s="1"/>
  <c r="AS147" i="19"/>
  <c r="AR147" i="19"/>
  <c r="AS148" i="19"/>
  <c r="D1038" i="20"/>
  <c r="D1040" i="20" s="1"/>
  <c r="D1058" i="20" s="1"/>
  <c r="AS118" i="19"/>
  <c r="C794" i="20"/>
  <c r="C831" i="20" s="1"/>
  <c r="D816" i="20"/>
  <c r="D818" i="20" s="1"/>
  <c r="D836" i="20" s="1"/>
  <c r="AR114" i="19"/>
  <c r="E816" i="20"/>
  <c r="AT120" i="19"/>
  <c r="AR117" i="19"/>
  <c r="E588" i="20"/>
  <c r="E612" i="20" s="1"/>
  <c r="AS85" i="19"/>
  <c r="AR54" i="19"/>
  <c r="AR53" i="19"/>
  <c r="R49" i="20"/>
  <c r="E927" i="20"/>
  <c r="AS25" i="19"/>
  <c r="AR24" i="19"/>
  <c r="S149" i="19"/>
  <c r="R143" i="19"/>
  <c r="R113" i="19"/>
  <c r="S119" i="19"/>
  <c r="D685" i="20"/>
  <c r="T116" i="19"/>
  <c r="T86" i="19"/>
  <c r="S83" i="19"/>
  <c r="R82" i="19"/>
  <c r="R54" i="19"/>
  <c r="R52" i="19"/>
  <c r="R61" i="20"/>
  <c r="C128" i="20"/>
  <c r="C165" i="20" s="1"/>
  <c r="R53" i="19"/>
  <c r="F376" i="20"/>
  <c r="AS28" i="19"/>
  <c r="AS23" i="19"/>
  <c r="F368" i="20"/>
  <c r="AS27" i="19"/>
  <c r="AS22" i="19"/>
  <c r="AS29" i="19"/>
  <c r="F364" i="20"/>
  <c r="AT26" i="19"/>
  <c r="AS30" i="19"/>
  <c r="AS58" i="19"/>
  <c r="AS60" i="19"/>
  <c r="AS59" i="19"/>
  <c r="AS52" i="19"/>
  <c r="AT56" i="19"/>
  <c r="AS82" i="19"/>
  <c r="AS90" i="19"/>
  <c r="AS84" i="19"/>
  <c r="F602" i="20"/>
  <c r="AS89" i="19"/>
  <c r="AS88" i="19"/>
  <c r="AS87" i="19"/>
  <c r="AS83" i="19"/>
  <c r="AS112" i="19"/>
  <c r="F824" i="20"/>
  <c r="AS119" i="19"/>
  <c r="AS117" i="19"/>
  <c r="AT116" i="19"/>
  <c r="AS115" i="19"/>
  <c r="E796" i="20"/>
  <c r="AS113" i="19"/>
  <c r="AT146" i="19"/>
  <c r="AS142" i="19"/>
  <c r="AS150" i="19"/>
  <c r="AS149" i="19"/>
  <c r="AS144" i="19"/>
  <c r="AS145" i="19"/>
  <c r="S150" i="19"/>
  <c r="T146" i="19"/>
  <c r="S144" i="19"/>
  <c r="S147" i="19"/>
  <c r="S112" i="19"/>
  <c r="S114" i="19"/>
  <c r="S120" i="19"/>
  <c r="S118" i="19"/>
  <c r="S117" i="19"/>
  <c r="S115" i="19"/>
  <c r="S60" i="19"/>
  <c r="F146" i="20"/>
  <c r="S57" i="19"/>
  <c r="F154" i="20"/>
  <c r="S58" i="19"/>
  <c r="E138" i="20"/>
  <c r="S55" i="19"/>
  <c r="F142" i="20"/>
  <c r="T56" i="19"/>
  <c r="F158" i="20"/>
  <c r="S59" i="19"/>
  <c r="E824" i="20"/>
  <c r="C136" i="20"/>
  <c r="C166" i="20" s="1"/>
  <c r="F55" i="19"/>
  <c r="G55" i="19" s="1"/>
  <c r="H55" i="19" s="1"/>
  <c r="I55" i="19" s="1"/>
  <c r="J55" i="19" s="1"/>
  <c r="K55" i="19" s="1"/>
  <c r="L55" i="19" s="1"/>
  <c r="G56" i="19"/>
  <c r="H56" i="19" s="1"/>
  <c r="I56" i="19" s="1"/>
  <c r="J56" i="19" s="1"/>
  <c r="K56" i="19" s="1"/>
  <c r="L56" i="19" s="1"/>
  <c r="E360" i="20"/>
  <c r="D152" i="20"/>
  <c r="D170" i="20" s="1"/>
  <c r="R15" i="20"/>
  <c r="C1039" i="20"/>
  <c r="C1040" i="20" s="1"/>
  <c r="C1058" i="20" s="1"/>
  <c r="T13" i="19"/>
  <c r="F35" i="20" s="1"/>
  <c r="S27" i="19"/>
  <c r="Q31" i="19"/>
  <c r="E579" i="20"/>
  <c r="S104" i="20"/>
  <c r="E139" i="20"/>
  <c r="F484" i="20"/>
  <c r="D793" i="20"/>
  <c r="D794" i="20" s="1"/>
  <c r="R43" i="20"/>
  <c r="R99" i="20"/>
  <c r="C802" i="20"/>
  <c r="C832" i="20" s="1"/>
  <c r="H365" i="20"/>
  <c r="C350" i="20"/>
  <c r="D468" i="20"/>
  <c r="D103" i="20"/>
  <c r="F143" i="20"/>
  <c r="F365" i="20"/>
  <c r="C592" i="20"/>
  <c r="C613" i="20" s="1"/>
  <c r="H254" i="20"/>
  <c r="D242" i="20"/>
  <c r="D243" i="20" s="1"/>
  <c r="C54" i="20"/>
  <c r="S108" i="20"/>
  <c r="D604" i="20"/>
  <c r="D616" i="20" s="1"/>
  <c r="E924" i="20"/>
  <c r="E159" i="20"/>
  <c r="E1027" i="20"/>
  <c r="R24" i="19"/>
  <c r="F159" i="20"/>
  <c r="D575" i="20"/>
  <c r="C382" i="20"/>
  <c r="C394" i="20" s="1"/>
  <c r="E147" i="20"/>
  <c r="S103" i="20"/>
  <c r="E373" i="20"/>
  <c r="R23" i="19"/>
  <c r="C1036" i="20"/>
  <c r="C1057" i="20" s="1"/>
  <c r="F821" i="20"/>
  <c r="E1039" i="20"/>
  <c r="E369" i="20"/>
  <c r="C45" i="20"/>
  <c r="C60" i="20" s="1"/>
  <c r="E135" i="20"/>
  <c r="D353" i="20"/>
  <c r="D354" i="20" s="1"/>
  <c r="D464" i="20"/>
  <c r="G254" i="20"/>
  <c r="E817" i="20"/>
  <c r="D147" i="20"/>
  <c r="D148" i="20" s="1"/>
  <c r="D169" i="20" s="1"/>
  <c r="E484" i="20"/>
  <c r="X104" i="20"/>
  <c r="E686" i="20"/>
  <c r="F464" i="20"/>
  <c r="E492" i="20"/>
  <c r="G28" i="20"/>
  <c r="AA104" i="20"/>
  <c r="F492" i="20"/>
  <c r="F48" i="20"/>
  <c r="E361" i="20"/>
  <c r="D155" i="20"/>
  <c r="D156" i="20" s="1"/>
  <c r="D171" i="20" s="1"/>
  <c r="E681" i="20"/>
  <c r="T38" i="20"/>
  <c r="U109" i="20"/>
  <c r="S115" i="20"/>
  <c r="F28" i="20"/>
  <c r="F579" i="20"/>
  <c r="T115" i="20"/>
  <c r="D813" i="20"/>
  <c r="D814" i="20" s="1"/>
  <c r="D835" i="20" s="1"/>
  <c r="E250" i="20"/>
  <c r="S55" i="20"/>
  <c r="E928" i="20"/>
  <c r="U115" i="20"/>
  <c r="T104" i="20"/>
  <c r="D591" i="20"/>
  <c r="D592" i="20" s="1"/>
  <c r="D613" i="20" s="1"/>
  <c r="Y104" i="20"/>
  <c r="T108" i="20"/>
  <c r="D686" i="20"/>
  <c r="D370" i="20"/>
  <c r="D391" i="20" s="1"/>
  <c r="D702" i="20"/>
  <c r="D703" i="20" s="1"/>
  <c r="D724" i="20" s="1"/>
  <c r="U104" i="20"/>
  <c r="W104" i="20"/>
  <c r="F250" i="20"/>
  <c r="C925" i="20"/>
  <c r="C946" i="20" s="1"/>
  <c r="E464" i="20"/>
  <c r="E28" i="20"/>
  <c r="V104" i="20"/>
  <c r="S43" i="20"/>
  <c r="C243" i="20"/>
  <c r="D715" i="20"/>
  <c r="D727" i="20" s="1"/>
  <c r="R25" i="20"/>
  <c r="D580" i="20"/>
  <c r="D610" i="20" s="1"/>
  <c r="S114" i="20"/>
  <c r="U116" i="20"/>
  <c r="R26" i="20"/>
  <c r="U114" i="20"/>
  <c r="V105" i="20"/>
  <c r="E366" i="20"/>
  <c r="E390" i="20" s="1"/>
  <c r="R20" i="20"/>
  <c r="C826" i="20"/>
  <c r="S113" i="20"/>
  <c r="R19" i="20"/>
  <c r="S116" i="20"/>
  <c r="V116" i="20"/>
  <c r="R55" i="20"/>
  <c r="D16" i="20"/>
  <c r="R22" i="19"/>
  <c r="C1016" i="20"/>
  <c r="F349" i="20"/>
  <c r="C1020" i="20"/>
  <c r="E349" i="20"/>
  <c r="U122" i="20"/>
  <c r="S121" i="20"/>
  <c r="R124" i="20"/>
  <c r="S110" i="20"/>
  <c r="S105" i="20"/>
  <c r="T105" i="20"/>
  <c r="U105" i="20"/>
  <c r="T109" i="20"/>
  <c r="S109" i="20"/>
  <c r="V109" i="20"/>
  <c r="S112" i="20"/>
  <c r="T116" i="20"/>
  <c r="T114" i="20"/>
  <c r="E353" i="20"/>
  <c r="E381" i="20"/>
  <c r="F361" i="20"/>
  <c r="F476" i="20"/>
  <c r="E468" i="20"/>
  <c r="E488" i="20"/>
  <c r="E472" i="20"/>
  <c r="C609" i="20"/>
  <c r="S32" i="20"/>
  <c r="E599" i="20"/>
  <c r="D571" i="20"/>
  <c r="E249" i="20"/>
  <c r="D801" i="20"/>
  <c r="F817" i="20"/>
  <c r="F805" i="20"/>
  <c r="D797" i="20"/>
  <c r="D798" i="20" s="1"/>
  <c r="E825" i="20"/>
  <c r="F809" i="20"/>
  <c r="F1031" i="20"/>
  <c r="D1015" i="20"/>
  <c r="D1016" i="20" s="1"/>
  <c r="I1043" i="20"/>
  <c r="F1047" i="20"/>
  <c r="D1019" i="20"/>
  <c r="D1020" i="20" s="1"/>
  <c r="F1027" i="20"/>
  <c r="D1023" i="20"/>
  <c r="D1035" i="20"/>
  <c r="D1036" i="20" s="1"/>
  <c r="D1057" i="20" s="1"/>
  <c r="E908" i="20"/>
  <c r="E936" i="20"/>
  <c r="E932" i="20"/>
  <c r="F928" i="20"/>
  <c r="E912" i="20"/>
  <c r="F920" i="20"/>
  <c r="E916" i="20"/>
  <c r="F924" i="20"/>
  <c r="F686" i="20"/>
  <c r="E710" i="20"/>
  <c r="D690" i="20"/>
  <c r="F698" i="20"/>
  <c r="E706" i="20"/>
  <c r="E682" i="20"/>
  <c r="E694" i="20"/>
  <c r="E714" i="20"/>
  <c r="F261" i="20"/>
  <c r="E702" i="20"/>
  <c r="E242" i="20"/>
  <c r="F254" i="20"/>
  <c r="D237" i="20"/>
  <c r="E820" i="20"/>
  <c r="E1046" i="20"/>
  <c r="E1048" i="20" s="1"/>
  <c r="E1060" i="20" s="1"/>
  <c r="D245" i="20"/>
  <c r="D689" i="20"/>
  <c r="S61" i="20"/>
  <c r="E709" i="20"/>
  <c r="E372" i="20"/>
  <c r="D911" i="20"/>
  <c r="E931" i="20"/>
  <c r="E915" i="20"/>
  <c r="D903" i="20"/>
  <c r="D905" i="20" s="1"/>
  <c r="D1022" i="20"/>
  <c r="S31" i="20"/>
  <c r="E594" i="20"/>
  <c r="E582" i="20"/>
  <c r="D574" i="20"/>
  <c r="F586" i="20"/>
  <c r="F588" i="20" s="1"/>
  <c r="F612" i="20" s="1"/>
  <c r="D570" i="20"/>
  <c r="F150" i="20"/>
  <c r="D356" i="20"/>
  <c r="E471" i="20"/>
  <c r="D463" i="20"/>
  <c r="T37" i="20"/>
  <c r="D126" i="20"/>
  <c r="D134" i="20"/>
  <c r="F31" i="20"/>
  <c r="F33" i="20" s="1"/>
  <c r="G31" i="20"/>
  <c r="E27" i="20"/>
  <c r="E23" i="20"/>
  <c r="E15" i="20"/>
  <c r="F155" i="20"/>
  <c r="E44" i="20"/>
  <c r="E155" i="20"/>
  <c r="R28" i="19"/>
  <c r="D40" i="20"/>
  <c r="G143" i="20"/>
  <c r="R16" i="20"/>
  <c r="H143" i="20"/>
  <c r="D127" i="20"/>
  <c r="C168" i="20"/>
  <c r="F139" i="20"/>
  <c r="D61" i="20"/>
  <c r="D60" i="20"/>
  <c r="D57" i="20"/>
  <c r="J28" i="20"/>
  <c r="I28" i="20"/>
  <c r="C56" i="20"/>
  <c r="E1042" i="20"/>
  <c r="E1044" i="20" s="1"/>
  <c r="E1059" i="20" s="1"/>
  <c r="E1034" i="20"/>
  <c r="F1030" i="20"/>
  <c r="E1026" i="20"/>
  <c r="E1018" i="20"/>
  <c r="E1014" i="20"/>
  <c r="D1102" i="20"/>
  <c r="E935" i="20"/>
  <c r="E923" i="20"/>
  <c r="F919" i="20"/>
  <c r="G991" i="20"/>
  <c r="E812" i="20"/>
  <c r="F808" i="20"/>
  <c r="E804" i="20"/>
  <c r="E792" i="20"/>
  <c r="D880" i="20"/>
  <c r="D837" i="20"/>
  <c r="E713" i="20"/>
  <c r="E705" i="20"/>
  <c r="E701" i="20"/>
  <c r="F697" i="20"/>
  <c r="E693" i="20"/>
  <c r="D769" i="20"/>
  <c r="C727" i="20"/>
  <c r="AF120" i="19"/>
  <c r="AG120" i="19" s="1"/>
  <c r="AH120" i="19" s="1"/>
  <c r="AI120" i="19" s="1"/>
  <c r="AJ120" i="19" s="1"/>
  <c r="AK120" i="19" s="1"/>
  <c r="AL120" i="19" s="1"/>
  <c r="G48" i="20"/>
  <c r="E377" i="20"/>
  <c r="D36" i="20"/>
  <c r="S24" i="19"/>
  <c r="D24" i="20"/>
  <c r="D238" i="20"/>
  <c r="D20" i="20"/>
  <c r="D460" i="20"/>
  <c r="D461" i="20" s="1"/>
  <c r="K28" i="20"/>
  <c r="D246" i="20"/>
  <c r="D480" i="20"/>
  <c r="D481" i="20" s="1"/>
  <c r="D502" i="20" s="1"/>
  <c r="F575" i="20"/>
  <c r="E575" i="20"/>
  <c r="G32" i="20"/>
  <c r="E16" i="20"/>
  <c r="F483" i="20"/>
  <c r="E590" i="20"/>
  <c r="E483" i="20"/>
  <c r="F595" i="20"/>
  <c r="G150" i="20"/>
  <c r="E368" i="20"/>
  <c r="G483" i="20"/>
  <c r="E269" i="20"/>
  <c r="G492" i="20"/>
  <c r="E380" i="20"/>
  <c r="E376" i="20"/>
  <c r="G488" i="20"/>
  <c r="F372" i="20"/>
  <c r="G484" i="20"/>
  <c r="E261" i="20"/>
  <c r="G261" i="20"/>
  <c r="F373" i="20"/>
  <c r="E154" i="20"/>
  <c r="F369" i="20"/>
  <c r="E158" i="20"/>
  <c r="E257" i="20"/>
  <c r="E150" i="20"/>
  <c r="E152" i="20" s="1"/>
  <c r="E170" i="20" s="1"/>
  <c r="E146" i="20"/>
  <c r="F151" i="20"/>
  <c r="G159" i="20"/>
  <c r="C172" i="20"/>
  <c r="G155" i="20"/>
  <c r="E35" i="20"/>
  <c r="F147" i="20"/>
  <c r="E47" i="20"/>
  <c r="E43" i="20"/>
  <c r="E39" i="20"/>
  <c r="E602" i="20"/>
  <c r="E598" i="20"/>
  <c r="E578" i="20"/>
  <c r="D658" i="20"/>
  <c r="E491" i="20"/>
  <c r="E487" i="20"/>
  <c r="F475" i="20"/>
  <c r="E459" i="20"/>
  <c r="D547" i="20"/>
  <c r="E352" i="20"/>
  <c r="E348" i="20"/>
  <c r="D436" i="20"/>
  <c r="E265" i="20"/>
  <c r="F253" i="20"/>
  <c r="E241" i="20"/>
  <c r="D325" i="20"/>
  <c r="D214" i="20"/>
  <c r="T103" i="20"/>
  <c r="E103" i="20"/>
  <c r="F47" i="20"/>
  <c r="S30" i="19"/>
  <c r="S29" i="19"/>
  <c r="F43" i="20"/>
  <c r="G579" i="20"/>
  <c r="H583" i="20"/>
  <c r="G250" i="20"/>
  <c r="I254" i="20"/>
  <c r="G361" i="20"/>
  <c r="G349" i="20"/>
  <c r="F135" i="20"/>
  <c r="I143" i="20"/>
  <c r="T26" i="19"/>
  <c r="F27" i="20"/>
  <c r="S25" i="19"/>
  <c r="S22" i="19"/>
  <c r="F20" i="12"/>
  <c r="F19" i="12"/>
  <c r="F18" i="12"/>
  <c r="J20" i="12"/>
  <c r="J25" i="12" s="1"/>
  <c r="J29" i="12" s="1"/>
  <c r="F17" i="12" s="1"/>
  <c r="AW130" i="19" l="1"/>
  <c r="H1089" i="20"/>
  <c r="AW128" i="19"/>
  <c r="H1084" i="20"/>
  <c r="V130" i="19"/>
  <c r="G978" i="20"/>
  <c r="G973" i="20"/>
  <c r="W128" i="19"/>
  <c r="AW100" i="19"/>
  <c r="H867" i="20"/>
  <c r="G862" i="20"/>
  <c r="AW98" i="19"/>
  <c r="H862" i="20"/>
  <c r="W100" i="19"/>
  <c r="I756" i="20" s="1"/>
  <c r="W98" i="19"/>
  <c r="H751" i="20"/>
  <c r="H640" i="20"/>
  <c r="AW70" i="19"/>
  <c r="H645" i="20"/>
  <c r="X116" i="20"/>
  <c r="W116" i="20"/>
  <c r="AW68" i="19"/>
  <c r="X109" i="20"/>
  <c r="Z104" i="20"/>
  <c r="AW40" i="19"/>
  <c r="H534" i="20"/>
  <c r="AW38" i="19"/>
  <c r="X114" i="20"/>
  <c r="W109" i="20"/>
  <c r="Y109" i="20"/>
  <c r="W105" i="20"/>
  <c r="Y105" i="20"/>
  <c r="Z109" i="20"/>
  <c r="Z105" i="20"/>
  <c r="X105" i="20"/>
  <c r="H423" i="20"/>
  <c r="H418" i="20"/>
  <c r="K322" i="20"/>
  <c r="H312" i="20"/>
  <c r="H307" i="20"/>
  <c r="G307" i="20"/>
  <c r="V122" i="20"/>
  <c r="AW10" i="19"/>
  <c r="AW8" i="19"/>
  <c r="W108" i="20"/>
  <c r="U108" i="20"/>
  <c r="Y114" i="20"/>
  <c r="V114" i="20"/>
  <c r="W70" i="19"/>
  <c r="I312" i="20" s="1"/>
  <c r="Z114" i="20"/>
  <c r="V108" i="20"/>
  <c r="W114" i="20"/>
  <c r="W68" i="19"/>
  <c r="V131" i="19"/>
  <c r="W131" i="19" s="1"/>
  <c r="X131" i="19" s="1"/>
  <c r="Y131" i="19" s="1"/>
  <c r="Z131" i="19" s="1"/>
  <c r="V115" i="20"/>
  <c r="W40" i="19"/>
  <c r="W38" i="19"/>
  <c r="D687" i="20"/>
  <c r="G12" i="25"/>
  <c r="E584" i="20"/>
  <c r="E611" i="20" s="1"/>
  <c r="R151" i="19"/>
  <c r="AU135" i="19"/>
  <c r="AV135" i="19" s="1"/>
  <c r="AW135" i="19" s="1"/>
  <c r="AX135" i="19" s="1"/>
  <c r="AY135" i="19" s="1"/>
  <c r="AZ135" i="19" s="1"/>
  <c r="AR151" i="19"/>
  <c r="U135" i="19"/>
  <c r="V135" i="19" s="1"/>
  <c r="W135" i="19" s="1"/>
  <c r="X135" i="19" s="1"/>
  <c r="Y135" i="19" s="1"/>
  <c r="Z135" i="19" s="1"/>
  <c r="S142" i="19"/>
  <c r="AU107" i="19"/>
  <c r="AV107" i="19" s="1"/>
  <c r="AW107" i="19" s="1"/>
  <c r="AX107" i="19" s="1"/>
  <c r="AY107" i="19" s="1"/>
  <c r="AZ107" i="19" s="1"/>
  <c r="E822" i="20"/>
  <c r="E837" i="20" s="1"/>
  <c r="D683" i="20"/>
  <c r="D720" i="20" s="1"/>
  <c r="C717" i="20"/>
  <c r="C763" i="20" s="1"/>
  <c r="C771" i="20" s="1"/>
  <c r="AR91" i="19"/>
  <c r="AU39" i="19"/>
  <c r="AV12" i="19"/>
  <c r="AW12" i="19" s="1"/>
  <c r="AX12" i="19" s="1"/>
  <c r="AY12" i="19" s="1"/>
  <c r="AZ12" i="19" s="1"/>
  <c r="S75" i="20"/>
  <c r="D255" i="20"/>
  <c r="S38" i="20"/>
  <c r="D262" i="20"/>
  <c r="D263" i="20" s="1"/>
  <c r="D281" i="20" s="1"/>
  <c r="R32" i="20"/>
  <c r="C251" i="20"/>
  <c r="C254" i="20"/>
  <c r="S106" i="20"/>
  <c r="V42" i="19"/>
  <c r="W42" i="19" s="1"/>
  <c r="X42" i="19" s="1"/>
  <c r="Y42" i="19" s="1"/>
  <c r="Z42" i="19" s="1"/>
  <c r="U41" i="19"/>
  <c r="V41" i="19" s="1"/>
  <c r="W41" i="19" s="1"/>
  <c r="X41" i="19" s="1"/>
  <c r="Y41" i="19" s="1"/>
  <c r="Z41" i="19" s="1"/>
  <c r="AS57" i="19"/>
  <c r="F144" i="20"/>
  <c r="F168" i="20" s="1"/>
  <c r="R74" i="20"/>
  <c r="E479" i="20"/>
  <c r="T43" i="20" s="1"/>
  <c r="C720" i="20"/>
  <c r="C728" i="20" s="1"/>
  <c r="F904" i="20"/>
  <c r="AR61" i="19"/>
  <c r="D17" i="20"/>
  <c r="E904" i="20"/>
  <c r="S34" i="20"/>
  <c r="D358" i="20"/>
  <c r="D388" i="20" s="1"/>
  <c r="I365" i="20"/>
  <c r="S111" i="20"/>
  <c r="D469" i="20"/>
  <c r="D499" i="20" s="1"/>
  <c r="S84" i="19"/>
  <c r="D802" i="20"/>
  <c r="D832" i="20" s="1"/>
  <c r="E937" i="20"/>
  <c r="E949" i="20" s="1"/>
  <c r="T76" i="20"/>
  <c r="D576" i="20"/>
  <c r="E596" i="20"/>
  <c r="E614" i="20" s="1"/>
  <c r="AS143" i="19"/>
  <c r="AS151" i="19" s="1"/>
  <c r="AT54" i="19"/>
  <c r="F356" i="20"/>
  <c r="T54" i="19"/>
  <c r="F23" i="20"/>
  <c r="T82" i="19"/>
  <c r="T52" i="19"/>
  <c r="U10" i="19"/>
  <c r="G90" i="20" s="1"/>
  <c r="F366" i="20"/>
  <c r="F390" i="20" s="1"/>
  <c r="E604" i="20"/>
  <c r="E616" i="20" s="1"/>
  <c r="AR31" i="19"/>
  <c r="C617" i="20"/>
  <c r="D942" i="20"/>
  <c r="F160" i="20"/>
  <c r="F172" i="20" s="1"/>
  <c r="E806" i="20"/>
  <c r="E833" i="20" s="1"/>
  <c r="C503" i="20"/>
  <c r="C495" i="20"/>
  <c r="C541" i="20" s="1"/>
  <c r="C549" i="20" s="1"/>
  <c r="R121" i="19"/>
  <c r="F15" i="20"/>
  <c r="D913" i="20"/>
  <c r="D943" i="20" s="1"/>
  <c r="U8" i="19"/>
  <c r="G85" i="20" s="1"/>
  <c r="E467" i="20"/>
  <c r="E469" i="20" s="1"/>
  <c r="E499" i="20" s="1"/>
  <c r="E800" i="20"/>
  <c r="E1038" i="20"/>
  <c r="E1040" i="20" s="1"/>
  <c r="E1058" i="20" s="1"/>
  <c r="E818" i="20"/>
  <c r="E836" i="20" s="1"/>
  <c r="AR121" i="19"/>
  <c r="AS114" i="19"/>
  <c r="AS121" i="19" s="1"/>
  <c r="S49" i="20"/>
  <c r="AS54" i="19"/>
  <c r="AS53" i="19"/>
  <c r="E929" i="20"/>
  <c r="E947" i="20" s="1"/>
  <c r="AS24" i="19"/>
  <c r="S143" i="19"/>
  <c r="S54" i="19"/>
  <c r="E907" i="20"/>
  <c r="E909" i="20" s="1"/>
  <c r="S113" i="19"/>
  <c r="S121" i="19" s="1"/>
  <c r="E685" i="20"/>
  <c r="E687" i="20" s="1"/>
  <c r="S82" i="19"/>
  <c r="C162" i="20"/>
  <c r="C208" i="20" s="1"/>
  <c r="C216" i="20" s="1"/>
  <c r="R61" i="19"/>
  <c r="S52" i="19"/>
  <c r="S53" i="19"/>
  <c r="G380" i="20"/>
  <c r="AT29" i="19"/>
  <c r="AT22" i="19"/>
  <c r="F380" i="20"/>
  <c r="G368" i="20"/>
  <c r="AT27" i="19"/>
  <c r="AT23" i="19"/>
  <c r="AU26" i="19"/>
  <c r="AT25" i="19"/>
  <c r="AT30" i="19"/>
  <c r="G376" i="20"/>
  <c r="AT28" i="19"/>
  <c r="G479" i="20"/>
  <c r="AT57" i="19"/>
  <c r="AT55" i="19"/>
  <c r="AT52" i="19"/>
  <c r="AT59" i="19"/>
  <c r="AT60" i="19"/>
  <c r="AU56" i="19"/>
  <c r="AT58" i="19"/>
  <c r="G590" i="20"/>
  <c r="AT87" i="19"/>
  <c r="F590" i="20"/>
  <c r="AU86" i="19"/>
  <c r="AT85" i="19"/>
  <c r="G598" i="20"/>
  <c r="AT88" i="19"/>
  <c r="G602" i="20"/>
  <c r="AT89" i="19"/>
  <c r="AT84" i="19"/>
  <c r="AT90" i="19"/>
  <c r="AS91" i="19"/>
  <c r="AT83" i="19"/>
  <c r="AT82" i="19"/>
  <c r="AT117" i="19"/>
  <c r="AT119" i="19"/>
  <c r="AT115" i="19"/>
  <c r="AT118" i="19"/>
  <c r="AT113" i="19"/>
  <c r="AU116" i="19"/>
  <c r="AT112" i="19"/>
  <c r="AT149" i="19"/>
  <c r="AT148" i="19"/>
  <c r="AT150" i="19"/>
  <c r="AT142" i="19"/>
  <c r="AT145" i="19"/>
  <c r="AT143" i="19"/>
  <c r="AT144" i="19"/>
  <c r="AU146" i="19"/>
  <c r="T144" i="19"/>
  <c r="T149" i="19"/>
  <c r="T147" i="19"/>
  <c r="T145" i="19"/>
  <c r="U146" i="19"/>
  <c r="T150" i="19"/>
  <c r="T148" i="19"/>
  <c r="T142" i="19"/>
  <c r="T143" i="19"/>
  <c r="T119" i="19"/>
  <c r="T118" i="19"/>
  <c r="U116" i="19"/>
  <c r="T117" i="19"/>
  <c r="T114" i="19"/>
  <c r="T120" i="19"/>
  <c r="T113" i="19"/>
  <c r="T115" i="19"/>
  <c r="T112" i="19"/>
  <c r="T83" i="19"/>
  <c r="T84" i="19"/>
  <c r="T85" i="19"/>
  <c r="H253" i="20"/>
  <c r="H255" i="20" s="1"/>
  <c r="H279" i="20" s="1"/>
  <c r="U86" i="19"/>
  <c r="G269" i="20"/>
  <c r="F269" i="20"/>
  <c r="F257" i="20"/>
  <c r="E140" i="20"/>
  <c r="E167" i="20" s="1"/>
  <c r="G154" i="20"/>
  <c r="G156" i="20" s="1"/>
  <c r="G171" i="20" s="1"/>
  <c r="T58" i="19"/>
  <c r="E826" i="20"/>
  <c r="E838" i="20" s="1"/>
  <c r="T53" i="19"/>
  <c r="G158" i="20"/>
  <c r="G160" i="20" s="1"/>
  <c r="T59" i="19"/>
  <c r="G146" i="20"/>
  <c r="T57" i="19"/>
  <c r="T60" i="19"/>
  <c r="F820" i="20"/>
  <c r="F822" i="20" s="1"/>
  <c r="F837" i="20" s="1"/>
  <c r="C606" i="20"/>
  <c r="C950" i="20"/>
  <c r="E362" i="20"/>
  <c r="E389" i="20" s="1"/>
  <c r="C384" i="20"/>
  <c r="C430" i="20" s="1"/>
  <c r="C438" i="20" s="1"/>
  <c r="C387" i="20"/>
  <c r="C395" i="20" s="1"/>
  <c r="R17" i="20"/>
  <c r="E370" i="20"/>
  <c r="E391" i="20" s="1"/>
  <c r="E580" i="20"/>
  <c r="E610" i="20" s="1"/>
  <c r="R28" i="20"/>
  <c r="E1028" i="20"/>
  <c r="E1055" i="20" s="1"/>
  <c r="D1024" i="20"/>
  <c r="D1054" i="20" s="1"/>
  <c r="U13" i="19"/>
  <c r="G35" i="20" s="1"/>
  <c r="T27" i="19"/>
  <c r="G44" i="20"/>
  <c r="E374" i="20"/>
  <c r="E392" i="20" s="1"/>
  <c r="C276" i="20"/>
  <c r="R31" i="19"/>
  <c r="E357" i="20"/>
  <c r="F156" i="20"/>
  <c r="F171" i="20" s="1"/>
  <c r="D387" i="20"/>
  <c r="D395" i="20" s="1"/>
  <c r="F583" i="20"/>
  <c r="E160" i="20"/>
  <c r="E172" i="20" s="1"/>
  <c r="F485" i="20"/>
  <c r="F503" i="20" s="1"/>
  <c r="G583" i="20"/>
  <c r="D831" i="20"/>
  <c r="E19" i="20"/>
  <c r="S23" i="19"/>
  <c r="F19" i="20"/>
  <c r="F1039" i="20"/>
  <c r="E350" i="20"/>
  <c r="V110" i="20"/>
  <c r="E485" i="20"/>
  <c r="E503" i="20" s="1"/>
  <c r="C939" i="20"/>
  <c r="H587" i="20"/>
  <c r="E382" i="20"/>
  <c r="E394" i="20" s="1"/>
  <c r="E925" i="20"/>
  <c r="E946" i="20" s="1"/>
  <c r="F1032" i="20"/>
  <c r="F1056" i="20" s="1"/>
  <c r="G603" i="20"/>
  <c r="G587" i="20"/>
  <c r="U110" i="20"/>
  <c r="E493" i="20"/>
  <c r="E505" i="20" s="1"/>
  <c r="X110" i="20"/>
  <c r="T110" i="20"/>
  <c r="F603" i="20"/>
  <c r="F604" i="20" s="1"/>
  <c r="F616" i="20" s="1"/>
  <c r="Z110" i="20"/>
  <c r="Y110" i="20"/>
  <c r="W110" i="20"/>
  <c r="E148" i="20"/>
  <c r="E169" i="20" s="1"/>
  <c r="E793" i="20"/>
  <c r="E794" i="20" s="1"/>
  <c r="C51" i="20"/>
  <c r="C86" i="20" s="1"/>
  <c r="E130" i="20"/>
  <c r="E591" i="20"/>
  <c r="E592" i="20" s="1"/>
  <c r="E613" i="20" s="1"/>
  <c r="E29" i="20"/>
  <c r="E56" i="20" s="1"/>
  <c r="E813" i="20"/>
  <c r="E814" i="20" s="1"/>
  <c r="E835" i="20" s="1"/>
  <c r="E251" i="20"/>
  <c r="E278" i="20" s="1"/>
  <c r="G464" i="20"/>
  <c r="F255" i="20"/>
  <c r="F279" i="20" s="1"/>
  <c r="T32" i="20"/>
  <c r="E711" i="20"/>
  <c r="E726" i="20" s="1"/>
  <c r="E703" i="20"/>
  <c r="E724" i="20" s="1"/>
  <c r="E917" i="20"/>
  <c r="E944" i="20" s="1"/>
  <c r="F921" i="20"/>
  <c r="F945" i="20" s="1"/>
  <c r="T40" i="20"/>
  <c r="D247" i="20"/>
  <c r="D277" i="20" s="1"/>
  <c r="F370" i="20"/>
  <c r="F391" i="20" s="1"/>
  <c r="F477" i="20"/>
  <c r="F501" i="20" s="1"/>
  <c r="C838" i="20"/>
  <c r="C839" i="20" s="1"/>
  <c r="E473" i="20"/>
  <c r="E500" i="20" s="1"/>
  <c r="D691" i="20"/>
  <c r="D721" i="20" s="1"/>
  <c r="C828" i="20"/>
  <c r="C874" i="20" s="1"/>
  <c r="C882" i="20" s="1"/>
  <c r="D239" i="20"/>
  <c r="D276" i="20" s="1"/>
  <c r="E715" i="20"/>
  <c r="E727" i="20" s="1"/>
  <c r="E156" i="20"/>
  <c r="E171" i="20" s="1"/>
  <c r="C1053" i="20"/>
  <c r="C1061" i="20" s="1"/>
  <c r="D1053" i="20"/>
  <c r="S19" i="20"/>
  <c r="G131" i="20"/>
  <c r="E683" i="20"/>
  <c r="D465" i="20"/>
  <c r="D128" i="20"/>
  <c r="D165" i="20" s="1"/>
  <c r="E354" i="20"/>
  <c r="R21" i="20"/>
  <c r="C1050" i="20"/>
  <c r="C1096" i="20" s="1"/>
  <c r="C1104" i="20" s="1"/>
  <c r="T121" i="20"/>
  <c r="S124" i="20"/>
  <c r="X108" i="20"/>
  <c r="E378" i="20"/>
  <c r="E393" i="20" s="1"/>
  <c r="F381" i="20"/>
  <c r="F353" i="20"/>
  <c r="F472" i="20"/>
  <c r="F468" i="20"/>
  <c r="G476" i="20"/>
  <c r="E489" i="20"/>
  <c r="E504" i="20" s="1"/>
  <c r="F599" i="20"/>
  <c r="E571" i="20"/>
  <c r="E600" i="20"/>
  <c r="E615" i="20" s="1"/>
  <c r="D572" i="20"/>
  <c r="G821" i="20"/>
  <c r="E797" i="20"/>
  <c r="E798" i="20" s="1"/>
  <c r="G809" i="20"/>
  <c r="G817" i="20"/>
  <c r="F825" i="20"/>
  <c r="F826" i="20" s="1"/>
  <c r="F838" i="20" s="1"/>
  <c r="E801" i="20"/>
  <c r="F810" i="20"/>
  <c r="F834" i="20" s="1"/>
  <c r="G805" i="20"/>
  <c r="E237" i="20"/>
  <c r="E1023" i="20"/>
  <c r="J1043" i="20"/>
  <c r="E1015" i="20"/>
  <c r="E1016" i="20" s="1"/>
  <c r="E689" i="20"/>
  <c r="G1031" i="20"/>
  <c r="G1047" i="20"/>
  <c r="E1035" i="20"/>
  <c r="E1036" i="20" s="1"/>
  <c r="E1057" i="20" s="1"/>
  <c r="G1027" i="20"/>
  <c r="E1019" i="20"/>
  <c r="E1020" i="20" s="1"/>
  <c r="F932" i="20"/>
  <c r="G924" i="20"/>
  <c r="F916" i="20"/>
  <c r="F936" i="20"/>
  <c r="G928" i="20"/>
  <c r="G253" i="20"/>
  <c r="G255" i="20" s="1"/>
  <c r="G279" i="20" s="1"/>
  <c r="E933" i="20"/>
  <c r="E948" i="20" s="1"/>
  <c r="G904" i="20"/>
  <c r="G920" i="20"/>
  <c r="F908" i="20"/>
  <c r="F912" i="20"/>
  <c r="F706" i="20"/>
  <c r="G698" i="20"/>
  <c r="E245" i="20"/>
  <c r="U38" i="20"/>
  <c r="F714" i="20"/>
  <c r="F710" i="20"/>
  <c r="F682" i="20"/>
  <c r="E707" i="20"/>
  <c r="E725" i="20" s="1"/>
  <c r="F702" i="20"/>
  <c r="E690" i="20"/>
  <c r="E695" i="20"/>
  <c r="E722" i="20" s="1"/>
  <c r="F694" i="20"/>
  <c r="G686" i="20"/>
  <c r="F699" i="20"/>
  <c r="F723" i="20" s="1"/>
  <c r="F242" i="20"/>
  <c r="E243" i="20"/>
  <c r="E903" i="20"/>
  <c r="E911" i="20"/>
  <c r="E913" i="20" s="1"/>
  <c r="E943" i="20" s="1"/>
  <c r="E1022" i="20"/>
  <c r="S25" i="20"/>
  <c r="S15" i="20"/>
  <c r="E570" i="20"/>
  <c r="E574" i="20"/>
  <c r="E576" i="20" s="1"/>
  <c r="E356" i="20"/>
  <c r="F152" i="20"/>
  <c r="F170" i="20" s="1"/>
  <c r="E463" i="20"/>
  <c r="E465" i="20" s="1"/>
  <c r="F138" i="20"/>
  <c r="F140" i="20" s="1"/>
  <c r="F167" i="20" s="1"/>
  <c r="D136" i="20"/>
  <c r="D166" i="20" s="1"/>
  <c r="E134" i="20"/>
  <c r="E136" i="20" s="1"/>
  <c r="E166" i="20" s="1"/>
  <c r="E126" i="20"/>
  <c r="G142" i="20"/>
  <c r="G144" i="20" s="1"/>
  <c r="G168" i="20" s="1"/>
  <c r="F44" i="20"/>
  <c r="D41" i="20"/>
  <c r="E40" i="20"/>
  <c r="S28" i="19"/>
  <c r="F131" i="20"/>
  <c r="S16" i="20"/>
  <c r="C173" i="20"/>
  <c r="E131" i="20"/>
  <c r="G139" i="20"/>
  <c r="E127" i="20"/>
  <c r="H48" i="20"/>
  <c r="D37" i="20"/>
  <c r="C62" i="20"/>
  <c r="D25" i="20"/>
  <c r="S26" i="20"/>
  <c r="D21" i="20"/>
  <c r="S20" i="20"/>
  <c r="E17" i="20"/>
  <c r="E49" i="20"/>
  <c r="T61" i="20"/>
  <c r="F49" i="20"/>
  <c r="E45" i="20"/>
  <c r="T55" i="20"/>
  <c r="F57" i="20"/>
  <c r="U37" i="20"/>
  <c r="F29" i="20"/>
  <c r="T31" i="20"/>
  <c r="F1046" i="20"/>
  <c r="F1048" i="20" s="1"/>
  <c r="F1060" i="20" s="1"/>
  <c r="F1042" i="20"/>
  <c r="F1044" i="20" s="1"/>
  <c r="F1059" i="20" s="1"/>
  <c r="F1034" i="20"/>
  <c r="G1030" i="20"/>
  <c r="F1026" i="20"/>
  <c r="F1028" i="20" s="1"/>
  <c r="F1055" i="20" s="1"/>
  <c r="F1022" i="20"/>
  <c r="F1018" i="20"/>
  <c r="F1014" i="20"/>
  <c r="E1102" i="20"/>
  <c r="F935" i="20"/>
  <c r="F931" i="20"/>
  <c r="F927" i="20"/>
  <c r="F929" i="20" s="1"/>
  <c r="F947" i="20" s="1"/>
  <c r="F923" i="20"/>
  <c r="F925" i="20" s="1"/>
  <c r="F946" i="20" s="1"/>
  <c r="G919" i="20"/>
  <c r="F915" i="20"/>
  <c r="F911" i="20"/>
  <c r="F907" i="20"/>
  <c r="F903" i="20"/>
  <c r="H991" i="20"/>
  <c r="F816" i="20"/>
  <c r="F818" i="20" s="1"/>
  <c r="F836" i="20" s="1"/>
  <c r="F812" i="20"/>
  <c r="G808" i="20"/>
  <c r="F804" i="20"/>
  <c r="F806" i="20" s="1"/>
  <c r="F833" i="20" s="1"/>
  <c r="F796" i="20"/>
  <c r="F792" i="20"/>
  <c r="E880" i="20"/>
  <c r="F713" i="20"/>
  <c r="F709" i="20"/>
  <c r="F705" i="20"/>
  <c r="F701" i="20"/>
  <c r="G697" i="20"/>
  <c r="F693" i="20"/>
  <c r="F689" i="20"/>
  <c r="F685" i="20"/>
  <c r="F687" i="20" s="1"/>
  <c r="E769" i="20"/>
  <c r="T24" i="19"/>
  <c r="E24" i="20"/>
  <c r="E480" i="20"/>
  <c r="E460" i="20"/>
  <c r="E461" i="20" s="1"/>
  <c r="E36" i="20"/>
  <c r="G575" i="20"/>
  <c r="E246" i="20"/>
  <c r="E20" i="20"/>
  <c r="F377" i="20"/>
  <c r="F378" i="20" s="1"/>
  <c r="F393" i="20" s="1"/>
  <c r="E238" i="20"/>
  <c r="F594" i="20"/>
  <c r="F596" i="20" s="1"/>
  <c r="F614" i="20" s="1"/>
  <c r="F148" i="20"/>
  <c r="F169" i="20" s="1"/>
  <c r="H32" i="20"/>
  <c r="H44" i="20"/>
  <c r="G33" i="20"/>
  <c r="F16" i="20"/>
  <c r="H150" i="20"/>
  <c r="G485" i="20"/>
  <c r="G503" i="20" s="1"/>
  <c r="G594" i="20"/>
  <c r="G595" i="20"/>
  <c r="H603" i="20"/>
  <c r="F591" i="20"/>
  <c r="H483" i="20"/>
  <c r="F374" i="20"/>
  <c r="F392" i="20" s="1"/>
  <c r="H488" i="20"/>
  <c r="H492" i="20"/>
  <c r="H484" i="20"/>
  <c r="G369" i="20"/>
  <c r="G373" i="20"/>
  <c r="G381" i="20"/>
  <c r="H159" i="20"/>
  <c r="H155" i="20"/>
  <c r="G151" i="20"/>
  <c r="G152" i="20" s="1"/>
  <c r="G170" i="20" s="1"/>
  <c r="G147" i="20"/>
  <c r="F39" i="20"/>
  <c r="I48" i="20"/>
  <c r="F36" i="20"/>
  <c r="F598" i="20"/>
  <c r="G586" i="20"/>
  <c r="F582" i="20"/>
  <c r="F578" i="20"/>
  <c r="F580" i="20" s="1"/>
  <c r="F610" i="20" s="1"/>
  <c r="F574" i="20"/>
  <c r="F576" i="20" s="1"/>
  <c r="F570" i="20"/>
  <c r="E658" i="20"/>
  <c r="F491" i="20"/>
  <c r="F493" i="20" s="1"/>
  <c r="F505" i="20" s="1"/>
  <c r="F487" i="20"/>
  <c r="F489" i="20" s="1"/>
  <c r="F504" i="20" s="1"/>
  <c r="F479" i="20"/>
  <c r="G475" i="20"/>
  <c r="F471" i="20"/>
  <c r="F459" i="20"/>
  <c r="E547" i="20"/>
  <c r="G364" i="20"/>
  <c r="G366" i="20" s="1"/>
  <c r="G390" i="20" s="1"/>
  <c r="F360" i="20"/>
  <c r="F362" i="20" s="1"/>
  <c r="F389" i="20" s="1"/>
  <c r="F352" i="20"/>
  <c r="F348" i="20"/>
  <c r="F350" i="20" s="1"/>
  <c r="E436" i="20"/>
  <c r="F265" i="20"/>
  <c r="F249" i="20"/>
  <c r="F251" i="20" s="1"/>
  <c r="F278" i="20" s="1"/>
  <c r="F245" i="20"/>
  <c r="F241" i="20"/>
  <c r="E325" i="20"/>
  <c r="E214" i="20"/>
  <c r="F130" i="20"/>
  <c r="F103" i="20"/>
  <c r="U103" i="20"/>
  <c r="G47" i="20"/>
  <c r="T30" i="19"/>
  <c r="T29" i="19"/>
  <c r="G43" i="20"/>
  <c r="H575" i="20"/>
  <c r="I583" i="20"/>
  <c r="I587" i="20"/>
  <c r="H579" i="20"/>
  <c r="J254" i="20"/>
  <c r="H250" i="20"/>
  <c r="H464" i="20"/>
  <c r="J365" i="20"/>
  <c r="H349" i="20"/>
  <c r="H361" i="20"/>
  <c r="H131" i="20"/>
  <c r="G135" i="20"/>
  <c r="J143" i="20"/>
  <c r="U26" i="19"/>
  <c r="G27" i="20"/>
  <c r="T25" i="19"/>
  <c r="G19" i="20"/>
  <c r="T22" i="19"/>
  <c r="G18" i="1"/>
  <c r="AX130" i="19" l="1"/>
  <c r="I1089" i="20"/>
  <c r="AX128" i="19"/>
  <c r="I1084" i="20"/>
  <c r="W130" i="19"/>
  <c r="I973" i="20" s="1"/>
  <c r="H978" i="20"/>
  <c r="H973" i="20"/>
  <c r="X128" i="19"/>
  <c r="AX100" i="19"/>
  <c r="I867" i="20"/>
  <c r="AX98" i="19"/>
  <c r="I862" i="20"/>
  <c r="X100" i="19"/>
  <c r="J756" i="20" s="1"/>
  <c r="X98" i="19"/>
  <c r="I751" i="20"/>
  <c r="I640" i="20"/>
  <c r="AX70" i="19"/>
  <c r="I645" i="20"/>
  <c r="Y116" i="20"/>
  <c r="AX68" i="19"/>
  <c r="AX40" i="19"/>
  <c r="I534" i="20"/>
  <c r="AV39" i="19"/>
  <c r="G529" i="20"/>
  <c r="AX38" i="19"/>
  <c r="I423" i="20"/>
  <c r="I418" i="20"/>
  <c r="L322" i="20"/>
  <c r="I307" i="20"/>
  <c r="W122" i="20"/>
  <c r="I201" i="20"/>
  <c r="H201" i="20"/>
  <c r="AX10" i="19"/>
  <c r="J423" i="20" s="1"/>
  <c r="AX8" i="19"/>
  <c r="X70" i="19"/>
  <c r="J312" i="20" s="1"/>
  <c r="X68" i="19"/>
  <c r="W115" i="20"/>
  <c r="X40" i="19"/>
  <c r="J201" i="20" s="1"/>
  <c r="H196" i="20"/>
  <c r="X38" i="19"/>
  <c r="I196" i="20"/>
  <c r="H12" i="25"/>
  <c r="D384" i="20"/>
  <c r="D430" i="20" s="1"/>
  <c r="D438" i="20" s="1"/>
  <c r="S151" i="19"/>
  <c r="F905" i="20"/>
  <c r="E905" i="20"/>
  <c r="E939" i="20" s="1"/>
  <c r="D839" i="20"/>
  <c r="D828" i="20"/>
  <c r="D874" i="20" s="1"/>
  <c r="D882" i="20" s="1"/>
  <c r="C730" i="20"/>
  <c r="C773" i="20" s="1"/>
  <c r="C778" i="20" s="1"/>
  <c r="C782" i="20" s="1"/>
  <c r="C784" i="20" s="1"/>
  <c r="H364" i="20"/>
  <c r="H366" i="20" s="1"/>
  <c r="H390" i="20" s="1"/>
  <c r="R88" i="19"/>
  <c r="D266" i="20"/>
  <c r="S50" i="20"/>
  <c r="D279" i="20"/>
  <c r="S76" i="20" s="1"/>
  <c r="S40" i="20"/>
  <c r="E262" i="20"/>
  <c r="E263" i="20" s="1"/>
  <c r="E281" i="20" s="1"/>
  <c r="C278" i="20"/>
  <c r="R75" i="20" s="1"/>
  <c r="R34" i="20"/>
  <c r="C258" i="20"/>
  <c r="Q87" i="19"/>
  <c r="C255" i="20"/>
  <c r="R38" i="20"/>
  <c r="E481" i="20"/>
  <c r="E502" i="20" s="1"/>
  <c r="D495" i="20"/>
  <c r="D541" i="20" s="1"/>
  <c r="D549" i="20" s="1"/>
  <c r="C619" i="20"/>
  <c r="C652" i="20"/>
  <c r="C660" i="20" s="1"/>
  <c r="C952" i="20"/>
  <c r="C985" i="20"/>
  <c r="C993" i="20" s="1"/>
  <c r="D950" i="20"/>
  <c r="D609" i="20"/>
  <c r="D617" i="20" s="1"/>
  <c r="F800" i="20"/>
  <c r="AT114" i="19"/>
  <c r="AT121" i="19" s="1"/>
  <c r="AU114" i="19"/>
  <c r="AT24" i="19"/>
  <c r="AT31" i="19" s="1"/>
  <c r="F467" i="20"/>
  <c r="F469" i="20" s="1"/>
  <c r="F499" i="20" s="1"/>
  <c r="AU54" i="19"/>
  <c r="AU24" i="19"/>
  <c r="U54" i="19"/>
  <c r="F237" i="20"/>
  <c r="G237" i="20"/>
  <c r="U52" i="19"/>
  <c r="G23" i="20"/>
  <c r="V10" i="19"/>
  <c r="H90" i="20" s="1"/>
  <c r="D1050" i="20"/>
  <c r="D1096" i="20" s="1"/>
  <c r="D1104" i="20" s="1"/>
  <c r="C97" i="20"/>
  <c r="C105" i="20" s="1"/>
  <c r="C506" i="20"/>
  <c r="C508" i="20" s="1"/>
  <c r="C551" i="20" s="1"/>
  <c r="F707" i="20"/>
  <c r="F725" i="20" s="1"/>
  <c r="C175" i="20"/>
  <c r="C218" i="20" s="1"/>
  <c r="C397" i="20"/>
  <c r="C440" i="20" s="1"/>
  <c r="D939" i="20"/>
  <c r="G15" i="20"/>
  <c r="V8" i="19"/>
  <c r="H85" i="20" s="1"/>
  <c r="AS31" i="19"/>
  <c r="T49" i="20"/>
  <c r="E802" i="20"/>
  <c r="E832" i="20" s="1"/>
  <c r="F1038" i="20"/>
  <c r="U49" i="20" s="1"/>
  <c r="AT147" i="19"/>
  <c r="AT151" i="19" s="1"/>
  <c r="AT53" i="19"/>
  <c r="AT61" i="19" s="1"/>
  <c r="AS61" i="19"/>
  <c r="S61" i="19"/>
  <c r="F592" i="20"/>
  <c r="F613" i="20" s="1"/>
  <c r="AU23" i="19"/>
  <c r="H376" i="20"/>
  <c r="AU28" i="19"/>
  <c r="AU27" i="19"/>
  <c r="F382" i="20"/>
  <c r="F394" i="20" s="1"/>
  <c r="AU30" i="19"/>
  <c r="AU22" i="19"/>
  <c r="AU25" i="19"/>
  <c r="AV26" i="19"/>
  <c r="AU29" i="19"/>
  <c r="AU52" i="19"/>
  <c r="AU59" i="19"/>
  <c r="AU58" i="19"/>
  <c r="AU53" i="19"/>
  <c r="AV56" i="19"/>
  <c r="G491" i="20"/>
  <c r="G493" i="20" s="1"/>
  <c r="G505" i="20" s="1"/>
  <c r="AU55" i="19"/>
  <c r="AU60" i="19"/>
  <c r="H479" i="20"/>
  <c r="AU57" i="19"/>
  <c r="AU84" i="19"/>
  <c r="H602" i="20"/>
  <c r="H604" i="20" s="1"/>
  <c r="H616" i="20" s="1"/>
  <c r="AU89" i="19"/>
  <c r="AU88" i="19"/>
  <c r="AU85" i="19"/>
  <c r="AV86" i="19"/>
  <c r="AT91" i="19"/>
  <c r="AU82" i="19"/>
  <c r="AU90" i="19"/>
  <c r="AU83" i="19"/>
  <c r="H590" i="20"/>
  <c r="AU87" i="19"/>
  <c r="AU113" i="19"/>
  <c r="H820" i="20"/>
  <c r="AU118" i="19"/>
  <c r="AU115" i="19"/>
  <c r="G820" i="20"/>
  <c r="G822" i="20" s="1"/>
  <c r="G837" i="20" s="1"/>
  <c r="AU120" i="19"/>
  <c r="AU117" i="19"/>
  <c r="AU119" i="19"/>
  <c r="AU112" i="19"/>
  <c r="AV116" i="19"/>
  <c r="AU142" i="19"/>
  <c r="AU147" i="19"/>
  <c r="AV146" i="19"/>
  <c r="AU150" i="19"/>
  <c r="AU144" i="19"/>
  <c r="AU148" i="19"/>
  <c r="AU145" i="19"/>
  <c r="AU143" i="19"/>
  <c r="AU149" i="19"/>
  <c r="U150" i="19"/>
  <c r="U145" i="19"/>
  <c r="U143" i="19"/>
  <c r="T151" i="19"/>
  <c r="U147" i="19"/>
  <c r="U142" i="19"/>
  <c r="V146" i="19"/>
  <c r="U149" i="19"/>
  <c r="U148" i="19"/>
  <c r="U144" i="19"/>
  <c r="U120" i="19"/>
  <c r="T121" i="19"/>
  <c r="V116" i="19"/>
  <c r="U114" i="19"/>
  <c r="U117" i="19"/>
  <c r="U112" i="19"/>
  <c r="U115" i="19"/>
  <c r="U118" i="19"/>
  <c r="U113" i="19"/>
  <c r="U119" i="19"/>
  <c r="H265" i="20"/>
  <c r="U85" i="19"/>
  <c r="V86" i="19"/>
  <c r="G257" i="20"/>
  <c r="U84" i="19"/>
  <c r="H269" i="20"/>
  <c r="U83" i="19"/>
  <c r="I142" i="20"/>
  <c r="I144" i="20" s="1"/>
  <c r="I168" i="20" s="1"/>
  <c r="V56" i="19"/>
  <c r="U59" i="19"/>
  <c r="U53" i="19"/>
  <c r="U60" i="19"/>
  <c r="U57" i="19"/>
  <c r="H142" i="20"/>
  <c r="H144" i="20" s="1"/>
  <c r="H168" i="20" s="1"/>
  <c r="T61" i="19"/>
  <c r="H154" i="20"/>
  <c r="H156" i="20" s="1"/>
  <c r="H171" i="20" s="1"/>
  <c r="U58" i="19"/>
  <c r="H138" i="20"/>
  <c r="U55" i="19"/>
  <c r="D728" i="20"/>
  <c r="R22" i="20"/>
  <c r="E720" i="20"/>
  <c r="F913" i="20"/>
  <c r="F943" i="20" s="1"/>
  <c r="V13" i="19"/>
  <c r="H35" i="20" s="1"/>
  <c r="U27" i="19"/>
  <c r="E358" i="20"/>
  <c r="E388" i="20" s="1"/>
  <c r="F681" i="20"/>
  <c r="F683" i="20" s="1"/>
  <c r="F720" i="20" s="1"/>
  <c r="F584" i="20"/>
  <c r="F611" i="20" s="1"/>
  <c r="F793" i="20"/>
  <c r="F794" i="20" s="1"/>
  <c r="D397" i="20"/>
  <c r="F357" i="20"/>
  <c r="F358" i="20" s="1"/>
  <c r="F388" i="20" s="1"/>
  <c r="G604" i="20"/>
  <c r="G616" i="20" s="1"/>
  <c r="D717" i="20"/>
  <c r="D763" i="20" s="1"/>
  <c r="D771" i="20" s="1"/>
  <c r="E387" i="20"/>
  <c r="E132" i="20"/>
  <c r="F600" i="20"/>
  <c r="F615" i="20" s="1"/>
  <c r="D1061" i="20"/>
  <c r="G1039" i="20"/>
  <c r="G588" i="20"/>
  <c r="G612" i="20" s="1"/>
  <c r="C841" i="20"/>
  <c r="C884" i="20" s="1"/>
  <c r="C889" i="20" s="1"/>
  <c r="C893" i="20" s="1"/>
  <c r="F937" i="20"/>
  <c r="F949" i="20" s="1"/>
  <c r="F813" i="20"/>
  <c r="F814" i="20" s="1"/>
  <c r="F835" i="20" s="1"/>
  <c r="D173" i="20"/>
  <c r="T75" i="20"/>
  <c r="G477" i="20"/>
  <c r="G501" i="20" s="1"/>
  <c r="F933" i="20"/>
  <c r="F948" i="20" s="1"/>
  <c r="F909" i="20"/>
  <c r="C1063" i="20"/>
  <c r="C1106" i="20" s="1"/>
  <c r="C1111" i="20" s="1"/>
  <c r="C1115" i="20" s="1"/>
  <c r="C1117" i="20" s="1"/>
  <c r="C1119" i="20" s="1"/>
  <c r="C1121" i="20" s="1"/>
  <c r="F711" i="20"/>
  <c r="F726" i="20" s="1"/>
  <c r="D162" i="20"/>
  <c r="D208" i="20" s="1"/>
  <c r="D216" i="20" s="1"/>
  <c r="E239" i="20"/>
  <c r="E276" i="20" s="1"/>
  <c r="E691" i="20"/>
  <c r="E721" i="20" s="1"/>
  <c r="F45" i="20"/>
  <c r="F60" i="20" s="1"/>
  <c r="E1024" i="20"/>
  <c r="E1054" i="20" s="1"/>
  <c r="F917" i="20"/>
  <c r="F944" i="20" s="1"/>
  <c r="R73" i="20"/>
  <c r="G921" i="20"/>
  <c r="G945" i="20" s="1"/>
  <c r="G1032" i="20"/>
  <c r="G1056" i="20" s="1"/>
  <c r="U32" i="20"/>
  <c r="F132" i="20"/>
  <c r="D498" i="20"/>
  <c r="D506" i="20" s="1"/>
  <c r="E572" i="20"/>
  <c r="E606" i="20" s="1"/>
  <c r="F243" i="20"/>
  <c r="F354" i="20"/>
  <c r="F387" i="20" s="1"/>
  <c r="E831" i="20"/>
  <c r="U121" i="20"/>
  <c r="T124" i="20"/>
  <c r="Y108" i="20"/>
  <c r="E1053" i="20"/>
  <c r="G353" i="20"/>
  <c r="V38" i="20"/>
  <c r="G472" i="20"/>
  <c r="F473" i="20"/>
  <c r="F500" i="20" s="1"/>
  <c r="H476" i="20"/>
  <c r="G468" i="20"/>
  <c r="F571" i="20"/>
  <c r="F572" i="20" s="1"/>
  <c r="F609" i="20" s="1"/>
  <c r="G599" i="20"/>
  <c r="G600" i="20" s="1"/>
  <c r="G615" i="20" s="1"/>
  <c r="S17" i="20"/>
  <c r="D606" i="20"/>
  <c r="G793" i="20"/>
  <c r="G681" i="20"/>
  <c r="F801" i="20"/>
  <c r="G825" i="20"/>
  <c r="F797" i="20"/>
  <c r="F798" i="20" s="1"/>
  <c r="H805" i="20"/>
  <c r="H817" i="20"/>
  <c r="H809" i="20"/>
  <c r="G810" i="20"/>
  <c r="G834" i="20" s="1"/>
  <c r="H821" i="20"/>
  <c r="F1019" i="20"/>
  <c r="F1020" i="20" s="1"/>
  <c r="H1027" i="20"/>
  <c r="K1043" i="20"/>
  <c r="L1043" i="20"/>
  <c r="F1015" i="20"/>
  <c r="F1016" i="20" s="1"/>
  <c r="F1035" i="20"/>
  <c r="F1036" i="20" s="1"/>
  <c r="F1057" i="20" s="1"/>
  <c r="F1023" i="20"/>
  <c r="F1024" i="20" s="1"/>
  <c r="F1054" i="20" s="1"/>
  <c r="H1047" i="20"/>
  <c r="H1031" i="20"/>
  <c r="U40" i="20"/>
  <c r="H928" i="20"/>
  <c r="U76" i="20"/>
  <c r="G912" i="20"/>
  <c r="G936" i="20"/>
  <c r="G908" i="20"/>
  <c r="G916" i="20"/>
  <c r="H920" i="20"/>
  <c r="H924" i="20"/>
  <c r="H904" i="20"/>
  <c r="G932" i="20"/>
  <c r="G710" i="20"/>
  <c r="F715" i="20"/>
  <c r="F727" i="20" s="1"/>
  <c r="H698" i="20"/>
  <c r="F695" i="20"/>
  <c r="F722" i="20" s="1"/>
  <c r="G702" i="20"/>
  <c r="G699" i="20"/>
  <c r="G723" i="20" s="1"/>
  <c r="G714" i="20"/>
  <c r="T34" i="20"/>
  <c r="G694" i="20"/>
  <c r="F690" i="20"/>
  <c r="F691" i="20" s="1"/>
  <c r="F721" i="20" s="1"/>
  <c r="E247" i="20"/>
  <c r="E277" i="20" s="1"/>
  <c r="H686" i="20"/>
  <c r="G682" i="20"/>
  <c r="F703" i="20"/>
  <c r="F724" i="20" s="1"/>
  <c r="G706" i="20"/>
  <c r="G242" i="20"/>
  <c r="T15" i="20"/>
  <c r="E498" i="20"/>
  <c r="T25" i="20"/>
  <c r="E128" i="20"/>
  <c r="F463" i="20"/>
  <c r="F465" i="20" s="1"/>
  <c r="T19" i="20"/>
  <c r="F126" i="20"/>
  <c r="F134" i="20"/>
  <c r="F136" i="20" s="1"/>
  <c r="F166" i="20" s="1"/>
  <c r="H31" i="20"/>
  <c r="H33" i="20" s="1"/>
  <c r="D58" i="20"/>
  <c r="D51" i="20"/>
  <c r="D86" i="20" s="1"/>
  <c r="S31" i="19"/>
  <c r="E41" i="20"/>
  <c r="E59" i="20" s="1"/>
  <c r="F40" i="20"/>
  <c r="D59" i="20"/>
  <c r="S78" i="20" s="1"/>
  <c r="S52" i="20"/>
  <c r="T28" i="19"/>
  <c r="T16" i="20"/>
  <c r="F127" i="20"/>
  <c r="H139" i="20"/>
  <c r="E37" i="20"/>
  <c r="F37" i="20"/>
  <c r="F58" i="20" s="1"/>
  <c r="C64" i="20"/>
  <c r="C107" i="20" s="1"/>
  <c r="E25" i="20"/>
  <c r="E55" i="20" s="1"/>
  <c r="T26" i="20"/>
  <c r="D55" i="20"/>
  <c r="S74" i="20" s="1"/>
  <c r="S28" i="20"/>
  <c r="E21" i="20"/>
  <c r="E54" i="20" s="1"/>
  <c r="T20" i="20"/>
  <c r="D54" i="20"/>
  <c r="S21" i="20"/>
  <c r="F17" i="20"/>
  <c r="F61" i="20"/>
  <c r="E61" i="20"/>
  <c r="G49" i="20"/>
  <c r="U61" i="20"/>
  <c r="E60" i="20"/>
  <c r="G45" i="20"/>
  <c r="U55" i="20"/>
  <c r="U43" i="20"/>
  <c r="G57" i="20"/>
  <c r="V37" i="20"/>
  <c r="F56" i="20"/>
  <c r="G29" i="20"/>
  <c r="U31" i="20"/>
  <c r="G1046" i="20"/>
  <c r="G1048" i="20" s="1"/>
  <c r="G1060" i="20" s="1"/>
  <c r="G1042" i="20"/>
  <c r="G1044" i="20" s="1"/>
  <c r="G1059" i="20" s="1"/>
  <c r="G1038" i="20"/>
  <c r="G1034" i="20"/>
  <c r="H1030" i="20"/>
  <c r="G1026" i="20"/>
  <c r="G1028" i="20" s="1"/>
  <c r="G1055" i="20" s="1"/>
  <c r="G1022" i="20"/>
  <c r="G1018" i="20"/>
  <c r="G1014" i="20"/>
  <c r="F1102" i="20"/>
  <c r="G935" i="20"/>
  <c r="G931" i="20"/>
  <c r="G927" i="20"/>
  <c r="G929" i="20" s="1"/>
  <c r="G947" i="20" s="1"/>
  <c r="G923" i="20"/>
  <c r="G925" i="20" s="1"/>
  <c r="G946" i="20" s="1"/>
  <c r="H919" i="20"/>
  <c r="G915" i="20"/>
  <c r="G911" i="20"/>
  <c r="G907" i="20"/>
  <c r="G903" i="20"/>
  <c r="G905" i="20" s="1"/>
  <c r="I991" i="20"/>
  <c r="G824" i="20"/>
  <c r="G816" i="20"/>
  <c r="G818" i="20" s="1"/>
  <c r="G836" i="20" s="1"/>
  <c r="G812" i="20"/>
  <c r="H808" i="20"/>
  <c r="G804" i="20"/>
  <c r="G806" i="20" s="1"/>
  <c r="G833" i="20" s="1"/>
  <c r="G796" i="20"/>
  <c r="G792" i="20"/>
  <c r="F880" i="20"/>
  <c r="G713" i="20"/>
  <c r="G709" i="20"/>
  <c r="G705" i="20"/>
  <c r="G701" i="20"/>
  <c r="H697" i="20"/>
  <c r="G693" i="20"/>
  <c r="G689" i="20"/>
  <c r="G685" i="20"/>
  <c r="G687" i="20" s="1"/>
  <c r="F769" i="20"/>
  <c r="F246" i="20"/>
  <c r="F247" i="20" s="1"/>
  <c r="F277" i="20" s="1"/>
  <c r="F460" i="20"/>
  <c r="F461" i="20" s="1"/>
  <c r="G370" i="20"/>
  <c r="G391" i="20" s="1"/>
  <c r="F24" i="20"/>
  <c r="F480" i="20"/>
  <c r="F481" i="20" s="1"/>
  <c r="F502" i="20" s="1"/>
  <c r="F20" i="20"/>
  <c r="F238" i="20"/>
  <c r="G377" i="20"/>
  <c r="G378" i="20" s="1"/>
  <c r="G393" i="20" s="1"/>
  <c r="T23" i="19"/>
  <c r="I32" i="20"/>
  <c r="I44" i="20"/>
  <c r="G16" i="20"/>
  <c r="G372" i="20"/>
  <c r="G374" i="20" s="1"/>
  <c r="G392" i="20" s="1"/>
  <c r="H485" i="20"/>
  <c r="H503" i="20" s="1"/>
  <c r="G596" i="20"/>
  <c r="G614" i="20" s="1"/>
  <c r="H594" i="20"/>
  <c r="H261" i="20"/>
  <c r="H595" i="20"/>
  <c r="G591" i="20"/>
  <c r="G592" i="20" s="1"/>
  <c r="G613" i="20" s="1"/>
  <c r="I603" i="20"/>
  <c r="I483" i="20"/>
  <c r="I488" i="20"/>
  <c r="I484" i="20"/>
  <c r="I492" i="20"/>
  <c r="G382" i="20"/>
  <c r="G394" i="20" s="1"/>
  <c r="H373" i="20"/>
  <c r="H381" i="20"/>
  <c r="H369" i="20"/>
  <c r="I261" i="20"/>
  <c r="H147" i="20"/>
  <c r="G148" i="20"/>
  <c r="G169" i="20" s="1"/>
  <c r="H151" i="20"/>
  <c r="H152" i="20" s="1"/>
  <c r="H170" i="20" s="1"/>
  <c r="I155" i="20"/>
  <c r="I159" i="20"/>
  <c r="G39" i="20"/>
  <c r="J48" i="20"/>
  <c r="G36" i="20"/>
  <c r="H586" i="20"/>
  <c r="H588" i="20" s="1"/>
  <c r="H612" i="20" s="1"/>
  <c r="G582" i="20"/>
  <c r="G584" i="20" s="1"/>
  <c r="G611" i="20" s="1"/>
  <c r="G578" i="20"/>
  <c r="G580" i="20" s="1"/>
  <c r="G610" i="20" s="1"/>
  <c r="G574" i="20"/>
  <c r="G576" i="20" s="1"/>
  <c r="G570" i="20"/>
  <c r="F658" i="20"/>
  <c r="G487" i="20"/>
  <c r="G489" i="20" s="1"/>
  <c r="G504" i="20" s="1"/>
  <c r="H475" i="20"/>
  <c r="G471" i="20"/>
  <c r="G463" i="20"/>
  <c r="G465" i="20" s="1"/>
  <c r="G459" i="20"/>
  <c r="F547" i="20"/>
  <c r="G360" i="20"/>
  <c r="G362" i="20" s="1"/>
  <c r="G389" i="20" s="1"/>
  <c r="G352" i="20"/>
  <c r="G348" i="20"/>
  <c r="G350" i="20" s="1"/>
  <c r="F436" i="20"/>
  <c r="G265" i="20"/>
  <c r="G249" i="20"/>
  <c r="G251" i="20" s="1"/>
  <c r="G278" i="20" s="1"/>
  <c r="G245" i="20"/>
  <c r="G241" i="20"/>
  <c r="F325" i="20"/>
  <c r="G172" i="20"/>
  <c r="F214" i="20"/>
  <c r="G130" i="20"/>
  <c r="G132" i="20" s="1"/>
  <c r="G138" i="20"/>
  <c r="G140" i="20" s="1"/>
  <c r="G167" i="20" s="1"/>
  <c r="V103" i="20"/>
  <c r="G103" i="20"/>
  <c r="U30" i="19"/>
  <c r="H47" i="20"/>
  <c r="H43" i="20"/>
  <c r="U29" i="19"/>
  <c r="I579" i="20"/>
  <c r="J587" i="20"/>
  <c r="J583" i="20"/>
  <c r="I575" i="20"/>
  <c r="I250" i="20"/>
  <c r="K254" i="20"/>
  <c r="I464" i="20"/>
  <c r="I361" i="20"/>
  <c r="I349" i="20"/>
  <c r="K365" i="20"/>
  <c r="I131" i="20"/>
  <c r="K143" i="20"/>
  <c r="H135" i="20"/>
  <c r="V26" i="19"/>
  <c r="H27" i="20"/>
  <c r="U25" i="19"/>
  <c r="U24" i="19"/>
  <c r="H19" i="20"/>
  <c r="U23" i="19"/>
  <c r="U22" i="19"/>
  <c r="D7" i="1"/>
  <c r="B2" i="14"/>
  <c r="B1" i="14"/>
  <c r="B2" i="13"/>
  <c r="B1" i="13"/>
  <c r="B2" i="6"/>
  <c r="B1" i="6"/>
  <c r="B2" i="5"/>
  <c r="B1" i="5"/>
  <c r="B2" i="4"/>
  <c r="B1" i="4"/>
  <c r="B2" i="3"/>
  <c r="B1" i="3"/>
  <c r="H38" i="14"/>
  <c r="C38" i="14"/>
  <c r="C36" i="14" s="1"/>
  <c r="F36" i="14" s="1"/>
  <c r="E37" i="14"/>
  <c r="E36" i="14"/>
  <c r="E35" i="14"/>
  <c r="E34" i="14"/>
  <c r="E25" i="14"/>
  <c r="E24" i="14"/>
  <c r="C23" i="14"/>
  <c r="E23" i="14" s="1"/>
  <c r="C22" i="14"/>
  <c r="C17" i="14"/>
  <c r="C13" i="14"/>
  <c r="C12" i="14"/>
  <c r="C11" i="14"/>
  <c r="C23" i="13"/>
  <c r="A23" i="13"/>
  <c r="C22" i="13"/>
  <c r="A22" i="13"/>
  <c r="C21" i="13"/>
  <c r="A21" i="13"/>
  <c r="A20" i="13"/>
  <c r="C16" i="13"/>
  <c r="A16" i="13"/>
  <c r="C15" i="13"/>
  <c r="A15" i="13"/>
  <c r="E14" i="13" s="1"/>
  <c r="C14" i="13"/>
  <c r="A14" i="13"/>
  <c r="C13" i="13"/>
  <c r="A13" i="13"/>
  <c r="E13" i="13" s="1"/>
  <c r="D12" i="13"/>
  <c r="C9" i="13"/>
  <c r="C8" i="13"/>
  <c r="C7" i="13"/>
  <c r="C12" i="13" s="1"/>
  <c r="C19" i="13" s="1"/>
  <c r="F23" i="12"/>
  <c r="G33" i="11"/>
  <c r="C22" i="6"/>
  <c r="H21" i="6"/>
  <c r="H16" i="6" s="1"/>
  <c r="G21" i="6"/>
  <c r="G16" i="6" s="1"/>
  <c r="F21" i="6"/>
  <c r="E21" i="6"/>
  <c r="E16" i="6" s="1"/>
  <c r="D21" i="6"/>
  <c r="D16" i="6" s="1"/>
  <c r="H18" i="6"/>
  <c r="H17" i="6"/>
  <c r="H10" i="6" s="1"/>
  <c r="D29" i="6" s="1"/>
  <c r="G17" i="6"/>
  <c r="F17" i="6"/>
  <c r="E17" i="6"/>
  <c r="D17" i="6"/>
  <c r="D10" i="6" s="1"/>
  <c r="F16" i="6"/>
  <c r="C16" i="6"/>
  <c r="H13" i="6"/>
  <c r="H22" i="6" s="1"/>
  <c r="G13" i="6"/>
  <c r="F13" i="6"/>
  <c r="E13" i="6"/>
  <c r="D13" i="6"/>
  <c r="D22" i="6" s="1"/>
  <c r="H11" i="6"/>
  <c r="D30" i="6" s="1"/>
  <c r="G11" i="6"/>
  <c r="F11" i="6"/>
  <c r="E11" i="6"/>
  <c r="D11" i="6"/>
  <c r="H9" i="6"/>
  <c r="D28" i="6" s="1"/>
  <c r="G9" i="6"/>
  <c r="F9" i="6"/>
  <c r="E9" i="6"/>
  <c r="D9" i="6"/>
  <c r="H8" i="6"/>
  <c r="D27" i="6" s="1"/>
  <c r="G8" i="6"/>
  <c r="F8" i="6"/>
  <c r="E8" i="6"/>
  <c r="D8" i="6"/>
  <c r="D23" i="5"/>
  <c r="D22" i="5"/>
  <c r="D21" i="5"/>
  <c r="D20" i="5"/>
  <c r="H12" i="5"/>
  <c r="E24" i="5" s="1"/>
  <c r="G12" i="5"/>
  <c r="F12" i="5"/>
  <c r="E12" i="5"/>
  <c r="D12" i="5"/>
  <c r="C12" i="5"/>
  <c r="D24" i="5" s="1"/>
  <c r="H11" i="5"/>
  <c r="E23" i="5" s="1"/>
  <c r="G11" i="5"/>
  <c r="F11" i="5"/>
  <c r="E11" i="5"/>
  <c r="D11" i="5"/>
  <c r="H10" i="5"/>
  <c r="G10" i="5"/>
  <c r="F10" i="5"/>
  <c r="E10" i="5"/>
  <c r="D10" i="5"/>
  <c r="H9" i="5"/>
  <c r="G9" i="5"/>
  <c r="F9" i="5"/>
  <c r="E9" i="5"/>
  <c r="D9" i="5"/>
  <c r="H8" i="5"/>
  <c r="E20" i="5" s="1"/>
  <c r="G8" i="5"/>
  <c r="F8" i="5"/>
  <c r="E8" i="5"/>
  <c r="D8" i="5"/>
  <c r="C35" i="4"/>
  <c r="C34" i="4"/>
  <c r="C33" i="4"/>
  <c r="C32" i="4"/>
  <c r="D31" i="4"/>
  <c r="C31" i="4"/>
  <c r="M30" i="4"/>
  <c r="C30" i="4"/>
  <c r="N29" i="4"/>
  <c r="M29" i="4"/>
  <c r="L29" i="4"/>
  <c r="C29" i="4"/>
  <c r="D28" i="4"/>
  <c r="C25" i="4"/>
  <c r="C24" i="4"/>
  <c r="C23" i="4"/>
  <c r="C22" i="4"/>
  <c r="C21" i="4"/>
  <c r="L20" i="4"/>
  <c r="C20" i="4"/>
  <c r="C19" i="4"/>
  <c r="H18" i="4"/>
  <c r="G18" i="4"/>
  <c r="F18" i="4"/>
  <c r="E18" i="4"/>
  <c r="D18" i="4"/>
  <c r="C18" i="4"/>
  <c r="N15" i="4"/>
  <c r="M15" i="4"/>
  <c r="L15" i="4"/>
  <c r="N14" i="4"/>
  <c r="M14" i="4"/>
  <c r="H13" i="4"/>
  <c r="G13" i="4"/>
  <c r="F13" i="4"/>
  <c r="E13" i="4"/>
  <c r="D13" i="4"/>
  <c r="N12" i="4"/>
  <c r="M12" i="4"/>
  <c r="H12" i="4"/>
  <c r="D33" i="4" s="1"/>
  <c r="G12" i="4"/>
  <c r="F12" i="4"/>
  <c r="E12" i="4"/>
  <c r="D12" i="4"/>
  <c r="H11" i="4"/>
  <c r="G11" i="4"/>
  <c r="F11" i="4"/>
  <c r="E11" i="4"/>
  <c r="D11" i="4"/>
  <c r="H10" i="4"/>
  <c r="G10" i="4"/>
  <c r="F10" i="4"/>
  <c r="E10" i="4"/>
  <c r="D10" i="4"/>
  <c r="N9" i="4"/>
  <c r="H9" i="4"/>
  <c r="G9" i="4"/>
  <c r="F9" i="4"/>
  <c r="E9" i="4"/>
  <c r="D9" i="4"/>
  <c r="N8" i="4"/>
  <c r="N33" i="4" s="1"/>
  <c r="M8" i="4"/>
  <c r="L8" i="4"/>
  <c r="H8" i="4"/>
  <c r="D29" i="4" s="1"/>
  <c r="G8" i="4"/>
  <c r="F8" i="4"/>
  <c r="E8" i="4"/>
  <c r="D8" i="4"/>
  <c r="N7" i="4"/>
  <c r="M7" i="4"/>
  <c r="C17" i="3"/>
  <c r="D16" i="3"/>
  <c r="D17" i="3" s="1"/>
  <c r="D15" i="3"/>
  <c r="I9" i="3"/>
  <c r="I16" i="3" s="1"/>
  <c r="H9" i="3"/>
  <c r="H16" i="3" s="1"/>
  <c r="G9" i="3"/>
  <c r="G16" i="3" s="1"/>
  <c r="F9" i="3"/>
  <c r="F16" i="3" s="1"/>
  <c r="E9" i="3"/>
  <c r="E16" i="3" s="1"/>
  <c r="I8" i="3"/>
  <c r="H8" i="3"/>
  <c r="G8" i="3"/>
  <c r="G15" i="3" s="1"/>
  <c r="F8" i="3"/>
  <c r="F15" i="3" s="1"/>
  <c r="E8" i="3"/>
  <c r="E15" i="3" s="1"/>
  <c r="H39" i="1"/>
  <c r="F39" i="1"/>
  <c r="H38" i="1"/>
  <c r="F38" i="1"/>
  <c r="H37" i="1"/>
  <c r="F37" i="1"/>
  <c r="H36" i="1"/>
  <c r="F36" i="1"/>
  <c r="H35" i="1"/>
  <c r="F35" i="1"/>
  <c r="H34" i="1"/>
  <c r="F34" i="1"/>
  <c r="G20" i="1"/>
  <c r="G17" i="1"/>
  <c r="G14" i="1"/>
  <c r="G13" i="1"/>
  <c r="G12" i="1"/>
  <c r="G11" i="1"/>
  <c r="G10" i="1"/>
  <c r="G9" i="1"/>
  <c r="AY130" i="19" l="1"/>
  <c r="J1089" i="20"/>
  <c r="AY128" i="19"/>
  <c r="J1084" i="20"/>
  <c r="X130" i="19"/>
  <c r="J973" i="20" s="1"/>
  <c r="I978" i="20"/>
  <c r="Y128" i="19"/>
  <c r="AY100" i="19"/>
  <c r="J867" i="20"/>
  <c r="AY98" i="19"/>
  <c r="J862" i="20"/>
  <c r="Y100" i="19"/>
  <c r="K756" i="20" s="1"/>
  <c r="Y98" i="19"/>
  <c r="J751" i="20"/>
  <c r="J640" i="20"/>
  <c r="AY70" i="19"/>
  <c r="J645" i="20"/>
  <c r="AA116" i="20"/>
  <c r="Z116" i="20"/>
  <c r="AY68" i="19"/>
  <c r="AY40" i="19"/>
  <c r="J534" i="20"/>
  <c r="AY38" i="19"/>
  <c r="AW39" i="19"/>
  <c r="H529" i="20"/>
  <c r="J418" i="20"/>
  <c r="J307" i="20"/>
  <c r="X122" i="20"/>
  <c r="AY10" i="19"/>
  <c r="K423" i="20" s="1"/>
  <c r="D440" i="20"/>
  <c r="AY8" i="19"/>
  <c r="Y70" i="19"/>
  <c r="K312" i="20" s="1"/>
  <c r="Y68" i="19"/>
  <c r="X115" i="20"/>
  <c r="Y40" i="19"/>
  <c r="K201" i="20" s="1"/>
  <c r="Y38" i="19"/>
  <c r="J196" i="20"/>
  <c r="I12" i="25"/>
  <c r="D508" i="20"/>
  <c r="E10" i="3"/>
  <c r="E11" i="3" s="1"/>
  <c r="I9" i="5"/>
  <c r="H10" i="3"/>
  <c r="G17" i="3"/>
  <c r="C786" i="20"/>
  <c r="C788" i="20" s="1"/>
  <c r="D551" i="20"/>
  <c r="E942" i="20"/>
  <c r="E950" i="20" s="1"/>
  <c r="E952" i="20" s="1"/>
  <c r="F942" i="20"/>
  <c r="F950" i="20" s="1"/>
  <c r="D841" i="20"/>
  <c r="D884" i="20" s="1"/>
  <c r="D889" i="20" s="1"/>
  <c r="D893" i="20" s="1"/>
  <c r="D895" i="20" s="1"/>
  <c r="D897" i="20" s="1"/>
  <c r="T78" i="20"/>
  <c r="T50" i="20"/>
  <c r="D267" i="20"/>
  <c r="S56" i="20"/>
  <c r="D270" i="20"/>
  <c r="R89" i="19"/>
  <c r="S88" i="19"/>
  <c r="E266" i="20"/>
  <c r="F262" i="20"/>
  <c r="F263" i="20" s="1"/>
  <c r="F281" i="20" s="1"/>
  <c r="C259" i="20"/>
  <c r="R44" i="20"/>
  <c r="C279" i="20"/>
  <c r="R76" i="20" s="1"/>
  <c r="R40" i="20"/>
  <c r="R87" i="19"/>
  <c r="D258" i="20"/>
  <c r="C262" i="20"/>
  <c r="E506" i="20"/>
  <c r="E495" i="20"/>
  <c r="C995" i="20"/>
  <c r="C1000" i="20" s="1"/>
  <c r="C1004" i="20" s="1"/>
  <c r="F802" i="20"/>
  <c r="F832" i="20" s="1"/>
  <c r="D619" i="20"/>
  <c r="D652" i="20"/>
  <c r="D660" i="20" s="1"/>
  <c r="D952" i="20"/>
  <c r="D985" i="20"/>
  <c r="D993" i="20" s="1"/>
  <c r="D1063" i="20"/>
  <c r="D1106" i="20" s="1"/>
  <c r="D1111" i="20" s="1"/>
  <c r="D1115" i="20" s="1"/>
  <c r="D1117" i="20" s="1"/>
  <c r="C662" i="20"/>
  <c r="G800" i="20"/>
  <c r="AV114" i="19"/>
  <c r="G467" i="20"/>
  <c r="G469" i="20" s="1"/>
  <c r="G499" i="20" s="1"/>
  <c r="G356" i="20"/>
  <c r="AV54" i="19"/>
  <c r="V54" i="19"/>
  <c r="E985" i="20"/>
  <c r="E993" i="20" s="1"/>
  <c r="E652" i="20"/>
  <c r="E660" i="20" s="1"/>
  <c r="F239" i="20"/>
  <c r="F276" i="20" s="1"/>
  <c r="U82" i="19"/>
  <c r="V82" i="19"/>
  <c r="V52" i="19"/>
  <c r="H23" i="20"/>
  <c r="W10" i="19"/>
  <c r="I90" i="20" s="1"/>
  <c r="D97" i="20"/>
  <c r="D105" i="20" s="1"/>
  <c r="E828" i="20"/>
  <c r="H15" i="20"/>
  <c r="S73" i="20"/>
  <c r="G24" i="25"/>
  <c r="G27" i="25" s="1"/>
  <c r="D730" i="20"/>
  <c r="D773" i="20" s="1"/>
  <c r="D778" i="20" s="1"/>
  <c r="D782" i="20" s="1"/>
  <c r="D784" i="20" s="1"/>
  <c r="W8" i="19"/>
  <c r="I85" i="20" s="1"/>
  <c r="E839" i="20"/>
  <c r="F1040" i="20"/>
  <c r="F1058" i="20" s="1"/>
  <c r="AV30" i="19"/>
  <c r="I380" i="20"/>
  <c r="AV29" i="19"/>
  <c r="AV27" i="19"/>
  <c r="AW26" i="19"/>
  <c r="AV28" i="19"/>
  <c r="AV25" i="19"/>
  <c r="H368" i="20"/>
  <c r="H370" i="20" s="1"/>
  <c r="H391" i="20" s="1"/>
  <c r="AU31" i="19"/>
  <c r="AV23" i="19"/>
  <c r="H380" i="20"/>
  <c r="H382" i="20" s="1"/>
  <c r="H394" i="20" s="1"/>
  <c r="AV22" i="19"/>
  <c r="AV53" i="19"/>
  <c r="AW56" i="19"/>
  <c r="AV58" i="19"/>
  <c r="I479" i="20"/>
  <c r="AV57" i="19"/>
  <c r="AV55" i="19"/>
  <c r="AV60" i="19"/>
  <c r="AU61" i="19"/>
  <c r="I491" i="20"/>
  <c r="I493" i="20" s="1"/>
  <c r="I505" i="20" s="1"/>
  <c r="AV59" i="19"/>
  <c r="H491" i="20"/>
  <c r="H493" i="20" s="1"/>
  <c r="H505" i="20" s="1"/>
  <c r="AV52" i="19"/>
  <c r="AV82" i="19"/>
  <c r="AW86" i="19"/>
  <c r="AV85" i="19"/>
  <c r="I598" i="20"/>
  <c r="AV88" i="19"/>
  <c r="AV83" i="19"/>
  <c r="H598" i="20"/>
  <c r="I602" i="20"/>
  <c r="I604" i="20" s="1"/>
  <c r="I616" i="20" s="1"/>
  <c r="AV89" i="19"/>
  <c r="AV90" i="19"/>
  <c r="AV87" i="19"/>
  <c r="AU91" i="19"/>
  <c r="AV84" i="19"/>
  <c r="AV120" i="19"/>
  <c r="AU121" i="19"/>
  <c r="AV115" i="19"/>
  <c r="AV112" i="19"/>
  <c r="I820" i="20"/>
  <c r="AV118" i="19"/>
  <c r="AV119" i="19"/>
  <c r="AV117" i="19"/>
  <c r="AW116" i="19"/>
  <c r="AV113" i="19"/>
  <c r="AV148" i="19"/>
  <c r="AV144" i="19"/>
  <c r="AV150" i="19"/>
  <c r="U151" i="19"/>
  <c r="AV149" i="19"/>
  <c r="AW146" i="19"/>
  <c r="AV143" i="19"/>
  <c r="AV147" i="19"/>
  <c r="AU151" i="19"/>
  <c r="AV145" i="19"/>
  <c r="AV142" i="19"/>
  <c r="V147" i="19"/>
  <c r="W146" i="19"/>
  <c r="V142" i="19"/>
  <c r="U121" i="19"/>
  <c r="V144" i="19"/>
  <c r="V143" i="19"/>
  <c r="V148" i="19"/>
  <c r="V145" i="19"/>
  <c r="V149" i="19"/>
  <c r="V150" i="19"/>
  <c r="V112" i="19"/>
  <c r="V117" i="19"/>
  <c r="V115" i="19"/>
  <c r="V114" i="19"/>
  <c r="V113" i="19"/>
  <c r="W116" i="19"/>
  <c r="V118" i="19"/>
  <c r="V119" i="19"/>
  <c r="V120" i="19"/>
  <c r="V83" i="19"/>
  <c r="I269" i="20"/>
  <c r="I257" i="20"/>
  <c r="J253" i="20"/>
  <c r="J255" i="20" s="1"/>
  <c r="J279" i="20" s="1"/>
  <c r="W86" i="19"/>
  <c r="H257" i="20"/>
  <c r="I253" i="20"/>
  <c r="I255" i="20" s="1"/>
  <c r="I279" i="20" s="1"/>
  <c r="V85" i="19"/>
  <c r="V84" i="19"/>
  <c r="I265" i="20"/>
  <c r="U61" i="19"/>
  <c r="I138" i="20"/>
  <c r="V55" i="19"/>
  <c r="V53" i="19"/>
  <c r="I146" i="20"/>
  <c r="V57" i="19"/>
  <c r="V60" i="19"/>
  <c r="V58" i="19"/>
  <c r="I158" i="20"/>
  <c r="I160" i="20" s="1"/>
  <c r="V59" i="19"/>
  <c r="H146" i="20"/>
  <c r="H148" i="20" s="1"/>
  <c r="H169" i="20" s="1"/>
  <c r="H158" i="20"/>
  <c r="H160" i="20" s="1"/>
  <c r="H172" i="20" s="1"/>
  <c r="J142" i="20"/>
  <c r="J144" i="20" s="1"/>
  <c r="J168" i="20" s="1"/>
  <c r="W56" i="19"/>
  <c r="E728" i="20"/>
  <c r="U15" i="20"/>
  <c r="G715" i="20"/>
  <c r="G727" i="20" s="1"/>
  <c r="W13" i="19"/>
  <c r="I35" i="20" s="1"/>
  <c r="V27" i="19"/>
  <c r="E395" i="20"/>
  <c r="E384" i="20"/>
  <c r="G357" i="20"/>
  <c r="G1040" i="20"/>
  <c r="G1058" i="20" s="1"/>
  <c r="F395" i="20"/>
  <c r="F617" i="20"/>
  <c r="H1039" i="20"/>
  <c r="G913" i="20"/>
  <c r="G943" i="20" s="1"/>
  <c r="H477" i="20"/>
  <c r="H501" i="20" s="1"/>
  <c r="H810" i="20"/>
  <c r="H834" i="20" s="1"/>
  <c r="G917" i="20"/>
  <c r="G944" i="20" s="1"/>
  <c r="G354" i="20"/>
  <c r="G387" i="20" s="1"/>
  <c r="G711" i="20"/>
  <c r="G726" i="20" s="1"/>
  <c r="G813" i="20"/>
  <c r="G814" i="20" s="1"/>
  <c r="G835" i="20" s="1"/>
  <c r="D175" i="20"/>
  <c r="D218" i="20" s="1"/>
  <c r="C895" i="20"/>
  <c r="C897" i="20" s="1"/>
  <c r="C899" i="20" s="1"/>
  <c r="V32" i="20"/>
  <c r="E717" i="20"/>
  <c r="G695" i="20"/>
  <c r="G722" i="20" s="1"/>
  <c r="G937" i="20"/>
  <c r="G949" i="20" s="1"/>
  <c r="F41" i="20"/>
  <c r="H140" i="20"/>
  <c r="H167" i="20" s="1"/>
  <c r="F939" i="20"/>
  <c r="E609" i="20"/>
  <c r="E617" i="20" s="1"/>
  <c r="E619" i="20" s="1"/>
  <c r="G707" i="20"/>
  <c r="G725" i="20" s="1"/>
  <c r="H822" i="20"/>
  <c r="H837" i="20" s="1"/>
  <c r="G473" i="20"/>
  <c r="G500" i="20" s="1"/>
  <c r="E1050" i="20"/>
  <c r="T17" i="20"/>
  <c r="E1061" i="20"/>
  <c r="G243" i="20"/>
  <c r="F384" i="20"/>
  <c r="F419" i="20" s="1"/>
  <c r="G794" i="20"/>
  <c r="G909" i="20"/>
  <c r="G942" i="20" s="1"/>
  <c r="G683" i="20"/>
  <c r="G720" i="20" s="1"/>
  <c r="F831" i="20"/>
  <c r="V121" i="20"/>
  <c r="U124" i="20"/>
  <c r="AA108" i="20"/>
  <c r="Z108" i="20"/>
  <c r="H353" i="20"/>
  <c r="F606" i="20"/>
  <c r="H468" i="20"/>
  <c r="I476" i="20"/>
  <c r="F1053" i="20"/>
  <c r="H472" i="20"/>
  <c r="E162" i="20"/>
  <c r="S22" i="20"/>
  <c r="G571" i="20"/>
  <c r="G572" i="20" s="1"/>
  <c r="H599" i="20"/>
  <c r="G801" i="20"/>
  <c r="I805" i="20"/>
  <c r="I821" i="20"/>
  <c r="H825" i="20"/>
  <c r="I817" i="20"/>
  <c r="I809" i="20"/>
  <c r="G826" i="20"/>
  <c r="G838" i="20" s="1"/>
  <c r="H793" i="20"/>
  <c r="H681" i="20"/>
  <c r="G797" i="20"/>
  <c r="G798" i="20" s="1"/>
  <c r="I1031" i="20"/>
  <c r="I1047" i="20"/>
  <c r="H1032" i="20"/>
  <c r="H1056" i="20" s="1"/>
  <c r="G1023" i="20"/>
  <c r="G1024" i="20" s="1"/>
  <c r="G1054" i="20" s="1"/>
  <c r="G1035" i="20"/>
  <c r="G1036" i="20" s="1"/>
  <c r="G1057" i="20" s="1"/>
  <c r="G1015" i="20"/>
  <c r="G1016" i="20" s="1"/>
  <c r="W38" i="20"/>
  <c r="I1027" i="20"/>
  <c r="G1019" i="20"/>
  <c r="G1020" i="20" s="1"/>
  <c r="H916" i="20"/>
  <c r="F717" i="20"/>
  <c r="H936" i="20"/>
  <c r="H921" i="20"/>
  <c r="H945" i="20" s="1"/>
  <c r="I904" i="20"/>
  <c r="H932" i="20"/>
  <c r="H912" i="20"/>
  <c r="H908" i="20"/>
  <c r="I924" i="20"/>
  <c r="I928" i="20"/>
  <c r="I920" i="20"/>
  <c r="G933" i="20"/>
  <c r="G948" i="20" s="1"/>
  <c r="G690" i="20"/>
  <c r="G691" i="20" s="1"/>
  <c r="G721" i="20" s="1"/>
  <c r="I698" i="20"/>
  <c r="H706" i="20"/>
  <c r="U75" i="20"/>
  <c r="H694" i="20"/>
  <c r="H699" i="20"/>
  <c r="H723" i="20" s="1"/>
  <c r="U34" i="20"/>
  <c r="H702" i="20"/>
  <c r="I686" i="20"/>
  <c r="F728" i="20"/>
  <c r="V40" i="20"/>
  <c r="H714" i="20"/>
  <c r="G703" i="20"/>
  <c r="G724" i="20" s="1"/>
  <c r="V76" i="20"/>
  <c r="H682" i="20"/>
  <c r="H710" i="20"/>
  <c r="U16" i="20"/>
  <c r="H242" i="20"/>
  <c r="U25" i="20"/>
  <c r="F498" i="20"/>
  <c r="F506" i="20" s="1"/>
  <c r="E165" i="20"/>
  <c r="E173" i="20" s="1"/>
  <c r="U19" i="20"/>
  <c r="G126" i="20"/>
  <c r="V15" i="20" s="1"/>
  <c r="F128" i="20"/>
  <c r="F162" i="20" s="1"/>
  <c r="G134" i="20"/>
  <c r="G136" i="20" s="1"/>
  <c r="G166" i="20" s="1"/>
  <c r="I31" i="20"/>
  <c r="I33" i="20" s="1"/>
  <c r="T52" i="20"/>
  <c r="G40" i="20"/>
  <c r="T31" i="19"/>
  <c r="U28" i="19"/>
  <c r="U31" i="19" s="1"/>
  <c r="E58" i="20"/>
  <c r="I139" i="20"/>
  <c r="G127" i="20"/>
  <c r="G37" i="20"/>
  <c r="G58" i="20" s="1"/>
  <c r="E51" i="20"/>
  <c r="E86" i="20" s="1"/>
  <c r="T21" i="20"/>
  <c r="T28" i="20"/>
  <c r="F25" i="20"/>
  <c r="F55" i="20" s="1"/>
  <c r="U26" i="20"/>
  <c r="F21" i="20"/>
  <c r="F54" i="20" s="1"/>
  <c r="U20" i="20"/>
  <c r="D62" i="20"/>
  <c r="G17" i="20"/>
  <c r="T74" i="20"/>
  <c r="G61" i="20"/>
  <c r="H49" i="20"/>
  <c r="V61" i="20"/>
  <c r="G60" i="20"/>
  <c r="H45" i="20"/>
  <c r="V55" i="20"/>
  <c r="V49" i="20"/>
  <c r="V43" i="20"/>
  <c r="H57" i="20"/>
  <c r="W37" i="20"/>
  <c r="G56" i="20"/>
  <c r="H29" i="20"/>
  <c r="H56" i="20" s="1"/>
  <c r="V31" i="20"/>
  <c r="V19" i="20"/>
  <c r="H1046" i="20"/>
  <c r="H1048" i="20" s="1"/>
  <c r="H1060" i="20" s="1"/>
  <c r="H1042" i="20"/>
  <c r="H1044" i="20" s="1"/>
  <c r="H1059" i="20" s="1"/>
  <c r="H1038" i="20"/>
  <c r="H1034" i="20"/>
  <c r="I1030" i="20"/>
  <c r="H1026" i="20"/>
  <c r="H1028" i="20" s="1"/>
  <c r="H1055" i="20" s="1"/>
  <c r="H1022" i="20"/>
  <c r="H1018" i="20"/>
  <c r="H1014" i="20"/>
  <c r="G1102" i="20"/>
  <c r="H935" i="20"/>
  <c r="H931" i="20"/>
  <c r="H927" i="20"/>
  <c r="H929" i="20" s="1"/>
  <c r="H947" i="20" s="1"/>
  <c r="H923" i="20"/>
  <c r="H925" i="20" s="1"/>
  <c r="H946" i="20" s="1"/>
  <c r="I919" i="20"/>
  <c r="H915" i="20"/>
  <c r="H911" i="20"/>
  <c r="H907" i="20"/>
  <c r="H903" i="20"/>
  <c r="H905" i="20" s="1"/>
  <c r="J991" i="20"/>
  <c r="H824" i="20"/>
  <c r="H816" i="20"/>
  <c r="H818" i="20" s="1"/>
  <c r="H836" i="20" s="1"/>
  <c r="H812" i="20"/>
  <c r="I808" i="20"/>
  <c r="H804" i="20"/>
  <c r="H806" i="20" s="1"/>
  <c r="H833" i="20" s="1"/>
  <c r="H796" i="20"/>
  <c r="H792" i="20"/>
  <c r="G880" i="20"/>
  <c r="H713" i="20"/>
  <c r="H709" i="20"/>
  <c r="H705" i="20"/>
  <c r="H701" i="20"/>
  <c r="I697" i="20"/>
  <c r="H693" i="20"/>
  <c r="H689" i="20"/>
  <c r="H685" i="20"/>
  <c r="H687" i="20" s="1"/>
  <c r="G769" i="20"/>
  <c r="V24" i="19"/>
  <c r="G24" i="20"/>
  <c r="G238" i="20"/>
  <c r="G239" i="20" s="1"/>
  <c r="H377" i="20"/>
  <c r="H378" i="20" s="1"/>
  <c r="H393" i="20" s="1"/>
  <c r="F495" i="20"/>
  <c r="G246" i="20"/>
  <c r="G247" i="20" s="1"/>
  <c r="V23" i="19"/>
  <c r="G20" i="20"/>
  <c r="G460" i="20"/>
  <c r="G461" i="20" s="1"/>
  <c r="G480" i="20"/>
  <c r="G481" i="20" s="1"/>
  <c r="G502" i="20" s="1"/>
  <c r="J44" i="20"/>
  <c r="I485" i="20"/>
  <c r="I503" i="20" s="1"/>
  <c r="J32" i="20"/>
  <c r="H16" i="20"/>
  <c r="I150" i="20"/>
  <c r="H596" i="20"/>
  <c r="H614" i="20" s="1"/>
  <c r="H372" i="20"/>
  <c r="H374" i="20" s="1"/>
  <c r="H392" i="20" s="1"/>
  <c r="I594" i="20"/>
  <c r="J603" i="20"/>
  <c r="I595" i="20"/>
  <c r="H591" i="20"/>
  <c r="H592" i="20" s="1"/>
  <c r="H613" i="20" s="1"/>
  <c r="J483" i="20"/>
  <c r="J492" i="20"/>
  <c r="J484" i="20"/>
  <c r="J488" i="20"/>
  <c r="I372" i="20"/>
  <c r="I373" i="20"/>
  <c r="I369" i="20"/>
  <c r="I381" i="20"/>
  <c r="J261" i="20"/>
  <c r="J150" i="20"/>
  <c r="J159" i="20"/>
  <c r="J155" i="20"/>
  <c r="I151" i="20"/>
  <c r="I147" i="20"/>
  <c r="H39" i="20"/>
  <c r="L48" i="20"/>
  <c r="K48" i="20"/>
  <c r="H36" i="20"/>
  <c r="I586" i="20"/>
  <c r="I588" i="20" s="1"/>
  <c r="I612" i="20" s="1"/>
  <c r="H582" i="20"/>
  <c r="H584" i="20" s="1"/>
  <c r="H611" i="20" s="1"/>
  <c r="H578" i="20"/>
  <c r="H580" i="20" s="1"/>
  <c r="H610" i="20" s="1"/>
  <c r="H574" i="20"/>
  <c r="H576" i="20" s="1"/>
  <c r="H570" i="20"/>
  <c r="G658" i="20"/>
  <c r="H487" i="20"/>
  <c r="H489" i="20" s="1"/>
  <c r="H504" i="20" s="1"/>
  <c r="I475" i="20"/>
  <c r="H471" i="20"/>
  <c r="H463" i="20"/>
  <c r="H465" i="20" s="1"/>
  <c r="H459" i="20"/>
  <c r="G547" i="20"/>
  <c r="I364" i="20"/>
  <c r="I366" i="20" s="1"/>
  <c r="I390" i="20" s="1"/>
  <c r="H360" i="20"/>
  <c r="H362" i="20" s="1"/>
  <c r="H389" i="20" s="1"/>
  <c r="H352" i="20"/>
  <c r="H348" i="20"/>
  <c r="H350" i="20" s="1"/>
  <c r="G436" i="20"/>
  <c r="H249" i="20"/>
  <c r="H251" i="20" s="1"/>
  <c r="H278" i="20" s="1"/>
  <c r="H245" i="20"/>
  <c r="H241" i="20"/>
  <c r="G325" i="20"/>
  <c r="G214" i="20"/>
  <c r="H130" i="20"/>
  <c r="H132" i="20" s="1"/>
  <c r="H103" i="20"/>
  <c r="W103" i="20"/>
  <c r="I47" i="20"/>
  <c r="V30" i="19"/>
  <c r="I43" i="20"/>
  <c r="V29" i="19"/>
  <c r="J575" i="20"/>
  <c r="K583" i="20"/>
  <c r="K587" i="20"/>
  <c r="J579" i="20"/>
  <c r="L254" i="20"/>
  <c r="J250" i="20"/>
  <c r="J464" i="20"/>
  <c r="L365" i="20"/>
  <c r="J361" i="20"/>
  <c r="J349" i="20"/>
  <c r="J131" i="20"/>
  <c r="I135" i="20"/>
  <c r="L143" i="20"/>
  <c r="W26" i="19"/>
  <c r="I27" i="20"/>
  <c r="V25" i="19"/>
  <c r="I19" i="20"/>
  <c r="V22" i="19"/>
  <c r="D12" i="6"/>
  <c r="F17" i="3"/>
  <c r="I39" i="1"/>
  <c r="M33" i="4"/>
  <c r="P33" i="4" s="1"/>
  <c r="J11" i="4"/>
  <c r="J13" i="4"/>
  <c r="E14" i="4"/>
  <c r="E21" i="4" s="1"/>
  <c r="L33" i="4"/>
  <c r="D26" i="1"/>
  <c r="F10" i="3"/>
  <c r="F11" i="3" s="1"/>
  <c r="E17" i="3"/>
  <c r="I10" i="4"/>
  <c r="E10" i="6"/>
  <c r="C14" i="14"/>
  <c r="C19" i="14" s="1"/>
  <c r="F14" i="4"/>
  <c r="F25" i="4" s="1"/>
  <c r="G14" i="4"/>
  <c r="G24" i="4" s="1"/>
  <c r="G13" i="5"/>
  <c r="G16" i="5" s="1"/>
  <c r="G10" i="3"/>
  <c r="G11" i="3" s="1"/>
  <c r="I8" i="4"/>
  <c r="I9" i="4"/>
  <c r="I11" i="5"/>
  <c r="C17" i="13"/>
  <c r="F14" i="13" s="1"/>
  <c r="E21" i="5"/>
  <c r="F10" i="6"/>
  <c r="F12" i="6" s="1"/>
  <c r="F26" i="12"/>
  <c r="C35" i="14"/>
  <c r="F35" i="14" s="1"/>
  <c r="I10" i="3"/>
  <c r="I11" i="3" s="1"/>
  <c r="D30" i="4"/>
  <c r="E13" i="5"/>
  <c r="E16" i="5" s="1"/>
  <c r="I10" i="5"/>
  <c r="G10" i="6"/>
  <c r="F13" i="5"/>
  <c r="F16" i="5" s="1"/>
  <c r="D14" i="6"/>
  <c r="D13" i="5"/>
  <c r="D16" i="5" s="1"/>
  <c r="E7" i="6"/>
  <c r="E14" i="6" s="1"/>
  <c r="C10" i="13"/>
  <c r="C26" i="14"/>
  <c r="G10" i="12"/>
  <c r="G9" i="12"/>
  <c r="I38" i="1"/>
  <c r="C34" i="14"/>
  <c r="F34" i="14" s="1"/>
  <c r="E22" i="14"/>
  <c r="E26" i="14" s="1"/>
  <c r="C37" i="14"/>
  <c r="F37" i="14" s="1"/>
  <c r="F7" i="6"/>
  <c r="F14" i="6" s="1"/>
  <c r="G7" i="6"/>
  <c r="G14" i="6" s="1"/>
  <c r="E22" i="6"/>
  <c r="H7" i="6"/>
  <c r="G12" i="6"/>
  <c r="F22" i="6"/>
  <c r="G22" i="6"/>
  <c r="I8" i="5"/>
  <c r="E22" i="5"/>
  <c r="H13" i="5"/>
  <c r="F22" i="4"/>
  <c r="E25" i="4"/>
  <c r="J9" i="4"/>
  <c r="J10" i="4"/>
  <c r="D14" i="4"/>
  <c r="D24" i="4" s="1"/>
  <c r="J18" i="4"/>
  <c r="D32" i="4"/>
  <c r="D34" i="4"/>
  <c r="H14" i="4"/>
  <c r="H23" i="4" s="1"/>
  <c r="J8" i="4"/>
  <c r="I11" i="4"/>
  <c r="J12" i="4"/>
  <c r="I13" i="4"/>
  <c r="J16" i="4"/>
  <c r="I12" i="4"/>
  <c r="H11" i="3"/>
  <c r="L10" i="3"/>
  <c r="J9" i="3"/>
  <c r="J8" i="3"/>
  <c r="L9" i="3"/>
  <c r="L8" i="3"/>
  <c r="H15" i="3"/>
  <c r="H17" i="3" s="1"/>
  <c r="I15" i="3"/>
  <c r="I17" i="3" s="1"/>
  <c r="E19" i="23" l="1"/>
  <c r="E21" i="23" s="1"/>
  <c r="F8" i="27"/>
  <c r="AZ130" i="19"/>
  <c r="L1089" i="20" s="1"/>
  <c r="K1089" i="20"/>
  <c r="AZ128" i="19"/>
  <c r="K1084" i="20"/>
  <c r="Y130" i="19"/>
  <c r="K973" i="20" s="1"/>
  <c r="J978" i="20"/>
  <c r="Z128" i="19"/>
  <c r="AZ100" i="19"/>
  <c r="L867" i="20" s="1"/>
  <c r="K867" i="20"/>
  <c r="AZ98" i="19"/>
  <c r="K862" i="20"/>
  <c r="Z100" i="19"/>
  <c r="L756" i="20" s="1"/>
  <c r="Z98" i="19"/>
  <c r="K751" i="20"/>
  <c r="K640" i="20"/>
  <c r="AZ70" i="19"/>
  <c r="L645" i="20" s="1"/>
  <c r="K645" i="20"/>
  <c r="AZ68" i="19"/>
  <c r="AZ40" i="19"/>
  <c r="L534" i="20" s="1"/>
  <c r="K534" i="20"/>
  <c r="AX39" i="19"/>
  <c r="I529" i="20"/>
  <c r="AZ38" i="19"/>
  <c r="K418" i="20"/>
  <c r="K307" i="20"/>
  <c r="Y122" i="20"/>
  <c r="AZ10" i="19"/>
  <c r="L423" i="20" s="1"/>
  <c r="AZ8" i="19"/>
  <c r="Z70" i="19"/>
  <c r="L312" i="20" s="1"/>
  <c r="Z68" i="19"/>
  <c r="Y115" i="20"/>
  <c r="Z40" i="19"/>
  <c r="L201" i="20" s="1"/>
  <c r="Z38" i="19"/>
  <c r="K196" i="20"/>
  <c r="J12" i="25"/>
  <c r="C109" i="20"/>
  <c r="R130" i="20" s="1"/>
  <c r="E9" i="23" s="1"/>
  <c r="G6" i="27"/>
  <c r="E25" i="5"/>
  <c r="D899" i="20"/>
  <c r="U50" i="20"/>
  <c r="F266" i="20"/>
  <c r="T88" i="19"/>
  <c r="D271" i="20"/>
  <c r="S62" i="20"/>
  <c r="S89" i="19"/>
  <c r="E270" i="20"/>
  <c r="R90" i="19"/>
  <c r="R91" i="19" s="1"/>
  <c r="E267" i="20"/>
  <c r="T56" i="20"/>
  <c r="D282" i="20"/>
  <c r="S79" i="20" s="1"/>
  <c r="S58" i="20"/>
  <c r="G262" i="20"/>
  <c r="G263" i="20" s="1"/>
  <c r="G281" i="20" s="1"/>
  <c r="C280" i="20"/>
  <c r="R77" i="20" s="1"/>
  <c r="R46" i="20"/>
  <c r="C266" i="20"/>
  <c r="Q88" i="19"/>
  <c r="D259" i="20"/>
  <c r="S44" i="20"/>
  <c r="E258" i="20"/>
  <c r="S87" i="19"/>
  <c r="C263" i="20"/>
  <c r="R50" i="20"/>
  <c r="E508" i="20"/>
  <c r="E541" i="20"/>
  <c r="E549" i="20" s="1"/>
  <c r="F828" i="20"/>
  <c r="F874" i="20" s="1"/>
  <c r="F882" i="20" s="1"/>
  <c r="H800" i="20"/>
  <c r="D662" i="20"/>
  <c r="C1006" i="20"/>
  <c r="C1008" i="20" s="1"/>
  <c r="C1010" i="20" s="1"/>
  <c r="D1119" i="20"/>
  <c r="D1121" i="20" s="1"/>
  <c r="D995" i="20"/>
  <c r="D1000" i="20" s="1"/>
  <c r="D1004" i="20" s="1"/>
  <c r="D1006" i="20" s="1"/>
  <c r="D1008" i="20" s="1"/>
  <c r="G802" i="20"/>
  <c r="G832" i="20" s="1"/>
  <c r="I800" i="20"/>
  <c r="AV24" i="19"/>
  <c r="AV31" i="19" s="1"/>
  <c r="G358" i="20"/>
  <c r="G388" i="20" s="1"/>
  <c r="G395" i="20" s="1"/>
  <c r="H356" i="20"/>
  <c r="H467" i="20"/>
  <c r="H469" i="20" s="1"/>
  <c r="H499" i="20" s="1"/>
  <c r="W54" i="19"/>
  <c r="E1096" i="20"/>
  <c r="E1104" i="20" s="1"/>
  <c r="F985" i="20"/>
  <c r="F993" i="20" s="1"/>
  <c r="E995" i="20"/>
  <c r="E1000" i="20" s="1"/>
  <c r="E1004" i="20" s="1"/>
  <c r="E1006" i="20" s="1"/>
  <c r="E1008" i="20" s="1"/>
  <c r="E874" i="20"/>
  <c r="E882" i="20" s="1"/>
  <c r="E763" i="20"/>
  <c r="E771" i="20" s="1"/>
  <c r="F763" i="20"/>
  <c r="F771" i="20" s="1"/>
  <c r="E662" i="20"/>
  <c r="F652" i="20"/>
  <c r="F660" i="20" s="1"/>
  <c r="F541" i="20"/>
  <c r="F549" i="20" s="1"/>
  <c r="H237" i="20"/>
  <c r="F430" i="20"/>
  <c r="F438" i="20" s="1"/>
  <c r="E430" i="20"/>
  <c r="E438" i="20" s="1"/>
  <c r="I237" i="20"/>
  <c r="H126" i="20"/>
  <c r="E208" i="20"/>
  <c r="E216" i="20" s="1"/>
  <c r="F208" i="20"/>
  <c r="F216" i="20" s="1"/>
  <c r="W52" i="19"/>
  <c r="D786" i="20"/>
  <c r="D788" i="20" s="1"/>
  <c r="I23" i="20"/>
  <c r="X10" i="19"/>
  <c r="J90" i="20" s="1"/>
  <c r="E13" i="23"/>
  <c r="E97" i="20"/>
  <c r="E105" i="20" s="1"/>
  <c r="H17" i="20"/>
  <c r="E841" i="20"/>
  <c r="F1061" i="20"/>
  <c r="I15" i="20"/>
  <c r="H24" i="25"/>
  <c r="X8" i="19"/>
  <c r="J85" i="20" s="1"/>
  <c r="U52" i="20"/>
  <c r="F1050" i="20"/>
  <c r="AW25" i="19"/>
  <c r="AW28" i="19"/>
  <c r="AX26" i="19"/>
  <c r="J364" i="20"/>
  <c r="J366" i="20" s="1"/>
  <c r="J390" i="20" s="1"/>
  <c r="AW22" i="19"/>
  <c r="AW27" i="19"/>
  <c r="I368" i="20"/>
  <c r="I370" i="20" s="1"/>
  <c r="I391" i="20" s="1"/>
  <c r="AW29" i="19"/>
  <c r="I376" i="20"/>
  <c r="AW23" i="19"/>
  <c r="AW30" i="19"/>
  <c r="AW55" i="19"/>
  <c r="AV61" i="19"/>
  <c r="J479" i="20"/>
  <c r="AW57" i="19"/>
  <c r="AW58" i="19"/>
  <c r="J491" i="20"/>
  <c r="J493" i="20" s="1"/>
  <c r="J505" i="20" s="1"/>
  <c r="AW59" i="19"/>
  <c r="AX56" i="19"/>
  <c r="AW52" i="19"/>
  <c r="AW60" i="19"/>
  <c r="AW53" i="19"/>
  <c r="J602" i="20"/>
  <c r="J604" i="20" s="1"/>
  <c r="J616" i="20" s="1"/>
  <c r="AW89" i="19"/>
  <c r="AW83" i="19"/>
  <c r="AW88" i="19"/>
  <c r="AW85" i="19"/>
  <c r="AW87" i="19"/>
  <c r="I590" i="20"/>
  <c r="AX86" i="19"/>
  <c r="H600" i="20"/>
  <c r="H615" i="20" s="1"/>
  <c r="AW90" i="19"/>
  <c r="AV91" i="19"/>
  <c r="AW84" i="19"/>
  <c r="AW82" i="19"/>
  <c r="AW117" i="19"/>
  <c r="AW119" i="19"/>
  <c r="J820" i="20"/>
  <c r="AW118" i="19"/>
  <c r="AV121" i="19"/>
  <c r="AW112" i="19"/>
  <c r="AX116" i="19"/>
  <c r="AW113" i="19"/>
  <c r="AW115" i="19"/>
  <c r="AW120" i="19"/>
  <c r="AW143" i="19"/>
  <c r="AX146" i="19"/>
  <c r="AW149" i="19"/>
  <c r="AW142" i="19"/>
  <c r="AW145" i="19"/>
  <c r="AW150" i="19"/>
  <c r="AW144" i="19"/>
  <c r="AV151" i="19"/>
  <c r="AW147" i="19"/>
  <c r="AW148" i="19"/>
  <c r="W144" i="19"/>
  <c r="W143" i="19"/>
  <c r="W150" i="19"/>
  <c r="V151" i="19"/>
  <c r="W142" i="19"/>
  <c r="W148" i="19"/>
  <c r="W149" i="19"/>
  <c r="X146" i="19"/>
  <c r="W145" i="19"/>
  <c r="W147" i="19"/>
  <c r="W113" i="19"/>
  <c r="X116" i="19"/>
  <c r="W120" i="19"/>
  <c r="W115" i="19"/>
  <c r="W114" i="19"/>
  <c r="W119" i="19"/>
  <c r="W117" i="19"/>
  <c r="V121" i="19"/>
  <c r="W118" i="19"/>
  <c r="W112" i="19"/>
  <c r="W84" i="19"/>
  <c r="J257" i="20"/>
  <c r="K253" i="20"/>
  <c r="K255" i="20" s="1"/>
  <c r="K279" i="20" s="1"/>
  <c r="X86" i="19"/>
  <c r="W85" i="19"/>
  <c r="W83" i="19"/>
  <c r="V61" i="19"/>
  <c r="W58" i="19"/>
  <c r="W60" i="19"/>
  <c r="I154" i="20"/>
  <c r="I156" i="20" s="1"/>
  <c r="I171" i="20" s="1"/>
  <c r="J146" i="20"/>
  <c r="W57" i="19"/>
  <c r="W53" i="19"/>
  <c r="J158" i="20"/>
  <c r="J160" i="20" s="1"/>
  <c r="W59" i="19"/>
  <c r="J138" i="20"/>
  <c r="W55" i="19"/>
  <c r="K142" i="20"/>
  <c r="K144" i="20" s="1"/>
  <c r="K168" i="20" s="1"/>
  <c r="X56" i="19"/>
  <c r="E730" i="20"/>
  <c r="X13" i="19"/>
  <c r="J35" i="20" s="1"/>
  <c r="W27" i="19"/>
  <c r="E397" i="20"/>
  <c r="F397" i="20"/>
  <c r="H1040" i="20"/>
  <c r="H1058" i="20" s="1"/>
  <c r="H357" i="20"/>
  <c r="F619" i="20"/>
  <c r="H917" i="20"/>
  <c r="H944" i="20" s="1"/>
  <c r="I1039" i="20"/>
  <c r="H813" i="20"/>
  <c r="H814" i="20" s="1"/>
  <c r="H835" i="20" s="1"/>
  <c r="F59" i="20"/>
  <c r="U78" i="20" s="1"/>
  <c r="F952" i="20"/>
  <c r="E1063" i="20"/>
  <c r="G276" i="20"/>
  <c r="H703" i="20"/>
  <c r="H724" i="20" s="1"/>
  <c r="I148" i="20"/>
  <c r="I169" i="20" s="1"/>
  <c r="F839" i="20"/>
  <c r="H707" i="20"/>
  <c r="H725" i="20" s="1"/>
  <c r="I382" i="20"/>
  <c r="I394" i="20" s="1"/>
  <c r="I810" i="20"/>
  <c r="I834" i="20" s="1"/>
  <c r="H354" i="20"/>
  <c r="H387" i="20" s="1"/>
  <c r="H711" i="20"/>
  <c r="H726" i="20" s="1"/>
  <c r="H913" i="20"/>
  <c r="H943" i="20" s="1"/>
  <c r="H937" i="20"/>
  <c r="H949" i="20" s="1"/>
  <c r="I1032" i="20"/>
  <c r="I1056" i="20" s="1"/>
  <c r="V34" i="20"/>
  <c r="T22" i="20"/>
  <c r="X38" i="20"/>
  <c r="V75" i="20"/>
  <c r="G831" i="20"/>
  <c r="H243" i="20"/>
  <c r="H909" i="20"/>
  <c r="H942" i="20" s="1"/>
  <c r="W121" i="20"/>
  <c r="V124" i="20"/>
  <c r="F730" i="20"/>
  <c r="I353" i="20"/>
  <c r="E175" i="20"/>
  <c r="I472" i="20"/>
  <c r="W32" i="20"/>
  <c r="J476" i="20"/>
  <c r="H473" i="20"/>
  <c r="H500" i="20" s="1"/>
  <c r="I468" i="20"/>
  <c r="I477" i="20"/>
  <c r="I501" i="20" s="1"/>
  <c r="G609" i="20"/>
  <c r="G617" i="20" s="1"/>
  <c r="G606" i="20"/>
  <c r="G641" i="20" s="1"/>
  <c r="I599" i="20"/>
  <c r="I600" i="20" s="1"/>
  <c r="I615" i="20" s="1"/>
  <c r="H571" i="20"/>
  <c r="H572" i="20" s="1"/>
  <c r="H609" i="20" s="1"/>
  <c r="U74" i="20"/>
  <c r="I825" i="20"/>
  <c r="H801" i="20"/>
  <c r="I822" i="20"/>
  <c r="I837" i="20" s="1"/>
  <c r="H683" i="20"/>
  <c r="H720" i="20" s="1"/>
  <c r="J809" i="20"/>
  <c r="J817" i="20"/>
  <c r="I793" i="20"/>
  <c r="I681" i="20"/>
  <c r="J821" i="20"/>
  <c r="H794" i="20"/>
  <c r="H826" i="20"/>
  <c r="H838" i="20" s="1"/>
  <c r="G1053" i="20"/>
  <c r="G1061" i="20" s="1"/>
  <c r="J805" i="20"/>
  <c r="H797" i="20"/>
  <c r="H798" i="20" s="1"/>
  <c r="H1023" i="20"/>
  <c r="H1024" i="20" s="1"/>
  <c r="H1054" i="20" s="1"/>
  <c r="H1015" i="20"/>
  <c r="H1016" i="20" s="1"/>
  <c r="J1047" i="20"/>
  <c r="H1035" i="20"/>
  <c r="H1036" i="20" s="1"/>
  <c r="G1050" i="20"/>
  <c r="G1085" i="20" s="1"/>
  <c r="J1031" i="20"/>
  <c r="J1027" i="20"/>
  <c r="H1019" i="20"/>
  <c r="H1020" i="20" s="1"/>
  <c r="J928" i="20"/>
  <c r="J904" i="20"/>
  <c r="I921" i="20"/>
  <c r="I945" i="20" s="1"/>
  <c r="G939" i="20"/>
  <c r="G974" i="20" s="1"/>
  <c r="J924" i="20"/>
  <c r="G717" i="20"/>
  <c r="G752" i="20" s="1"/>
  <c r="G950" i="20"/>
  <c r="I936" i="20"/>
  <c r="J920" i="20"/>
  <c r="G728" i="20"/>
  <c r="I908" i="20"/>
  <c r="I932" i="20"/>
  <c r="H933" i="20"/>
  <c r="H948" i="20" s="1"/>
  <c r="I912" i="20"/>
  <c r="I916" i="20"/>
  <c r="I694" i="20"/>
  <c r="J686" i="20"/>
  <c r="H695" i="20"/>
  <c r="H722" i="20" s="1"/>
  <c r="I682" i="20"/>
  <c r="J698" i="20"/>
  <c r="I714" i="20"/>
  <c r="H715" i="20"/>
  <c r="H727" i="20" s="1"/>
  <c r="I710" i="20"/>
  <c r="W40" i="20"/>
  <c r="I706" i="20"/>
  <c r="I699" i="20"/>
  <c r="I723" i="20" s="1"/>
  <c r="W76" i="20"/>
  <c r="I702" i="20"/>
  <c r="H690" i="20"/>
  <c r="H691" i="20" s="1"/>
  <c r="H721" i="20" s="1"/>
  <c r="V16" i="20"/>
  <c r="I242" i="20"/>
  <c r="V25" i="20"/>
  <c r="K12" i="25" s="1"/>
  <c r="T73" i="20"/>
  <c r="U17" i="20"/>
  <c r="G128" i="20"/>
  <c r="G165" i="20" s="1"/>
  <c r="G173" i="20" s="1"/>
  <c r="F165" i="20"/>
  <c r="F173" i="20" s="1"/>
  <c r="F175" i="20" s="1"/>
  <c r="H134" i="20"/>
  <c r="H136" i="20" s="1"/>
  <c r="H166" i="20" s="1"/>
  <c r="J31" i="20"/>
  <c r="J33" i="20" s="1"/>
  <c r="E62" i="20"/>
  <c r="E64" i="20" s="1"/>
  <c r="G41" i="20"/>
  <c r="G59" i="20" s="1"/>
  <c r="H40" i="20"/>
  <c r="V28" i="19"/>
  <c r="V31" i="19" s="1"/>
  <c r="H127" i="20"/>
  <c r="J139" i="20"/>
  <c r="I140" i="20"/>
  <c r="I167" i="20" s="1"/>
  <c r="H37" i="20"/>
  <c r="H58" i="20" s="1"/>
  <c r="F51" i="20"/>
  <c r="F86" i="20" s="1"/>
  <c r="U28" i="20"/>
  <c r="G25" i="20"/>
  <c r="G55" i="20" s="1"/>
  <c r="V26" i="20"/>
  <c r="U21" i="20"/>
  <c r="G21" i="20"/>
  <c r="G54" i="20" s="1"/>
  <c r="V20" i="20"/>
  <c r="D64" i="20"/>
  <c r="D107" i="20" s="1"/>
  <c r="H61" i="20"/>
  <c r="I49" i="20"/>
  <c r="W61" i="20"/>
  <c r="H60" i="20"/>
  <c r="I45" i="20"/>
  <c r="W55" i="20"/>
  <c r="W49" i="20"/>
  <c r="W43" i="20"/>
  <c r="I57" i="20"/>
  <c r="X37" i="20"/>
  <c r="W31" i="20"/>
  <c r="I29" i="20"/>
  <c r="I56" i="20" s="1"/>
  <c r="W19" i="20"/>
  <c r="I1046" i="20"/>
  <c r="I1048" i="20" s="1"/>
  <c r="I1060" i="20" s="1"/>
  <c r="I1042" i="20"/>
  <c r="I1044" i="20" s="1"/>
  <c r="I1059" i="20" s="1"/>
  <c r="I1038" i="20"/>
  <c r="I1034" i="20"/>
  <c r="J1030" i="20"/>
  <c r="I1026" i="20"/>
  <c r="I1028" i="20" s="1"/>
  <c r="I1055" i="20" s="1"/>
  <c r="I1022" i="20"/>
  <c r="I1018" i="20"/>
  <c r="I1014" i="20"/>
  <c r="H1102" i="20"/>
  <c r="I935" i="20"/>
  <c r="I931" i="20"/>
  <c r="I927" i="20"/>
  <c r="I929" i="20" s="1"/>
  <c r="I947" i="20" s="1"/>
  <c r="I923" i="20"/>
  <c r="I925" i="20" s="1"/>
  <c r="I946" i="20" s="1"/>
  <c r="J919" i="20"/>
  <c r="I915" i="20"/>
  <c r="I911" i="20"/>
  <c r="I907" i="20"/>
  <c r="I903" i="20"/>
  <c r="I905" i="20" s="1"/>
  <c r="K991" i="20"/>
  <c r="L991" i="20"/>
  <c r="I824" i="20"/>
  <c r="I816" i="20"/>
  <c r="I818" i="20" s="1"/>
  <c r="I836" i="20" s="1"/>
  <c r="I812" i="20"/>
  <c r="J808" i="20"/>
  <c r="I804" i="20"/>
  <c r="I806" i="20" s="1"/>
  <c r="I833" i="20" s="1"/>
  <c r="I796" i="20"/>
  <c r="I792" i="20"/>
  <c r="H880" i="20"/>
  <c r="I713" i="20"/>
  <c r="I709" i="20"/>
  <c r="I705" i="20"/>
  <c r="I701" i="20"/>
  <c r="J697" i="20"/>
  <c r="I693" i="20"/>
  <c r="I689" i="20"/>
  <c r="I685" i="20"/>
  <c r="I687" i="20" s="1"/>
  <c r="H769" i="20"/>
  <c r="F508" i="20"/>
  <c r="G277" i="20"/>
  <c r="G498" i="20"/>
  <c r="G506" i="20" s="1"/>
  <c r="G495" i="20"/>
  <c r="G530" i="20" s="1"/>
  <c r="H238" i="20"/>
  <c r="H246" i="20"/>
  <c r="H247" i="20" s="1"/>
  <c r="H277" i="20" s="1"/>
  <c r="C445" i="20"/>
  <c r="C112" i="20"/>
  <c r="C667" i="20"/>
  <c r="C223" i="20"/>
  <c r="C556" i="20"/>
  <c r="H20" i="20"/>
  <c r="W23" i="19"/>
  <c r="H480" i="20"/>
  <c r="H481" i="20" s="1"/>
  <c r="H502" i="20" s="1"/>
  <c r="H24" i="20"/>
  <c r="H460" i="20"/>
  <c r="H461" i="20" s="1"/>
  <c r="H498" i="20" s="1"/>
  <c r="I377" i="20"/>
  <c r="L32" i="20"/>
  <c r="K32" i="20"/>
  <c r="L44" i="20"/>
  <c r="K44" i="20"/>
  <c r="I16" i="20"/>
  <c r="I374" i="20"/>
  <c r="I392" i="20" s="1"/>
  <c r="I152" i="20"/>
  <c r="I170" i="20" s="1"/>
  <c r="I596" i="20"/>
  <c r="I614" i="20" s="1"/>
  <c r="J594" i="20"/>
  <c r="L603" i="20"/>
  <c r="K603" i="20"/>
  <c r="I591" i="20"/>
  <c r="J595" i="20"/>
  <c r="J485" i="20"/>
  <c r="J503" i="20" s="1"/>
  <c r="L483" i="20"/>
  <c r="K483" i="20"/>
  <c r="L488" i="20"/>
  <c r="K488" i="20"/>
  <c r="K484" i="20"/>
  <c r="L492" i="20"/>
  <c r="K492" i="20"/>
  <c r="J372" i="20"/>
  <c r="J373" i="20"/>
  <c r="J381" i="20"/>
  <c r="J369" i="20"/>
  <c r="L261" i="20"/>
  <c r="K261" i="20"/>
  <c r="K150" i="20"/>
  <c r="L150" i="20"/>
  <c r="K155" i="20"/>
  <c r="L155" i="20"/>
  <c r="L159" i="20"/>
  <c r="K159" i="20"/>
  <c r="J147" i="20"/>
  <c r="J151" i="20"/>
  <c r="J152" i="20" s="1"/>
  <c r="J170" i="20" s="1"/>
  <c r="I39" i="20"/>
  <c r="I36" i="20"/>
  <c r="J586" i="20"/>
  <c r="J588" i="20" s="1"/>
  <c r="J612" i="20" s="1"/>
  <c r="I582" i="20"/>
  <c r="I584" i="20" s="1"/>
  <c r="I611" i="20" s="1"/>
  <c r="I578" i="20"/>
  <c r="I580" i="20" s="1"/>
  <c r="I610" i="20" s="1"/>
  <c r="I574" i="20"/>
  <c r="I576" i="20" s="1"/>
  <c r="I570" i="20"/>
  <c r="H658" i="20"/>
  <c r="I487" i="20"/>
  <c r="I489" i="20" s="1"/>
  <c r="I504" i="20" s="1"/>
  <c r="J475" i="20"/>
  <c r="I471" i="20"/>
  <c r="I463" i="20"/>
  <c r="I465" i="20" s="1"/>
  <c r="I459" i="20"/>
  <c r="H547" i="20"/>
  <c r="I360" i="20"/>
  <c r="I362" i="20" s="1"/>
  <c r="I389" i="20" s="1"/>
  <c r="I352" i="20"/>
  <c r="I348" i="20"/>
  <c r="I350" i="20" s="1"/>
  <c r="H436" i="20"/>
  <c r="I249" i="20"/>
  <c r="I251" i="20" s="1"/>
  <c r="I278" i="20" s="1"/>
  <c r="I245" i="20"/>
  <c r="I241" i="20"/>
  <c r="H325" i="20"/>
  <c r="I172" i="20"/>
  <c r="H214" i="20"/>
  <c r="I130" i="20"/>
  <c r="I132" i="20" s="1"/>
  <c r="X103" i="20"/>
  <c r="I103" i="20"/>
  <c r="J368" i="20"/>
  <c r="J376" i="20"/>
  <c r="J47" i="20"/>
  <c r="W30" i="19"/>
  <c r="J43" i="20"/>
  <c r="W29" i="19"/>
  <c r="K579" i="20"/>
  <c r="L587" i="20"/>
  <c r="L583" i="20"/>
  <c r="K575" i="20"/>
  <c r="K250" i="20"/>
  <c r="K464" i="20"/>
  <c r="K349" i="20"/>
  <c r="K361" i="20"/>
  <c r="J135" i="20"/>
  <c r="K131" i="20"/>
  <c r="X26" i="19"/>
  <c r="J27" i="20"/>
  <c r="W25" i="19"/>
  <c r="W24" i="19"/>
  <c r="J19" i="20"/>
  <c r="W22" i="19"/>
  <c r="F21" i="4"/>
  <c r="G19" i="4"/>
  <c r="F24" i="4"/>
  <c r="F19" i="4"/>
  <c r="F20" i="4"/>
  <c r="G23" i="4"/>
  <c r="G20" i="4"/>
  <c r="E23" i="4"/>
  <c r="E20" i="4"/>
  <c r="G12" i="12"/>
  <c r="E24" i="4"/>
  <c r="E12" i="6"/>
  <c r="G25" i="4"/>
  <c r="F23" i="4"/>
  <c r="T45" i="1"/>
  <c r="G22" i="4"/>
  <c r="E22" i="4"/>
  <c r="E19" i="4"/>
  <c r="D13" i="13"/>
  <c r="C20" i="13"/>
  <c r="D20" i="13" s="1"/>
  <c r="D14" i="13"/>
  <c r="D16" i="13"/>
  <c r="D8" i="13"/>
  <c r="D9" i="13"/>
  <c r="D21" i="13"/>
  <c r="G21" i="4"/>
  <c r="D23" i="13"/>
  <c r="H20" i="4"/>
  <c r="H10" i="12"/>
  <c r="D22" i="13"/>
  <c r="F13" i="13"/>
  <c r="G11" i="12"/>
  <c r="F15" i="13"/>
  <c r="D15" i="13"/>
  <c r="F38" i="14"/>
  <c r="C40" i="14" s="1"/>
  <c r="H12" i="6"/>
  <c r="D31" i="6" s="1"/>
  <c r="D26" i="6"/>
  <c r="H14" i="6"/>
  <c r="I13" i="5"/>
  <c r="H16" i="5"/>
  <c r="D25" i="4"/>
  <c r="D22" i="4"/>
  <c r="D20" i="4"/>
  <c r="D35" i="4"/>
  <c r="J14" i="4"/>
  <c r="H16" i="4"/>
  <c r="I14" i="4"/>
  <c r="H19" i="4"/>
  <c r="H24" i="4"/>
  <c r="K15" i="4"/>
  <c r="H25" i="4"/>
  <c r="H21" i="4"/>
  <c r="D23" i="4"/>
  <c r="H22" i="4"/>
  <c r="D21" i="4"/>
  <c r="D19" i="4"/>
  <c r="M10" i="3"/>
  <c r="L1084" i="20" l="1"/>
  <c r="Z130" i="19"/>
  <c r="L978" i="20" s="1"/>
  <c r="K978" i="20"/>
  <c r="L862" i="20"/>
  <c r="L751" i="20"/>
  <c r="L640" i="20"/>
  <c r="AY39" i="19"/>
  <c r="J529" i="20"/>
  <c r="L418" i="20"/>
  <c r="L307" i="20"/>
  <c r="Z122" i="20"/>
  <c r="AA115" i="20"/>
  <c r="Z115" i="20"/>
  <c r="L196" i="20"/>
  <c r="D109" i="20"/>
  <c r="S130" i="20" s="1"/>
  <c r="F9" i="23" s="1"/>
  <c r="H6" i="27"/>
  <c r="V78" i="20"/>
  <c r="S90" i="19"/>
  <c r="S91" i="19" s="1"/>
  <c r="E282" i="20"/>
  <c r="T79" i="20" s="1"/>
  <c r="T58" i="20"/>
  <c r="E271" i="20"/>
  <c r="T62" i="20"/>
  <c r="F270" i="20"/>
  <c r="T89" i="19"/>
  <c r="U56" i="20"/>
  <c r="F267" i="20"/>
  <c r="H262" i="20"/>
  <c r="H263" i="20" s="1"/>
  <c r="H281" i="20" s="1"/>
  <c r="D283" i="20"/>
  <c r="S80" i="20" s="1"/>
  <c r="S64" i="20"/>
  <c r="V50" i="20"/>
  <c r="G266" i="20"/>
  <c r="U88" i="19"/>
  <c r="Q90" i="19"/>
  <c r="C270" i="20"/>
  <c r="Q89" i="19"/>
  <c r="F258" i="20"/>
  <c r="T87" i="19"/>
  <c r="C267" i="20"/>
  <c r="R56" i="20"/>
  <c r="C281" i="20"/>
  <c r="R52" i="20"/>
  <c r="E259" i="20"/>
  <c r="T44" i="20"/>
  <c r="D280" i="20"/>
  <c r="D273" i="20"/>
  <c r="S46" i="20"/>
  <c r="E551" i="20"/>
  <c r="F841" i="20"/>
  <c r="F884" i="20" s="1"/>
  <c r="F889" i="20" s="1"/>
  <c r="F893" i="20" s="1"/>
  <c r="F895" i="20" s="1"/>
  <c r="F897" i="20" s="1"/>
  <c r="H802" i="20"/>
  <c r="H832" i="20" s="1"/>
  <c r="D1010" i="20"/>
  <c r="E1010" i="20" s="1"/>
  <c r="G828" i="20"/>
  <c r="G863" i="20" s="1"/>
  <c r="G839" i="20"/>
  <c r="AW114" i="19"/>
  <c r="AW121" i="19" s="1"/>
  <c r="I467" i="20"/>
  <c r="I469" i="20" s="1"/>
  <c r="I499" i="20" s="1"/>
  <c r="H358" i="20"/>
  <c r="H388" i="20" s="1"/>
  <c r="H395" i="20" s="1"/>
  <c r="J800" i="20"/>
  <c r="G384" i="20"/>
  <c r="G419" i="20" s="1"/>
  <c r="AW24" i="19"/>
  <c r="AW31" i="19" s="1"/>
  <c r="I356" i="20"/>
  <c r="AW54" i="19"/>
  <c r="AW61" i="19" s="1"/>
  <c r="J467" i="20"/>
  <c r="X54" i="19"/>
  <c r="G1096" i="20"/>
  <c r="G1104" i="20" s="1"/>
  <c r="E1106" i="20"/>
  <c r="E1111" i="20" s="1"/>
  <c r="E1115" i="20" s="1"/>
  <c r="E1117" i="20" s="1"/>
  <c r="F1096" i="20"/>
  <c r="F1104" i="20" s="1"/>
  <c r="G985" i="20"/>
  <c r="G993" i="20" s="1"/>
  <c r="F995" i="20"/>
  <c r="F1000" i="20" s="1"/>
  <c r="F1004" i="20" s="1"/>
  <c r="F1006" i="20" s="1"/>
  <c r="F1008" i="20" s="1"/>
  <c r="E884" i="20"/>
  <c r="E889" i="20" s="1"/>
  <c r="E893" i="20" s="1"/>
  <c r="E895" i="20" s="1"/>
  <c r="E897" i="20" s="1"/>
  <c r="E899" i="20" s="1"/>
  <c r="F773" i="20"/>
  <c r="F778" i="20" s="1"/>
  <c r="F782" i="20" s="1"/>
  <c r="F784" i="20" s="1"/>
  <c r="E773" i="20"/>
  <c r="E778" i="20" s="1"/>
  <c r="E782" i="20" s="1"/>
  <c r="E784" i="20" s="1"/>
  <c r="G763" i="20"/>
  <c r="G771" i="20" s="1"/>
  <c r="F662" i="20"/>
  <c r="G652" i="20"/>
  <c r="G660" i="20" s="1"/>
  <c r="H239" i="20"/>
  <c r="G541" i="20"/>
  <c r="G549" i="20" s="1"/>
  <c r="F551" i="20"/>
  <c r="W15" i="20"/>
  <c r="W82" i="19"/>
  <c r="E440" i="20"/>
  <c r="F440" i="20"/>
  <c r="I126" i="20"/>
  <c r="X15" i="20" s="1"/>
  <c r="H128" i="20"/>
  <c r="H165" i="20" s="1"/>
  <c r="H173" i="20" s="1"/>
  <c r="X82" i="19"/>
  <c r="J23" i="20"/>
  <c r="F218" i="20"/>
  <c r="E218" i="20"/>
  <c r="J126" i="20"/>
  <c r="E107" i="20"/>
  <c r="Y10" i="19"/>
  <c r="K90" i="20" s="1"/>
  <c r="I933" i="20"/>
  <c r="I948" i="20" s="1"/>
  <c r="F97" i="20"/>
  <c r="F105" i="20" s="1"/>
  <c r="F1063" i="20"/>
  <c r="J15" i="20"/>
  <c r="F13" i="23"/>
  <c r="H27" i="25"/>
  <c r="I1040" i="20"/>
  <c r="I1058" i="20" s="1"/>
  <c r="Y8" i="19"/>
  <c r="K85" i="20" s="1"/>
  <c r="AX22" i="19"/>
  <c r="AX30" i="19"/>
  <c r="AX23" i="19"/>
  <c r="K380" i="20"/>
  <c r="AX29" i="19"/>
  <c r="AY26" i="19"/>
  <c r="K364" i="20"/>
  <c r="K366" i="20" s="1"/>
  <c r="K390" i="20" s="1"/>
  <c r="AX28" i="19"/>
  <c r="J380" i="20"/>
  <c r="J382" i="20" s="1"/>
  <c r="J394" i="20" s="1"/>
  <c r="I378" i="20"/>
  <c r="I393" i="20" s="1"/>
  <c r="K368" i="20"/>
  <c r="AX27" i="19"/>
  <c r="AX25" i="19"/>
  <c r="K491" i="20"/>
  <c r="K493" i="20" s="1"/>
  <c r="K505" i="20" s="1"/>
  <c r="AX59" i="19"/>
  <c r="AX58" i="19"/>
  <c r="AZ56" i="19"/>
  <c r="AY56" i="19"/>
  <c r="AX57" i="19"/>
  <c r="AX60" i="19"/>
  <c r="AX53" i="19"/>
  <c r="AX55" i="19"/>
  <c r="H617" i="20"/>
  <c r="AX52" i="19"/>
  <c r="AZ86" i="19"/>
  <c r="AY86" i="19"/>
  <c r="K590" i="20"/>
  <c r="AX87" i="19"/>
  <c r="AX85" i="19"/>
  <c r="K598" i="20"/>
  <c r="AX88" i="19"/>
  <c r="AX90" i="19"/>
  <c r="AX83" i="19"/>
  <c r="AX82" i="19"/>
  <c r="AX84" i="19"/>
  <c r="I592" i="20"/>
  <c r="I613" i="20" s="1"/>
  <c r="AW91" i="19"/>
  <c r="J590" i="20"/>
  <c r="J598" i="20"/>
  <c r="K602" i="20"/>
  <c r="K604" i="20" s="1"/>
  <c r="K616" i="20" s="1"/>
  <c r="AX89" i="19"/>
  <c r="AX113" i="19"/>
  <c r="AZ116" i="19"/>
  <c r="AY116" i="19"/>
  <c r="AX112" i="19"/>
  <c r="K820" i="20"/>
  <c r="AX118" i="19"/>
  <c r="AX119" i="19"/>
  <c r="AX120" i="19"/>
  <c r="AX115" i="19"/>
  <c r="AX117" i="19"/>
  <c r="AX150" i="19"/>
  <c r="AX148" i="19"/>
  <c r="AX149" i="19"/>
  <c r="AX147" i="19"/>
  <c r="AX145" i="19"/>
  <c r="AW151" i="19"/>
  <c r="AX142" i="19"/>
  <c r="AZ146" i="19"/>
  <c r="AY146" i="19"/>
  <c r="AX144" i="19"/>
  <c r="AX143" i="19"/>
  <c r="W151" i="19"/>
  <c r="X142" i="19"/>
  <c r="X148" i="19"/>
  <c r="X147" i="19"/>
  <c r="X145" i="19"/>
  <c r="X143" i="19"/>
  <c r="X150" i="19"/>
  <c r="Z146" i="19"/>
  <c r="Y146" i="19"/>
  <c r="X149" i="19"/>
  <c r="X144" i="19"/>
  <c r="X119" i="19"/>
  <c r="X114" i="19"/>
  <c r="X115" i="19"/>
  <c r="X120" i="19"/>
  <c r="X118" i="19"/>
  <c r="W121" i="19"/>
  <c r="X112" i="19"/>
  <c r="Z116" i="19"/>
  <c r="Y116" i="19"/>
  <c r="X117" i="19"/>
  <c r="X113" i="19"/>
  <c r="K265" i="20"/>
  <c r="J265" i="20"/>
  <c r="K269" i="20"/>
  <c r="X85" i="19"/>
  <c r="K257" i="20"/>
  <c r="J269" i="20"/>
  <c r="X83" i="19"/>
  <c r="Z86" i="19"/>
  <c r="Y86" i="19"/>
  <c r="X84" i="19"/>
  <c r="K154" i="20"/>
  <c r="K156" i="20" s="1"/>
  <c r="K171" i="20" s="1"/>
  <c r="X58" i="19"/>
  <c r="J154" i="20"/>
  <c r="J156" i="20" s="1"/>
  <c r="J171" i="20" s="1"/>
  <c r="K138" i="20"/>
  <c r="X55" i="19"/>
  <c r="W61" i="19"/>
  <c r="K146" i="20"/>
  <c r="X57" i="19"/>
  <c r="X60" i="19"/>
  <c r="Z56" i="19"/>
  <c r="Y56" i="19"/>
  <c r="K158" i="20"/>
  <c r="K160" i="20" s="1"/>
  <c r="X59" i="19"/>
  <c r="X53" i="19"/>
  <c r="Y13" i="19"/>
  <c r="K35" i="20" s="1"/>
  <c r="X27" i="19"/>
  <c r="J699" i="20"/>
  <c r="J723" i="20" s="1"/>
  <c r="I357" i="20"/>
  <c r="J822" i="20"/>
  <c r="J837" i="20" s="1"/>
  <c r="I703" i="20"/>
  <c r="I724" i="20" s="1"/>
  <c r="J1039" i="20"/>
  <c r="J810" i="20"/>
  <c r="J834" i="20" s="1"/>
  <c r="H41" i="20"/>
  <c r="H59" i="20" s="1"/>
  <c r="J477" i="20"/>
  <c r="J501" i="20" s="1"/>
  <c r="F62" i="20"/>
  <c r="F64" i="20" s="1"/>
  <c r="H9" i="12"/>
  <c r="H12" i="12" s="1"/>
  <c r="H17" i="25" s="1"/>
  <c r="H19" i="25" s="1"/>
  <c r="G17" i="25"/>
  <c r="G19" i="25" s="1"/>
  <c r="I813" i="20"/>
  <c r="I814" i="20" s="1"/>
  <c r="I835" i="20" s="1"/>
  <c r="J370" i="20"/>
  <c r="J391" i="20" s="1"/>
  <c r="X32" i="20"/>
  <c r="I937" i="20"/>
  <c r="I949" i="20" s="1"/>
  <c r="I913" i="20"/>
  <c r="I943" i="20" s="1"/>
  <c r="I354" i="20"/>
  <c r="I387" i="20" s="1"/>
  <c r="I826" i="20"/>
  <c r="I838" i="20" s="1"/>
  <c r="I715" i="20"/>
  <c r="I727" i="20" s="1"/>
  <c r="I917" i="20"/>
  <c r="I944" i="20" s="1"/>
  <c r="J921" i="20"/>
  <c r="J945" i="20" s="1"/>
  <c r="I695" i="20"/>
  <c r="I722" i="20" s="1"/>
  <c r="I243" i="20"/>
  <c r="I909" i="20"/>
  <c r="I942" i="20" s="1"/>
  <c r="I683" i="20"/>
  <c r="I720" i="20" s="1"/>
  <c r="I24" i="25"/>
  <c r="X121" i="20"/>
  <c r="W124" i="20"/>
  <c r="G619" i="20"/>
  <c r="W75" i="20"/>
  <c r="G730" i="20"/>
  <c r="J353" i="20"/>
  <c r="H606" i="20"/>
  <c r="H641" i="20" s="1"/>
  <c r="I473" i="20"/>
  <c r="I500" i="20" s="1"/>
  <c r="J472" i="20"/>
  <c r="L476" i="20"/>
  <c r="K476" i="20"/>
  <c r="G952" i="20"/>
  <c r="J468" i="20"/>
  <c r="I571" i="20"/>
  <c r="I572" i="20" s="1"/>
  <c r="H831" i="20"/>
  <c r="G1063" i="20"/>
  <c r="J599" i="20"/>
  <c r="I794" i="20"/>
  <c r="I797" i="20"/>
  <c r="I798" i="20" s="1"/>
  <c r="J681" i="20"/>
  <c r="J793" i="20"/>
  <c r="K817" i="20"/>
  <c r="L817" i="20"/>
  <c r="K809" i="20"/>
  <c r="L809" i="20"/>
  <c r="I801" i="20"/>
  <c r="I802" i="20" s="1"/>
  <c r="I832" i="20" s="1"/>
  <c r="L805" i="20"/>
  <c r="K805" i="20"/>
  <c r="K821" i="20"/>
  <c r="L821" i="20"/>
  <c r="J825" i="20"/>
  <c r="H1057" i="20"/>
  <c r="H1050" i="20"/>
  <c r="H1085" i="20" s="1"/>
  <c r="H1053" i="20"/>
  <c r="G162" i="20"/>
  <c r="G197" i="20" s="1"/>
  <c r="I1019" i="20"/>
  <c r="I1020" i="20" s="1"/>
  <c r="L1027" i="20"/>
  <c r="K1027" i="20"/>
  <c r="K1031" i="20"/>
  <c r="L1031" i="20"/>
  <c r="I1023" i="20"/>
  <c r="I1024" i="20" s="1"/>
  <c r="I1035" i="20"/>
  <c r="I1036" i="20" s="1"/>
  <c r="I1057" i="20" s="1"/>
  <c r="W34" i="20"/>
  <c r="L1047" i="20"/>
  <c r="K1047" i="20"/>
  <c r="H950" i="20"/>
  <c r="I1015" i="20"/>
  <c r="I1016" i="20" s="1"/>
  <c r="J1032" i="20"/>
  <c r="J1056" i="20" s="1"/>
  <c r="W16" i="20"/>
  <c r="Y38" i="20"/>
  <c r="L924" i="20"/>
  <c r="K924" i="20"/>
  <c r="L920" i="20"/>
  <c r="K920" i="20"/>
  <c r="K904" i="20"/>
  <c r="L904" i="20"/>
  <c r="J932" i="20"/>
  <c r="J908" i="20"/>
  <c r="J916" i="20"/>
  <c r="L928" i="20"/>
  <c r="K928" i="20"/>
  <c r="J936" i="20"/>
  <c r="H939" i="20"/>
  <c r="H974" i="20" s="1"/>
  <c r="J912" i="20"/>
  <c r="I707" i="20"/>
  <c r="I725" i="20" s="1"/>
  <c r="J682" i="20"/>
  <c r="J710" i="20"/>
  <c r="I711" i="20"/>
  <c r="I726" i="20" s="1"/>
  <c r="V17" i="20"/>
  <c r="J694" i="20"/>
  <c r="X40" i="20"/>
  <c r="H728" i="20"/>
  <c r="L686" i="20"/>
  <c r="K686" i="20"/>
  <c r="H717" i="20"/>
  <c r="H752" i="20" s="1"/>
  <c r="I690" i="20"/>
  <c r="I691" i="20" s="1"/>
  <c r="I721" i="20" s="1"/>
  <c r="X76" i="20"/>
  <c r="U22" i="20"/>
  <c r="J702" i="20"/>
  <c r="J706" i="20"/>
  <c r="L698" i="20"/>
  <c r="K698" i="20"/>
  <c r="J714" i="20"/>
  <c r="J242" i="20"/>
  <c r="W25" i="20"/>
  <c r="U73" i="20"/>
  <c r="I134" i="20"/>
  <c r="I136" i="20" s="1"/>
  <c r="I166" i="20" s="1"/>
  <c r="K31" i="20"/>
  <c r="K33" i="20" s="1"/>
  <c r="V52" i="20"/>
  <c r="X28" i="19"/>
  <c r="I40" i="20"/>
  <c r="W28" i="19"/>
  <c r="W31" i="19" s="1"/>
  <c r="I127" i="20"/>
  <c r="J148" i="20"/>
  <c r="J169" i="20" s="1"/>
  <c r="J140" i="20"/>
  <c r="J167" i="20" s="1"/>
  <c r="L139" i="20"/>
  <c r="K139" i="20"/>
  <c r="I37" i="20"/>
  <c r="I58" i="20" s="1"/>
  <c r="G51" i="20"/>
  <c r="G86" i="20" s="1"/>
  <c r="V28" i="20"/>
  <c r="H25" i="20"/>
  <c r="H55" i="20" s="1"/>
  <c r="W26" i="20"/>
  <c r="V21" i="20"/>
  <c r="H21" i="20"/>
  <c r="W21" i="20" s="1"/>
  <c r="W20" i="20"/>
  <c r="I17" i="20"/>
  <c r="V73" i="20"/>
  <c r="V74" i="20"/>
  <c r="I61" i="20"/>
  <c r="J49" i="20"/>
  <c r="X61" i="20"/>
  <c r="I60" i="20"/>
  <c r="J45" i="20"/>
  <c r="X55" i="20"/>
  <c r="X49" i="20"/>
  <c r="G62" i="20"/>
  <c r="X43" i="20"/>
  <c r="J57" i="20"/>
  <c r="Y37" i="20"/>
  <c r="X31" i="20"/>
  <c r="J29" i="20"/>
  <c r="J56" i="20" s="1"/>
  <c r="X19" i="20"/>
  <c r="J1046" i="20"/>
  <c r="J1048" i="20" s="1"/>
  <c r="J1060" i="20" s="1"/>
  <c r="J1042" i="20"/>
  <c r="J1044" i="20" s="1"/>
  <c r="J1059" i="20" s="1"/>
  <c r="J1038" i="20"/>
  <c r="J1034" i="20"/>
  <c r="K1030" i="20"/>
  <c r="J1026" i="20"/>
  <c r="J1028" i="20" s="1"/>
  <c r="J1055" i="20" s="1"/>
  <c r="J1022" i="20"/>
  <c r="J1018" i="20"/>
  <c r="J1014" i="20"/>
  <c r="I1102" i="20"/>
  <c r="J935" i="20"/>
  <c r="J931" i="20"/>
  <c r="J927" i="20"/>
  <c r="J929" i="20" s="1"/>
  <c r="J947" i="20" s="1"/>
  <c r="J923" i="20"/>
  <c r="J925" i="20" s="1"/>
  <c r="J946" i="20" s="1"/>
  <c r="K919" i="20"/>
  <c r="J915" i="20"/>
  <c r="J911" i="20"/>
  <c r="J907" i="20"/>
  <c r="J903" i="20"/>
  <c r="J905" i="20" s="1"/>
  <c r="J824" i="20"/>
  <c r="J816" i="20"/>
  <c r="J818" i="20" s="1"/>
  <c r="J836" i="20" s="1"/>
  <c r="J812" i="20"/>
  <c r="K808" i="20"/>
  <c r="J804" i="20"/>
  <c r="J806" i="20" s="1"/>
  <c r="J833" i="20" s="1"/>
  <c r="J796" i="20"/>
  <c r="J792" i="20"/>
  <c r="I880" i="20"/>
  <c r="J713" i="20"/>
  <c r="J709" i="20"/>
  <c r="J705" i="20"/>
  <c r="J701" i="20"/>
  <c r="K697" i="20"/>
  <c r="J693" i="20"/>
  <c r="J689" i="20"/>
  <c r="J685" i="20"/>
  <c r="J687" i="20" s="1"/>
  <c r="I769" i="20"/>
  <c r="G508" i="20"/>
  <c r="H506" i="20"/>
  <c r="J377" i="20"/>
  <c r="J378" i="20" s="1"/>
  <c r="J393" i="20" s="1"/>
  <c r="I24" i="20"/>
  <c r="I460" i="20"/>
  <c r="I461" i="20" s="1"/>
  <c r="I498" i="20" s="1"/>
  <c r="I238" i="20"/>
  <c r="I239" i="20" s="1"/>
  <c r="I480" i="20"/>
  <c r="I481" i="20" s="1"/>
  <c r="I502" i="20" s="1"/>
  <c r="I20" i="20"/>
  <c r="I10" i="12"/>
  <c r="D112" i="20"/>
  <c r="D667" i="20"/>
  <c r="D556" i="20"/>
  <c r="D223" i="20"/>
  <c r="D445" i="20"/>
  <c r="I246" i="20"/>
  <c r="I247" i="20" s="1"/>
  <c r="H495" i="20"/>
  <c r="H530" i="20" s="1"/>
  <c r="J16" i="20"/>
  <c r="K485" i="20"/>
  <c r="K503" i="20" s="1"/>
  <c r="J596" i="20"/>
  <c r="J614" i="20" s="1"/>
  <c r="L594" i="20"/>
  <c r="K594" i="20"/>
  <c r="K595" i="20"/>
  <c r="J591" i="20"/>
  <c r="L484" i="20"/>
  <c r="L485" i="20" s="1"/>
  <c r="L503" i="20" s="1"/>
  <c r="J374" i="20"/>
  <c r="J392" i="20" s="1"/>
  <c r="K372" i="20"/>
  <c r="L372" i="20"/>
  <c r="L369" i="20"/>
  <c r="K369" i="20"/>
  <c r="L381" i="20"/>
  <c r="K381" i="20"/>
  <c r="K373" i="20"/>
  <c r="K151" i="20"/>
  <c r="K152" i="20" s="1"/>
  <c r="K170" i="20" s="1"/>
  <c r="L147" i="20"/>
  <c r="K147" i="20"/>
  <c r="J39" i="20"/>
  <c r="J36" i="20"/>
  <c r="K586" i="20"/>
  <c r="K588" i="20" s="1"/>
  <c r="K612" i="20" s="1"/>
  <c r="J582" i="20"/>
  <c r="J584" i="20" s="1"/>
  <c r="J611" i="20" s="1"/>
  <c r="J578" i="20"/>
  <c r="J580" i="20" s="1"/>
  <c r="J610" i="20" s="1"/>
  <c r="J574" i="20"/>
  <c r="J576" i="20" s="1"/>
  <c r="J570" i="20"/>
  <c r="I658" i="20"/>
  <c r="J487" i="20"/>
  <c r="J489" i="20" s="1"/>
  <c r="J504" i="20" s="1"/>
  <c r="K475" i="20"/>
  <c r="J471" i="20"/>
  <c r="J463" i="20"/>
  <c r="J465" i="20" s="1"/>
  <c r="J459" i="20"/>
  <c r="I547" i="20"/>
  <c r="J360" i="20"/>
  <c r="J362" i="20" s="1"/>
  <c r="J389" i="20" s="1"/>
  <c r="J352" i="20"/>
  <c r="J348" i="20"/>
  <c r="J350" i="20" s="1"/>
  <c r="I436" i="20"/>
  <c r="J249" i="20"/>
  <c r="J251" i="20" s="1"/>
  <c r="J278" i="20" s="1"/>
  <c r="J245" i="20"/>
  <c r="J241" i="20"/>
  <c r="I325" i="20"/>
  <c r="I214" i="20"/>
  <c r="J172" i="20"/>
  <c r="J130" i="20"/>
  <c r="J132" i="20" s="1"/>
  <c r="J103" i="20"/>
  <c r="Y103" i="20"/>
  <c r="K376" i="20"/>
  <c r="X30" i="19"/>
  <c r="K47" i="20"/>
  <c r="K43" i="20"/>
  <c r="X29" i="19"/>
  <c r="L575" i="20"/>
  <c r="L579" i="20"/>
  <c r="L250" i="20"/>
  <c r="L464" i="20"/>
  <c r="L361" i="20"/>
  <c r="L349" i="20"/>
  <c r="L131" i="20"/>
  <c r="K135" i="20"/>
  <c r="Y26" i="19"/>
  <c r="K27" i="20"/>
  <c r="X25" i="19"/>
  <c r="K19" i="20"/>
  <c r="X23" i="19"/>
  <c r="X22" i="19"/>
  <c r="H11" i="12"/>
  <c r="S45" i="1"/>
  <c r="F31" i="6"/>
  <c r="G28" i="6"/>
  <c r="F28" i="6"/>
  <c r="E26" i="6"/>
  <c r="G31" i="6"/>
  <c r="G30" i="6"/>
  <c r="F30" i="6"/>
  <c r="G27" i="6"/>
  <c r="F27" i="6"/>
  <c r="G29" i="6"/>
  <c r="E32" i="6"/>
  <c r="F29" i="6"/>
  <c r="L973" i="20" l="1"/>
  <c r="AZ39" i="19"/>
  <c r="L529" i="20" s="1"/>
  <c r="K529" i="20"/>
  <c r="AA122" i="20"/>
  <c r="G430" i="20"/>
  <c r="G438" i="20" s="1"/>
  <c r="Q91" i="19"/>
  <c r="L12" i="25"/>
  <c r="E109" i="20"/>
  <c r="T130" i="20" s="1"/>
  <c r="G9" i="23" s="1"/>
  <c r="I6" i="27"/>
  <c r="S68" i="20"/>
  <c r="S70" i="20" s="1"/>
  <c r="W78" i="20"/>
  <c r="W50" i="20"/>
  <c r="F271" i="20"/>
  <c r="U62" i="20"/>
  <c r="F282" i="20"/>
  <c r="U79" i="20" s="1"/>
  <c r="U58" i="20"/>
  <c r="V56" i="20"/>
  <c r="G267" i="20"/>
  <c r="E283" i="20"/>
  <c r="T80" i="20" s="1"/>
  <c r="T64" i="20"/>
  <c r="I262" i="20"/>
  <c r="I263" i="20" s="1"/>
  <c r="I281" i="20" s="1"/>
  <c r="G270" i="20"/>
  <c r="U89" i="19"/>
  <c r="H266" i="20"/>
  <c r="V88" i="19"/>
  <c r="T90" i="19"/>
  <c r="T91" i="19" s="1"/>
  <c r="R78" i="20"/>
  <c r="F259" i="20"/>
  <c r="U44" i="20"/>
  <c r="G258" i="20"/>
  <c r="U87" i="19"/>
  <c r="D284" i="20"/>
  <c r="D286" i="20" s="1"/>
  <c r="S77" i="20"/>
  <c r="S83" i="20" s="1"/>
  <c r="C271" i="20"/>
  <c r="R62" i="20"/>
  <c r="E280" i="20"/>
  <c r="E273" i="20"/>
  <c r="T46" i="20"/>
  <c r="C282" i="20"/>
  <c r="R79" i="20" s="1"/>
  <c r="R58" i="20"/>
  <c r="H839" i="20"/>
  <c r="H828" i="20"/>
  <c r="H863" i="20" s="1"/>
  <c r="G841" i="20"/>
  <c r="G874" i="20"/>
  <c r="G882" i="20" s="1"/>
  <c r="F1010" i="20"/>
  <c r="AX114" i="19"/>
  <c r="AX121" i="19" s="1"/>
  <c r="H384" i="20"/>
  <c r="H419" i="20" s="1"/>
  <c r="G397" i="20"/>
  <c r="W74" i="20"/>
  <c r="AX24" i="19"/>
  <c r="AX31" i="19" s="1"/>
  <c r="I358" i="20"/>
  <c r="I388" i="20" s="1"/>
  <c r="I395" i="20" s="1"/>
  <c r="AY54" i="19"/>
  <c r="AX54" i="19"/>
  <c r="AX61" i="19" s="1"/>
  <c r="J356" i="20"/>
  <c r="AY24" i="19"/>
  <c r="Y54" i="19"/>
  <c r="E1119" i="20"/>
  <c r="E1121" i="20" s="1"/>
  <c r="G1106" i="20"/>
  <c r="G1111" i="20" s="1"/>
  <c r="G1115" i="20" s="1"/>
  <c r="G1117" i="20" s="1"/>
  <c r="G1119" i="20" s="1"/>
  <c r="F1106" i="20"/>
  <c r="F1111" i="20" s="1"/>
  <c r="F1115" i="20" s="1"/>
  <c r="F1117" i="20" s="1"/>
  <c r="F1119" i="20" s="1"/>
  <c r="H1096" i="20"/>
  <c r="H1104" i="20" s="1"/>
  <c r="G995" i="20"/>
  <c r="G1000" i="20" s="1"/>
  <c r="G1004" i="20" s="1"/>
  <c r="G1006" i="20" s="1"/>
  <c r="H985" i="20"/>
  <c r="H993" i="20" s="1"/>
  <c r="F899" i="20"/>
  <c r="F786" i="20"/>
  <c r="H276" i="20"/>
  <c r="E786" i="20"/>
  <c r="E788" i="20" s="1"/>
  <c r="H763" i="20"/>
  <c r="H771" i="20" s="1"/>
  <c r="G773" i="20"/>
  <c r="G778" i="20" s="1"/>
  <c r="G782" i="20" s="1"/>
  <c r="G784" i="20" s="1"/>
  <c r="G786" i="20" s="1"/>
  <c r="G662" i="20"/>
  <c r="H652" i="20"/>
  <c r="H660" i="20" s="1"/>
  <c r="G551" i="20"/>
  <c r="H541" i="20"/>
  <c r="H549" i="20" s="1"/>
  <c r="H162" i="20"/>
  <c r="J237" i="20"/>
  <c r="Y15" i="20" s="1"/>
  <c r="I128" i="20"/>
  <c r="I165" i="20" s="1"/>
  <c r="I173" i="20" s="1"/>
  <c r="W17" i="20"/>
  <c r="W22" i="20" s="1"/>
  <c r="X52" i="19"/>
  <c r="X61" i="19" s="1"/>
  <c r="K237" i="20"/>
  <c r="Y52" i="19"/>
  <c r="K23" i="20"/>
  <c r="G175" i="20"/>
  <c r="G208" i="20"/>
  <c r="G216" i="20" s="1"/>
  <c r="Z10" i="19"/>
  <c r="L23" i="20" s="1"/>
  <c r="F107" i="20"/>
  <c r="J1040" i="20"/>
  <c r="J1058" i="20" s="1"/>
  <c r="G97" i="20"/>
  <c r="G105" i="20" s="1"/>
  <c r="K15" i="20"/>
  <c r="Z8" i="19"/>
  <c r="L85" i="20" s="1"/>
  <c r="J592" i="20"/>
  <c r="J613" i="20" s="1"/>
  <c r="J600" i="20"/>
  <c r="J615" i="20" s="1"/>
  <c r="I606" i="20"/>
  <c r="I641" i="20" s="1"/>
  <c r="H619" i="20"/>
  <c r="AZ26" i="19"/>
  <c r="L364" i="20"/>
  <c r="L366" i="20" s="1"/>
  <c r="L390" i="20" s="1"/>
  <c r="AZ25" i="19"/>
  <c r="AY25" i="19"/>
  <c r="AZ23" i="19"/>
  <c r="AY23" i="19"/>
  <c r="AZ30" i="19"/>
  <c r="AY30" i="19"/>
  <c r="AZ29" i="19"/>
  <c r="AY29" i="19"/>
  <c r="AZ27" i="19"/>
  <c r="AY27" i="19"/>
  <c r="AZ28" i="19"/>
  <c r="AY28" i="19"/>
  <c r="AY22" i="19"/>
  <c r="AY53" i="19"/>
  <c r="AZ60" i="19"/>
  <c r="AY60" i="19"/>
  <c r="AZ57" i="19"/>
  <c r="AY57" i="19"/>
  <c r="L586" i="20"/>
  <c r="L588" i="20" s="1"/>
  <c r="L612" i="20" s="1"/>
  <c r="AY52" i="19"/>
  <c r="K479" i="20"/>
  <c r="L808" i="20"/>
  <c r="L810" i="20" s="1"/>
  <c r="L834" i="20" s="1"/>
  <c r="AZ58" i="19"/>
  <c r="AY58" i="19"/>
  <c r="L475" i="20"/>
  <c r="L477" i="20" s="1"/>
  <c r="L501" i="20" s="1"/>
  <c r="AZ55" i="19"/>
  <c r="AY55" i="19"/>
  <c r="AZ59" i="19"/>
  <c r="AY59" i="19"/>
  <c r="AZ83" i="19"/>
  <c r="AY83" i="19"/>
  <c r="AZ90" i="19"/>
  <c r="AY90" i="19"/>
  <c r="AZ88" i="19"/>
  <c r="AY88" i="19"/>
  <c r="AZ85" i="19"/>
  <c r="AY85" i="19"/>
  <c r="AY84" i="19"/>
  <c r="AZ87" i="19"/>
  <c r="AY87" i="19"/>
  <c r="AZ89" i="19"/>
  <c r="AY89" i="19"/>
  <c r="AX91" i="19"/>
  <c r="AY82" i="19"/>
  <c r="AZ119" i="19"/>
  <c r="AY119" i="19"/>
  <c r="L1030" i="20"/>
  <c r="L1032" i="20" s="1"/>
  <c r="L1056" i="20" s="1"/>
  <c r="AZ118" i="19"/>
  <c r="AY118" i="19"/>
  <c r="AZ117" i="19"/>
  <c r="AY117" i="19"/>
  <c r="AY112" i="19"/>
  <c r="AZ115" i="19"/>
  <c r="AY115" i="19"/>
  <c r="AZ120" i="19"/>
  <c r="AY120" i="19"/>
  <c r="AZ113" i="19"/>
  <c r="AY113" i="19"/>
  <c r="AY142" i="19"/>
  <c r="AZ143" i="19"/>
  <c r="AY143" i="19"/>
  <c r="AZ149" i="19"/>
  <c r="AY149" i="19"/>
  <c r="AY144" i="19"/>
  <c r="AZ145" i="19"/>
  <c r="AY145" i="19"/>
  <c r="AZ147" i="19"/>
  <c r="AY147" i="19"/>
  <c r="AZ148" i="19"/>
  <c r="AY148" i="19"/>
  <c r="L919" i="20"/>
  <c r="L921" i="20" s="1"/>
  <c r="L945" i="20" s="1"/>
  <c r="AX151" i="19"/>
  <c r="AZ150" i="19"/>
  <c r="AY150" i="19"/>
  <c r="Z150" i="19"/>
  <c r="Y150" i="19"/>
  <c r="Z145" i="19"/>
  <c r="Y145" i="19"/>
  <c r="Y144" i="19"/>
  <c r="Z147" i="19"/>
  <c r="Y147" i="19"/>
  <c r="Z143" i="19"/>
  <c r="Y143" i="19"/>
  <c r="Z149" i="19"/>
  <c r="Y149" i="19"/>
  <c r="Z148" i="19"/>
  <c r="Y148" i="19"/>
  <c r="X151" i="19"/>
  <c r="Y142" i="19"/>
  <c r="L697" i="20"/>
  <c r="L699" i="20" s="1"/>
  <c r="L723" i="20" s="1"/>
  <c r="Z118" i="19"/>
  <c r="Y118" i="19"/>
  <c r="Z120" i="19"/>
  <c r="Y120" i="19"/>
  <c r="Z115" i="19"/>
  <c r="Y115" i="19"/>
  <c r="Z117" i="19"/>
  <c r="Y117" i="19"/>
  <c r="Y114" i="19"/>
  <c r="Y112" i="19"/>
  <c r="Z113" i="19"/>
  <c r="Y113" i="19"/>
  <c r="X121" i="19"/>
  <c r="Z119" i="19"/>
  <c r="Y119" i="19"/>
  <c r="Y84" i="19"/>
  <c r="Z85" i="19"/>
  <c r="Y85" i="19"/>
  <c r="L142" i="20"/>
  <c r="L144" i="20" s="1"/>
  <c r="L168" i="20" s="1"/>
  <c r="Z83" i="19"/>
  <c r="Y83" i="19"/>
  <c r="Z59" i="19"/>
  <c r="Y59" i="19"/>
  <c r="Z57" i="19"/>
  <c r="Y57" i="19"/>
  <c r="Z55" i="19"/>
  <c r="Y55" i="19"/>
  <c r="Z60" i="19"/>
  <c r="Y60" i="19"/>
  <c r="Z53" i="19"/>
  <c r="Y53" i="19"/>
  <c r="Z58" i="19"/>
  <c r="Y58" i="19"/>
  <c r="J715" i="20"/>
  <c r="J727" i="20" s="1"/>
  <c r="Z13" i="19"/>
  <c r="Z27" i="19" s="1"/>
  <c r="Y27" i="19"/>
  <c r="J357" i="20"/>
  <c r="J826" i="20"/>
  <c r="J838" i="20" s="1"/>
  <c r="K140" i="20"/>
  <c r="K167" i="20" s="1"/>
  <c r="W52" i="20"/>
  <c r="J711" i="20"/>
  <c r="J726" i="20" s="1"/>
  <c r="J354" i="20"/>
  <c r="J387" i="20" s="1"/>
  <c r="K1039" i="20"/>
  <c r="L1039" i="20"/>
  <c r="J707" i="20"/>
  <c r="J725" i="20" s="1"/>
  <c r="J813" i="20"/>
  <c r="J814" i="20" s="1"/>
  <c r="J835" i="20" s="1"/>
  <c r="K477" i="20"/>
  <c r="K501" i="20" s="1"/>
  <c r="AA38" i="20"/>
  <c r="J683" i="20"/>
  <c r="J720" i="20" s="1"/>
  <c r="K921" i="20"/>
  <c r="K945" i="20" s="1"/>
  <c r="I41" i="20"/>
  <c r="J703" i="20"/>
  <c r="J724" i="20" s="1"/>
  <c r="K810" i="20"/>
  <c r="K834" i="20" s="1"/>
  <c r="I950" i="20"/>
  <c r="K822" i="20"/>
  <c r="K837" i="20" s="1"/>
  <c r="I276" i="20"/>
  <c r="J917" i="20"/>
  <c r="J944" i="20" s="1"/>
  <c r="Z38" i="20"/>
  <c r="Y32" i="20"/>
  <c r="I939" i="20"/>
  <c r="I974" i="20" s="1"/>
  <c r="J933" i="20"/>
  <c r="J948" i="20" s="1"/>
  <c r="K148" i="20"/>
  <c r="K169" i="20" s="1"/>
  <c r="J937" i="20"/>
  <c r="J949" i="20" s="1"/>
  <c r="J913" i="20"/>
  <c r="J943" i="20" s="1"/>
  <c r="X75" i="20"/>
  <c r="J243" i="20"/>
  <c r="I27" i="25"/>
  <c r="G13" i="23"/>
  <c r="J24" i="25"/>
  <c r="K24" i="25"/>
  <c r="Y121" i="20"/>
  <c r="X124" i="20"/>
  <c r="H952" i="20"/>
  <c r="L353" i="20"/>
  <c r="K353" i="20"/>
  <c r="X34" i="20"/>
  <c r="L468" i="20"/>
  <c r="K468" i="20"/>
  <c r="Y76" i="20"/>
  <c r="I831" i="20"/>
  <c r="I839" i="20" s="1"/>
  <c r="J469" i="20"/>
  <c r="J499" i="20" s="1"/>
  <c r="I609" i="20"/>
  <c r="I617" i="20" s="1"/>
  <c r="J473" i="20"/>
  <c r="J500" i="20" s="1"/>
  <c r="L472" i="20"/>
  <c r="K472" i="20"/>
  <c r="X16" i="20"/>
  <c r="L599" i="20"/>
  <c r="K599" i="20"/>
  <c r="K600" i="20" s="1"/>
  <c r="K615" i="20" s="1"/>
  <c r="J571" i="20"/>
  <c r="J572" i="20" s="1"/>
  <c r="J609" i="20" s="1"/>
  <c r="H1061" i="20"/>
  <c r="H1063" i="20" s="1"/>
  <c r="J797" i="20"/>
  <c r="J798" i="20" s="1"/>
  <c r="Y40" i="20"/>
  <c r="K681" i="20"/>
  <c r="K793" i="20"/>
  <c r="J794" i="20"/>
  <c r="I1053" i="20"/>
  <c r="J801" i="20"/>
  <c r="J802" i="20" s="1"/>
  <c r="J832" i="20" s="1"/>
  <c r="I828" i="20"/>
  <c r="I863" i="20" s="1"/>
  <c r="L825" i="20"/>
  <c r="K825" i="20"/>
  <c r="I1054" i="20"/>
  <c r="I1050" i="20"/>
  <c r="I1085" i="20" s="1"/>
  <c r="J1035" i="20"/>
  <c r="J1036" i="20" s="1"/>
  <c r="J1057" i="20" s="1"/>
  <c r="J1019" i="20"/>
  <c r="J1020" i="20" s="1"/>
  <c r="H730" i="20"/>
  <c r="I717" i="20"/>
  <c r="I752" i="20" s="1"/>
  <c r="J1015" i="20"/>
  <c r="J1016" i="20" s="1"/>
  <c r="J1023" i="20"/>
  <c r="J1024" i="20" s="1"/>
  <c r="J1054" i="20" s="1"/>
  <c r="K1032" i="20"/>
  <c r="K1056" i="20" s="1"/>
  <c r="L916" i="20"/>
  <c r="K916" i="20"/>
  <c r="L912" i="20"/>
  <c r="K912" i="20"/>
  <c r="L932" i="20"/>
  <c r="K932" i="20"/>
  <c r="X25" i="20"/>
  <c r="M12" i="25" s="1"/>
  <c r="L936" i="20"/>
  <c r="K936" i="20"/>
  <c r="K908" i="20"/>
  <c r="L908" i="20"/>
  <c r="J909" i="20"/>
  <c r="L714" i="20"/>
  <c r="K714" i="20"/>
  <c r="L694" i="20"/>
  <c r="K694" i="20"/>
  <c r="V22" i="20"/>
  <c r="J695" i="20"/>
  <c r="J722" i="20" s="1"/>
  <c r="L710" i="20"/>
  <c r="K710" i="20"/>
  <c r="J690" i="20"/>
  <c r="J691" i="20" s="1"/>
  <c r="J721" i="20" s="1"/>
  <c r="K699" i="20"/>
  <c r="K723" i="20" s="1"/>
  <c r="L706" i="20"/>
  <c r="K706" i="20"/>
  <c r="I728" i="20"/>
  <c r="K682" i="20"/>
  <c r="L682" i="20"/>
  <c r="K702" i="20"/>
  <c r="L702" i="20"/>
  <c r="L242" i="20"/>
  <c r="K242" i="20"/>
  <c r="J134" i="20"/>
  <c r="J136" i="20" s="1"/>
  <c r="J166" i="20" s="1"/>
  <c r="Y28" i="19"/>
  <c r="J40" i="20"/>
  <c r="J127" i="20"/>
  <c r="J128" i="20" s="1"/>
  <c r="J37" i="20"/>
  <c r="J58" i="20" s="1"/>
  <c r="H54" i="20"/>
  <c r="W28" i="20"/>
  <c r="H51" i="20"/>
  <c r="H86" i="20" s="1"/>
  <c r="I25" i="20"/>
  <c r="X26" i="20"/>
  <c r="I21" i="20"/>
  <c r="X20" i="20"/>
  <c r="J17" i="20"/>
  <c r="G64" i="20"/>
  <c r="J61" i="20"/>
  <c r="K49" i="20"/>
  <c r="Y61" i="20"/>
  <c r="J60" i="20"/>
  <c r="K45" i="20"/>
  <c r="Y55" i="20"/>
  <c r="Y49" i="20"/>
  <c r="Y43" i="20"/>
  <c r="K57" i="20"/>
  <c r="Z37" i="20"/>
  <c r="K29" i="20"/>
  <c r="K56" i="20" s="1"/>
  <c r="Y31" i="20"/>
  <c r="Y19" i="20"/>
  <c r="K1046" i="20"/>
  <c r="K1048" i="20" s="1"/>
  <c r="K1060" i="20" s="1"/>
  <c r="K1042" i="20"/>
  <c r="K1044" i="20" s="1"/>
  <c r="K1059" i="20" s="1"/>
  <c r="L1038" i="20"/>
  <c r="K1038" i="20"/>
  <c r="K1034" i="20"/>
  <c r="K1026" i="20"/>
  <c r="K1028" i="20" s="1"/>
  <c r="K1055" i="20" s="1"/>
  <c r="K1022" i="20"/>
  <c r="K1018" i="20"/>
  <c r="K1014" i="20"/>
  <c r="J1102" i="20"/>
  <c r="K935" i="20"/>
  <c r="K931" i="20"/>
  <c r="L927" i="20"/>
  <c r="L929" i="20" s="1"/>
  <c r="L947" i="20" s="1"/>
  <c r="K927" i="20"/>
  <c r="K929" i="20" s="1"/>
  <c r="K947" i="20" s="1"/>
  <c r="K923" i="20"/>
  <c r="K925" i="20" s="1"/>
  <c r="K946" i="20" s="1"/>
  <c r="K915" i="20"/>
  <c r="K911" i="20"/>
  <c r="K907" i="20"/>
  <c r="K903" i="20"/>
  <c r="K905" i="20" s="1"/>
  <c r="K824" i="20"/>
  <c r="L816" i="20"/>
  <c r="L818" i="20" s="1"/>
  <c r="L836" i="20" s="1"/>
  <c r="K816" i="20"/>
  <c r="K818" i="20" s="1"/>
  <c r="K836" i="20" s="1"/>
  <c r="K812" i="20"/>
  <c r="K804" i="20"/>
  <c r="K806" i="20" s="1"/>
  <c r="K833" i="20" s="1"/>
  <c r="K796" i="20"/>
  <c r="K792" i="20"/>
  <c r="J880" i="20"/>
  <c r="K713" i="20"/>
  <c r="K709" i="20"/>
  <c r="L705" i="20"/>
  <c r="K705" i="20"/>
  <c r="K701" i="20"/>
  <c r="K693" i="20"/>
  <c r="K689" i="20"/>
  <c r="K685" i="20"/>
  <c r="K687" i="20" s="1"/>
  <c r="J769" i="20"/>
  <c r="H508" i="20"/>
  <c r="I277" i="20"/>
  <c r="J246" i="20"/>
  <c r="J247" i="20" s="1"/>
  <c r="J277" i="20" s="1"/>
  <c r="E112" i="20"/>
  <c r="E445" i="20"/>
  <c r="E667" i="20"/>
  <c r="E556" i="20"/>
  <c r="E223" i="20"/>
  <c r="I495" i="20"/>
  <c r="I530" i="20" s="1"/>
  <c r="J460" i="20"/>
  <c r="J461" i="20" s="1"/>
  <c r="J498" i="20" s="1"/>
  <c r="I506" i="20"/>
  <c r="J238" i="20"/>
  <c r="J20" i="20"/>
  <c r="K377" i="20"/>
  <c r="K378" i="20" s="1"/>
  <c r="K393" i="20" s="1"/>
  <c r="L377" i="20"/>
  <c r="J24" i="20"/>
  <c r="X24" i="19"/>
  <c r="X31" i="19" s="1"/>
  <c r="J10" i="12"/>
  <c r="J480" i="20"/>
  <c r="J481" i="20" s="1"/>
  <c r="J502" i="20" s="1"/>
  <c r="I11" i="12"/>
  <c r="K382" i="20"/>
  <c r="K394" i="20" s="1"/>
  <c r="K370" i="20"/>
  <c r="K391" i="20" s="1"/>
  <c r="L16" i="20"/>
  <c r="K16" i="20"/>
  <c r="K596" i="20"/>
  <c r="K614" i="20" s="1"/>
  <c r="L591" i="20"/>
  <c r="K591" i="20"/>
  <c r="K592" i="20" s="1"/>
  <c r="K613" i="20" s="1"/>
  <c r="L595" i="20"/>
  <c r="L596" i="20" s="1"/>
  <c r="L614" i="20" s="1"/>
  <c r="K374" i="20"/>
  <c r="K392" i="20" s="1"/>
  <c r="L373" i="20"/>
  <c r="L374" i="20" s="1"/>
  <c r="L392" i="20" s="1"/>
  <c r="L151" i="20"/>
  <c r="L152" i="20" s="1"/>
  <c r="L170" i="20" s="1"/>
  <c r="L39" i="20"/>
  <c r="K39" i="20"/>
  <c r="K36" i="20"/>
  <c r="L36" i="20"/>
  <c r="K582" i="20"/>
  <c r="K584" i="20" s="1"/>
  <c r="K611" i="20" s="1"/>
  <c r="K578" i="20"/>
  <c r="K580" i="20" s="1"/>
  <c r="K610" i="20" s="1"/>
  <c r="K574" i="20"/>
  <c r="K576" i="20" s="1"/>
  <c r="K570" i="20"/>
  <c r="J658" i="20"/>
  <c r="K487" i="20"/>
  <c r="K489" i="20" s="1"/>
  <c r="K504" i="20" s="1"/>
  <c r="K471" i="20"/>
  <c r="K463" i="20"/>
  <c r="K465" i="20" s="1"/>
  <c r="K459" i="20"/>
  <c r="J547" i="20"/>
  <c r="K360" i="20"/>
  <c r="K362" i="20" s="1"/>
  <c r="K389" i="20" s="1"/>
  <c r="K352" i="20"/>
  <c r="K348" i="20"/>
  <c r="K350" i="20" s="1"/>
  <c r="J436" i="20"/>
  <c r="L253" i="20"/>
  <c r="L255" i="20" s="1"/>
  <c r="L279" i="20" s="1"/>
  <c r="K249" i="20"/>
  <c r="K251" i="20" s="1"/>
  <c r="K278" i="20" s="1"/>
  <c r="K245" i="20"/>
  <c r="K241" i="20"/>
  <c r="J325" i="20"/>
  <c r="K172" i="20"/>
  <c r="J214" i="20"/>
  <c r="K130" i="20"/>
  <c r="K132" i="20" s="1"/>
  <c r="Z103" i="20"/>
  <c r="K103" i="20"/>
  <c r="Z26" i="19"/>
  <c r="L31" i="20"/>
  <c r="Y30" i="19"/>
  <c r="L47" i="20"/>
  <c r="L43" i="20"/>
  <c r="Y29" i="19"/>
  <c r="L135" i="20"/>
  <c r="Y25" i="19"/>
  <c r="Y24" i="19"/>
  <c r="Y22" i="19"/>
  <c r="W45" i="1"/>
  <c r="I9" i="12"/>
  <c r="I12" i="12" s="1"/>
  <c r="I17" i="25" s="1"/>
  <c r="I19" i="25" s="1"/>
  <c r="AZ53" i="19" l="1"/>
  <c r="G440" i="20"/>
  <c r="H397" i="20"/>
  <c r="H430" i="20"/>
  <c r="H438" i="20" s="1"/>
  <c r="H197" i="20"/>
  <c r="H208" i="20" s="1"/>
  <c r="H216" i="20" s="1"/>
  <c r="F109" i="20"/>
  <c r="U130" i="20" s="1"/>
  <c r="H9" i="23" s="1"/>
  <c r="J6" i="27"/>
  <c r="H11" i="25"/>
  <c r="T68" i="20"/>
  <c r="I11" i="25" s="1"/>
  <c r="X52" i="20"/>
  <c r="J262" i="20"/>
  <c r="J263" i="20" s="1"/>
  <c r="J281" i="20" s="1"/>
  <c r="G282" i="20"/>
  <c r="V79" i="20" s="1"/>
  <c r="V58" i="20"/>
  <c r="H267" i="20"/>
  <c r="W56" i="20"/>
  <c r="X50" i="20"/>
  <c r="Y50" i="20"/>
  <c r="G271" i="20"/>
  <c r="V62" i="20"/>
  <c r="I266" i="20"/>
  <c r="W88" i="19"/>
  <c r="H270" i="20"/>
  <c r="V89" i="19"/>
  <c r="U90" i="19"/>
  <c r="U91" i="19" s="1"/>
  <c r="F283" i="20"/>
  <c r="U80" i="20" s="1"/>
  <c r="U64" i="20"/>
  <c r="C283" i="20"/>
  <c r="R80" i="20" s="1"/>
  <c r="R83" i="20" s="1"/>
  <c r="R64" i="20"/>
  <c r="R68" i="20" s="1"/>
  <c r="C273" i="20"/>
  <c r="G259" i="20"/>
  <c r="V44" i="20"/>
  <c r="D319" i="20"/>
  <c r="D327" i="20" s="1"/>
  <c r="S126" i="20" s="1"/>
  <c r="S107" i="20"/>
  <c r="S118" i="20" s="1"/>
  <c r="S85" i="20"/>
  <c r="H258" i="20"/>
  <c r="V87" i="19"/>
  <c r="F280" i="20"/>
  <c r="U46" i="20"/>
  <c r="F273" i="20"/>
  <c r="E284" i="20"/>
  <c r="E286" i="20" s="1"/>
  <c r="T77" i="20"/>
  <c r="T83" i="20" s="1"/>
  <c r="H841" i="20"/>
  <c r="H874" i="20"/>
  <c r="H882" i="20" s="1"/>
  <c r="G884" i="20"/>
  <c r="G889" i="20" s="1"/>
  <c r="G893" i="20" s="1"/>
  <c r="G895" i="20" s="1"/>
  <c r="G897" i="20" s="1"/>
  <c r="G899" i="20" s="1"/>
  <c r="Z144" i="19"/>
  <c r="K800" i="20"/>
  <c r="Z114" i="19"/>
  <c r="AZ144" i="19"/>
  <c r="AY114" i="19"/>
  <c r="AY121" i="19" s="1"/>
  <c r="I384" i="20"/>
  <c r="I419" i="20" s="1"/>
  <c r="X28" i="20"/>
  <c r="L800" i="20"/>
  <c r="L802" i="20" s="1"/>
  <c r="L832" i="20" s="1"/>
  <c r="AZ84" i="19"/>
  <c r="L578" i="20"/>
  <c r="L580" i="20" s="1"/>
  <c r="L610" i="20" s="1"/>
  <c r="K467" i="20"/>
  <c r="K469" i="20" s="1"/>
  <c r="K499" i="20" s="1"/>
  <c r="K356" i="20"/>
  <c r="L467" i="20"/>
  <c r="L469" i="20" s="1"/>
  <c r="L499" i="20" s="1"/>
  <c r="Z84" i="19"/>
  <c r="J358" i="20"/>
  <c r="J388" i="20" s="1"/>
  <c r="J395" i="20" s="1"/>
  <c r="L134" i="20"/>
  <c r="F1121" i="20"/>
  <c r="G1121" i="20" s="1"/>
  <c r="G1008" i="20"/>
  <c r="G1010" i="20" s="1"/>
  <c r="AZ142" i="19"/>
  <c r="H1106" i="20"/>
  <c r="H1111" i="20" s="1"/>
  <c r="H1115" i="20" s="1"/>
  <c r="H1117" i="20" s="1"/>
  <c r="I1096" i="20"/>
  <c r="I1104" i="20" s="1"/>
  <c r="AZ112" i="19"/>
  <c r="I985" i="20"/>
  <c r="I993" i="20" s="1"/>
  <c r="H995" i="20"/>
  <c r="H1000" i="20" s="1"/>
  <c r="H1004" i="20" s="1"/>
  <c r="H1006" i="20" s="1"/>
  <c r="F788" i="20"/>
  <c r="G788" i="20" s="1"/>
  <c r="Z142" i="19"/>
  <c r="W73" i="20"/>
  <c r="I874" i="20"/>
  <c r="I882" i="20" s="1"/>
  <c r="I763" i="20"/>
  <c r="I771" i="20" s="1"/>
  <c r="H773" i="20"/>
  <c r="H778" i="20" s="1"/>
  <c r="H782" i="20" s="1"/>
  <c r="H784" i="20" s="1"/>
  <c r="H786" i="20" s="1"/>
  <c r="Z112" i="19"/>
  <c r="H662" i="20"/>
  <c r="I652" i="20"/>
  <c r="I660" i="20" s="1"/>
  <c r="AZ82" i="19"/>
  <c r="AZ52" i="19"/>
  <c r="I541" i="20"/>
  <c r="I549" i="20" s="1"/>
  <c r="H551" i="20"/>
  <c r="X17" i="20"/>
  <c r="H175" i="20"/>
  <c r="I162" i="20"/>
  <c r="AZ22" i="19"/>
  <c r="Y82" i="19"/>
  <c r="K126" i="20"/>
  <c r="Z15" i="20" s="1"/>
  <c r="J239" i="20"/>
  <c r="Y17" i="20" s="1"/>
  <c r="L237" i="20"/>
  <c r="L126" i="20"/>
  <c r="G218" i="20"/>
  <c r="L90" i="20"/>
  <c r="H97" i="20"/>
  <c r="H105" i="20" s="1"/>
  <c r="G107" i="20"/>
  <c r="L459" i="20"/>
  <c r="J617" i="20"/>
  <c r="I619" i="20"/>
  <c r="L574" i="20"/>
  <c r="L576" i="20" s="1"/>
  <c r="L463" i="20"/>
  <c r="L465" i="20" s="1"/>
  <c r="L348" i="20"/>
  <c r="L350" i="20" s="1"/>
  <c r="L360" i="20"/>
  <c r="L362" i="20" s="1"/>
  <c r="L389" i="20" s="1"/>
  <c r="L352" i="20"/>
  <c r="L354" i="20" s="1"/>
  <c r="L824" i="20"/>
  <c r="L826" i="20" s="1"/>
  <c r="L838" i="20" s="1"/>
  <c r="AY31" i="19"/>
  <c r="L570" i="20"/>
  <c r="AY61" i="19"/>
  <c r="L602" i="20"/>
  <c r="L604" i="20" s="1"/>
  <c r="L616" i="20" s="1"/>
  <c r="L471" i="20"/>
  <c r="L473" i="20" s="1"/>
  <c r="L500" i="20" s="1"/>
  <c r="L931" i="20"/>
  <c r="L933" i="20" s="1"/>
  <c r="L948" i="20" s="1"/>
  <c r="L796" i="20"/>
  <c r="AY91" i="19"/>
  <c r="L701" i="20"/>
  <c r="L703" i="20" s="1"/>
  <c r="L724" i="20" s="1"/>
  <c r="L1022" i="20"/>
  <c r="L804" i="20"/>
  <c r="L806" i="20" s="1"/>
  <c r="L833" i="20" s="1"/>
  <c r="L685" i="20"/>
  <c r="L687" i="20" s="1"/>
  <c r="L689" i="20"/>
  <c r="L1026" i="20"/>
  <c r="L1028" i="20" s="1"/>
  <c r="L1055" i="20" s="1"/>
  <c r="L907" i="20"/>
  <c r="L909" i="20" s="1"/>
  <c r="L1018" i="20"/>
  <c r="L709" i="20"/>
  <c r="L711" i="20" s="1"/>
  <c r="L726" i="20" s="1"/>
  <c r="L792" i="20"/>
  <c r="L812" i="20"/>
  <c r="L903" i="20"/>
  <c r="L905" i="20" s="1"/>
  <c r="L1034" i="20"/>
  <c r="L138" i="20"/>
  <c r="L140" i="20" s="1"/>
  <c r="L167" i="20" s="1"/>
  <c r="L911" i="20"/>
  <c r="L913" i="20" s="1"/>
  <c r="L943" i="20" s="1"/>
  <c r="L1046" i="20"/>
  <c r="L1048" i="20" s="1"/>
  <c r="L1060" i="20" s="1"/>
  <c r="AY151" i="19"/>
  <c r="L915" i="20"/>
  <c r="L917" i="20" s="1"/>
  <c r="L944" i="20" s="1"/>
  <c r="L713" i="20"/>
  <c r="L715" i="20" s="1"/>
  <c r="L727" i="20" s="1"/>
  <c r="L935" i="20"/>
  <c r="L937" i="20" s="1"/>
  <c r="L949" i="20" s="1"/>
  <c r="Y121" i="19"/>
  <c r="L245" i="20"/>
  <c r="Y151" i="19"/>
  <c r="L923" i="20"/>
  <c r="L925" i="20" s="1"/>
  <c r="L946" i="20" s="1"/>
  <c r="L146" i="20"/>
  <c r="L148" i="20" s="1"/>
  <c r="L169" i="20" s="1"/>
  <c r="L130" i="20"/>
  <c r="L132" i="20" s="1"/>
  <c r="L693" i="20"/>
  <c r="L695" i="20" s="1"/>
  <c r="L722" i="20" s="1"/>
  <c r="L241" i="20"/>
  <c r="L243" i="20" s="1"/>
  <c r="L154" i="20"/>
  <c r="L156" i="20" s="1"/>
  <c r="L171" i="20" s="1"/>
  <c r="L158" i="20"/>
  <c r="L160" i="20" s="1"/>
  <c r="L172" i="20" s="1"/>
  <c r="L249" i="20"/>
  <c r="L251" i="20" s="1"/>
  <c r="L278" i="20" s="1"/>
  <c r="Y61" i="19"/>
  <c r="L35" i="20"/>
  <c r="L37" i="20" s="1"/>
  <c r="L1040" i="20"/>
  <c r="L1058" i="20" s="1"/>
  <c r="L357" i="20"/>
  <c r="K357" i="20"/>
  <c r="K715" i="20"/>
  <c r="K727" i="20" s="1"/>
  <c r="K933" i="20"/>
  <c r="K948" i="20" s="1"/>
  <c r="K695" i="20"/>
  <c r="K722" i="20" s="1"/>
  <c r="K1040" i="20"/>
  <c r="K1058" i="20" s="1"/>
  <c r="L813" i="20"/>
  <c r="K813" i="20"/>
  <c r="K814" i="20" s="1"/>
  <c r="K835" i="20" s="1"/>
  <c r="I952" i="20"/>
  <c r="I59" i="20"/>
  <c r="X78" i="20" s="1"/>
  <c r="K826" i="20"/>
  <c r="K838" i="20" s="1"/>
  <c r="AA32" i="20"/>
  <c r="K243" i="20"/>
  <c r="K707" i="20"/>
  <c r="K725" i="20" s="1"/>
  <c r="K917" i="20"/>
  <c r="K944" i="20" s="1"/>
  <c r="L707" i="20"/>
  <c r="L725" i="20" s="1"/>
  <c r="Z32" i="20"/>
  <c r="J939" i="20"/>
  <c r="J974" i="20" s="1"/>
  <c r="K354" i="20"/>
  <c r="K683" i="20"/>
  <c r="K720" i="20" s="1"/>
  <c r="K27" i="25"/>
  <c r="I13" i="23"/>
  <c r="J27" i="25"/>
  <c r="H13" i="23"/>
  <c r="L436" i="20"/>
  <c r="Z121" i="20"/>
  <c r="Y124" i="20"/>
  <c r="L103" i="20"/>
  <c r="Y75" i="20"/>
  <c r="J942" i="20"/>
  <c r="J950" i="20" s="1"/>
  <c r="I841" i="20"/>
  <c r="Y34" i="20"/>
  <c r="J606" i="20"/>
  <c r="J641" i="20" s="1"/>
  <c r="K473" i="20"/>
  <c r="K500" i="20" s="1"/>
  <c r="J831" i="20"/>
  <c r="J839" i="20" s="1"/>
  <c r="L571" i="20"/>
  <c r="K571" i="20"/>
  <c r="K572" i="20" s="1"/>
  <c r="K606" i="20" s="1"/>
  <c r="K641" i="20" s="1"/>
  <c r="J1053" i="20"/>
  <c r="J1061" i="20" s="1"/>
  <c r="I730" i="20"/>
  <c r="I1061" i="20"/>
  <c r="I1063" i="20" s="1"/>
  <c r="J828" i="20"/>
  <c r="J863" i="20" s="1"/>
  <c r="K801" i="20"/>
  <c r="K794" i="20"/>
  <c r="L797" i="20"/>
  <c r="K797" i="20"/>
  <c r="K798" i="20" s="1"/>
  <c r="L681" i="20"/>
  <c r="L683" i="20" s="1"/>
  <c r="L793" i="20"/>
  <c r="Z76" i="20"/>
  <c r="K1035" i="20"/>
  <c r="K1036" i="20" s="1"/>
  <c r="L1035" i="20"/>
  <c r="Z40" i="20"/>
  <c r="L1023" i="20"/>
  <c r="K1023" i="20"/>
  <c r="K1024" i="20" s="1"/>
  <c r="K1054" i="20" s="1"/>
  <c r="K1015" i="20"/>
  <c r="K1016" i="20" s="1"/>
  <c r="L1015" i="20"/>
  <c r="K1019" i="20"/>
  <c r="K1020" i="20" s="1"/>
  <c r="L1019" i="20"/>
  <c r="J1050" i="20"/>
  <c r="J1085" i="20" s="1"/>
  <c r="K937" i="20"/>
  <c r="K949" i="20" s="1"/>
  <c r="K909" i="20"/>
  <c r="K942" i="20" s="1"/>
  <c r="K913" i="20"/>
  <c r="K943" i="20" s="1"/>
  <c r="L690" i="20"/>
  <c r="K690" i="20"/>
  <c r="K691" i="20" s="1"/>
  <c r="K721" i="20" s="1"/>
  <c r="J728" i="20"/>
  <c r="J717" i="20"/>
  <c r="J752" i="20" s="1"/>
  <c r="K711" i="20"/>
  <c r="K726" i="20" s="1"/>
  <c r="K703" i="20"/>
  <c r="K724" i="20" s="1"/>
  <c r="Y25" i="20"/>
  <c r="N12" i="25" s="1"/>
  <c r="K134" i="20"/>
  <c r="K136" i="20" s="1"/>
  <c r="K166" i="20" s="1"/>
  <c r="J41" i="20"/>
  <c r="L40" i="20"/>
  <c r="K40" i="20"/>
  <c r="J165" i="20"/>
  <c r="J173" i="20" s="1"/>
  <c r="J162" i="20"/>
  <c r="J197" i="20" s="1"/>
  <c r="Y16" i="20"/>
  <c r="L127" i="20"/>
  <c r="K127" i="20"/>
  <c r="H62" i="20"/>
  <c r="H64" i="20" s="1"/>
  <c r="K37" i="20"/>
  <c r="K58" i="20" s="1"/>
  <c r="I55" i="20"/>
  <c r="X74" i="20" s="1"/>
  <c r="I51" i="20"/>
  <c r="I86" i="20" s="1"/>
  <c r="I54" i="20"/>
  <c r="X73" i="20" s="1"/>
  <c r="X21" i="20"/>
  <c r="J25" i="20"/>
  <c r="Y26" i="20"/>
  <c r="J21" i="20"/>
  <c r="Y21" i="20" s="1"/>
  <c r="Y20" i="20"/>
  <c r="K17" i="20"/>
  <c r="K61" i="20"/>
  <c r="L49" i="20"/>
  <c r="Z61" i="20"/>
  <c r="K60" i="20"/>
  <c r="L45" i="20"/>
  <c r="Z55" i="20"/>
  <c r="AA49" i="20"/>
  <c r="Z49" i="20"/>
  <c r="Z43" i="20"/>
  <c r="L33" i="20"/>
  <c r="AA37" i="20"/>
  <c r="Z31" i="20"/>
  <c r="Z19" i="20"/>
  <c r="L1042" i="20"/>
  <c r="L1044" i="20" s="1"/>
  <c r="L1059" i="20" s="1"/>
  <c r="L1014" i="20"/>
  <c r="L1102" i="20"/>
  <c r="K1102" i="20"/>
  <c r="L820" i="20"/>
  <c r="L822" i="20" s="1"/>
  <c r="L837" i="20" s="1"/>
  <c r="L880" i="20"/>
  <c r="K880" i="20"/>
  <c r="L769" i="20"/>
  <c r="K769" i="20"/>
  <c r="I508" i="20"/>
  <c r="K480" i="20"/>
  <c r="K481" i="20" s="1"/>
  <c r="K502" i="20" s="1"/>
  <c r="F445" i="20"/>
  <c r="F112" i="20"/>
  <c r="F667" i="20"/>
  <c r="F556" i="20"/>
  <c r="F223" i="20"/>
  <c r="J506" i="20"/>
  <c r="K246" i="20"/>
  <c r="K247" i="20" s="1"/>
  <c r="K277" i="20" s="1"/>
  <c r="L246" i="20"/>
  <c r="K238" i="20"/>
  <c r="K239" i="20" s="1"/>
  <c r="L238" i="20"/>
  <c r="K10" i="12"/>
  <c r="J495" i="20"/>
  <c r="J530" i="20" s="1"/>
  <c r="J11" i="12"/>
  <c r="K11" i="12" s="1"/>
  <c r="L24" i="20"/>
  <c r="K24" i="20"/>
  <c r="L20" i="20"/>
  <c r="K20" i="20"/>
  <c r="Y23" i="19"/>
  <c r="Y31" i="19" s="1"/>
  <c r="K460" i="20"/>
  <c r="K461" i="20" s="1"/>
  <c r="L460" i="20"/>
  <c r="L598" i="20"/>
  <c r="L600" i="20" s="1"/>
  <c r="L615" i="20" s="1"/>
  <c r="L590" i="20"/>
  <c r="L592" i="20" s="1"/>
  <c r="L613" i="20" s="1"/>
  <c r="L479" i="20"/>
  <c r="L582" i="20"/>
  <c r="L584" i="20" s="1"/>
  <c r="L611" i="20" s="1"/>
  <c r="L491" i="20"/>
  <c r="L493" i="20" s="1"/>
  <c r="L505" i="20" s="1"/>
  <c r="L658" i="20"/>
  <c r="K658" i="20"/>
  <c r="L487" i="20"/>
  <c r="L489" i="20" s="1"/>
  <c r="L504" i="20" s="1"/>
  <c r="K547" i="20"/>
  <c r="L547" i="20"/>
  <c r="L265" i="20"/>
  <c r="L380" i="20"/>
  <c r="L382" i="20" s="1"/>
  <c r="L394" i="20" s="1"/>
  <c r="L376" i="20"/>
  <c r="L378" i="20" s="1"/>
  <c r="L393" i="20" s="1"/>
  <c r="L368" i="20"/>
  <c r="L370" i="20" s="1"/>
  <c r="L391" i="20" s="1"/>
  <c r="K436" i="20"/>
  <c r="L269" i="20"/>
  <c r="L257" i="20"/>
  <c r="L325" i="20"/>
  <c r="K325" i="20"/>
  <c r="L214" i="20"/>
  <c r="K214" i="20"/>
  <c r="Z30" i="19"/>
  <c r="Z29" i="19"/>
  <c r="Z25" i="19"/>
  <c r="L27" i="20"/>
  <c r="L19" i="20"/>
  <c r="Z22" i="19"/>
  <c r="L15" i="20"/>
  <c r="J6" i="11"/>
  <c r="H13" i="11" s="1"/>
  <c r="J9" i="12"/>
  <c r="J12" i="12" s="1"/>
  <c r="J17" i="25" s="1"/>
  <c r="J19" i="25" s="1"/>
  <c r="H440" i="20" l="1"/>
  <c r="H445" i="20" s="1"/>
  <c r="I430" i="20"/>
  <c r="I438" i="20" s="1"/>
  <c r="I197" i="20"/>
  <c r="I208" i="20" s="1"/>
  <c r="I216" i="20" s="1"/>
  <c r="H218" i="20"/>
  <c r="H223" i="20" s="1"/>
  <c r="G109" i="20"/>
  <c r="V130" i="20" s="1"/>
  <c r="I9" i="23" s="1"/>
  <c r="K6" i="27"/>
  <c r="H7" i="27"/>
  <c r="G10" i="23"/>
  <c r="Y52" i="20"/>
  <c r="T70" i="20"/>
  <c r="T85" i="20" s="1"/>
  <c r="U68" i="20"/>
  <c r="U70" i="20" s="1"/>
  <c r="V90" i="19"/>
  <c r="V91" i="19" s="1"/>
  <c r="H282" i="20"/>
  <c r="W79" i="20" s="1"/>
  <c r="W58" i="20"/>
  <c r="I267" i="20"/>
  <c r="X56" i="20"/>
  <c r="G283" i="20"/>
  <c r="V80" i="20" s="1"/>
  <c r="V64" i="20"/>
  <c r="H271" i="20"/>
  <c r="W62" i="20"/>
  <c r="J266" i="20"/>
  <c r="X88" i="19"/>
  <c r="I270" i="20"/>
  <c r="W89" i="19"/>
  <c r="L262" i="20"/>
  <c r="L263" i="20" s="1"/>
  <c r="L281" i="20" s="1"/>
  <c r="K262" i="20"/>
  <c r="K263" i="20" s="1"/>
  <c r="K281" i="20" s="1"/>
  <c r="C284" i="20"/>
  <c r="C286" i="20" s="1"/>
  <c r="R70" i="20"/>
  <c r="R85" i="20" s="1"/>
  <c r="G11" i="25"/>
  <c r="F7" i="27" s="1"/>
  <c r="H259" i="20"/>
  <c r="W44" i="20"/>
  <c r="I258" i="20"/>
  <c r="W87" i="19"/>
  <c r="D329" i="20"/>
  <c r="U77" i="20"/>
  <c r="U83" i="20" s="1"/>
  <c r="F284" i="20"/>
  <c r="F286" i="20" s="1"/>
  <c r="G280" i="20"/>
  <c r="G273" i="20"/>
  <c r="G308" i="20" s="1"/>
  <c r="V46" i="20"/>
  <c r="H884" i="20"/>
  <c r="H889" i="20" s="1"/>
  <c r="H893" i="20" s="1"/>
  <c r="H895" i="20" s="1"/>
  <c r="H897" i="20" s="1"/>
  <c r="H899" i="20" s="1"/>
  <c r="Z121" i="19"/>
  <c r="I397" i="20"/>
  <c r="Z151" i="19"/>
  <c r="K802" i="20"/>
  <c r="K832" i="20" s="1"/>
  <c r="AZ151" i="19"/>
  <c r="AZ91" i="19"/>
  <c r="J384" i="20"/>
  <c r="J419" i="20" s="1"/>
  <c r="AZ114" i="19"/>
  <c r="AZ121" i="19" s="1"/>
  <c r="Y28" i="20"/>
  <c r="L356" i="20"/>
  <c r="L358" i="20" s="1"/>
  <c r="L388" i="20" s="1"/>
  <c r="AZ54" i="19"/>
  <c r="AZ61" i="19" s="1"/>
  <c r="K358" i="20"/>
  <c r="K388" i="20" s="1"/>
  <c r="AZ24" i="19"/>
  <c r="AZ31" i="19" s="1"/>
  <c r="Z54" i="19"/>
  <c r="L24" i="25"/>
  <c r="J13" i="23" s="1"/>
  <c r="H1119" i="20"/>
  <c r="H1121" i="20" s="1"/>
  <c r="I1106" i="20"/>
  <c r="I1111" i="20" s="1"/>
  <c r="I1115" i="20" s="1"/>
  <c r="I1117" i="20" s="1"/>
  <c r="I1119" i="20" s="1"/>
  <c r="H1008" i="20"/>
  <c r="H1010" i="20" s="1"/>
  <c r="J1096" i="20"/>
  <c r="J1104" i="20" s="1"/>
  <c r="I995" i="20"/>
  <c r="I1000" i="20" s="1"/>
  <c r="I1004" i="20" s="1"/>
  <c r="I1006" i="20" s="1"/>
  <c r="I1008" i="20" s="1"/>
  <c r="J985" i="20"/>
  <c r="J993" i="20" s="1"/>
  <c r="H788" i="20"/>
  <c r="J874" i="20"/>
  <c r="J882" i="20" s="1"/>
  <c r="I884" i="20"/>
  <c r="I889" i="20" s="1"/>
  <c r="I893" i="20" s="1"/>
  <c r="I895" i="20" s="1"/>
  <c r="I897" i="20" s="1"/>
  <c r="I773" i="20"/>
  <c r="I778" i="20" s="1"/>
  <c r="I782" i="20" s="1"/>
  <c r="I784" i="20" s="1"/>
  <c r="I786" i="20" s="1"/>
  <c r="J763" i="20"/>
  <c r="J771" i="20" s="1"/>
  <c r="X22" i="20"/>
  <c r="I662" i="20"/>
  <c r="J652" i="20"/>
  <c r="J660" i="20" s="1"/>
  <c r="K652" i="20"/>
  <c r="K660" i="20" s="1"/>
  <c r="I551" i="20"/>
  <c r="J541" i="20"/>
  <c r="J549" i="20" s="1"/>
  <c r="K128" i="20"/>
  <c r="K165" i="20" s="1"/>
  <c r="K173" i="20" s="1"/>
  <c r="I175" i="20"/>
  <c r="J276" i="20"/>
  <c r="Z82" i="19"/>
  <c r="J208" i="20"/>
  <c r="J216" i="20" s="1"/>
  <c r="Z52" i="19"/>
  <c r="H107" i="20"/>
  <c r="I97" i="20"/>
  <c r="I105" i="20" s="1"/>
  <c r="J619" i="20"/>
  <c r="L461" i="20"/>
  <c r="L498" i="20" s="1"/>
  <c r="L387" i="20"/>
  <c r="L128" i="20"/>
  <c r="L165" i="20" s="1"/>
  <c r="L572" i="20"/>
  <c r="L609" i="20" s="1"/>
  <c r="L617" i="20" s="1"/>
  <c r="L720" i="20"/>
  <c r="L814" i="20"/>
  <c r="L835" i="20" s="1"/>
  <c r="L1024" i="20"/>
  <c r="L1054" i="20" s="1"/>
  <c r="L1020" i="20"/>
  <c r="L798" i="20"/>
  <c r="L691" i="20"/>
  <c r="L721" i="20" s="1"/>
  <c r="L1036" i="20"/>
  <c r="L1057" i="20" s="1"/>
  <c r="L794" i="20"/>
  <c r="L942" i="20"/>
  <c r="L950" i="20" s="1"/>
  <c r="L247" i="20"/>
  <c r="L277" i="20" s="1"/>
  <c r="L239" i="20"/>
  <c r="L276" i="20" s="1"/>
  <c r="E11" i="23"/>
  <c r="L10" i="12"/>
  <c r="E23" i="23"/>
  <c r="Z75" i="20"/>
  <c r="K276" i="20"/>
  <c r="K41" i="20"/>
  <c r="L41" i="20"/>
  <c r="L59" i="20" s="1"/>
  <c r="K387" i="20"/>
  <c r="Z28" i="19"/>
  <c r="J952" i="20"/>
  <c r="M24" i="25"/>
  <c r="AA121" i="20"/>
  <c r="AA124" i="20"/>
  <c r="Z124" i="20"/>
  <c r="AA103" i="20"/>
  <c r="Z34" i="20"/>
  <c r="J841" i="20"/>
  <c r="K609" i="20"/>
  <c r="K617" i="20" s="1"/>
  <c r="K619" i="20" s="1"/>
  <c r="J1063" i="20"/>
  <c r="K831" i="20"/>
  <c r="AA20" i="20"/>
  <c r="L939" i="20"/>
  <c r="L974" i="20" s="1"/>
  <c r="K950" i="20"/>
  <c r="K1053" i="20"/>
  <c r="K1057" i="20"/>
  <c r="K1050" i="20"/>
  <c r="K1085" i="20" s="1"/>
  <c r="J730" i="20"/>
  <c r="K939" i="20"/>
  <c r="K974" i="20" s="1"/>
  <c r="L1016" i="20"/>
  <c r="Z16" i="20"/>
  <c r="K717" i="20"/>
  <c r="K752" i="20" s="1"/>
  <c r="K728" i="20"/>
  <c r="AA26" i="20"/>
  <c r="Z25" i="20"/>
  <c r="O12" i="25" s="1"/>
  <c r="AA16" i="20"/>
  <c r="L136" i="20"/>
  <c r="L166" i="20" s="1"/>
  <c r="J175" i="20"/>
  <c r="J59" i="20"/>
  <c r="Y78" i="20" s="1"/>
  <c r="Y22" i="20"/>
  <c r="J54" i="20"/>
  <c r="J55" i="20"/>
  <c r="Y74" i="20" s="1"/>
  <c r="I62" i="20"/>
  <c r="J51" i="20"/>
  <c r="J86" i="20" s="1"/>
  <c r="K25" i="20"/>
  <c r="Z26" i="20"/>
  <c r="Z24" i="19"/>
  <c r="L25" i="20"/>
  <c r="L55" i="20" s="1"/>
  <c r="K21" i="20"/>
  <c r="Z21" i="20" s="1"/>
  <c r="Z20" i="20"/>
  <c r="Z23" i="19"/>
  <c r="L61" i="20"/>
  <c r="AA61" i="20"/>
  <c r="L60" i="20"/>
  <c r="AA55" i="20"/>
  <c r="L58" i="20"/>
  <c r="AA43" i="20"/>
  <c r="L57" i="20"/>
  <c r="AA76" i="20" s="1"/>
  <c r="AA40" i="20"/>
  <c r="L29" i="20"/>
  <c r="AA31" i="20"/>
  <c r="L21" i="20"/>
  <c r="AA19" i="20"/>
  <c r="AA15" i="20"/>
  <c r="J508" i="20"/>
  <c r="K498" i="20"/>
  <c r="K506" i="20" s="1"/>
  <c r="K495" i="20"/>
  <c r="K530" i="20" s="1"/>
  <c r="G445" i="20"/>
  <c r="G112" i="20"/>
  <c r="G667" i="20"/>
  <c r="G556" i="20"/>
  <c r="G223" i="20"/>
  <c r="H667" i="20"/>
  <c r="H556" i="20"/>
  <c r="L480" i="20"/>
  <c r="L481" i="20" s="1"/>
  <c r="L17" i="20"/>
  <c r="D8" i="11"/>
  <c r="H14" i="11" s="1"/>
  <c r="I14" i="11" s="1"/>
  <c r="H22" i="11"/>
  <c r="H15" i="11"/>
  <c r="G30" i="11"/>
  <c r="G34" i="11" s="1"/>
  <c r="K9" i="12"/>
  <c r="K12" i="12" s="1"/>
  <c r="K17" i="25" s="1"/>
  <c r="K19" i="25" s="1"/>
  <c r="J430" i="20" l="1"/>
  <c r="J438" i="20" s="1"/>
  <c r="I440" i="20"/>
  <c r="I445" i="20" s="1"/>
  <c r="I218" i="20"/>
  <c r="I223" i="20" s="1"/>
  <c r="H109" i="20"/>
  <c r="W130" i="20" s="1"/>
  <c r="J9" i="23" s="1"/>
  <c r="L6" i="27"/>
  <c r="G7" i="27"/>
  <c r="F9" i="27"/>
  <c r="J11" i="25"/>
  <c r="I7" i="27" s="1"/>
  <c r="V68" i="20"/>
  <c r="K11" i="25" s="1"/>
  <c r="I282" i="20"/>
  <c r="X79" i="20" s="1"/>
  <c r="X58" i="20"/>
  <c r="Z50" i="20"/>
  <c r="AA78" i="20"/>
  <c r="AA50" i="20"/>
  <c r="Z52" i="20"/>
  <c r="Y56" i="20"/>
  <c r="J267" i="20"/>
  <c r="K266" i="20"/>
  <c r="Y88" i="19"/>
  <c r="W90" i="19"/>
  <c r="W91" i="19" s="1"/>
  <c r="H283" i="20"/>
  <c r="W80" i="20" s="1"/>
  <c r="W64" i="20"/>
  <c r="I271" i="20"/>
  <c r="X62" i="20"/>
  <c r="J270" i="20"/>
  <c r="X89" i="19"/>
  <c r="E10" i="23"/>
  <c r="F10" i="23"/>
  <c r="V77" i="20"/>
  <c r="V83" i="20" s="1"/>
  <c r="G284" i="20"/>
  <c r="G286" i="20" s="1"/>
  <c r="C319" i="20"/>
  <c r="C327" i="20" s="1"/>
  <c r="R126" i="20" s="1"/>
  <c r="R107" i="20"/>
  <c r="R118" i="20" s="1"/>
  <c r="H280" i="20"/>
  <c r="W46" i="20"/>
  <c r="H273" i="20"/>
  <c r="H308" i="20" s="1"/>
  <c r="D334" i="20"/>
  <c r="S133" i="20" s="1"/>
  <c r="S128" i="20"/>
  <c r="J258" i="20"/>
  <c r="X87" i="19"/>
  <c r="U85" i="20"/>
  <c r="I259" i="20"/>
  <c r="X44" i="20"/>
  <c r="K839" i="20"/>
  <c r="K828" i="20"/>
  <c r="K863" i="20" s="1"/>
  <c r="J397" i="20"/>
  <c r="K395" i="20"/>
  <c r="K384" i="20"/>
  <c r="K419" i="20" s="1"/>
  <c r="AA25" i="20"/>
  <c r="P12" i="25" s="1"/>
  <c r="Z61" i="19"/>
  <c r="L27" i="25"/>
  <c r="I899" i="20"/>
  <c r="I1121" i="20"/>
  <c r="I1010" i="20"/>
  <c r="I788" i="20"/>
  <c r="J1106" i="20"/>
  <c r="J1111" i="20" s="1"/>
  <c r="J1115" i="20" s="1"/>
  <c r="J1117" i="20" s="1"/>
  <c r="J1119" i="20" s="1"/>
  <c r="K1096" i="20"/>
  <c r="K1104" i="20" s="1"/>
  <c r="J995" i="20"/>
  <c r="J1000" i="20" s="1"/>
  <c r="J1004" i="20" s="1"/>
  <c r="J1006" i="20" s="1"/>
  <c r="J1008" i="20" s="1"/>
  <c r="L985" i="20"/>
  <c r="L993" i="20" s="1"/>
  <c r="K985" i="20"/>
  <c r="K993" i="20" s="1"/>
  <c r="J884" i="20"/>
  <c r="J889" i="20" s="1"/>
  <c r="J893" i="20" s="1"/>
  <c r="J895" i="20" s="1"/>
  <c r="J897" i="20" s="1"/>
  <c r="K763" i="20"/>
  <c r="K771" i="20" s="1"/>
  <c r="J773" i="20"/>
  <c r="J778" i="20" s="1"/>
  <c r="J782" i="20" s="1"/>
  <c r="J784" i="20" s="1"/>
  <c r="J786" i="20" s="1"/>
  <c r="Z17" i="20"/>
  <c r="Z22" i="20" s="1"/>
  <c r="J662" i="20"/>
  <c r="K662" i="20"/>
  <c r="J551" i="20"/>
  <c r="K162" i="20"/>
  <c r="K541" i="20"/>
  <c r="K549" i="20" s="1"/>
  <c r="Y73" i="20"/>
  <c r="J218" i="20"/>
  <c r="H112" i="20"/>
  <c r="J97" i="20"/>
  <c r="J105" i="20" s="1"/>
  <c r="L384" i="20"/>
  <c r="L419" i="20" s="1"/>
  <c r="L395" i="20"/>
  <c r="L728" i="20"/>
  <c r="L606" i="20"/>
  <c r="L641" i="20" s="1"/>
  <c r="L831" i="20"/>
  <c r="L839" i="20" s="1"/>
  <c r="L717" i="20"/>
  <c r="L752" i="20" s="1"/>
  <c r="L828" i="20"/>
  <c r="L863" i="20" s="1"/>
  <c r="AA21" i="20"/>
  <c r="L173" i="20"/>
  <c r="L1050" i="20"/>
  <c r="L1085" i="20" s="1"/>
  <c r="F11" i="23"/>
  <c r="M10" i="12"/>
  <c r="L11" i="12"/>
  <c r="K59" i="20"/>
  <c r="Z78" i="20" s="1"/>
  <c r="AA52" i="20"/>
  <c r="M27" i="25"/>
  <c r="K13" i="23"/>
  <c r="K730" i="20"/>
  <c r="K952" i="20"/>
  <c r="AA17" i="20"/>
  <c r="L952" i="20"/>
  <c r="L1053" i="20"/>
  <c r="L1061" i="20" s="1"/>
  <c r="K1061" i="20"/>
  <c r="K1063" i="20" s="1"/>
  <c r="L162" i="20"/>
  <c r="L197" i="20" s="1"/>
  <c r="AA74" i="20"/>
  <c r="K51" i="20"/>
  <c r="K86" i="20" s="1"/>
  <c r="I64" i="20"/>
  <c r="I107" i="20" s="1"/>
  <c r="Z31" i="19"/>
  <c r="Z28" i="20"/>
  <c r="K55" i="20"/>
  <c r="Z74" i="20" s="1"/>
  <c r="J62" i="20"/>
  <c r="AA28" i="20"/>
  <c r="K54" i="20"/>
  <c r="L56" i="20"/>
  <c r="AA75" i="20" s="1"/>
  <c r="AA34" i="20"/>
  <c r="K508" i="20"/>
  <c r="L502" i="20"/>
  <c r="L506" i="20" s="1"/>
  <c r="L495" i="20"/>
  <c r="L530" i="20" s="1"/>
  <c r="I667" i="20"/>
  <c r="I556" i="20"/>
  <c r="L54" i="20"/>
  <c r="L51" i="20"/>
  <c r="L86" i="20" s="1"/>
  <c r="H16" i="11"/>
  <c r="H17" i="11" s="1"/>
  <c r="I13" i="11" s="1"/>
  <c r="I15" i="11" s="1"/>
  <c r="I16" i="11" s="1"/>
  <c r="I17" i="11" s="1"/>
  <c r="J13" i="11" s="1"/>
  <c r="J15" i="11" s="1"/>
  <c r="H30" i="11"/>
  <c r="J14" i="11"/>
  <c r="K14" i="11" s="1"/>
  <c r="L14" i="11" s="1"/>
  <c r="M14" i="11" s="1"/>
  <c r="N14" i="11" s="1"/>
  <c r="O14" i="11" s="1"/>
  <c r="L9" i="12"/>
  <c r="L12" i="12" s="1"/>
  <c r="L17" i="25" s="1"/>
  <c r="L19" i="25" s="1"/>
  <c r="J440" i="20" l="1"/>
  <c r="J445" i="20" s="1"/>
  <c r="K197" i="20"/>
  <c r="K208" i="20" s="1"/>
  <c r="K216" i="20" s="1"/>
  <c r="I109" i="20"/>
  <c r="X130" i="20" s="1"/>
  <c r="K9" i="23" s="1"/>
  <c r="M6" i="27"/>
  <c r="J7" i="27"/>
  <c r="H10" i="23"/>
  <c r="W68" i="20"/>
  <c r="L11" i="25" s="1"/>
  <c r="J10" i="23" s="1"/>
  <c r="I10" i="23"/>
  <c r="V70" i="20"/>
  <c r="V85" i="20" s="1"/>
  <c r="K267" i="20"/>
  <c r="Z56" i="20"/>
  <c r="L266" i="20"/>
  <c r="Z88" i="19"/>
  <c r="J282" i="20"/>
  <c r="Y79" i="20" s="1"/>
  <c r="Y58" i="20"/>
  <c r="Y62" i="20"/>
  <c r="J271" i="20"/>
  <c r="K270" i="20"/>
  <c r="Y89" i="19"/>
  <c r="I283" i="20"/>
  <c r="X80" i="20" s="1"/>
  <c r="X64" i="20"/>
  <c r="X90" i="19"/>
  <c r="X91" i="19" s="1"/>
  <c r="I280" i="20"/>
  <c r="X46" i="20"/>
  <c r="I273" i="20"/>
  <c r="I308" i="20" s="1"/>
  <c r="C329" i="20"/>
  <c r="K258" i="20"/>
  <c r="Y87" i="19"/>
  <c r="W77" i="20"/>
  <c r="W83" i="20" s="1"/>
  <c r="H284" i="20"/>
  <c r="H286" i="20" s="1"/>
  <c r="J259" i="20"/>
  <c r="Y44" i="20"/>
  <c r="K841" i="20"/>
  <c r="K874" i="20"/>
  <c r="K882" i="20" s="1"/>
  <c r="K397" i="20"/>
  <c r="K430" i="20"/>
  <c r="K438" i="20" s="1"/>
  <c r="N10" i="12"/>
  <c r="O10" i="12" s="1"/>
  <c r="M11" i="12"/>
  <c r="J899" i="20"/>
  <c r="J1121" i="20"/>
  <c r="J1010" i="20"/>
  <c r="J788" i="20"/>
  <c r="K1106" i="20"/>
  <c r="K1111" i="20" s="1"/>
  <c r="K1115" i="20" s="1"/>
  <c r="K1117" i="20" s="1"/>
  <c r="L1096" i="20"/>
  <c r="L1104" i="20" s="1"/>
  <c r="K995" i="20"/>
  <c r="K1000" i="20" s="1"/>
  <c r="K1004" i="20" s="1"/>
  <c r="K1006" i="20" s="1"/>
  <c r="K1008" i="20" s="1"/>
  <c r="L995" i="20"/>
  <c r="L1000" i="20" s="1"/>
  <c r="L1004" i="20" s="1"/>
  <c r="L1006" i="20" s="1"/>
  <c r="L1008" i="20" s="1"/>
  <c r="L874" i="20"/>
  <c r="L882" i="20" s="1"/>
  <c r="K773" i="20"/>
  <c r="K778" i="20" s="1"/>
  <c r="K782" i="20" s="1"/>
  <c r="K784" i="20" s="1"/>
  <c r="K786" i="20" s="1"/>
  <c r="L763" i="20"/>
  <c r="L771" i="20" s="1"/>
  <c r="K175" i="20"/>
  <c r="L619" i="20"/>
  <c r="L652" i="20"/>
  <c r="L660" i="20" s="1"/>
  <c r="L541" i="20"/>
  <c r="L549" i="20" s="1"/>
  <c r="K551" i="20"/>
  <c r="N24" i="25"/>
  <c r="L13" i="23" s="1"/>
  <c r="L430" i="20"/>
  <c r="L438" i="20" s="1"/>
  <c r="L208" i="20"/>
  <c r="L216" i="20" s="1"/>
  <c r="K97" i="20"/>
  <c r="K105" i="20" s="1"/>
  <c r="L97" i="20"/>
  <c r="L105" i="20" s="1"/>
  <c r="L397" i="20"/>
  <c r="L730" i="20"/>
  <c r="L841" i="20"/>
  <c r="L175" i="20"/>
  <c r="AA22" i="20"/>
  <c r="L1063" i="20"/>
  <c r="G11" i="23"/>
  <c r="AA73" i="20"/>
  <c r="K62" i="20"/>
  <c r="K64" i="20" s="1"/>
  <c r="Z73" i="20"/>
  <c r="I112" i="20"/>
  <c r="J64" i="20"/>
  <c r="J107" i="20" s="1"/>
  <c r="L62" i="20"/>
  <c r="L508" i="20"/>
  <c r="J667" i="20"/>
  <c r="J556" i="20"/>
  <c r="J223" i="20"/>
  <c r="M9" i="12"/>
  <c r="M12" i="12" s="1"/>
  <c r="M17" i="25" s="1"/>
  <c r="M19" i="25" s="1"/>
  <c r="P14" i="11"/>
  <c r="J16" i="11"/>
  <c r="K218" i="20" l="1"/>
  <c r="K223" i="20" s="1"/>
  <c r="K109" i="20"/>
  <c r="Z130" i="20" s="1"/>
  <c r="M9" i="23" s="1"/>
  <c r="O6" i="27"/>
  <c r="N11" i="12"/>
  <c r="O11" i="12" s="1"/>
  <c r="J109" i="20"/>
  <c r="Y130" i="20" s="1"/>
  <c r="L9" i="23" s="1"/>
  <c r="N6" i="27"/>
  <c r="K7" i="27"/>
  <c r="W70" i="20"/>
  <c r="W85" i="20" s="1"/>
  <c r="X68" i="20"/>
  <c r="M11" i="25" s="1"/>
  <c r="L7" i="27" s="1"/>
  <c r="K271" i="20"/>
  <c r="Z62" i="20"/>
  <c r="L270" i="20"/>
  <c r="Z89" i="19"/>
  <c r="J283" i="20"/>
  <c r="Y80" i="20" s="1"/>
  <c r="Y64" i="20"/>
  <c r="AA56" i="20"/>
  <c r="L267" i="20"/>
  <c r="Z90" i="19"/>
  <c r="Y90" i="19"/>
  <c r="Y91" i="19" s="1"/>
  <c r="K282" i="20"/>
  <c r="Z79" i="20" s="1"/>
  <c r="Z58" i="20"/>
  <c r="C334" i="20"/>
  <c r="R133" i="20" s="1"/>
  <c r="R128" i="20"/>
  <c r="X77" i="20"/>
  <c r="X83" i="20" s="1"/>
  <c r="I284" i="20"/>
  <c r="I286" i="20" s="1"/>
  <c r="K259" i="20"/>
  <c r="Z44" i="20"/>
  <c r="J280" i="20"/>
  <c r="Y46" i="20"/>
  <c r="J273" i="20"/>
  <c r="J308" i="20" s="1"/>
  <c r="L258" i="20"/>
  <c r="Z87" i="19"/>
  <c r="K884" i="20"/>
  <c r="K889" i="20" s="1"/>
  <c r="K893" i="20" s="1"/>
  <c r="K895" i="20" s="1"/>
  <c r="K897" i="20" s="1"/>
  <c r="K899" i="20" s="1"/>
  <c r="K440" i="20"/>
  <c r="K445" i="20" s="1"/>
  <c r="K1119" i="20"/>
  <c r="K1121" i="20" s="1"/>
  <c r="K788" i="20"/>
  <c r="K1010" i="20"/>
  <c r="L1010" i="20" s="1"/>
  <c r="L1106" i="20"/>
  <c r="L1111" i="20" s="1"/>
  <c r="L1115" i="20" s="1"/>
  <c r="L1117" i="20" s="1"/>
  <c r="L1119" i="20" s="1"/>
  <c r="L884" i="20"/>
  <c r="L889" i="20" s="1"/>
  <c r="L893" i="20" s="1"/>
  <c r="L895" i="20" s="1"/>
  <c r="L897" i="20" s="1"/>
  <c r="N27" i="25"/>
  <c r="L773" i="20"/>
  <c r="L778" i="20" s="1"/>
  <c r="L782" i="20" s="1"/>
  <c r="L784" i="20" s="1"/>
  <c r="L786" i="20" s="1"/>
  <c r="L662" i="20"/>
  <c r="L551" i="20"/>
  <c r="L440" i="20"/>
  <c r="L218" i="20"/>
  <c r="K107" i="20"/>
  <c r="P24" i="25"/>
  <c r="P27" i="25" s="1"/>
  <c r="H11" i="23"/>
  <c r="O24" i="25"/>
  <c r="L64" i="20"/>
  <c r="L107" i="20" s="1"/>
  <c r="K667" i="20"/>
  <c r="K556" i="20"/>
  <c r="N9" i="12"/>
  <c r="N12" i="12" s="1"/>
  <c r="N17" i="25" s="1"/>
  <c r="N19" i="25" s="1"/>
  <c r="P10" i="12"/>
  <c r="Q14" i="11"/>
  <c r="J17" i="11"/>
  <c r="K13" i="11" s="1"/>
  <c r="J112" i="20" l="1"/>
  <c r="L109" i="20"/>
  <c r="AA130" i="20" s="1"/>
  <c r="N9" i="23" s="1"/>
  <c r="P6" i="27"/>
  <c r="K10" i="23"/>
  <c r="X70" i="20"/>
  <c r="X85" i="20" s="1"/>
  <c r="Y68" i="20"/>
  <c r="N11" i="25" s="1"/>
  <c r="L10" i="23" s="1"/>
  <c r="Z91" i="19"/>
  <c r="AA62" i="20"/>
  <c r="L271" i="20"/>
  <c r="L282" i="20"/>
  <c r="AA79" i="20" s="1"/>
  <c r="AA58" i="20"/>
  <c r="K283" i="20"/>
  <c r="Z80" i="20" s="1"/>
  <c r="Z64" i="20"/>
  <c r="L259" i="20"/>
  <c r="AA44" i="20"/>
  <c r="Y77" i="20"/>
  <c r="Y83" i="20" s="1"/>
  <c r="J284" i="20"/>
  <c r="J286" i="20" s="1"/>
  <c r="K280" i="20"/>
  <c r="Z46" i="20"/>
  <c r="K273" i="20"/>
  <c r="K308" i="20" s="1"/>
  <c r="L899" i="20"/>
  <c r="L1121" i="20"/>
  <c r="L788" i="20"/>
  <c r="K112" i="20"/>
  <c r="I11" i="23"/>
  <c r="O27" i="25"/>
  <c r="M13" i="23"/>
  <c r="N13" i="23"/>
  <c r="L112" i="20"/>
  <c r="L445" i="20"/>
  <c r="L667" i="20"/>
  <c r="L556" i="20"/>
  <c r="L223" i="20"/>
  <c r="O9" i="12"/>
  <c r="O12" i="12" s="1"/>
  <c r="O17" i="25" s="1"/>
  <c r="O19" i="25" s="1"/>
  <c r="P11" i="12"/>
  <c r="K15" i="11"/>
  <c r="R14" i="11"/>
  <c r="M7" i="27" l="1"/>
  <c r="Y70" i="20"/>
  <c r="Y85" i="20" s="1"/>
  <c r="Z68" i="20"/>
  <c r="O11" i="25" s="1"/>
  <c r="M10" i="23" s="1"/>
  <c r="L283" i="20"/>
  <c r="AA80" i="20" s="1"/>
  <c r="AA64" i="20"/>
  <c r="L280" i="20"/>
  <c r="L273" i="20"/>
  <c r="L308" i="20" s="1"/>
  <c r="AA46" i="20"/>
  <c r="K284" i="20"/>
  <c r="K286" i="20" s="1"/>
  <c r="Z77" i="20"/>
  <c r="Z83" i="20" s="1"/>
  <c r="J11" i="23"/>
  <c r="P9" i="12"/>
  <c r="P12" i="12" s="1"/>
  <c r="K16" i="11"/>
  <c r="S14" i="11"/>
  <c r="N7" i="27" l="1"/>
  <c r="Z70" i="20"/>
  <c r="Z85" i="20" s="1"/>
  <c r="AA68" i="20"/>
  <c r="P11" i="25" s="1"/>
  <c r="L284" i="20"/>
  <c r="L286" i="20" s="1"/>
  <c r="AA77" i="20"/>
  <c r="AA83" i="20" s="1"/>
  <c r="K11" i="23"/>
  <c r="P17" i="25"/>
  <c r="P19" i="25" s="1"/>
  <c r="T14" i="11"/>
  <c r="H23" i="11"/>
  <c r="I23" i="11" s="1"/>
  <c r="J23" i="11" s="1"/>
  <c r="K23" i="11" s="1"/>
  <c r="L23" i="11" s="1"/>
  <c r="M23" i="11" s="1"/>
  <c r="N23" i="11" s="1"/>
  <c r="O23" i="11" s="1"/>
  <c r="P23" i="11" s="1"/>
  <c r="Q23" i="11" s="1"/>
  <c r="K17" i="11"/>
  <c r="L13" i="11" s="1"/>
  <c r="O7" i="27" l="1"/>
  <c r="N10" i="23"/>
  <c r="AA70" i="20"/>
  <c r="AA85" i="20" s="1"/>
  <c r="L11" i="23"/>
  <c r="L15" i="11"/>
  <c r="L16" i="11" s="1"/>
  <c r="L17" i="11" s="1"/>
  <c r="M13" i="11" s="1"/>
  <c r="U14" i="11"/>
  <c r="N11" i="23" l="1"/>
  <c r="M11" i="23"/>
  <c r="M15" i="11"/>
  <c r="M16" i="11" s="1"/>
  <c r="M17" i="11" s="1"/>
  <c r="N13" i="11" s="1"/>
  <c r="V14" i="11"/>
  <c r="N15" i="11" l="1"/>
  <c r="N16" i="11" s="1"/>
  <c r="N17" i="11" s="1"/>
  <c r="O13" i="11" s="1"/>
  <c r="W14" i="11"/>
  <c r="O15" i="11" l="1"/>
  <c r="O16" i="11" s="1"/>
  <c r="O17" i="11" s="1"/>
  <c r="P13" i="11" s="1"/>
  <c r="X14" i="11"/>
  <c r="P15" i="11" l="1"/>
  <c r="P16" i="11" s="1"/>
  <c r="P17" i="11" s="1"/>
  <c r="Q13" i="11" s="1"/>
  <c r="Y14" i="11"/>
  <c r="Q15" i="11" l="1"/>
  <c r="Q16" i="11" s="1"/>
  <c r="Q17" i="11" s="1"/>
  <c r="R13" i="11" s="1"/>
  <c r="Z14" i="11"/>
  <c r="R15" i="11" l="1"/>
  <c r="R16" i="11" s="1"/>
  <c r="R17" i="11" s="1"/>
  <c r="S13" i="11" s="1"/>
  <c r="AA14" i="11"/>
  <c r="S15" i="11" l="1"/>
  <c r="AB14" i="11"/>
  <c r="AC14" i="11" l="1"/>
  <c r="H24" i="11"/>
  <c r="S16" i="11"/>
  <c r="C338" i="20" l="1"/>
  <c r="C114" i="20"/>
  <c r="C671" i="20"/>
  <c r="C560" i="20"/>
  <c r="C227" i="20"/>
  <c r="C449" i="20"/>
  <c r="H31" i="11"/>
  <c r="H33" i="11" s="1"/>
  <c r="AD14" i="11"/>
  <c r="H25" i="11"/>
  <c r="E24" i="23" s="1"/>
  <c r="E29" i="23" s="1"/>
  <c r="S17" i="11"/>
  <c r="T13" i="11" s="1"/>
  <c r="C116" i="20" l="1"/>
  <c r="R137" i="20" s="1"/>
  <c r="R135" i="20"/>
  <c r="C340" i="20"/>
  <c r="C342" i="20" s="1"/>
  <c r="C344" i="20" s="1"/>
  <c r="C673" i="20"/>
  <c r="C675" i="20" s="1"/>
  <c r="C677" i="20" s="1"/>
  <c r="C451" i="20"/>
  <c r="C453" i="20" s="1"/>
  <c r="C455" i="20" s="1"/>
  <c r="C562" i="20"/>
  <c r="C564" i="20" s="1"/>
  <c r="C566" i="20" s="1"/>
  <c r="C229" i="20"/>
  <c r="C231" i="20" s="1"/>
  <c r="C233" i="20" s="1"/>
  <c r="AE14" i="11"/>
  <c r="T15" i="11"/>
  <c r="H32" i="11"/>
  <c r="G9" i="27" s="1"/>
  <c r="H26" i="11"/>
  <c r="G29" i="25" s="1"/>
  <c r="G30" i="25" s="1"/>
  <c r="G32" i="25" s="1"/>
  <c r="C118" i="20" l="1"/>
  <c r="R139" i="20" s="1"/>
  <c r="H34" i="11"/>
  <c r="I30" i="11" s="1"/>
  <c r="I22" i="11"/>
  <c r="AF14" i="11"/>
  <c r="T16" i="11"/>
  <c r="C120" i="20" l="1"/>
  <c r="R141" i="20" s="1"/>
  <c r="T17" i="11"/>
  <c r="U13" i="11" s="1"/>
  <c r="AG14" i="11"/>
  <c r="E8" i="23" l="1"/>
  <c r="E16" i="23" s="1"/>
  <c r="E31" i="23" s="1"/>
  <c r="E35" i="23" s="1"/>
  <c r="F33" i="23" s="1"/>
  <c r="G5" i="27"/>
  <c r="F11" i="27" s="1"/>
  <c r="F14" i="27" s="1"/>
  <c r="F16" i="27" s="1"/>
  <c r="C122" i="20"/>
  <c r="R143" i="20"/>
  <c r="G37" i="25" s="1"/>
  <c r="G38" i="25" s="1"/>
  <c r="G40" i="25" s="1"/>
  <c r="U15" i="11"/>
  <c r="AH14" i="11"/>
  <c r="G10" i="25" l="1"/>
  <c r="G14" i="25" s="1"/>
  <c r="G21" i="25" s="1"/>
  <c r="G42" i="25" s="1"/>
  <c r="AI14" i="11"/>
  <c r="U16" i="11"/>
  <c r="U17" i="11" l="1"/>
  <c r="V13" i="11" s="1"/>
  <c r="AJ14" i="11"/>
  <c r="AK14" i="11" l="1"/>
  <c r="V15" i="11"/>
  <c r="V16" i="11" l="1"/>
  <c r="AL14" i="11"/>
  <c r="AM14" i="11" l="1"/>
  <c r="V17" i="11"/>
  <c r="W13" i="11" s="1"/>
  <c r="W15" i="11" l="1"/>
  <c r="AN14" i="11"/>
  <c r="AO14" i="11" l="1"/>
  <c r="W16" i="11"/>
  <c r="W17" i="11" l="1"/>
  <c r="X13" i="11" s="1"/>
  <c r="AP14" i="11"/>
  <c r="AQ14" i="11" l="1"/>
  <c r="X15" i="11"/>
  <c r="X16" i="11" l="1"/>
  <c r="AR14" i="11"/>
  <c r="AS14" i="11" l="1"/>
  <c r="X17" i="11"/>
  <c r="Y13" i="11" s="1"/>
  <c r="Y15" i="11" l="1"/>
  <c r="Y16" i="11" s="1"/>
  <c r="Y17" i="11" s="1"/>
  <c r="Z13" i="11" s="1"/>
  <c r="AT14" i="11"/>
  <c r="AU14" i="11" l="1"/>
  <c r="Z15" i="11"/>
  <c r="Z16" i="11" s="1"/>
  <c r="Z17" i="11" s="1"/>
  <c r="AA13" i="11" s="1"/>
  <c r="AA15" i="11" l="1"/>
  <c r="AA16" i="11" s="1"/>
  <c r="AA17" i="11" s="1"/>
  <c r="AB13" i="11" s="1"/>
  <c r="AV14" i="11"/>
  <c r="AB15" i="11" l="1"/>
  <c r="AB16" i="11" s="1"/>
  <c r="AB17" i="11" s="1"/>
  <c r="AC13" i="11" s="1"/>
  <c r="AW14" i="11"/>
  <c r="AC15" i="11" l="1"/>
  <c r="AC16" i="11" s="1"/>
  <c r="AC17" i="11" s="1"/>
  <c r="AD13" i="11" s="1"/>
  <c r="AX14" i="11"/>
  <c r="AD15" i="11" l="1"/>
  <c r="AD16" i="11" s="1"/>
  <c r="AD17" i="11" s="1"/>
  <c r="AE13" i="11" s="1"/>
  <c r="AY14" i="11"/>
  <c r="AE15" i="11" l="1"/>
  <c r="AZ14" i="11"/>
  <c r="BA14" i="11" l="1"/>
  <c r="AE16" i="11"/>
  <c r="I24" i="11"/>
  <c r="D449" i="20" l="1"/>
  <c r="D114" i="20"/>
  <c r="D338" i="20"/>
  <c r="D671" i="20"/>
  <c r="D560" i="20"/>
  <c r="D227" i="20"/>
  <c r="I31" i="11"/>
  <c r="I33" i="11" s="1"/>
  <c r="I25" i="11"/>
  <c r="F24" i="23" s="1"/>
  <c r="F29" i="23" s="1"/>
  <c r="AE17" i="11"/>
  <c r="AF13" i="11" s="1"/>
  <c r="BB14" i="11"/>
  <c r="D116" i="20" l="1"/>
  <c r="S137" i="20" s="1"/>
  <c r="S135" i="20"/>
  <c r="D340" i="20"/>
  <c r="D342" i="20" s="1"/>
  <c r="D344" i="20" s="1"/>
  <c r="D673" i="20"/>
  <c r="D675" i="20" s="1"/>
  <c r="D677" i="20" s="1"/>
  <c r="D451" i="20"/>
  <c r="D453" i="20" s="1"/>
  <c r="D455" i="20" s="1"/>
  <c r="D562" i="20"/>
  <c r="D564" i="20" s="1"/>
  <c r="D566" i="20" s="1"/>
  <c r="D229" i="20"/>
  <c r="D231" i="20" s="1"/>
  <c r="D233" i="20" s="1"/>
  <c r="BC14" i="11"/>
  <c r="AF15" i="11"/>
  <c r="I32" i="11"/>
  <c r="I26" i="11"/>
  <c r="H29" i="25" s="1"/>
  <c r="H30" i="25" s="1"/>
  <c r="H32" i="25" s="1"/>
  <c r="H9" i="27" l="1"/>
  <c r="D118" i="20"/>
  <c r="S139" i="20" s="1"/>
  <c r="J22" i="11"/>
  <c r="I34" i="11"/>
  <c r="AF16" i="11"/>
  <c r="BD14" i="11"/>
  <c r="D120" i="20" l="1"/>
  <c r="D122" i="20" s="1"/>
  <c r="J30" i="11"/>
  <c r="BE14" i="11"/>
  <c r="AF17" i="11"/>
  <c r="AG13" i="11" s="1"/>
  <c r="S141" i="20" l="1"/>
  <c r="AG15" i="11"/>
  <c r="BF14" i="11"/>
  <c r="F8" i="23" l="1"/>
  <c r="F16" i="23" s="1"/>
  <c r="F31" i="23" s="1"/>
  <c r="F35" i="23" s="1"/>
  <c r="H5" i="27"/>
  <c r="G11" i="27" s="1"/>
  <c r="G14" i="27" s="1"/>
  <c r="G16" i="27" s="1"/>
  <c r="S143" i="20"/>
  <c r="H37" i="25" s="1"/>
  <c r="H38" i="25" s="1"/>
  <c r="H40" i="25" s="1"/>
  <c r="BG14" i="11"/>
  <c r="AG16" i="11"/>
  <c r="G33" i="23" l="1"/>
  <c r="H10" i="25"/>
  <c r="H14" i="25" s="1"/>
  <c r="H21" i="25" s="1"/>
  <c r="H42" i="25" s="1"/>
  <c r="AG17" i="11"/>
  <c r="AH13" i="11" s="1"/>
  <c r="BH14" i="11"/>
  <c r="BI14" i="11" l="1"/>
  <c r="AH15" i="11"/>
  <c r="AH16" i="11" l="1"/>
  <c r="BJ14" i="11"/>
  <c r="BK14" i="11" l="1"/>
  <c r="AH17" i="11"/>
  <c r="AI13" i="11" s="1"/>
  <c r="AI15" i="11" l="1"/>
  <c r="BL14" i="11"/>
  <c r="BM14" i="11" l="1"/>
  <c r="AI16" i="11"/>
  <c r="AI17" i="11" l="1"/>
  <c r="AJ13" i="11" s="1"/>
  <c r="BN14" i="11"/>
  <c r="BO14" i="11" l="1"/>
  <c r="AJ15" i="11"/>
  <c r="AJ16" i="11" l="1"/>
  <c r="BP14" i="11"/>
  <c r="BQ14" i="11" l="1"/>
  <c r="AJ17" i="11"/>
  <c r="AK13" i="11" s="1"/>
  <c r="AK15" i="11" l="1"/>
  <c r="AK16" i="11" s="1"/>
  <c r="AK17" i="11" s="1"/>
  <c r="AL13" i="11" s="1"/>
  <c r="BR14" i="11"/>
  <c r="AL15" i="11" l="1"/>
  <c r="AL16" i="11" s="1"/>
  <c r="AL17" i="11" s="1"/>
  <c r="AM13" i="11" s="1"/>
  <c r="BS14" i="11"/>
  <c r="AM15" i="11" l="1"/>
  <c r="AM16" i="11" s="1"/>
  <c r="AM17" i="11" s="1"/>
  <c r="AN13" i="11" s="1"/>
  <c r="BT14" i="11"/>
  <c r="AN15" i="11" l="1"/>
  <c r="AN16" i="11" s="1"/>
  <c r="AN17" i="11" s="1"/>
  <c r="AO13" i="11" s="1"/>
  <c r="BU14" i="11"/>
  <c r="AO15" i="11" l="1"/>
  <c r="AO16" i="11" s="1"/>
  <c r="AO17" i="11" s="1"/>
  <c r="AP13" i="11" s="1"/>
  <c r="BV14" i="11"/>
  <c r="AP15" i="11" l="1"/>
  <c r="AP16" i="11" s="1"/>
  <c r="AP17" i="11" s="1"/>
  <c r="AQ13" i="11" s="1"/>
  <c r="BW14" i="11"/>
  <c r="BX14" i="11" l="1"/>
  <c r="AQ15" i="11"/>
  <c r="AQ16" i="11" l="1"/>
  <c r="J24" i="11"/>
  <c r="BY14" i="11"/>
  <c r="E449" i="20" l="1"/>
  <c r="E114" i="20"/>
  <c r="E671" i="20"/>
  <c r="E560" i="20"/>
  <c r="E227" i="20"/>
  <c r="J31" i="11"/>
  <c r="J33" i="11" s="1"/>
  <c r="BZ14" i="11"/>
  <c r="J25" i="11"/>
  <c r="G24" i="23" s="1"/>
  <c r="G29" i="23" s="1"/>
  <c r="AQ17" i="11"/>
  <c r="AR13" i="11" s="1"/>
  <c r="E116" i="20" l="1"/>
  <c r="T135" i="20"/>
  <c r="E673" i="20"/>
  <c r="E675" i="20" s="1"/>
  <c r="E562" i="20"/>
  <c r="E564" i="20" s="1"/>
  <c r="E566" i="20" s="1"/>
  <c r="E451" i="20"/>
  <c r="E453" i="20" s="1"/>
  <c r="E455" i="20" s="1"/>
  <c r="E229" i="20"/>
  <c r="E231" i="20" s="1"/>
  <c r="E233" i="20" s="1"/>
  <c r="AR15" i="11"/>
  <c r="J32" i="11"/>
  <c r="J26" i="11"/>
  <c r="I29" i="25" s="1"/>
  <c r="I30" i="25" s="1"/>
  <c r="I32" i="25" s="1"/>
  <c r="CA14" i="11"/>
  <c r="T113" i="20" l="1"/>
  <c r="T107" i="20"/>
  <c r="T111" i="20"/>
  <c r="T112" i="20"/>
  <c r="T94" i="20"/>
  <c r="T95" i="20"/>
  <c r="T96" i="20"/>
  <c r="T97" i="20"/>
  <c r="T93" i="20"/>
  <c r="I9" i="27"/>
  <c r="E118" i="20"/>
  <c r="E120" i="20" s="1"/>
  <c r="E677" i="20"/>
  <c r="K22" i="11"/>
  <c r="J34" i="11"/>
  <c r="CB14" i="11"/>
  <c r="AR16" i="11"/>
  <c r="T106" i="20" l="1"/>
  <c r="T118" i="20" s="1"/>
  <c r="E319" i="20"/>
  <c r="E300" i="20"/>
  <c r="T92" i="20"/>
  <c r="T99" i="20" s="1"/>
  <c r="E122" i="20"/>
  <c r="K30" i="11"/>
  <c r="AR17" i="11"/>
  <c r="AS13" i="11" s="1"/>
  <c r="CC14" i="11"/>
  <c r="E327" i="20" l="1"/>
  <c r="T126" i="20" s="1"/>
  <c r="AS15" i="11"/>
  <c r="CD14" i="11"/>
  <c r="E329" i="20" l="1"/>
  <c r="T128" i="20" s="1"/>
  <c r="CE14" i="11"/>
  <c r="AS16" i="11"/>
  <c r="E334" i="20" l="1"/>
  <c r="T133" i="20" s="1"/>
  <c r="AS17" i="11"/>
  <c r="AT13" i="11" s="1"/>
  <c r="CF14" i="11"/>
  <c r="E338" i="20" l="1"/>
  <c r="E340" i="20" s="1"/>
  <c r="AT15" i="11"/>
  <c r="CG14" i="11"/>
  <c r="T137" i="20" l="1"/>
  <c r="E342" i="20"/>
  <c r="T139" i="20"/>
  <c r="CH14" i="11"/>
  <c r="AT16" i="11"/>
  <c r="E344" i="20" l="1"/>
  <c r="T141" i="20"/>
  <c r="AT17" i="11"/>
  <c r="AU13" i="11" s="1"/>
  <c r="CI14" i="11"/>
  <c r="T143" i="20" l="1"/>
  <c r="I37" i="25" s="1"/>
  <c r="I38" i="25" s="1"/>
  <c r="I40" i="25" s="1"/>
  <c r="I5" i="27"/>
  <c r="H11" i="27" s="1"/>
  <c r="H14" i="27" s="1"/>
  <c r="H16" i="27" s="1"/>
  <c r="G8" i="23"/>
  <c r="G16" i="23" s="1"/>
  <c r="G31" i="23" s="1"/>
  <c r="G35" i="23" s="1"/>
  <c r="CJ14" i="11"/>
  <c r="AU15" i="11"/>
  <c r="H33" i="23" l="1"/>
  <c r="I10" i="25"/>
  <c r="I14" i="25" s="1"/>
  <c r="I21" i="25" s="1"/>
  <c r="I42" i="25" s="1"/>
  <c r="AU16" i="11"/>
  <c r="CK14" i="11"/>
  <c r="CL14" i="11" l="1"/>
  <c r="AU17" i="11"/>
  <c r="AV13" i="11" s="1"/>
  <c r="AV15" i="11" l="1"/>
  <c r="CM14" i="11"/>
  <c r="CN14" i="11" l="1"/>
  <c r="AV16" i="11"/>
  <c r="AV17" i="11" l="1"/>
  <c r="AW13" i="11" s="1"/>
  <c r="CO14" i="11"/>
  <c r="CP14" i="11" l="1"/>
  <c r="AW15" i="11"/>
  <c r="AW16" i="11" s="1"/>
  <c r="AW17" i="11" s="1"/>
  <c r="AX13" i="11" s="1"/>
  <c r="AX15" i="11" l="1"/>
  <c r="AX16" i="11" s="1"/>
  <c r="AX17" i="11" s="1"/>
  <c r="AY13" i="11" s="1"/>
  <c r="CQ14" i="11"/>
  <c r="AY15" i="11" l="1"/>
  <c r="AY16" i="11" s="1"/>
  <c r="AY17" i="11" s="1"/>
  <c r="AZ13" i="11" s="1"/>
  <c r="CR14" i="11"/>
  <c r="AZ15" i="11" l="1"/>
  <c r="AZ16" i="11" s="1"/>
  <c r="AZ17" i="11" s="1"/>
  <c r="BA13" i="11" s="1"/>
  <c r="CS14" i="11"/>
  <c r="CT14" i="11" l="1"/>
  <c r="BA15" i="11"/>
  <c r="BA16" i="11" s="1"/>
  <c r="BA17" i="11" s="1"/>
  <c r="BB13" i="11" s="1"/>
  <c r="BB15" i="11" l="1"/>
  <c r="BB16" i="11" s="1"/>
  <c r="BB17" i="11" s="1"/>
  <c r="BC13" i="11" s="1"/>
  <c r="CU14" i="11"/>
  <c r="BC15" i="11" l="1"/>
  <c r="CV14" i="11"/>
  <c r="CW14" i="11" l="1"/>
  <c r="BC16" i="11"/>
  <c r="K24" i="11"/>
  <c r="F671" i="20" l="1"/>
  <c r="F560" i="20"/>
  <c r="F227" i="20"/>
  <c r="F229" i="20" s="1"/>
  <c r="F449" i="20"/>
  <c r="F114" i="20"/>
  <c r="K31" i="11"/>
  <c r="K33" i="11" s="1"/>
  <c r="K25" i="11"/>
  <c r="H24" i="23" s="1"/>
  <c r="H29" i="23" s="1"/>
  <c r="BC17" i="11"/>
  <c r="BD13" i="11" s="1"/>
  <c r="CX14" i="11"/>
  <c r="F116" i="20" l="1"/>
  <c r="U135" i="20"/>
  <c r="F673" i="20"/>
  <c r="F675" i="20" s="1"/>
  <c r="F677" i="20" s="1"/>
  <c r="F562" i="20"/>
  <c r="F564" i="20" s="1"/>
  <c r="F566" i="20" s="1"/>
  <c r="F451" i="20"/>
  <c r="F453" i="20" s="1"/>
  <c r="F455" i="20" s="1"/>
  <c r="F231" i="20"/>
  <c r="CY14" i="11"/>
  <c r="BD15" i="11"/>
  <c r="K32" i="11"/>
  <c r="K26" i="11"/>
  <c r="J29" i="25" s="1"/>
  <c r="J30" i="25" s="1"/>
  <c r="J32" i="25" s="1"/>
  <c r="U113" i="20" l="1"/>
  <c r="U107" i="20"/>
  <c r="U111" i="20"/>
  <c r="U112" i="20"/>
  <c r="U94" i="20"/>
  <c r="U95" i="20"/>
  <c r="U96" i="20"/>
  <c r="U97" i="20"/>
  <c r="U93" i="20"/>
  <c r="J9" i="27"/>
  <c r="F118" i="20"/>
  <c r="F120" i="20" s="1"/>
  <c r="F233" i="20"/>
  <c r="L22" i="11"/>
  <c r="K34" i="11"/>
  <c r="BD16" i="11"/>
  <c r="CZ14" i="11"/>
  <c r="U106" i="20" l="1"/>
  <c r="U118" i="20" s="1"/>
  <c r="F319" i="20"/>
  <c r="U92" i="20"/>
  <c r="U99" i="20" s="1"/>
  <c r="F300" i="20"/>
  <c r="F122" i="20"/>
  <c r="L30" i="11"/>
  <c r="DA14" i="11"/>
  <c r="BD17" i="11"/>
  <c r="BE13" i="11" s="1"/>
  <c r="F327" i="20" l="1"/>
  <c r="U126" i="20" s="1"/>
  <c r="BE15" i="11"/>
  <c r="DB14" i="11"/>
  <c r="F329" i="20" l="1"/>
  <c r="F334" i="20" s="1"/>
  <c r="DC14" i="11"/>
  <c r="BE16" i="11"/>
  <c r="U128" i="20" l="1"/>
  <c r="U133" i="20"/>
  <c r="F338" i="20"/>
  <c r="BE17" i="11"/>
  <c r="BF13" i="11" s="1"/>
  <c r="DD14" i="11"/>
  <c r="F340" i="20" l="1"/>
  <c r="U137" i="20"/>
  <c r="DE14" i="11"/>
  <c r="BF15" i="11"/>
  <c r="F342" i="20" l="1"/>
  <c r="U139" i="20"/>
  <c r="BF16" i="11"/>
  <c r="DF14" i="11"/>
  <c r="F344" i="20" l="1"/>
  <c r="U141" i="20"/>
  <c r="DG14" i="11"/>
  <c r="BF17" i="11"/>
  <c r="BG13" i="11" s="1"/>
  <c r="U143" i="20" l="1"/>
  <c r="J37" i="25" s="1"/>
  <c r="J38" i="25" s="1"/>
  <c r="J40" i="25" s="1"/>
  <c r="J5" i="27"/>
  <c r="I11" i="27" s="1"/>
  <c r="I14" i="27" s="1"/>
  <c r="I16" i="27" s="1"/>
  <c r="H8" i="23"/>
  <c r="H16" i="23" s="1"/>
  <c r="H31" i="23" s="1"/>
  <c r="H35" i="23" s="1"/>
  <c r="BG15" i="11"/>
  <c r="DH14" i="11"/>
  <c r="I33" i="23" l="1"/>
  <c r="J10" i="25"/>
  <c r="J14" i="25" s="1"/>
  <c r="J21" i="25" s="1"/>
  <c r="J42" i="25" s="1"/>
  <c r="DI14" i="11"/>
  <c r="BG16" i="11"/>
  <c r="BG17" i="11" l="1"/>
  <c r="BH13" i="11" s="1"/>
  <c r="DJ14" i="11"/>
  <c r="DK14" i="11" l="1"/>
  <c r="BH15" i="11"/>
  <c r="BH16" i="11" l="1"/>
  <c r="DL14" i="11"/>
  <c r="DM14" i="11" l="1"/>
  <c r="BH17" i="11"/>
  <c r="BI13" i="11" s="1"/>
  <c r="BI15" i="11" l="1"/>
  <c r="BI16" i="11" s="1"/>
  <c r="BI17" i="11" s="1"/>
  <c r="BJ13" i="11" s="1"/>
  <c r="DN14" i="11"/>
  <c r="BJ15" i="11" l="1"/>
  <c r="BJ16" i="11" s="1"/>
  <c r="BJ17" i="11" s="1"/>
  <c r="BK13" i="11" s="1"/>
  <c r="DO14" i="11"/>
  <c r="BK15" i="11" l="1"/>
  <c r="BK16" i="11" s="1"/>
  <c r="BK17" i="11" s="1"/>
  <c r="BL13" i="11" s="1"/>
  <c r="DP14" i="11"/>
  <c r="BL15" i="11" l="1"/>
  <c r="BL16" i="11" s="1"/>
  <c r="BL17" i="11" s="1"/>
  <c r="BM13" i="11" s="1"/>
  <c r="DQ14" i="11"/>
  <c r="DR14" i="11" l="1"/>
  <c r="BM15" i="11"/>
  <c r="BM16" i="11" s="1"/>
  <c r="BM17" i="11" s="1"/>
  <c r="BN13" i="11" s="1"/>
  <c r="BN15" i="11" l="1"/>
  <c r="BN16" i="11" s="1"/>
  <c r="BN17" i="11" s="1"/>
  <c r="BO13" i="11" s="1"/>
  <c r="DS14" i="11"/>
  <c r="BO15" i="11" l="1"/>
  <c r="DT14" i="11"/>
  <c r="DU14" i="11" l="1"/>
  <c r="BO16" i="11"/>
  <c r="L24" i="11"/>
  <c r="G671" i="20" l="1"/>
  <c r="G560" i="20"/>
  <c r="G227" i="20"/>
  <c r="G449" i="20"/>
  <c r="G114" i="20"/>
  <c r="L31" i="11"/>
  <c r="L33" i="11" s="1"/>
  <c r="L25" i="11"/>
  <c r="I24" i="23" s="1"/>
  <c r="I29" i="23" s="1"/>
  <c r="BO17" i="11"/>
  <c r="BP13" i="11" s="1"/>
  <c r="DV14" i="11"/>
  <c r="G116" i="20" l="1"/>
  <c r="V135" i="20"/>
  <c r="G673" i="20"/>
  <c r="G675" i="20" s="1"/>
  <c r="G677" i="20" s="1"/>
  <c r="G562" i="20"/>
  <c r="G564" i="20" s="1"/>
  <c r="G566" i="20" s="1"/>
  <c r="G451" i="20"/>
  <c r="G453" i="20" s="1"/>
  <c r="G455" i="20" s="1"/>
  <c r="G229" i="20"/>
  <c r="G231" i="20" s="1"/>
  <c r="G233" i="20" s="1"/>
  <c r="DW14" i="11"/>
  <c r="BP15" i="11"/>
  <c r="L32" i="11"/>
  <c r="L26" i="11"/>
  <c r="K29" i="25" s="1"/>
  <c r="K30" i="25" s="1"/>
  <c r="K32" i="25" s="1"/>
  <c r="V113" i="20" l="1"/>
  <c r="V111" i="20"/>
  <c r="V112" i="20"/>
  <c r="V107" i="20"/>
  <c r="V95" i="20"/>
  <c r="V96" i="20"/>
  <c r="V97" i="20"/>
  <c r="V93" i="20"/>
  <c r="V94" i="20"/>
  <c r="K9" i="27"/>
  <c r="G118" i="20"/>
  <c r="G120" i="20" s="1"/>
  <c r="M22" i="11"/>
  <c r="L34" i="11"/>
  <c r="BP16" i="11"/>
  <c r="V106" i="20" l="1"/>
  <c r="V118" i="20" s="1"/>
  <c r="G319" i="20"/>
  <c r="G300" i="20"/>
  <c r="V92" i="20"/>
  <c r="V99" i="20" s="1"/>
  <c r="G122" i="20"/>
  <c r="M30" i="11"/>
  <c r="BP17" i="11"/>
  <c r="BQ13" i="11" s="1"/>
  <c r="G327" i="20" l="1"/>
  <c r="V126" i="20" s="1"/>
  <c r="BQ15" i="11"/>
  <c r="G329" i="20" l="1"/>
  <c r="V128" i="20" s="1"/>
  <c r="BQ16" i="11"/>
  <c r="G334" i="20" l="1"/>
  <c r="G338" i="20" s="1"/>
  <c r="BQ17" i="11"/>
  <c r="BR13" i="11" s="1"/>
  <c r="V133" i="20" l="1"/>
  <c r="G340" i="20"/>
  <c r="V139" i="20" s="1"/>
  <c r="V137" i="20"/>
  <c r="BR15" i="11"/>
  <c r="G342" i="20" l="1"/>
  <c r="G344" i="20" s="1"/>
  <c r="BR16" i="11"/>
  <c r="V141" i="20" l="1"/>
  <c r="V143" i="20" s="1"/>
  <c r="K37" i="25" s="1"/>
  <c r="K38" i="25" s="1"/>
  <c r="K40" i="25" s="1"/>
  <c r="BR17" i="11"/>
  <c r="BS13" i="11" s="1"/>
  <c r="I8" i="23" l="1"/>
  <c r="I16" i="23" s="1"/>
  <c r="I31" i="23" s="1"/>
  <c r="I35" i="23" s="1"/>
  <c r="J33" i="23" s="1"/>
  <c r="K5" i="27"/>
  <c r="J11" i="27" s="1"/>
  <c r="J14" i="27" s="1"/>
  <c r="J16" i="27" s="1"/>
  <c r="BS15" i="11"/>
  <c r="K10" i="25" l="1"/>
  <c r="K14" i="25" s="1"/>
  <c r="K21" i="25" s="1"/>
  <c r="K42" i="25" s="1"/>
  <c r="BS16" i="11"/>
  <c r="BS17" i="11" l="1"/>
  <c r="BT13" i="11" s="1"/>
  <c r="BT15" i="11" l="1"/>
  <c r="BT16" i="11" l="1"/>
  <c r="BT17" i="11" l="1"/>
  <c r="BU13" i="11" s="1"/>
  <c r="BU15" i="11" l="1"/>
  <c r="BU16" i="11" s="1"/>
  <c r="BU17" i="11" s="1"/>
  <c r="BV13" i="11" s="1"/>
  <c r="BV15" i="11" l="1"/>
  <c r="BV16" i="11" s="1"/>
  <c r="BV17" i="11" s="1"/>
  <c r="BW13" i="11" s="1"/>
  <c r="BW15" i="11" l="1"/>
  <c r="BW16" i="11" s="1"/>
  <c r="BW17" i="11" s="1"/>
  <c r="BX13" i="11" s="1"/>
  <c r="BX15" i="11" l="1"/>
  <c r="BX16" i="11" s="1"/>
  <c r="BX17" i="11" s="1"/>
  <c r="BY13" i="11" s="1"/>
  <c r="BY15" i="11" l="1"/>
  <c r="BY16" i="11" s="1"/>
  <c r="BY17" i="11" s="1"/>
  <c r="BZ13" i="11" s="1"/>
  <c r="BZ15" i="11" l="1"/>
  <c r="BZ16" i="11" s="1"/>
  <c r="BZ17" i="11" s="1"/>
  <c r="CA13" i="11" s="1"/>
  <c r="CA15" i="11" l="1"/>
  <c r="CA16" i="11" l="1"/>
  <c r="M24" i="11"/>
  <c r="H671" i="20" l="1"/>
  <c r="H673" i="20" s="1"/>
  <c r="H560" i="20"/>
  <c r="H227" i="20"/>
  <c r="H229" i="20" s="1"/>
  <c r="H449" i="20"/>
  <c r="H114" i="20"/>
  <c r="M31" i="11"/>
  <c r="M33" i="11" s="1"/>
  <c r="M25" i="11"/>
  <c r="J24" i="23" s="1"/>
  <c r="J29" i="23" s="1"/>
  <c r="CA17" i="11"/>
  <c r="CB13" i="11" s="1"/>
  <c r="H116" i="20" l="1"/>
  <c r="W135" i="20"/>
  <c r="H562" i="20"/>
  <c r="H564" i="20" s="1"/>
  <c r="H566" i="20" s="1"/>
  <c r="H451" i="20"/>
  <c r="H453" i="20" s="1"/>
  <c r="H455" i="20" s="1"/>
  <c r="H231" i="20"/>
  <c r="H233" i="20" s="1"/>
  <c r="H675" i="20"/>
  <c r="CB15" i="11"/>
  <c r="M32" i="11"/>
  <c r="M26" i="11"/>
  <c r="L29" i="25" s="1"/>
  <c r="L30" i="25" s="1"/>
  <c r="L32" i="25" s="1"/>
  <c r="W113" i="20" l="1"/>
  <c r="W107" i="20"/>
  <c r="W112" i="20"/>
  <c r="W111" i="20"/>
  <c r="W95" i="20"/>
  <c r="W96" i="20"/>
  <c r="W97" i="20"/>
  <c r="W93" i="20"/>
  <c r="W94" i="20"/>
  <c r="L9" i="27"/>
  <c r="H118" i="20"/>
  <c r="H120" i="20" s="1"/>
  <c r="H677" i="20"/>
  <c r="N22" i="11"/>
  <c r="M34" i="11"/>
  <c r="CB16" i="11"/>
  <c r="W106" i="20" l="1"/>
  <c r="W118" i="20" s="1"/>
  <c r="H319" i="20"/>
  <c r="H300" i="20"/>
  <c r="W92" i="20"/>
  <c r="W99" i="20" s="1"/>
  <c r="H122" i="20"/>
  <c r="N30" i="11"/>
  <c r="CB17" i="11"/>
  <c r="CC13" i="11" s="1"/>
  <c r="H327" i="20" l="1"/>
  <c r="W126" i="20" s="1"/>
  <c r="CC15" i="11"/>
  <c r="H329" i="20" l="1"/>
  <c r="H334" i="20" s="1"/>
  <c r="CC16" i="11"/>
  <c r="W128" i="20" l="1"/>
  <c r="W133" i="20"/>
  <c r="H338" i="20"/>
  <c r="CC17" i="11"/>
  <c r="CD13" i="11" s="1"/>
  <c r="H340" i="20" l="1"/>
  <c r="W137" i="20"/>
  <c r="CD15" i="11"/>
  <c r="H342" i="20" l="1"/>
  <c r="W139" i="20"/>
  <c r="CD16" i="11"/>
  <c r="H344" i="20" l="1"/>
  <c r="W141" i="20"/>
  <c r="CD17" i="11"/>
  <c r="CE13" i="11" s="1"/>
  <c r="W143" i="20" l="1"/>
  <c r="L37" i="25" s="1"/>
  <c r="L38" i="25" s="1"/>
  <c r="L40" i="25" s="1"/>
  <c r="J8" i="23"/>
  <c r="J16" i="23" s="1"/>
  <c r="J31" i="23" s="1"/>
  <c r="J35" i="23" s="1"/>
  <c r="L5" i="27"/>
  <c r="K11" i="27" s="1"/>
  <c r="K14" i="27" s="1"/>
  <c r="K16" i="27" s="1"/>
  <c r="CE15" i="11"/>
  <c r="L10" i="25" l="1"/>
  <c r="L14" i="25" s="1"/>
  <c r="L21" i="25" s="1"/>
  <c r="L42" i="25" s="1"/>
  <c r="K33" i="23"/>
  <c r="CE16" i="11"/>
  <c r="CE17" i="11" l="1"/>
  <c r="CF13" i="11" s="1"/>
  <c r="CF15" i="11" l="1"/>
  <c r="CF16" i="11" l="1"/>
  <c r="CF17" i="11" l="1"/>
  <c r="CG13" i="11" s="1"/>
  <c r="CG15" i="11" l="1"/>
  <c r="CG16" i="11" s="1"/>
  <c r="CG17" i="11" s="1"/>
  <c r="CH13" i="11" s="1"/>
  <c r="CH15" i="11" l="1"/>
  <c r="CH16" i="11" s="1"/>
  <c r="CH17" i="11" s="1"/>
  <c r="CI13" i="11" s="1"/>
  <c r="CI15" i="11" l="1"/>
  <c r="CI16" i="11" s="1"/>
  <c r="CI17" i="11" s="1"/>
  <c r="CJ13" i="11" s="1"/>
  <c r="CJ15" i="11" l="1"/>
  <c r="CJ16" i="11" s="1"/>
  <c r="CJ17" i="11" s="1"/>
  <c r="CK13" i="11" s="1"/>
  <c r="CK15" i="11" l="1"/>
  <c r="CK16" i="11" s="1"/>
  <c r="CK17" i="11" s="1"/>
  <c r="CL13" i="11" s="1"/>
  <c r="CL15" i="11" l="1"/>
  <c r="CL16" i="11" s="1"/>
  <c r="CL17" i="11" s="1"/>
  <c r="CM13" i="11" s="1"/>
  <c r="CM15" i="11" l="1"/>
  <c r="CM16" i="11" l="1"/>
  <c r="N24" i="11"/>
  <c r="I114" i="20" l="1"/>
  <c r="I671" i="20"/>
  <c r="I560" i="20"/>
  <c r="I227" i="20"/>
  <c r="I449" i="20"/>
  <c r="N31" i="11"/>
  <c r="N33" i="11" s="1"/>
  <c r="N25" i="11"/>
  <c r="K24" i="23" s="1"/>
  <c r="K29" i="23" s="1"/>
  <c r="CM17" i="11"/>
  <c r="CN13" i="11" s="1"/>
  <c r="I116" i="20" l="1"/>
  <c r="X135" i="20"/>
  <c r="I673" i="20"/>
  <c r="I675" i="20" s="1"/>
  <c r="I562" i="20"/>
  <c r="I564" i="20" s="1"/>
  <c r="I566" i="20" s="1"/>
  <c r="I451" i="20"/>
  <c r="I453" i="20" s="1"/>
  <c r="I455" i="20" s="1"/>
  <c r="I229" i="20"/>
  <c r="I231" i="20" s="1"/>
  <c r="I233" i="20" s="1"/>
  <c r="CN15" i="11"/>
  <c r="N32" i="11"/>
  <c r="N26" i="11"/>
  <c r="M29" i="25" s="1"/>
  <c r="M30" i="25" s="1"/>
  <c r="M32" i="25" s="1"/>
  <c r="X112" i="20" l="1"/>
  <c r="X107" i="20"/>
  <c r="X111" i="20"/>
  <c r="X113" i="20"/>
  <c r="X96" i="20"/>
  <c r="X97" i="20"/>
  <c r="X93" i="20"/>
  <c r="X94" i="20"/>
  <c r="X95" i="20"/>
  <c r="M9" i="27"/>
  <c r="I118" i="20"/>
  <c r="I120" i="20" s="1"/>
  <c r="I677" i="20"/>
  <c r="O22" i="11"/>
  <c r="N34" i="11"/>
  <c r="CN16" i="11"/>
  <c r="X106" i="20" l="1"/>
  <c r="X118" i="20" s="1"/>
  <c r="I319" i="20"/>
  <c r="I300" i="20"/>
  <c r="X92" i="20"/>
  <c r="X99" i="20" s="1"/>
  <c r="I122" i="20"/>
  <c r="O30" i="11"/>
  <c r="CN17" i="11"/>
  <c r="CO13" i="11" s="1"/>
  <c r="I327" i="20" l="1"/>
  <c r="X126" i="20" s="1"/>
  <c r="CO15" i="11"/>
  <c r="I329" i="20" l="1"/>
  <c r="I334" i="20" s="1"/>
  <c r="CO16" i="11"/>
  <c r="X128" i="20" l="1"/>
  <c r="X133" i="20"/>
  <c r="I338" i="20"/>
  <c r="CO17" i="11"/>
  <c r="CP13" i="11" s="1"/>
  <c r="I340" i="20" l="1"/>
  <c r="X137" i="20"/>
  <c r="CP15" i="11"/>
  <c r="I342" i="20" l="1"/>
  <c r="X139" i="20"/>
  <c r="CP16" i="11"/>
  <c r="I344" i="20" l="1"/>
  <c r="X141" i="20"/>
  <c r="CP17" i="11"/>
  <c r="CQ13" i="11" s="1"/>
  <c r="X143" i="20" l="1"/>
  <c r="M37" i="25" s="1"/>
  <c r="M38" i="25" s="1"/>
  <c r="M40" i="25" s="1"/>
  <c r="M5" i="27"/>
  <c r="L11" i="27" s="1"/>
  <c r="L14" i="27" s="1"/>
  <c r="L16" i="27" s="1"/>
  <c r="K8" i="23"/>
  <c r="K16" i="23" s="1"/>
  <c r="K31" i="23" s="1"/>
  <c r="K35" i="23" s="1"/>
  <c r="CQ15" i="11"/>
  <c r="L33" i="23" l="1"/>
  <c r="M10" i="25"/>
  <c r="M14" i="25" s="1"/>
  <c r="M21" i="25" s="1"/>
  <c r="M42" i="25" s="1"/>
  <c r="CQ16" i="11"/>
  <c r="CQ17" i="11" l="1"/>
  <c r="CR13" i="11" s="1"/>
  <c r="CR15" i="11" l="1"/>
  <c r="CR16" i="11" l="1"/>
  <c r="CR17" i="11" l="1"/>
  <c r="CS13" i="11" s="1"/>
  <c r="CS15" i="11" l="1"/>
  <c r="CS16" i="11" s="1"/>
  <c r="CS17" i="11" s="1"/>
  <c r="CT13" i="11" s="1"/>
  <c r="CT15" i="11" l="1"/>
  <c r="CT16" i="11" s="1"/>
  <c r="CT17" i="11" s="1"/>
  <c r="CU13" i="11" s="1"/>
  <c r="CU15" i="11" l="1"/>
  <c r="CU16" i="11" s="1"/>
  <c r="CU17" i="11" s="1"/>
  <c r="CV13" i="11" s="1"/>
  <c r="CV15" i="11" l="1"/>
  <c r="CV16" i="11" s="1"/>
  <c r="CV17" i="11" s="1"/>
  <c r="CW13" i="11" s="1"/>
  <c r="CW15" i="11" l="1"/>
  <c r="CW16" i="11" s="1"/>
  <c r="CW17" i="11" s="1"/>
  <c r="CX13" i="11" s="1"/>
  <c r="CX15" i="11" l="1"/>
  <c r="CX16" i="11" s="1"/>
  <c r="CX17" i="11" s="1"/>
  <c r="CY13" i="11" s="1"/>
  <c r="CY15" i="11" l="1"/>
  <c r="CY16" i="11" l="1"/>
  <c r="O24" i="11"/>
  <c r="J114" i="20" l="1"/>
  <c r="J449" i="20"/>
  <c r="J671" i="20"/>
  <c r="J560" i="20"/>
  <c r="J227" i="20"/>
  <c r="O31" i="11"/>
  <c r="O33" i="11" s="1"/>
  <c r="O25" i="11"/>
  <c r="L24" i="23" s="1"/>
  <c r="L29" i="23" s="1"/>
  <c r="CY17" i="11"/>
  <c r="CZ13" i="11" s="1"/>
  <c r="J116" i="20" l="1"/>
  <c r="Y135" i="20"/>
  <c r="J673" i="20"/>
  <c r="J675" i="20" s="1"/>
  <c r="J677" i="20" s="1"/>
  <c r="J562" i="20"/>
  <c r="J564" i="20" s="1"/>
  <c r="J566" i="20" s="1"/>
  <c r="J451" i="20"/>
  <c r="J453" i="20" s="1"/>
  <c r="J455" i="20" s="1"/>
  <c r="J229" i="20"/>
  <c r="J231" i="20" s="1"/>
  <c r="J233" i="20" s="1"/>
  <c r="CZ15" i="11"/>
  <c r="O32" i="11"/>
  <c r="O26" i="11"/>
  <c r="N29" i="25" s="1"/>
  <c r="N30" i="25" s="1"/>
  <c r="N32" i="25" s="1"/>
  <c r="Y112" i="20" l="1"/>
  <c r="Y113" i="20"/>
  <c r="Y107" i="20"/>
  <c r="Y111" i="20"/>
  <c r="J118" i="20"/>
  <c r="J120" i="20" s="1"/>
  <c r="Y96" i="20"/>
  <c r="Y97" i="20"/>
  <c r="Y93" i="20"/>
  <c r="Y94" i="20"/>
  <c r="Y95" i="20"/>
  <c r="N9" i="27"/>
  <c r="P22" i="11"/>
  <c r="O34" i="11"/>
  <c r="CZ16" i="11"/>
  <c r="Y106" i="20" l="1"/>
  <c r="Y118" i="20" s="1"/>
  <c r="J319" i="20"/>
  <c r="J300" i="20"/>
  <c r="Y92" i="20"/>
  <c r="Y99" i="20" s="1"/>
  <c r="J122" i="20"/>
  <c r="P30" i="11"/>
  <c r="CZ17" i="11"/>
  <c r="DA13" i="11" s="1"/>
  <c r="J327" i="20" l="1"/>
  <c r="J329" i="20" s="1"/>
  <c r="DA15" i="11"/>
  <c r="Y126" i="20" l="1"/>
  <c r="J334" i="20"/>
  <c r="Y128" i="20"/>
  <c r="DA16" i="11"/>
  <c r="Y133" i="20" l="1"/>
  <c r="J338" i="20"/>
  <c r="DA17" i="11"/>
  <c r="DB13" i="11" s="1"/>
  <c r="J340" i="20" l="1"/>
  <c r="Y137" i="20"/>
  <c r="DB15" i="11"/>
  <c r="J342" i="20" l="1"/>
  <c r="Y139" i="20"/>
  <c r="DB16" i="11"/>
  <c r="J344" i="20" l="1"/>
  <c r="Y141" i="20"/>
  <c r="DB17" i="11"/>
  <c r="DC13" i="11" s="1"/>
  <c r="Y143" i="20" l="1"/>
  <c r="N37" i="25" s="1"/>
  <c r="N38" i="25" s="1"/>
  <c r="N40" i="25" s="1"/>
  <c r="N5" i="27"/>
  <c r="M11" i="27" s="1"/>
  <c r="M14" i="27" s="1"/>
  <c r="M16" i="27" s="1"/>
  <c r="L8" i="23"/>
  <c r="L16" i="23" s="1"/>
  <c r="L31" i="23" s="1"/>
  <c r="L35" i="23" s="1"/>
  <c r="DC15" i="11"/>
  <c r="N10" i="25" l="1"/>
  <c r="N14" i="25" s="1"/>
  <c r="N21" i="25" s="1"/>
  <c r="N42" i="25" s="1"/>
  <c r="M33" i="23"/>
  <c r="DC16" i="11"/>
  <c r="DC17" i="11" l="1"/>
  <c r="DD13" i="11" s="1"/>
  <c r="DD15" i="11" l="1"/>
  <c r="DD16" i="11" l="1"/>
  <c r="DD17" i="11" l="1"/>
  <c r="DE13" i="11" s="1"/>
  <c r="DE15" i="11" l="1"/>
  <c r="DE16" i="11" s="1"/>
  <c r="DE17" i="11" s="1"/>
  <c r="DF13" i="11" s="1"/>
  <c r="DF15" i="11" l="1"/>
  <c r="DF16" i="11" s="1"/>
  <c r="DF17" i="11" s="1"/>
  <c r="DG13" i="11" s="1"/>
  <c r="DG15" i="11" l="1"/>
  <c r="DG16" i="11" s="1"/>
  <c r="DG17" i="11" s="1"/>
  <c r="DH13" i="11" s="1"/>
  <c r="DH15" i="11" l="1"/>
  <c r="DH16" i="11" s="1"/>
  <c r="DH17" i="11" s="1"/>
  <c r="DI13" i="11" s="1"/>
  <c r="DI15" i="11" l="1"/>
  <c r="DI16" i="11" s="1"/>
  <c r="DI17" i="11" s="1"/>
  <c r="DJ13" i="11" s="1"/>
  <c r="DJ15" i="11" l="1"/>
  <c r="DJ16" i="11" s="1"/>
  <c r="DJ17" i="11" s="1"/>
  <c r="DK13" i="11" s="1"/>
  <c r="DK15" i="11" l="1"/>
  <c r="DK16" i="11" l="1"/>
  <c r="P24" i="11"/>
  <c r="K114" i="20" l="1"/>
  <c r="K560" i="20"/>
  <c r="K227" i="20"/>
  <c r="K671" i="20"/>
  <c r="K449" i="20"/>
  <c r="P31" i="11"/>
  <c r="P33" i="11" s="1"/>
  <c r="P25" i="11"/>
  <c r="M24" i="23" s="1"/>
  <c r="M29" i="23" s="1"/>
  <c r="DK17" i="11"/>
  <c r="DL13" i="11" s="1"/>
  <c r="K116" i="20" l="1"/>
  <c r="Z135" i="20"/>
  <c r="K673" i="20"/>
  <c r="K675" i="20" s="1"/>
  <c r="K562" i="20"/>
  <c r="K564" i="20" s="1"/>
  <c r="K566" i="20" s="1"/>
  <c r="K451" i="20"/>
  <c r="K453" i="20" s="1"/>
  <c r="K455" i="20" s="1"/>
  <c r="K229" i="20"/>
  <c r="K231" i="20" s="1"/>
  <c r="K233" i="20" s="1"/>
  <c r="DL15" i="11"/>
  <c r="P32" i="11"/>
  <c r="P26" i="11"/>
  <c r="O29" i="25" s="1"/>
  <c r="O30" i="25" s="1"/>
  <c r="O32" i="25" s="1"/>
  <c r="Z112" i="20" l="1"/>
  <c r="Z111" i="20"/>
  <c r="Z113" i="20"/>
  <c r="Z107" i="20"/>
  <c r="Z97" i="20"/>
  <c r="Z93" i="20"/>
  <c r="Z94" i="20"/>
  <c r="Z95" i="20"/>
  <c r="Z96" i="20"/>
  <c r="O9" i="27"/>
  <c r="K118" i="20"/>
  <c r="K120" i="20" s="1"/>
  <c r="K677" i="20"/>
  <c r="Q22" i="11"/>
  <c r="P34" i="11"/>
  <c r="DL16" i="11"/>
  <c r="Z106" i="20" l="1"/>
  <c r="Z118" i="20" s="1"/>
  <c r="K319" i="20"/>
  <c r="K300" i="20"/>
  <c r="Z92" i="20"/>
  <c r="Z99" i="20" s="1"/>
  <c r="K122" i="20"/>
  <c r="Q30" i="11"/>
  <c r="DL17" i="11"/>
  <c r="DM13" i="11" s="1"/>
  <c r="K327" i="20" l="1"/>
  <c r="K329" i="20" s="1"/>
  <c r="DM15" i="11"/>
  <c r="Z126" i="20" l="1"/>
  <c r="K334" i="20"/>
  <c r="Z128" i="20"/>
  <c r="DM16" i="11"/>
  <c r="Z133" i="20" l="1"/>
  <c r="K338" i="20"/>
  <c r="DM17" i="11"/>
  <c r="DN13" i="11" s="1"/>
  <c r="K340" i="20" l="1"/>
  <c r="Z137" i="20"/>
  <c r="DN15" i="11"/>
  <c r="K342" i="20" l="1"/>
  <c r="Z139" i="20"/>
  <c r="DN16" i="11"/>
  <c r="K344" i="20" l="1"/>
  <c r="Z141" i="20"/>
  <c r="DN17" i="11"/>
  <c r="DO13" i="11" s="1"/>
  <c r="Z143" i="20" l="1"/>
  <c r="O37" i="25" s="1"/>
  <c r="O38" i="25" s="1"/>
  <c r="O40" i="25" s="1"/>
  <c r="O5" i="27"/>
  <c r="N11" i="27" s="1"/>
  <c r="N14" i="27" s="1"/>
  <c r="N16" i="27" s="1"/>
  <c r="M8" i="23"/>
  <c r="M16" i="23" s="1"/>
  <c r="M31" i="23" s="1"/>
  <c r="M35" i="23" s="1"/>
  <c r="DO15" i="11"/>
  <c r="N33" i="23" l="1"/>
  <c r="O10" i="25"/>
  <c r="O14" i="25" s="1"/>
  <c r="O21" i="25" s="1"/>
  <c r="O42" i="25" s="1"/>
  <c r="DO16" i="11"/>
  <c r="DO17" i="11" l="1"/>
  <c r="DP13" i="11" s="1"/>
  <c r="DP15" i="11" l="1"/>
  <c r="DP16" i="11" l="1"/>
  <c r="DP17" i="11" l="1"/>
  <c r="DQ13" i="11" s="1"/>
  <c r="DQ15" i="11" l="1"/>
  <c r="DQ16" i="11" s="1"/>
  <c r="DQ17" i="11" s="1"/>
  <c r="DR13" i="11" s="1"/>
  <c r="DR15" i="11" l="1"/>
  <c r="DR16" i="11" s="1"/>
  <c r="DR17" i="11" s="1"/>
  <c r="DS13" i="11" s="1"/>
  <c r="DS15" i="11" l="1"/>
  <c r="DS16" i="11" s="1"/>
  <c r="DS17" i="11" s="1"/>
  <c r="DT13" i="11" s="1"/>
  <c r="DT15" i="11" l="1"/>
  <c r="DT16" i="11" s="1"/>
  <c r="DT17" i="11" s="1"/>
  <c r="DU13" i="11" s="1"/>
  <c r="DU15" i="11" l="1"/>
  <c r="DU16" i="11" s="1"/>
  <c r="DU17" i="11" s="1"/>
  <c r="DV13" i="11" s="1"/>
  <c r="DV15" i="11" l="1"/>
  <c r="DV16" i="11" s="1"/>
  <c r="DV17" i="11" s="1"/>
  <c r="DW13" i="11" s="1"/>
  <c r="DW15" i="11" l="1"/>
  <c r="DW16" i="11" l="1"/>
  <c r="Q24" i="11"/>
  <c r="L671" i="20" l="1"/>
  <c r="L560" i="20"/>
  <c r="L114" i="20"/>
  <c r="L227" i="20"/>
  <c r="L449" i="20"/>
  <c r="Q31" i="11"/>
  <c r="Q33" i="11" s="1"/>
  <c r="Q25" i="11"/>
  <c r="N24" i="23" s="1"/>
  <c r="N29" i="23" s="1"/>
  <c r="DW17" i="11"/>
  <c r="L116" i="20" l="1"/>
  <c r="AA135" i="20"/>
  <c r="L673" i="20"/>
  <c r="L675" i="20" s="1"/>
  <c r="L562" i="20"/>
  <c r="L564" i="20" s="1"/>
  <c r="L566" i="20" s="1"/>
  <c r="L451" i="20"/>
  <c r="L453" i="20" s="1"/>
  <c r="L455" i="20" s="1"/>
  <c r="L229" i="20"/>
  <c r="L231" i="20" s="1"/>
  <c r="L233" i="20" s="1"/>
  <c r="Q32" i="11"/>
  <c r="P9" i="27" s="1"/>
  <c r="P11" i="27" s="1"/>
  <c r="Q26" i="11"/>
  <c r="AA113" i="20" l="1"/>
  <c r="AA107" i="20"/>
  <c r="AA111" i="20"/>
  <c r="AA112" i="20"/>
  <c r="AA97" i="20"/>
  <c r="AA93" i="20"/>
  <c r="AA94" i="20"/>
  <c r="AA95" i="20"/>
  <c r="AA96" i="20"/>
  <c r="P12" i="27"/>
  <c r="P14" i="27" s="1"/>
  <c r="P16" i="27" s="1"/>
  <c r="L118" i="20"/>
  <c r="L120" i="20" s="1"/>
  <c r="P29" i="25"/>
  <c r="P30" i="25" s="1"/>
  <c r="P32" i="25" s="1"/>
  <c r="L677" i="20"/>
  <c r="Q34" i="11"/>
  <c r="AA106" i="20" l="1"/>
  <c r="AA118" i="20" s="1"/>
  <c r="L319" i="20"/>
  <c r="L300" i="20"/>
  <c r="AA92" i="20"/>
  <c r="AA99" i="20" s="1"/>
  <c r="L122" i="20"/>
  <c r="L327" i="20" l="1"/>
  <c r="L329" i="20" s="1"/>
  <c r="AA126" i="20" l="1"/>
  <c r="L334" i="20"/>
  <c r="AA128" i="20"/>
  <c r="AA133" i="20" l="1"/>
  <c r="L338" i="20"/>
  <c r="L340" i="20" l="1"/>
  <c r="AA137" i="20"/>
  <c r="L342" i="20" l="1"/>
  <c r="AA139" i="20"/>
  <c r="L344" i="20" l="1"/>
  <c r="AA141" i="20"/>
  <c r="AA143" i="20" l="1"/>
  <c r="P37" i="25" s="1"/>
  <c r="P38" i="25" s="1"/>
  <c r="P40" i="25" s="1"/>
  <c r="P5" i="27"/>
  <c r="O11" i="27" s="1"/>
  <c r="O14" i="27" s="1"/>
  <c r="N8" i="23"/>
  <c r="N16" i="23" s="1"/>
  <c r="N31" i="23" s="1"/>
  <c r="N35" i="23" s="1"/>
  <c r="P10" i="25" s="1"/>
  <c r="P14" i="25" s="1"/>
  <c r="P21" i="25" s="1"/>
  <c r="P42" i="25" l="1"/>
  <c r="O16" i="27"/>
  <c r="E18" i="27" s="1"/>
  <c r="E20" i="27"/>
</calcChain>
</file>

<file path=xl/sharedStrings.xml><?xml version="1.0" encoding="utf-8"?>
<sst xmlns="http://schemas.openxmlformats.org/spreadsheetml/2006/main" count="2352" uniqueCount="662">
  <si>
    <t>File</t>
  </si>
  <si>
    <t>Red</t>
  </si>
  <si>
    <t>Requires further attention</t>
  </si>
  <si>
    <t>Author</t>
  </si>
  <si>
    <t>Blue</t>
  </si>
  <si>
    <t>Input cells</t>
  </si>
  <si>
    <t>Tab</t>
  </si>
  <si>
    <t>Assumptions</t>
  </si>
  <si>
    <t>Green</t>
  </si>
  <si>
    <t>Cells linked to another sheet</t>
  </si>
  <si>
    <t>Created</t>
  </si>
  <si>
    <t>Black</t>
  </si>
  <si>
    <t>Cells containing a calculation on the same sheet</t>
  </si>
  <si>
    <t>Operating Costs</t>
  </si>
  <si>
    <t>Rent</t>
  </si>
  <si>
    <t>Utilities</t>
  </si>
  <si>
    <t>Annual CPI</t>
  </si>
  <si>
    <t>Telephone/ Internet</t>
  </si>
  <si>
    <t>Tax rate</t>
  </si>
  <si>
    <t>Courier/ postage</t>
  </si>
  <si>
    <t>Marketing &amp; Advertising</t>
  </si>
  <si>
    <t>Interest Rate</t>
  </si>
  <si>
    <t>Insurance</t>
  </si>
  <si>
    <t>Loan Term</t>
  </si>
  <si>
    <t>Years</t>
  </si>
  <si>
    <t>IT Support</t>
  </si>
  <si>
    <t>Depreciable life</t>
  </si>
  <si>
    <t>Legal/ Accountancy</t>
  </si>
  <si>
    <t>Startup Costs</t>
  </si>
  <si>
    <t>Salaries &amp; Benefits cost - Staff</t>
  </si>
  <si>
    <t>Equipment</t>
  </si>
  <si>
    <t>Security</t>
  </si>
  <si>
    <t>Security Equipment</t>
  </si>
  <si>
    <t>Subscriptions/ Memberships</t>
  </si>
  <si>
    <t>IT Installation</t>
  </si>
  <si>
    <t>Miscellaneous / Contingency</t>
  </si>
  <si>
    <t>Costs Occuring Once a Year</t>
  </si>
  <si>
    <t>Achitect/Designer Fees</t>
  </si>
  <si>
    <t>Repair/ Maintenance</t>
  </si>
  <si>
    <t>Licenses / Permits</t>
  </si>
  <si>
    <t>Utilities Deposit</t>
  </si>
  <si>
    <t>Marketing &amp; Advertising (Launch)</t>
  </si>
  <si>
    <t>Staff compensation per hour</t>
  </si>
  <si>
    <t>Legal</t>
  </si>
  <si>
    <t>Hours worked per week (per FTE)</t>
  </si>
  <si>
    <t>Training</t>
  </si>
  <si>
    <t># of weeks in a year</t>
  </si>
  <si>
    <t>% Patients opting</t>
  </si>
  <si>
    <t>Cash Fee</t>
  </si>
  <si>
    <t>Insurance Fee</t>
  </si>
  <si>
    <t>% Cash</t>
  </si>
  <si>
    <t>% Insurance</t>
  </si>
  <si>
    <t>Fee per test</t>
  </si>
  <si>
    <t>Eye Test</t>
  </si>
  <si>
    <t>Diabetes</t>
  </si>
  <si>
    <t>Hypertension</t>
  </si>
  <si>
    <t>Glaucoma</t>
  </si>
  <si>
    <t>Dry Eye</t>
  </si>
  <si>
    <t>Macular Degeneration</t>
  </si>
  <si>
    <t>Product</t>
  </si>
  <si>
    <t>Selling Price</t>
  </si>
  <si>
    <t>COGS</t>
  </si>
  <si>
    <t>Discounts</t>
  </si>
  <si>
    <t>Inventory</t>
  </si>
  <si>
    <t>Table of contents</t>
  </si>
  <si>
    <t>Worksheets</t>
  </si>
  <si>
    <t>Table of Contents</t>
  </si>
  <si>
    <t>Input Cells</t>
  </si>
  <si>
    <t>Description</t>
  </si>
  <si>
    <t>Yes</t>
  </si>
  <si>
    <t>All relevant assumptions</t>
  </si>
  <si>
    <t>Net Income Analysis</t>
  </si>
  <si>
    <t>No</t>
  </si>
  <si>
    <t>NI trend and related analysis</t>
  </si>
  <si>
    <t>Revenue Analysis</t>
  </si>
  <si>
    <t>Revenue trend and related analysis</t>
  </si>
  <si>
    <t>Expense Analysis</t>
  </si>
  <si>
    <t>Expense trend and related analysis</t>
  </si>
  <si>
    <t>Casflow Analysis</t>
  </si>
  <si>
    <t>Cashflow trend and waterfall</t>
  </si>
  <si>
    <t>Income Statement</t>
  </si>
  <si>
    <t>Balance Sheet</t>
  </si>
  <si>
    <t>Casflow Statement</t>
  </si>
  <si>
    <t>Statement of Cashflows</t>
  </si>
  <si>
    <t>Valuation</t>
  </si>
  <si>
    <t>NPV and IRR calculations</t>
  </si>
  <si>
    <t>Loan Repayment Schedule</t>
  </si>
  <si>
    <t>Depreciation Schedule</t>
  </si>
  <si>
    <t>Dashboard</t>
  </si>
  <si>
    <t>Key Metrics</t>
  </si>
  <si>
    <t>Existing Practice Valuation</t>
  </si>
  <si>
    <t>Valuation for purchase of existing practice</t>
  </si>
  <si>
    <t>sri rama jayam</t>
  </si>
  <si>
    <t>Metric</t>
  </si>
  <si>
    <t>CAGR *</t>
  </si>
  <si>
    <t>Revenue</t>
  </si>
  <si>
    <t>Expenses</t>
  </si>
  <si>
    <t>Net Income</t>
  </si>
  <si>
    <t>Profit Margin</t>
  </si>
  <si>
    <t>*Compound  Annual Growth Rate</t>
  </si>
  <si>
    <t># Earnings Before Interest, Taxes, Depreciation and Amortization</t>
  </si>
  <si>
    <t>FY09</t>
  </si>
  <si>
    <t>originally entered from 990</t>
  </si>
  <si>
    <t>990 - FY10</t>
  </si>
  <si>
    <t>990 - FY11</t>
  </si>
  <si>
    <t>990 - FY12</t>
  </si>
  <si>
    <t>Salaries and Wages</t>
  </si>
  <si>
    <t>Professional Services</t>
  </si>
  <si>
    <t>Other Cash Expenses</t>
  </si>
  <si>
    <t>Travel</t>
  </si>
  <si>
    <t>Other Direct Costs</t>
  </si>
  <si>
    <t>Miscellaneous</t>
  </si>
  <si>
    <t>Total Expenses</t>
  </si>
  <si>
    <t>Common Size Analysis</t>
  </si>
  <si>
    <t>Pie Chart</t>
  </si>
  <si>
    <t>Revenues</t>
  </si>
  <si>
    <t>Medical Exams</t>
  </si>
  <si>
    <t>Product Sales</t>
  </si>
  <si>
    <t>Misc 1</t>
  </si>
  <si>
    <t>Misc 2</t>
  </si>
  <si>
    <t>Total Revenue</t>
  </si>
  <si>
    <t>Break down of revenue</t>
  </si>
  <si>
    <t>Total</t>
  </si>
  <si>
    <t>Cashflow Analysis</t>
  </si>
  <si>
    <t>Beginning Cash</t>
  </si>
  <si>
    <t>Net Income (Loss)</t>
  </si>
  <si>
    <t>Depreciation</t>
  </si>
  <si>
    <t>(Incr) Decr Current Assets</t>
  </si>
  <si>
    <t>Incr (Decr) Current Liabilities</t>
  </si>
  <si>
    <t>Other (net)</t>
  </si>
  <si>
    <t>Ending Cash</t>
  </si>
  <si>
    <t>Incr (Decr) in Cash</t>
  </si>
  <si>
    <t>Current Assets</t>
  </si>
  <si>
    <t>Current Liabilities</t>
  </si>
  <si>
    <t>Year End Cash Balances</t>
  </si>
  <si>
    <t>January 1 - Dec 31 2013</t>
  </si>
  <si>
    <t>End Points</t>
  </si>
  <si>
    <t>Before</t>
  </si>
  <si>
    <t>After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</si>
  <si>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</si>
  <si>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</si>
  <si>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</si>
  <si>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</si>
  <si>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</si>
  <si>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</si>
  <si>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</si>
  <si>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</si>
  <si>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</si>
  <si>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</si>
  <si>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Sales Discount</t>
  </si>
  <si>
    <t>Total Product Sales Income (less discounts)</t>
  </si>
  <si>
    <t>Total Gross Income</t>
  </si>
  <si>
    <t>Cost of Good Sold</t>
  </si>
  <si>
    <t>Total COGS</t>
  </si>
  <si>
    <t>Gross Profit</t>
  </si>
  <si>
    <t>Total - Startup Costs</t>
  </si>
  <si>
    <t>Total - Operating Costs</t>
  </si>
  <si>
    <t>Total - Costs Occuring Once a Year</t>
  </si>
  <si>
    <t>Earnings before Interest, taxes and Dep. (EBITDA)</t>
  </si>
  <si>
    <t>Depreciation Expense</t>
  </si>
  <si>
    <t>Amortization</t>
  </si>
  <si>
    <t>Earnings Before Interest and Taxes (EBIT)</t>
  </si>
  <si>
    <t>Interest Expense</t>
  </si>
  <si>
    <t>Income Before Taxes (EBT)</t>
  </si>
  <si>
    <t>Taxes</t>
  </si>
  <si>
    <t>Cumulative Net Income</t>
  </si>
  <si>
    <t>Projected Financials</t>
  </si>
  <si>
    <t>Assets</t>
  </si>
  <si>
    <t>Cash and Equivalents</t>
  </si>
  <si>
    <t>Accounts Receivable</t>
  </si>
  <si>
    <t>Other Current Assets</t>
  </si>
  <si>
    <t>Total Current Assets</t>
  </si>
  <si>
    <t>Net Property, Plant &amp; Equipment</t>
  </si>
  <si>
    <t>Other Non-Current Assets</t>
  </si>
  <si>
    <t>Total Non-Current Assets</t>
  </si>
  <si>
    <t>Total Assets</t>
  </si>
  <si>
    <t>Liabilities and Shareholders' Equity</t>
  </si>
  <si>
    <t>Accounts Payable</t>
  </si>
  <si>
    <t>Dividends Payable</t>
  </si>
  <si>
    <t>Short Term Debt</t>
  </si>
  <si>
    <t>Long Term Debt</t>
  </si>
  <si>
    <t>Non-Current Liabilities</t>
  </si>
  <si>
    <t>Total Liabilities</t>
  </si>
  <si>
    <t>Shareholders' Equity</t>
  </si>
  <si>
    <t>Common Stock</t>
  </si>
  <si>
    <t>Preferred Stock</t>
  </si>
  <si>
    <t>Accumulated earnings (deficit)</t>
  </si>
  <si>
    <t>Total Shareholder's Equity</t>
  </si>
  <si>
    <t>Total Liabilities &amp; Shareholder's Equity</t>
  </si>
  <si>
    <t>Balance Sheet Check</t>
  </si>
  <si>
    <t>Cash Flow Statement</t>
  </si>
  <si>
    <t>(Increase)/Decrease in Other Current Assets</t>
  </si>
  <si>
    <t>Increase/(Decrease) in Accounts Payable</t>
  </si>
  <si>
    <t>Increase/(Decrease) in Accrued Expenses &amp; Other Current Liabilities</t>
  </si>
  <si>
    <t>(-) Capital Expenditures on PP&amp;E</t>
  </si>
  <si>
    <t>(-) Capital Expenditures on Other Non-Current Assets</t>
  </si>
  <si>
    <t>Total Cash Flow from Investing Activities</t>
  </si>
  <si>
    <t>Proceeds from LT Loan</t>
  </si>
  <si>
    <t>Payment of LT Debt</t>
  </si>
  <si>
    <t>(-) Payment of Secured Debt</t>
  </si>
  <si>
    <t>Increase/(Decrease) in Common Stock</t>
  </si>
  <si>
    <t>Increase/(Decrease) in Common Dividends Payable</t>
  </si>
  <si>
    <t>Changes in Long Term Debt</t>
  </si>
  <si>
    <t>Total Cash Flow from Financing Activities</t>
  </si>
  <si>
    <t>Change in Cash Balance</t>
  </si>
  <si>
    <t>Opening Cash Balance</t>
  </si>
  <si>
    <t>Required Return</t>
  </si>
  <si>
    <t>LT Growth Rate</t>
  </si>
  <si>
    <t>TV to be included</t>
  </si>
  <si>
    <t>Year 0</t>
  </si>
  <si>
    <t>Net Income (Common Share Holders)</t>
  </si>
  <si>
    <t>Working Capital Investment</t>
  </si>
  <si>
    <t>Capital Expenditure</t>
  </si>
  <si>
    <t>Net Debt</t>
  </si>
  <si>
    <t>Free Cash Flow to Equity</t>
  </si>
  <si>
    <t>Terminal Value</t>
  </si>
  <si>
    <t>Total F.C.F.E</t>
  </si>
  <si>
    <t>Present Value of Cash Flows</t>
  </si>
  <si>
    <t>NPV</t>
  </si>
  <si>
    <t>IRR</t>
  </si>
  <si>
    <t>Fixed Assets + Inventory</t>
  </si>
  <si>
    <t>EMI</t>
  </si>
  <si>
    <t>Loan Repayment Schedule - Monthly</t>
  </si>
  <si>
    <t>Beginning Loan Balance</t>
  </si>
  <si>
    <t>Interest Payment</t>
  </si>
  <si>
    <t>Principal Payment</t>
  </si>
  <si>
    <t>Ending Loan Balance</t>
  </si>
  <si>
    <t>Loan Repayment Schedule - Annual</t>
  </si>
  <si>
    <t>New Debt Issued</t>
  </si>
  <si>
    <t>Existing Debt Interest payments</t>
  </si>
  <si>
    <t>Existing Debt Principal payments</t>
  </si>
  <si>
    <t>Interest x (1 - Tax Rate)</t>
  </si>
  <si>
    <t>Total Beginning Value</t>
  </si>
  <si>
    <t>Total Depreciation Expense</t>
  </si>
  <si>
    <t>Accumlated Depreciation</t>
  </si>
  <si>
    <t>Total Ending Balance</t>
  </si>
  <si>
    <t>Details of depreciable items:</t>
  </si>
  <si>
    <t>Amount</t>
  </si>
  <si>
    <t>IT installation</t>
  </si>
  <si>
    <t>Total depreciable items</t>
  </si>
  <si>
    <t>Revenue Break-down</t>
  </si>
  <si>
    <t>Proportion</t>
  </si>
  <si>
    <t>Expenses Break-down</t>
  </si>
  <si>
    <t>w/o start-up</t>
  </si>
  <si>
    <t>Annual Expenses</t>
  </si>
  <si>
    <t>Margins</t>
  </si>
  <si>
    <t>Existing Practice - Purchase valuation</t>
  </si>
  <si>
    <t>Net Income for 3 years preceding the sale</t>
  </si>
  <si>
    <t>Year</t>
  </si>
  <si>
    <t>1 Year Back</t>
  </si>
  <si>
    <t>2 Years Back</t>
  </si>
  <si>
    <t>3 Years Back</t>
  </si>
  <si>
    <t>Average</t>
  </si>
  <si>
    <t>Discount</t>
  </si>
  <si>
    <t>( 1 - Discount)</t>
  </si>
  <si>
    <t>Value of Net Income</t>
  </si>
  <si>
    <t>Tangible Assets</t>
  </si>
  <si>
    <t xml:space="preserve"> Book Value</t>
  </si>
  <si>
    <t>Fair Market Value</t>
  </si>
  <si>
    <t>Fixed Assets</t>
  </si>
  <si>
    <t>Patient Records</t>
  </si>
  <si>
    <t>Goodwill</t>
  </si>
  <si>
    <t>Age Bucket</t>
  </si>
  <si>
    <t>Nominal Value</t>
  </si>
  <si>
    <t>Discounted Value</t>
  </si>
  <si>
    <t>Assumed Distribution of receivables</t>
  </si>
  <si>
    <t>0 - 30 days</t>
  </si>
  <si>
    <t>31 - 60 days</t>
  </si>
  <si>
    <t>61 - 90 days</t>
  </si>
  <si>
    <t>91 - 120 days</t>
  </si>
  <si>
    <t>Total Value</t>
  </si>
  <si>
    <t>Electronics Manufacturing Venture</t>
  </si>
  <si>
    <t>No of business days</t>
  </si>
  <si>
    <t>No of Business days</t>
  </si>
  <si>
    <t>Growth rate (annual)</t>
  </si>
  <si>
    <t>Factory Fit-out</t>
  </si>
  <si>
    <t>Software</t>
  </si>
  <si>
    <t>Rental Deposit (Lease)</t>
  </si>
  <si>
    <t>Software Systems</t>
  </si>
  <si>
    <t>Salaries &amp; Benefits cost - Engineers</t>
  </si>
  <si>
    <t>Units per day (initial)</t>
  </si>
  <si>
    <t>Product Type</t>
  </si>
  <si>
    <t>Edge</t>
  </si>
  <si>
    <t>FOG</t>
  </si>
  <si>
    <t>1.0 Product Sales</t>
  </si>
  <si>
    <t>Far Edge Income</t>
  </si>
  <si>
    <t>Total Edge income</t>
  </si>
  <si>
    <t>Total FOG income</t>
  </si>
  <si>
    <t>Total Enterprise income</t>
  </si>
  <si>
    <t>Units Sold per Year</t>
  </si>
  <si>
    <t>Enterprise</t>
  </si>
  <si>
    <t>Annual Growth rate</t>
  </si>
  <si>
    <t>Units per Year (Yr1)</t>
  </si>
  <si>
    <t>1.2 Sales - Edge</t>
  </si>
  <si>
    <t>1.3 Sales - FOG</t>
  </si>
  <si>
    <t>1.4 Sales - Enterprise</t>
  </si>
  <si>
    <t>Cost of Far Edge</t>
  </si>
  <si>
    <t>Cost of Edge</t>
  </si>
  <si>
    <t>Cost of FOG</t>
  </si>
  <si>
    <t>Cost of Enterprise</t>
  </si>
  <si>
    <t>India</t>
  </si>
  <si>
    <t>Middle East</t>
  </si>
  <si>
    <t>Far East</t>
  </si>
  <si>
    <t>Europe</t>
  </si>
  <si>
    <t>Africa</t>
  </si>
  <si>
    <t>USA</t>
  </si>
  <si>
    <t>Mexico</t>
  </si>
  <si>
    <t>South America</t>
  </si>
  <si>
    <t>Canada</t>
  </si>
  <si>
    <t>Rental Deposit (lease)</t>
  </si>
  <si>
    <t>Security system</t>
  </si>
  <si>
    <t>Pick and Place</t>
  </si>
  <si>
    <t>Wave Soldering</t>
  </si>
  <si>
    <t>Moulding Machine</t>
  </si>
  <si>
    <t>3D Printer</t>
  </si>
  <si>
    <t>Quality Inspection machines</t>
  </si>
  <si>
    <t>Miscellaneous equipment</t>
  </si>
  <si>
    <t>1)</t>
  </si>
  <si>
    <t>2)</t>
  </si>
  <si>
    <t>3)</t>
  </si>
  <si>
    <t>4)</t>
  </si>
  <si>
    <t>5)</t>
  </si>
  <si>
    <t>6)</t>
  </si>
  <si>
    <t>7)</t>
  </si>
  <si>
    <t>SMT Stencil Printer</t>
  </si>
  <si>
    <t>Rupees</t>
  </si>
  <si>
    <t>INR/ USD</t>
  </si>
  <si>
    <t>USD Cost</t>
  </si>
  <si>
    <t>Machinery</t>
  </si>
  <si>
    <t>Factory Preparation, False Ceiling, Power backup, Airconditioning, Electronics Assembly line, Workbench, Furniture, Installation, etc.</t>
  </si>
  <si>
    <t>Note difference between Yr0 and Yr1</t>
  </si>
  <si>
    <t>Drone</t>
  </si>
  <si>
    <t>Rover</t>
  </si>
  <si>
    <t>Fog</t>
  </si>
  <si>
    <t>Staff growth rate</t>
  </si>
  <si>
    <t>Engineers growth rate</t>
  </si>
  <si>
    <t>Headcount increase(annual)</t>
  </si>
  <si>
    <t>Days sales outstanding</t>
  </si>
  <si>
    <t>Days inventory outstanding</t>
  </si>
  <si>
    <t>yes</t>
  </si>
  <si>
    <t>Days payable outstanding</t>
  </si>
  <si>
    <t>software stacks</t>
  </si>
  <si>
    <t>system integration</t>
  </si>
  <si>
    <t>liscencing</t>
  </si>
  <si>
    <t>maintenance</t>
  </si>
  <si>
    <t>CPI</t>
  </si>
  <si>
    <t>SELLING PRICE</t>
  </si>
  <si>
    <t>UNITS SOLD</t>
  </si>
  <si>
    <t>REVENUE FROM SALES</t>
  </si>
  <si>
    <t>INDIA</t>
  </si>
  <si>
    <t>AUSTRALIA</t>
  </si>
  <si>
    <t>CANADA</t>
  </si>
  <si>
    <t>EUROPE</t>
  </si>
  <si>
    <t>SOUTH AMERICA</t>
  </si>
  <si>
    <t>TOTAL</t>
  </si>
  <si>
    <t>1.1.1 Sales - Far Edge (Drones)</t>
  </si>
  <si>
    <t>1.1.2 Sales - Far Edge (Rovers)</t>
  </si>
  <si>
    <t>1.1.3 Sales - Edge</t>
  </si>
  <si>
    <t>Units sold per year</t>
  </si>
  <si>
    <t>Selling price</t>
  </si>
  <si>
    <t>1.1.4 Sales - FOG</t>
  </si>
  <si>
    <t>1.1.6 Sales - Software Stacks</t>
  </si>
  <si>
    <t>1.1.5 Sales - Enterprise</t>
  </si>
  <si>
    <t>1.1.7 Sales - System Integration</t>
  </si>
  <si>
    <t>1.1.8 Sales - Liscencing</t>
  </si>
  <si>
    <t>1.1.8 Sales - Maintenance</t>
  </si>
  <si>
    <t>Income</t>
  </si>
  <si>
    <t>Total Income</t>
  </si>
  <si>
    <t>Cost of Software Stacks</t>
  </si>
  <si>
    <t>Cost of System Integration</t>
  </si>
  <si>
    <t>Cost of Liscencing</t>
  </si>
  <si>
    <t>Cost of Maintenance</t>
  </si>
  <si>
    <t>EBITDA</t>
  </si>
  <si>
    <t>EBIT</t>
  </si>
  <si>
    <t>EBT</t>
  </si>
  <si>
    <t>Australia</t>
  </si>
  <si>
    <t>CPI Table</t>
  </si>
  <si>
    <t>System Integration</t>
  </si>
  <si>
    <t>Licensing</t>
  </si>
  <si>
    <t>Maintenance</t>
  </si>
  <si>
    <t>MEXICO</t>
  </si>
  <si>
    <t>AFRICA</t>
  </si>
  <si>
    <t>MIDDLE EAST</t>
  </si>
  <si>
    <t>FAR EAST</t>
  </si>
  <si>
    <t>International sales premium</t>
  </si>
  <si>
    <t>Country</t>
  </si>
  <si>
    <t>(avg)</t>
  </si>
  <si>
    <t>Income Statement (Consolidated)</t>
  </si>
  <si>
    <t>Total sales value</t>
  </si>
  <si>
    <t>1.5 Sales - Software Stacks</t>
  </si>
  <si>
    <t>Total Software stacks income</t>
  </si>
  <si>
    <t>1.6 Sales - System Integration</t>
  </si>
  <si>
    <t>1.7 Sales - Licensing</t>
  </si>
  <si>
    <t>Total System integration income</t>
  </si>
  <si>
    <t>Total Licensing income</t>
  </si>
  <si>
    <t>1.8 Sales - Maintenance</t>
  </si>
  <si>
    <t>Total Maintenance income</t>
  </si>
  <si>
    <t>Exchange rate (Dollar to Rupee)</t>
  </si>
  <si>
    <t>Operating Cost table</t>
  </si>
  <si>
    <t xml:space="preserve">Depreciation and amortization </t>
  </si>
  <si>
    <t>Increase/decrease in Accounts receivables</t>
  </si>
  <si>
    <t>Increase/decrease in Inventories</t>
  </si>
  <si>
    <t>Certain other Cost table</t>
  </si>
  <si>
    <t>Total cash flow from operating activities</t>
  </si>
  <si>
    <t>% of new customers also taking subscription</t>
  </si>
  <si>
    <t>software stacks (one time)</t>
  </si>
  <si>
    <t>software stacks (subscription)</t>
  </si>
  <si>
    <t>Software Stacks (one time)</t>
  </si>
  <si>
    <t>Far Edge (Drone)</t>
  </si>
  <si>
    <t>Far edge (Rover)</t>
  </si>
  <si>
    <t>Software Stacks (subscription)(new customers/year)</t>
  </si>
  <si>
    <t>Software subscription churn rate</t>
  </si>
  <si>
    <t>Cost of Software stacks</t>
  </si>
  <si>
    <t>Cost of System integration</t>
  </si>
  <si>
    <t>Cost of Licensing</t>
  </si>
  <si>
    <t>Category</t>
  </si>
  <si>
    <t>Manufacturer</t>
  </si>
  <si>
    <t>Model</t>
  </si>
  <si>
    <t>Qty</t>
  </si>
  <si>
    <t>Weight (g)</t>
  </si>
  <si>
    <t>Source</t>
  </si>
  <si>
    <t>Recommended Component</t>
  </si>
  <si>
    <t>Frame</t>
  </si>
  <si>
    <t>Motors</t>
  </si>
  <si>
    <t>ESCs</t>
  </si>
  <si>
    <t>Propellers</t>
  </si>
  <si>
    <t>Flight Controller</t>
  </si>
  <si>
    <t>GPS</t>
  </si>
  <si>
    <t>Telemetry</t>
  </si>
  <si>
    <t>Battery</t>
  </si>
  <si>
    <t>Tattu 6S 8000mAh 25C LiPo</t>
  </si>
  <si>
    <t>Tattu (Gens Ace)</t>
  </si>
  <si>
    <t>Power Distribution</t>
  </si>
  <si>
    <t>Companion Computer</t>
  </si>
  <si>
    <t>NVIDIA</t>
  </si>
  <si>
    <t>Jetson Orin Nano 8GB SOM</t>
  </si>
  <si>
    <t>LiDAR</t>
  </si>
  <si>
    <t>Livox Mid-360 3D LiDAR</t>
  </si>
  <si>
    <t>Livox (DJI)</t>
  </si>
  <si>
    <t>Mid-360</t>
  </si>
  <si>
    <t>Camera</t>
  </si>
  <si>
    <t>RC System</t>
  </si>
  <si>
    <t>RadioMaster</t>
  </si>
  <si>
    <t>Storage</t>
  </si>
  <si>
    <t>Samsung</t>
  </si>
  <si>
    <t>Connectivity</t>
  </si>
  <si>
    <t>Mounts</t>
  </si>
  <si>
    <t>Generic / Robu</t>
  </si>
  <si>
    <t>Marketing &amp; Advertising (%)</t>
  </si>
  <si>
    <t>Courier/ postage per unit</t>
  </si>
  <si>
    <t xml:space="preserve">  Cost per extra user</t>
  </si>
  <si>
    <t>Software Systems (base)</t>
  </si>
  <si>
    <t>Selling year</t>
  </si>
  <si>
    <t>Rate</t>
  </si>
  <si>
    <t>Edge &amp; Fog Node — Rough BOM Estimates (USD)</t>
  </si>
  <si>
    <t>Note: Directional estimates only, not vendor-verified like the Bill of Materials tab in the main financial model. Get 2-3 real vendor quotes before finalizing. All prices in USD.</t>
  </si>
  <si>
    <t>EDGE NODE  (ruggedized on-site laptop, per unit)</t>
  </si>
  <si>
    <t>Component / Spec</t>
  </si>
  <si>
    <t>Est. Price</t>
  </si>
  <si>
    <t>Note</t>
  </si>
  <si>
    <t>Base unit</t>
  </si>
  <si>
    <t>Rugged laptop base (CPU, RAM, chassis) — Dell Latitude Rugged / Panasonic Toughbook class, i7, 32GB RAM, MIL-STD-810</t>
  </si>
  <si>
    <t>Base rugged shell + CPU/RAM</t>
  </si>
  <si>
    <t>GPU</t>
  </si>
  <si>
    <t>Discrete GPU upgrade (Nvidia T500 / RTX A1000-class or RTX 4060 mobile) for real-time CV inference</t>
  </si>
  <si>
    <t>Sized for inference, not training</t>
  </si>
  <si>
    <t>1-2TB NVMe SSD (buffer for raw imagery before fog sync)</t>
  </si>
  <si>
    <t>5G/LTE module or dongle for field sites</t>
  </si>
  <si>
    <t>Enclosure</t>
  </si>
  <si>
    <t>Rugged carry case + vehicle/field mounts</t>
  </si>
  <si>
    <t>Power</t>
  </si>
  <si>
    <t>Portable battery pack / field UPS</t>
  </si>
  <si>
    <t>Peripherals</t>
  </si>
  <si>
    <t>Rugged mouse, cables, spare battery</t>
  </si>
  <si>
    <t>EDGE NODE TOTAL (per unit)</t>
  </si>
  <si>
    <t>FOG NODE  (one server per worksite)</t>
  </si>
  <si>
    <t>Server base</t>
  </si>
  <si>
    <t>1U/2U rackmount chassis + single Xeon/EPYC CPU, industrial-grade</t>
  </si>
  <si>
    <t>Single Nvidia RTX A4000/A5000-class (16-24GB VRAM)</t>
  </si>
  <si>
    <t>Sized for site-wide aggregation, not training</t>
  </si>
  <si>
    <t>RAM</t>
  </si>
  <si>
    <t>64-128GB ECC</t>
  </si>
  <si>
    <t>4-8TB NVMe/RAID array</t>
  </si>
  <si>
    <t>Buffer before cloud sync</t>
  </si>
  <si>
    <t>UPS / power backup</t>
  </si>
  <si>
    <t>Important for industrial sites w/ unreliable power</t>
  </si>
  <si>
    <t>Networking</t>
  </si>
  <si>
    <t>Managed switch + site Wi-Fi access point</t>
  </si>
  <si>
    <t>Connects edge nodes on-site</t>
  </si>
  <si>
    <t>Dust/heat-rated cabinet</t>
  </si>
  <si>
    <t>If not in a controlled server room</t>
  </si>
  <si>
    <t>Uplink</t>
  </si>
  <si>
    <t>Cellular/satellite modem for cloud sync</t>
  </si>
  <si>
    <t>If no fixed internet on-site</t>
  </si>
  <si>
    <t>Installation</t>
  </si>
  <si>
    <t>Cabling, mounting, initial config labor</t>
  </si>
  <si>
    <t>Midpoint of $500-1,000 range</t>
  </si>
  <si>
    <t>FOG NODE TOTAL (per unit)</t>
  </si>
  <si>
    <t>SUMMARY</t>
  </si>
  <si>
    <t>Edge node — per unit</t>
  </si>
  <si>
    <t>Fog node — per unit</t>
  </si>
  <si>
    <t>Combined (1 Edge + 1 Fog)</t>
  </si>
  <si>
    <t>Optimised UAV Bill of Materials — PX4 + ROS 2 + Jetson Orin Nano + Livox Mid-360</t>
  </si>
  <si>
    <t>Target AUW: 3.2–3.4 kg | Reliability-first | Internationally proven components | Prices in INR (June 2026)</t>
  </si>
  <si>
    <t>Verified Unit Price (₹)</t>
  </si>
  <si>
    <t>Total Cost (₹)</t>
  </si>
  <si>
    <t>Reason</t>
  </si>
  <si>
    <t>Alternative Replaced</t>
  </si>
  <si>
    <t>Tarot TL65B44 X6 CF 650mm Frame</t>
  </si>
  <si>
    <t>Tarot</t>
  </si>
  <si>
    <t>TL65B44 650mm X6</t>
  </si>
  <si>
    <t>8500</t>
  </si>
  <si>
    <t>Banggood/AliExpress ~$95 ≈ ₹8,500</t>
  </si>
  <si>
    <t>CF, proven airframe, lighter</t>
  </si>
  <si>
    <t>Skynexus S-1 CF 650mm (~₹16,999)</t>
  </si>
  <si>
    <t>Holybro Pixhawk 6C (FC only)</t>
  </si>
  <si>
    <t>Holybro</t>
  </si>
  <si>
    <t>Pixhawk 6C Standard Set</t>
  </si>
  <si>
    <t>28500</t>
  </si>
  <si>
    <t>holybro.com $339 ≈ ₹28,500</t>
  </si>
  <si>
    <t>PX4 native, globally proven</t>
  </si>
  <si>
    <t>Agam Autopilot V6X-RT (~₹42,000)</t>
  </si>
  <si>
    <t>Holybro M10-100 GPS</t>
  </si>
  <si>
    <t>M10-100 u-blox M10</t>
  </si>
  <si>
    <t>6200</t>
  </si>
  <si>
    <t>holybro.com ~$74 ≈ ₹6,200</t>
  </si>
  <si>
    <t>u-blox M10, CAN/UART, cheaper</t>
  </si>
  <si>
    <t>Agam GNSS01 CAN (~₹16,000)</t>
  </si>
  <si>
    <t>Holybro SiK Telemetry Radio V3 915MHz</t>
  </si>
  <si>
    <t>Holybro / RFDesign</t>
  </si>
  <si>
    <t>SiK V3 915MHz 500mW</t>
  </si>
  <si>
    <t>7800</t>
  </si>
  <si>
    <t>holybro.com ~$88 ≈ ₹7,800</t>
  </si>
  <si>
    <t>500mW, MAVLink native, FHSS</t>
  </si>
  <si>
    <t>Generic SiK V3 433MHz (~₹9,566)</t>
  </si>
  <si>
    <t>RadioMaster TX16S MkII + RP3 ELRS Rx</t>
  </si>
  <si>
    <t>TX16S MkII ELRS + RP3</t>
  </si>
  <si>
    <t>18500</t>
  </si>
  <si>
    <t>UAVGarage India ~₹17,999+₹500</t>
  </si>
  <si>
    <t>ELRS, 250Hz, globally standard</t>
  </si>
  <si>
    <t>Same — price verified</t>
  </si>
  <si>
    <t>T-Motor MN3110-17 700KV ×4</t>
  </si>
  <si>
    <t>T-Motor</t>
  </si>
  <si>
    <t>MN3110-17 700KV</t>
  </si>
  <si>
    <t>20800</t>
  </si>
  <si>
    <t>tmotor.com ~$62/pc ≈ ₹5,200</t>
  </si>
  <si>
    <t>Aerospace grade, long lifespan</t>
  </si>
  <si>
    <t>Mechtex KV700 (~₹3,200/pc, B2B only)</t>
  </si>
  <si>
    <t>Holybro Kotleta20 DShot ESC ×4</t>
  </si>
  <si>
    <t>Kotleta20 20A DShot600</t>
  </si>
  <si>
    <t>15200</t>
  </si>
  <si>
    <t>holybro.com ~$45/pc ≈ ₹3,800</t>
  </si>
  <si>
    <t>DShot600, PX4 native, CAN</t>
  </si>
  <si>
    <t>Bharath IBESC 40A (~₹2,500, B2B)</t>
  </si>
  <si>
    <t>T-Motor 11×3.7 CF Props (2 pairs)</t>
  </si>
  <si>
    <t>T11×3.7 CF CW+CCW</t>
  </si>
  <si>
    <t>5800</t>
  </si>
  <si>
    <t>tmotor.com ~$34/pair ≈ ₹2,900</t>
  </si>
  <si>
    <t>Balanced, low vibration, CF</t>
  </si>
  <si>
    <t>Bharath 11×4.7 CF (~₹450/pc, B2B)</t>
  </si>
  <si>
    <t>6S 22.2V 8000mAh 25C XT60</t>
  </si>
  <si>
    <t>14716</t>
  </si>
  <si>
    <t>RC Mumbai ₹14,716 / UAVGarage ₹13,201 excl. tax</t>
  </si>
  <si>
    <t>Higher capacity, longer flight time</t>
  </si>
  <si>
    <t>Tattu R-Line 6S 8000mAh 95C</t>
  </si>
  <si>
    <t>Matek FCHUB-12S PDB 5V/12V BEC</t>
  </si>
  <si>
    <t>Matek Systems</t>
  </si>
  <si>
    <t>FCHUB-12S</t>
  </si>
  <si>
    <t>2100</t>
  </si>
  <si>
    <t>robu.in ~₹2,100</t>
  </si>
  <si>
    <t>Public retail, integrated BEC</t>
  </si>
  <si>
    <t>Flameback 12S PDB (~₹4,600, B2B)</t>
  </si>
  <si>
    <t>NVIDIA Jetson Orin Nano 8GB Module</t>
  </si>
  <si>
    <t>29650</t>
  </si>
  <si>
    <t>ThinkRobotics ₹29,650 (verified)</t>
  </si>
  <si>
    <t>Core requirement, keep as-is</t>
  </si>
  <si>
    <t>Same — project requirement</t>
  </si>
  <si>
    <t>85000</t>
  </si>
  <si>
    <t>Hexaero India ~₹85,000</t>
  </si>
  <si>
    <t>Core SLAM requirement, keep</t>
  </si>
  <si>
    <t>Arducam OV9281 1MP Global Shutter USB Camera</t>
  </si>
  <si>
    <t>Arducam</t>
  </si>
  <si>
    <t>B0332 OV9281 UVC USB2.0</t>
  </si>
  <si>
    <t>4000</t>
  </si>
  <si>
    <t>robu.in ~₹3,500–4,500 (stocked)</t>
  </si>
  <si>
    <t>Global shutter, UVC plug-and-play, 100fps</t>
  </si>
  <si>
    <t>Intel RealSense D435i (~₹22,000)</t>
  </si>
  <si>
    <t>Samsung 980 NVMe 256GB</t>
  </si>
  <si>
    <t>MZ-V8V250BW</t>
  </si>
  <si>
    <t>6999</t>
  </si>
  <si>
    <t>Samsung India MRP ₹6,999</t>
  </si>
  <si>
    <t>Same model — verified price</t>
  </si>
  <si>
    <t>Same — verified</t>
  </si>
  <si>
    <t>Cooling</t>
  </si>
  <si>
    <t>Waveshare Jetson Orin Nano Metal Case + Fan</t>
  </si>
  <si>
    <t>Waveshare</t>
  </si>
  <si>
    <t>Jetson Orin Nano Case w/ Fan</t>
  </si>
  <si>
    <t>3500</t>
  </si>
  <si>
    <t>waveshare.com ~$40 ≈ ₹3,500</t>
  </si>
  <si>
    <t>Active cooling, ruggedised</t>
  </si>
  <si>
    <t>Generic cooling bundle (~₹1,500)</t>
  </si>
  <si>
    <t>Wiring &amp; Connectors</t>
  </si>
  <si>
    <t>12AWG Silicone Wire 10m + XT60 ×5pr + Heatshrink</t>
  </si>
  <si>
    <t>12AWG Wiring Kit</t>
  </si>
  <si>
    <t>1350</t>
  </si>
  <si>
    <t>robu.in ~₹1,350</t>
  </si>
  <si>
    <t>Vibration Isolators + M2/M3 Screw Hardware Kit</t>
  </si>
  <si>
    <t>Anti-vib + HW Kit</t>
  </si>
  <si>
    <t>1200</t>
  </si>
  <si>
    <t>robu.in ~₹1,200</t>
  </si>
  <si>
    <t>Upgraded anti-vib quality</t>
  </si>
  <si>
    <t>Robu anti-vib (~₹950)</t>
  </si>
  <si>
    <t>Arm/Disarm Safety Switch</t>
  </si>
  <si>
    <t>Holybro / Generic</t>
  </si>
  <si>
    <t>PX4 Safety Switch</t>
  </si>
  <si>
    <t>350</t>
  </si>
  <si>
    <t>robu.in ~₹350</t>
  </si>
  <si>
    <t>PX4 mandatory, others removed</t>
  </si>
  <si>
    <t>Safety+LED+Cooling bundle (~₹2,000)</t>
  </si>
  <si>
    <t>💰  TOTAL COMPONENT COST</t>
  </si>
  <si>
    <t>260165</t>
  </si>
  <si>
    <t>INR — components only, excl. shipping &amp; taxes</t>
  </si>
  <si>
    <t>⚖  TOTAL COMPONENT WEIGHT</t>
  </si>
  <si>
    <t>3475</t>
  </si>
  <si>
    <t>grams — multiplied by quantity</t>
  </si>
  <si>
    <t>🕐  ESTIMATED FLIGHT TIME</t>
  </si>
  <si>
    <t>~18–22 min</t>
  </si>
  <si>
    <t>6S 8000mAh @ ~250W avg cruise draw</t>
  </si>
  <si>
    <t>🛸  ESTIMATED TAKEOFF WEIGHT (AUW)</t>
  </si>
  <si>
    <t>~3,250 g</t>
  </si>
  <si>
    <t>Incl. 800g battery + 265g LiDAR + structure</t>
  </si>
  <si>
    <t>FAR EDGE — ROVER  (per unit)</t>
  </si>
  <si>
    <t>Wider uncertainty than Edge/Fog/Drone: industrial UGV chassis pricing is almost entirely quote-only, not publicly listed.</t>
  </si>
  <si>
    <t>Chassis + drivetrain</t>
  </si>
  <si>
    <t>Tracked or 4-wheel skid-steer UGV base, ~30-50kg payload, IP-rated, motors/tracks/controllers bundled</t>
  </si>
  <si>
    <t>Biggest line item &amp; biggest unknown — get real quotes</t>
  </si>
  <si>
    <t>24V/48V LiFePO4 or Li-ion pack, sized for multi-hour confined-space/underground runs</t>
  </si>
  <si>
    <t>Motion controller</t>
  </si>
  <si>
    <t>ROS-compatible controller, wheel encoders, IMU</t>
  </si>
  <si>
    <t>Companion computer</t>
  </si>
  <si>
    <t>NVIDIA Jetson Orin Nano (same class as drone)</t>
  </si>
  <si>
    <t>Livox Mid-360-class, for confined-space/underground navigation &amp; mapping</t>
  </si>
  <si>
    <t>RGB camera</t>
  </si>
  <si>
    <t>Defect-detection imaging (same class as drone)</t>
  </si>
  <si>
    <t>Thermal camera</t>
  </si>
  <si>
    <t>For underground/low-visibility defect detection</t>
  </si>
  <si>
    <t>Not needed on drone BOM; rover-specific</t>
  </si>
  <si>
    <t>Lighting</t>
  </si>
  <si>
    <t>LED floodlights for dark/underground environments</t>
  </si>
  <si>
    <t>Comms</t>
  </si>
  <si>
    <t>RF telemetry + Wi-Fi mesh/repeater</t>
  </si>
  <si>
    <t>Tunnels/confined spaces often break line-of-sight RF</t>
  </si>
  <si>
    <t>For outdoor site segments</t>
  </si>
  <si>
    <t>NVMe SSD buffer</t>
  </si>
  <si>
    <t>Wiring/mounts/enclosure</t>
  </si>
  <si>
    <t>Vibration dampening, cable routing, weatherproofing</t>
  </si>
  <si>
    <t>Misc</t>
  </si>
  <si>
    <t>E-stop, safety switch, cooling</t>
  </si>
  <si>
    <t>ROVER TOTAL (per unit)</t>
  </si>
  <si>
    <t>Krishnamurthy Bindumadhavan, Sri Krishna P</t>
  </si>
  <si>
    <t>Author(s)</t>
  </si>
  <si>
    <t>Borders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</si>
</sst>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,##0;\(#,##0\);\-"/>
    <numFmt numFmtId="165" formatCode="&quot;$&quot;#,##0"/>
    <numFmt numFmtId="166" formatCode="_(&quot;$&quot;* #,##0.00_);_(&quot;$&quot;* \(#,##0.00\);_(&quot;$&quot;* &quot;-&quot;??_);_(@_)"/>
    <numFmt numFmtId="167" formatCode="&quot;$&quot;#,##0_);[Red]\(&quot;$&quot;#,##0\)"/>
    <numFmt numFmtId="168" formatCode="&quot;$&quot;#,##0.0"/>
    <numFmt numFmtId="169" formatCode="&quot;$&quot;#,##0_);\(&quot;$&quot;#,##0\)"/>
    <numFmt numFmtId="170" formatCode="&quot;$&quot;#,##0.0_);\(&quot;$&quot;#,##0.0\)"/>
    <numFmt numFmtId="171" formatCode="_(&quot;$&quot;* #,##0_);_(&quot;$&quot;* \(#,##0\);_(&quot;$&quot;* &quot;-&quot;_);_(@_)"/>
    <numFmt numFmtId="172" formatCode="_(&quot;$&quot;* #,##0_);_(&quot;$&quot;* \(#,##0\);_(&quot;$&quot;* &quot;-&quot;??_);_(@_)"/>
    <numFmt numFmtId="174" formatCode="_(* #,##0_);_(* \(#,##0\);_(* &quot;-&quot;??_);_(@_)"/>
    <numFmt numFmtId="175" formatCode="_ * #,##0_ ;_ * \-#,##0_ ;_ * &quot;-&quot;??_ ;_ @_ "/>
    <numFmt numFmtId="176" formatCode="_ [$₹-4009]\ * #,##0.00_ ;_ [$₹-4009]\ * \-#,##0.00_ ;_ [$₹-4009]\ * &quot;-&quot;??_ ;_ @_ "/>
    <numFmt numFmtId="177" formatCode="_-[$$-409]* #,##0.00_ ;_-[$$-409]* \-#,##0.00\ ;_-[$$-409]* &quot;-&quot;??_ ;_-@_ "/>
    <numFmt numFmtId="189" formatCode="\$#,##0"/>
  </numFmts>
  <fonts count="5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9"/>
      <color indexed="10"/>
      <name val="Arial"/>
      <family val="2"/>
    </font>
    <font>
      <sz val="9"/>
      <color indexed="12"/>
      <name val="Arial"/>
      <family val="2"/>
    </font>
    <font>
      <sz val="9"/>
      <color indexed="17"/>
      <name val="Arial"/>
      <family val="2"/>
    </font>
    <font>
      <sz val="9"/>
      <name val="Arial"/>
      <family val="2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1F497D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Times New Roman"/>
      <family val="1"/>
    </font>
    <font>
      <sz val="10"/>
      <color rgb="FF000000"/>
      <name val="Lucida Grande"/>
    </font>
    <font>
      <b/>
      <sz val="14"/>
      <color theme="1"/>
      <name val="Calibri"/>
      <family val="2"/>
      <scheme val="minor"/>
    </font>
    <font>
      <sz val="10"/>
      <name val="Frutiger 45 Light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0"/>
      <name val="Times New Roman"/>
      <family val="1"/>
    </font>
    <font>
      <b/>
      <u/>
      <sz val="9"/>
      <color indexed="9"/>
      <name val="Arial"/>
      <family val="2"/>
    </font>
    <font>
      <b/>
      <sz val="9"/>
      <color indexed="9"/>
      <name val="Arial"/>
      <family val="2"/>
    </font>
    <font>
      <b/>
      <sz val="9"/>
      <name val="Arial"/>
      <family val="2"/>
    </font>
    <font>
      <b/>
      <sz val="11"/>
      <color theme="6" tint="-0.249977111117893"/>
      <name val="Calibri"/>
      <family val="2"/>
      <scheme val="minor"/>
    </font>
    <font>
      <sz val="11"/>
      <color theme="6" tint="-0.249977111117893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9"/>
      <color theme="1" tint="4.9989318521683403E-2"/>
      <name val="Arial"/>
      <family val="2"/>
    </font>
    <font>
      <sz val="9"/>
      <color theme="1" tint="4.9989318521683403E-2"/>
      <name val="Arial"/>
      <family val="2"/>
    </font>
    <font>
      <sz val="11"/>
      <color theme="8" tint="-0.249977111117893"/>
      <name val="Calibri"/>
      <family val="2"/>
      <scheme val="minor"/>
    </font>
    <font>
      <sz val="11"/>
      <name val="Calibri"/>
      <scheme val="minor"/>
    </font>
    <font>
      <b/>
      <sz val="9"/>
      <color rgb="FFFFFFFF"/>
      <name val="Arial"/>
    </font>
    <font>
      <sz val="11"/>
      <name val="Calibri"/>
    </font>
    <font>
      <sz val="9"/>
      <name val="Arial"/>
    </font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1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name val="Arial"/>
      <charset val="1"/>
    </font>
    <font>
      <b/>
      <sz val="10"/>
      <color rgb="FF000000"/>
      <name val="Arial"/>
      <charset val="1"/>
    </font>
    <font>
      <sz val="10"/>
      <name val="Arial"/>
      <charset val="1"/>
    </font>
    <font>
      <b/>
      <sz val="12"/>
      <color rgb="FFFFFFFF"/>
      <name val="Arial"/>
    </font>
    <font>
      <i/>
      <sz val="9"/>
      <color rgb="FF1F3864"/>
      <name val="Arial"/>
    </font>
    <font>
      <b/>
      <sz val="10"/>
      <color rgb="FF1F3864"/>
      <name val="Arial"/>
    </font>
    <font>
      <b/>
      <sz val="11"/>
      <color rgb="FF1F3864"/>
      <name val="Arial"/>
    </font>
    <font>
      <i/>
      <sz val="9"/>
      <color rgb="FF595959"/>
      <name val="Arial"/>
    </font>
  </fonts>
  <fills count="2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1F3864"/>
        <bgColor rgb="FF1F3864"/>
      </patternFill>
    </fill>
    <fill>
      <patternFill patternType="solid">
        <fgColor rgb="FFFFFFFF"/>
        <bgColor rgb="FFFFFFFF"/>
      </patternFill>
    </fill>
    <fill>
      <patternFill patternType="solid">
        <fgColor rgb="FF1F4E78"/>
        <bgColor rgb="FF003366"/>
      </patternFill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E2EFDA"/>
        <bgColor rgb="FFE2EFDA"/>
      </patternFill>
    </fill>
  </fills>
  <borders count="184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/>
      <diagonal/>
    </border>
    <border>
      <left/>
      <right style="medium">
        <color rgb="FFC00000"/>
      </right>
      <top style="thin">
        <color rgb="FFC00000"/>
      </top>
      <bottom/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thin">
        <color rgb="FFC00000"/>
      </right>
      <top/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thin">
        <color rgb="FFC00000"/>
      </left>
      <right style="medium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medium">
        <color rgb="FFC00000"/>
      </left>
      <right style="thin">
        <color rgb="FFC00000"/>
      </right>
      <top style="thin">
        <color rgb="FFC00000"/>
      </top>
      <bottom style="medium">
        <color rgb="FFC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00000"/>
      </left>
      <right style="thin">
        <color rgb="FF800000"/>
      </right>
      <top style="medium">
        <color indexed="64"/>
      </top>
      <bottom style="thick">
        <color rgb="FF8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rgb="FF800000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rgb="FF800000"/>
      </right>
      <top/>
      <bottom style="thin">
        <color rgb="FF800000"/>
      </bottom>
      <diagonal/>
    </border>
    <border>
      <left/>
      <right style="thin">
        <color rgb="FF8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theme="3"/>
      </left>
      <right/>
      <top style="medium">
        <color theme="3"/>
      </top>
      <bottom/>
      <diagonal/>
    </border>
    <border>
      <left/>
      <right/>
      <top style="medium">
        <color theme="3"/>
      </top>
      <bottom/>
      <diagonal/>
    </border>
    <border>
      <left/>
      <right style="medium">
        <color theme="3"/>
      </right>
      <top style="medium">
        <color theme="3"/>
      </top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medium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thin">
        <color theme="3"/>
      </bottom>
      <diagonal/>
    </border>
    <border>
      <left/>
      <right style="thin">
        <color theme="3"/>
      </right>
      <top style="medium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thin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thin">
        <color theme="3"/>
      </bottom>
      <diagonal/>
    </border>
    <border>
      <left/>
      <right style="thin">
        <color theme="3"/>
      </right>
      <top style="thin">
        <color theme="3"/>
      </top>
      <bottom style="thin">
        <color theme="3"/>
      </bottom>
      <diagonal/>
    </border>
    <border>
      <left style="medium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thin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thin">
        <color theme="3"/>
      </top>
      <bottom style="medium">
        <color theme="3"/>
      </bottom>
      <diagonal/>
    </border>
    <border>
      <left/>
      <right style="thin">
        <color theme="3"/>
      </right>
      <top style="thin">
        <color theme="3"/>
      </top>
      <bottom style="medium">
        <color theme="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medium">
        <color theme="3"/>
      </right>
      <top style="thin">
        <color theme="3"/>
      </top>
      <bottom/>
      <diagonal/>
    </border>
    <border>
      <left style="medium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thin">
        <color theme="3"/>
      </right>
      <top style="medium">
        <color theme="3"/>
      </top>
      <bottom style="medium">
        <color theme="3"/>
      </bottom>
      <diagonal/>
    </border>
    <border>
      <left style="thin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/>
      <bottom/>
      <diagonal/>
    </border>
    <border>
      <left style="thin">
        <color theme="3"/>
      </left>
      <right style="thin">
        <color theme="3"/>
      </right>
      <top/>
      <bottom/>
      <diagonal/>
    </border>
    <border>
      <left style="thin">
        <color theme="3"/>
      </left>
      <right style="medium">
        <color theme="3"/>
      </right>
      <top/>
      <bottom/>
      <diagonal/>
    </border>
    <border>
      <left style="medium">
        <color theme="3"/>
      </left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 style="thin">
        <color theme="3"/>
      </right>
      <top/>
      <bottom style="medium">
        <color theme="3"/>
      </bottom>
      <diagonal/>
    </border>
    <border>
      <left style="thin">
        <color theme="3"/>
      </left>
      <right style="medium">
        <color theme="3"/>
      </right>
      <top/>
      <bottom style="medium">
        <color theme="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thin">
        <color theme="3"/>
      </right>
      <top/>
      <bottom style="thin">
        <color theme="3"/>
      </bottom>
      <diagonal/>
    </border>
    <border>
      <left style="thin">
        <color theme="3"/>
      </left>
      <right style="medium">
        <color theme="3"/>
      </right>
      <top/>
      <bottom style="thin">
        <color theme="3"/>
      </bottom>
      <diagonal/>
    </border>
    <border>
      <left style="medium">
        <color theme="3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theme="3"/>
      </right>
      <top/>
      <bottom style="thin">
        <color auto="1"/>
      </bottom>
      <diagonal/>
    </border>
    <border>
      <left style="medium">
        <color theme="3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theme="3"/>
      </right>
      <top style="thin">
        <color auto="1"/>
      </top>
      <bottom/>
      <diagonal/>
    </border>
    <border>
      <left style="medium">
        <color theme="3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3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medium">
        <color theme="3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thin">
        <color indexed="64"/>
      </bottom>
      <diagonal/>
    </border>
    <border>
      <left style="medium">
        <color theme="3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3"/>
      </bottom>
      <diagonal/>
    </border>
    <border>
      <left style="thin">
        <color indexed="64"/>
      </left>
      <right style="medium">
        <color theme="3"/>
      </right>
      <top style="thin">
        <color indexed="64"/>
      </top>
      <bottom style="medium">
        <color theme="3"/>
      </bottom>
      <diagonal/>
    </border>
    <border>
      <left style="medium">
        <color rgb="FFC00000"/>
      </left>
      <right style="thin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 style="thin">
        <color rgb="FFC00000"/>
      </right>
      <top/>
      <bottom style="thin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 style="thin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 style="thin">
        <color indexed="64"/>
      </top>
      <bottom style="thin">
        <color rgb="FFC00000"/>
      </bottom>
      <diagonal/>
    </border>
    <border>
      <left/>
      <right style="medium">
        <color rgb="FFC00000"/>
      </right>
      <top style="thin">
        <color indexed="64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 style="medium">
        <color rgb="FFC00000"/>
      </right>
      <top style="thin">
        <color rgb="FFC00000"/>
      </top>
      <bottom/>
      <diagonal/>
    </border>
    <border>
      <left style="thin">
        <color rgb="FFC00000"/>
      </left>
      <right style="thin">
        <color rgb="FFC00000"/>
      </right>
      <top/>
      <bottom style="medium">
        <color rgb="FFC00000"/>
      </bottom>
      <diagonal/>
    </border>
    <border>
      <left style="medium">
        <color rgb="FFC00000"/>
      </left>
      <right style="medium">
        <color rgb="FFC00000"/>
      </right>
      <top style="thin">
        <color rgb="FFC00000"/>
      </top>
      <bottom style="thin">
        <color rgb="FFFF0000"/>
      </bottom>
      <diagonal/>
    </border>
    <border>
      <left style="thin">
        <color rgb="FFFF0000"/>
      </left>
      <right style="thin">
        <color indexed="64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rgb="FFFF0000"/>
      </bottom>
      <diagonal/>
    </border>
    <border>
      <left/>
      <right style="thin">
        <color rgb="FFFF0000"/>
      </right>
      <top/>
      <bottom style="thin">
        <color theme="1" tint="4.9989318521683403E-2"/>
      </bottom>
      <diagonal/>
    </border>
    <border>
      <left style="thin">
        <color theme="1" tint="4.9989318521683403E-2"/>
      </left>
      <right style="thin">
        <color theme="1" tint="4.9989318521683403E-2"/>
      </right>
      <top style="thin">
        <color theme="1" tint="4.9989318521683403E-2"/>
      </top>
      <bottom style="thin">
        <color theme="1" tint="4.9989318521683403E-2"/>
      </bottom>
      <diagonal/>
    </border>
    <border>
      <left/>
      <right/>
      <top style="thin">
        <color rgb="FFC00000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n">
        <color rgb="FFFF0000"/>
      </bottom>
      <diagonal/>
    </border>
    <border>
      <left style="thick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ck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ck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ck">
        <color rgb="FFC00000"/>
      </left>
      <right style="thin">
        <color rgb="FFC00000"/>
      </right>
      <top style="thick">
        <color rgb="FFC00000"/>
      </top>
      <bottom style="thin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rgb="FFC00000"/>
      </top>
      <bottom style="thick">
        <color rgb="FFC00000"/>
      </bottom>
      <diagonal/>
    </border>
    <border>
      <left style="medium">
        <color rgb="FFC0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/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FF0000"/>
      </left>
      <right style="thick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 style="thin">
        <color rgb="FFC00000"/>
      </right>
      <top style="thick">
        <color rgb="FFC00000"/>
      </top>
      <bottom style="thin">
        <color rgb="FFC0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thin">
        <color rgb="FFFF0000"/>
      </left>
      <right style="thick">
        <color rgb="FFFF0000"/>
      </right>
      <top/>
      <bottom style="thin">
        <color rgb="FFFF0000"/>
      </bottom>
      <diagonal/>
    </border>
    <border>
      <left style="thin">
        <color rgb="FFFF0000"/>
      </left>
      <right style="thin">
        <color rgb="FFFF0000"/>
      </right>
      <top/>
      <bottom style="thin">
        <color rgb="FFFF0000"/>
      </bottom>
      <diagonal/>
    </border>
    <border>
      <left style="thin">
        <color rgb="FFFF0000"/>
      </left>
      <right style="thick">
        <color rgb="FFFF0000"/>
      </right>
      <top style="thin">
        <color rgb="FFFF0000"/>
      </top>
      <bottom style="thick">
        <color rgb="FFFF0000"/>
      </bottom>
      <diagonal/>
    </border>
    <border>
      <left/>
      <right style="thin">
        <color rgb="FFFF0000"/>
      </right>
      <top style="thin">
        <color rgb="FFFF0000"/>
      </top>
      <bottom style="thick">
        <color rgb="FFFF0000"/>
      </bottom>
      <diagonal/>
    </border>
    <border>
      <left style="medium">
        <color rgb="FFC00000"/>
      </left>
      <right/>
      <top/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thin">
        <color rgb="FFC00000"/>
      </bottom>
      <diagonal/>
    </border>
    <border>
      <left style="medium">
        <color rgb="FFC00000"/>
      </left>
      <right/>
      <top style="thin">
        <color rgb="FFC00000"/>
      </top>
      <bottom style="medium">
        <color rgb="FFC00000"/>
      </bottom>
      <diagonal/>
    </border>
    <border>
      <left style="thick">
        <color rgb="FFC00000"/>
      </left>
      <right style="thin">
        <color rgb="FFC00000"/>
      </right>
      <top style="medium">
        <color rgb="FFC00000"/>
      </top>
      <bottom style="thin">
        <color rgb="FFC00000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/>
      <right style="thin">
        <color rgb="FFC00000"/>
      </right>
      <top/>
      <bottom style="medium">
        <color rgb="FFC00000"/>
      </bottom>
      <diagonal/>
    </border>
    <border>
      <left/>
      <right style="medium">
        <color rgb="FFC00000"/>
      </right>
      <top style="thin">
        <color rgb="FFC00000"/>
      </top>
      <bottom style="thin">
        <color rgb="FFFF0000"/>
      </bottom>
      <diagonal/>
    </border>
    <border>
      <left style="medium">
        <color rgb="FFFF0000"/>
      </left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C00000"/>
      </left>
      <right style="thin">
        <color rgb="FFC00000"/>
      </right>
      <top/>
      <bottom/>
      <diagonal/>
    </border>
    <border>
      <left style="thin">
        <color rgb="FFC00000"/>
      </left>
      <right style="thick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/>
      <top/>
      <bottom style="thin">
        <color rgb="FFC00000"/>
      </bottom>
      <diagonal/>
    </border>
    <border>
      <left style="thin">
        <color rgb="FFC00000"/>
      </left>
      <right style="medium">
        <color rgb="FFC00000"/>
      </right>
      <top/>
      <bottom/>
      <diagonal/>
    </border>
    <border>
      <left/>
      <right style="thin">
        <color rgb="FFC00000"/>
      </right>
      <top style="thin">
        <color rgb="FFC00000"/>
      </top>
      <bottom style="thin">
        <color rgb="FFFF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FF0000"/>
      </bottom>
      <diagonal/>
    </border>
    <border>
      <left style="thin">
        <color rgb="FFC00000"/>
      </left>
      <right style="thick">
        <color rgb="FFC00000"/>
      </right>
      <top style="medium">
        <color rgb="FFC00000"/>
      </top>
      <bottom style="thin">
        <color rgb="FFC00000"/>
      </bottom>
      <diagonal/>
    </border>
    <border>
      <left style="thin">
        <color rgb="FFC00000"/>
      </left>
      <right style="thick">
        <color rgb="FFC00000"/>
      </right>
      <top style="thin">
        <color theme="3"/>
      </top>
      <bottom style="thin">
        <color theme="3"/>
      </bottom>
      <diagonal/>
    </border>
    <border>
      <left style="thin">
        <color rgb="FFC00000"/>
      </left>
      <right style="thick">
        <color rgb="FFC00000"/>
      </right>
      <top style="thin">
        <color rgb="FFFF0000"/>
      </top>
      <bottom style="thin">
        <color rgb="FFFF0000"/>
      </bottom>
      <diagonal/>
    </border>
    <border>
      <left style="medium">
        <color rgb="FFC00000"/>
      </left>
      <right/>
      <top style="thick">
        <color rgb="FFC00000"/>
      </top>
      <bottom style="medium">
        <color rgb="FFC00000"/>
      </bottom>
      <diagonal/>
    </border>
    <border>
      <left/>
      <right/>
      <top style="thick">
        <color rgb="FFC00000"/>
      </top>
      <bottom style="medium">
        <color rgb="FFC00000"/>
      </bottom>
      <diagonal/>
    </border>
    <border>
      <left/>
      <right style="medium">
        <color rgb="FFC00000"/>
      </right>
      <top style="thick">
        <color rgb="FFC00000"/>
      </top>
      <bottom style="medium">
        <color rgb="FFC00000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/>
      <diagonal/>
    </border>
    <border>
      <left/>
      <right style="medium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theme="1" tint="4.9989318521683403E-2"/>
      </left>
      <right style="thin">
        <color theme="1" tint="4.9989318521683403E-2"/>
      </right>
      <top/>
      <bottom style="thin">
        <color theme="1" tint="4.9989318521683403E-2"/>
      </bottom>
      <diagonal/>
    </border>
    <border>
      <left style="thin">
        <color rgb="FFC00000"/>
      </left>
      <right style="thick">
        <color rgb="FFC00000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rgb="FFFF0000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/>
      <diagonal/>
    </border>
    <border>
      <left/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14" fillId="0" borderId="0" applyNumberFormat="0" applyFill="0" applyBorder="0" applyAlignment="0" applyProtection="0"/>
    <xf numFmtId="0" fontId="22" fillId="0" borderId="0"/>
    <xf numFmtId="0" fontId="25" fillId="0" borderId="0" applyBorder="0"/>
    <xf numFmtId="166" fontId="5" fillId="0" borderId="0" applyFont="0" applyFill="0" applyBorder="0" applyAlignment="0" applyProtection="0"/>
    <xf numFmtId="0" fontId="37" fillId="0" borderId="0"/>
    <xf numFmtId="0" fontId="41" fillId="0" borderId="0"/>
  </cellStyleXfs>
  <cellXfs count="602">
    <xf numFmtId="0" fontId="0" fillId="0" borderId="0" xfId="0"/>
    <xf numFmtId="0" fontId="6" fillId="2" borderId="0" xfId="4" applyFont="1" applyFill="1"/>
    <xf numFmtId="0" fontId="7" fillId="2" borderId="0" xfId="4" applyFont="1" applyFill="1" applyAlignment="1">
      <alignment horizontal="left"/>
    </xf>
    <xf numFmtId="0" fontId="0" fillId="2" borderId="0" xfId="0" applyFill="1"/>
    <xf numFmtId="164" fontId="8" fillId="0" borderId="1" xfId="4" applyNumberFormat="1" applyFont="1" applyBorder="1" applyAlignment="1">
      <alignment horizontal="right"/>
    </xf>
    <xf numFmtId="164" fontId="5" fillId="0" borderId="0" xfId="4" applyNumberFormat="1" applyAlignment="1">
      <alignment horizontal="left" indent="1"/>
    </xf>
    <xf numFmtId="164" fontId="9" fillId="0" borderId="1" xfId="4" applyNumberFormat="1" applyFont="1" applyBorder="1" applyAlignment="1">
      <alignment horizontal="right"/>
    </xf>
    <xf numFmtId="164" fontId="10" fillId="0" borderId="1" xfId="4" applyNumberFormat="1" applyFont="1" applyBorder="1" applyAlignment="1">
      <alignment horizontal="right"/>
    </xf>
    <xf numFmtId="0" fontId="6" fillId="2" borderId="0" xfId="4" applyFont="1" applyFill="1" applyAlignment="1">
      <alignment horizontal="left"/>
    </xf>
    <xf numFmtId="17" fontId="7" fillId="2" borderId="0" xfId="4" applyNumberFormat="1" applyFont="1" applyFill="1" applyAlignment="1">
      <alignment horizontal="left"/>
    </xf>
    <xf numFmtId="164" fontId="11" fillId="0" borderId="2" xfId="4" applyNumberFormat="1" applyFont="1" applyBorder="1" applyAlignment="1">
      <alignment horizontal="right"/>
    </xf>
    <xf numFmtId="0" fontId="12" fillId="0" borderId="0" xfId="0" applyFont="1"/>
    <xf numFmtId="0" fontId="0" fillId="0" borderId="3" xfId="0" applyBorder="1"/>
    <xf numFmtId="0" fontId="12" fillId="0" borderId="4" xfId="0" applyFont="1" applyBorder="1"/>
    <xf numFmtId="0" fontId="0" fillId="0" borderId="5" xfId="0" applyBorder="1"/>
    <xf numFmtId="0" fontId="12" fillId="0" borderId="6" xfId="0" applyFont="1" applyBorder="1"/>
    <xf numFmtId="9" fontId="12" fillId="0" borderId="6" xfId="0" applyNumberFormat="1" applyFont="1" applyBorder="1"/>
    <xf numFmtId="165" fontId="12" fillId="0" borderId="6" xfId="0" applyNumberFormat="1" applyFont="1" applyBorder="1"/>
    <xf numFmtId="0" fontId="13" fillId="0" borderId="5" xfId="0" applyFont="1" applyBorder="1"/>
    <xf numFmtId="0" fontId="0" fillId="0" borderId="7" xfId="0" applyBorder="1"/>
    <xf numFmtId="165" fontId="12" fillId="0" borderId="8" xfId="0" applyNumberFormat="1" applyFont="1" applyBorder="1"/>
    <xf numFmtId="0" fontId="0" fillId="0" borderId="6" xfId="0" applyBorder="1"/>
    <xf numFmtId="165" fontId="0" fillId="0" borderId="6" xfId="0" applyNumberFormat="1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9" fontId="12" fillId="0" borderId="16" xfId="3" applyFont="1" applyBorder="1"/>
    <xf numFmtId="165" fontId="12" fillId="0" borderId="17" xfId="0" applyNumberFormat="1" applyFont="1" applyBorder="1"/>
    <xf numFmtId="9" fontId="12" fillId="0" borderId="17" xfId="0" applyNumberFormat="1" applyFont="1" applyBorder="1"/>
    <xf numFmtId="165" fontId="12" fillId="0" borderId="18" xfId="2" applyNumberFormat="1" applyFont="1" applyBorder="1"/>
    <xf numFmtId="9" fontId="12" fillId="0" borderId="19" xfId="3" applyFont="1" applyBorder="1"/>
    <xf numFmtId="165" fontId="12" fillId="0" borderId="20" xfId="0" applyNumberFormat="1" applyFont="1" applyBorder="1"/>
    <xf numFmtId="9" fontId="12" fillId="0" borderId="20" xfId="0" applyNumberFormat="1" applyFont="1" applyBorder="1"/>
    <xf numFmtId="165" fontId="12" fillId="0" borderId="21" xfId="2" applyNumberFormat="1" applyFont="1" applyBorder="1"/>
    <xf numFmtId="9" fontId="12" fillId="0" borderId="23" xfId="0" applyNumberFormat="1" applyFont="1" applyBorder="1"/>
    <xf numFmtId="0" fontId="0" fillId="0" borderId="12" xfId="0" applyBorder="1" applyAlignment="1">
      <alignment wrapText="1"/>
    </xf>
    <xf numFmtId="9" fontId="12" fillId="0" borderId="16" xfId="0" applyNumberFormat="1" applyFont="1" applyBorder="1"/>
    <xf numFmtId="168" fontId="0" fillId="0" borderId="0" xfId="0" applyNumberFormat="1"/>
    <xf numFmtId="0" fontId="3" fillId="0" borderId="0" xfId="0" applyFont="1"/>
    <xf numFmtId="0" fontId="2" fillId="2" borderId="25" xfId="0" applyFont="1" applyFill="1" applyBorder="1" applyAlignment="1">
      <alignment horizontal="left"/>
    </xf>
    <xf numFmtId="0" fontId="2" fillId="2" borderId="26" xfId="0" applyFont="1" applyFill="1" applyBorder="1" applyAlignment="1">
      <alignment horizontal="center"/>
    </xf>
    <xf numFmtId="164" fontId="6" fillId="2" borderId="26" xfId="4" applyNumberFormat="1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left"/>
    </xf>
    <xf numFmtId="0" fontId="4" fillId="0" borderId="0" xfId="0" applyFont="1"/>
    <xf numFmtId="0" fontId="14" fillId="0" borderId="28" xfId="5" applyBorder="1" applyAlignment="1" applyProtection="1"/>
    <xf numFmtId="0" fontId="0" fillId="0" borderId="20" xfId="0" applyBorder="1"/>
    <xf numFmtId="0" fontId="0" fillId="0" borderId="21" xfId="0" applyBorder="1"/>
    <xf numFmtId="0" fontId="14" fillId="0" borderId="29" xfId="5" applyBorder="1" applyAlignment="1" applyProtection="1"/>
    <xf numFmtId="0" fontId="0" fillId="0" borderId="23" xfId="0" applyBorder="1"/>
    <xf numFmtId="0" fontId="0" fillId="0" borderId="24" xfId="0" applyBorder="1"/>
    <xf numFmtId="169" fontId="0" fillId="0" borderId="0" xfId="0" applyNumberFormat="1"/>
    <xf numFmtId="0" fontId="15" fillId="4" borderId="32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wrapText="1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169" fontId="13" fillId="0" borderId="35" xfId="1" applyNumberFormat="1" applyFont="1" applyBorder="1" applyAlignment="1">
      <alignment horizontal="center" vertical="center"/>
    </xf>
    <xf numFmtId="9" fontId="13" fillId="0" borderId="34" xfId="3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36" xfId="0" applyFont="1" applyBorder="1" applyAlignment="1">
      <alignment horizontal="center" vertical="center"/>
    </xf>
    <xf numFmtId="169" fontId="13" fillId="0" borderId="37" xfId="1" applyNumberFormat="1" applyFont="1" applyBorder="1" applyAlignment="1">
      <alignment horizontal="center" vertical="center"/>
    </xf>
    <xf numFmtId="9" fontId="13" fillId="0" borderId="36" xfId="3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169" fontId="3" fillId="0" borderId="37" xfId="0" applyNumberFormat="1" applyFont="1" applyBorder="1" applyAlignment="1">
      <alignment horizontal="center" vertical="center"/>
    </xf>
    <xf numFmtId="169" fontId="3" fillId="0" borderId="38" xfId="0" applyNumberFormat="1" applyFont="1" applyBorder="1" applyAlignment="1">
      <alignment horizontal="center" vertical="center"/>
    </xf>
    <xf numFmtId="10" fontId="0" fillId="0" borderId="0" xfId="3" applyNumberFormat="1" applyFont="1"/>
    <xf numFmtId="0" fontId="3" fillId="0" borderId="39" xfId="0" applyFont="1" applyBorder="1" applyAlignment="1">
      <alignment horizontal="center" vertical="center"/>
    </xf>
    <xf numFmtId="0" fontId="3" fillId="0" borderId="40" xfId="0" applyFont="1" applyBorder="1" applyAlignment="1">
      <alignment horizontal="center" vertical="center"/>
    </xf>
    <xf numFmtId="9" fontId="3" fillId="0" borderId="41" xfId="3" applyFont="1" applyBorder="1" applyAlignment="1">
      <alignment horizontal="center" vertical="center"/>
    </xf>
    <xf numFmtId="9" fontId="3" fillId="0" borderId="42" xfId="3" applyFont="1" applyBorder="1" applyAlignment="1">
      <alignment horizontal="center" vertical="center"/>
    </xf>
    <xf numFmtId="9" fontId="3" fillId="0" borderId="40" xfId="3" applyFont="1" applyBorder="1" applyAlignment="1">
      <alignment horizontal="center" vertical="center"/>
    </xf>
    <xf numFmtId="0" fontId="16" fillId="0" borderId="0" xfId="0" applyFont="1"/>
    <xf numFmtId="0" fontId="0" fillId="0" borderId="0" xfId="0" applyAlignment="1">
      <alignment horizontal="center"/>
    </xf>
    <xf numFmtId="170" fontId="0" fillId="0" borderId="0" xfId="0" applyNumberFormat="1"/>
    <xf numFmtId="0" fontId="17" fillId="0" borderId="0" xfId="0" applyFont="1"/>
    <xf numFmtId="0" fontId="15" fillId="4" borderId="43" xfId="0" applyFont="1" applyFill="1" applyBorder="1" applyAlignment="1">
      <alignment horizontal="center" wrapText="1"/>
    </xf>
    <xf numFmtId="0" fontId="15" fillId="3" borderId="44" xfId="0" applyFont="1" applyFill="1" applyBorder="1" applyAlignment="1">
      <alignment horizontal="center" vertical="center" wrapText="1"/>
    </xf>
    <xf numFmtId="169" fontId="13" fillId="0" borderId="45" xfId="1" applyNumberFormat="1" applyFont="1" applyBorder="1"/>
    <xf numFmtId="0" fontId="0" fillId="0" borderId="46" xfId="0" applyBorder="1" applyAlignment="1">
      <alignment horizontal="center" vertical="center"/>
    </xf>
    <xf numFmtId="171" fontId="13" fillId="0" borderId="35" xfId="2" applyNumberFormat="1" applyFont="1" applyBorder="1"/>
    <xf numFmtId="9" fontId="13" fillId="0" borderId="34" xfId="3" applyFont="1" applyBorder="1" applyAlignment="1">
      <alignment horizontal="center"/>
    </xf>
    <xf numFmtId="9" fontId="3" fillId="0" borderId="47" xfId="3" applyFont="1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3" fillId="0" borderId="49" xfId="0" applyFont="1" applyBorder="1" applyAlignment="1">
      <alignment horizontal="center" vertical="center"/>
    </xf>
    <xf numFmtId="169" fontId="3" fillId="0" borderId="41" xfId="0" applyNumberFormat="1" applyFont="1" applyBorder="1" applyAlignment="1">
      <alignment horizontal="center" vertical="center"/>
    </xf>
    <xf numFmtId="169" fontId="3" fillId="0" borderId="42" xfId="0" applyNumberFormat="1" applyFont="1" applyBorder="1" applyAlignment="1">
      <alignment horizontal="center" vertical="center"/>
    </xf>
    <xf numFmtId="9" fontId="13" fillId="0" borderId="50" xfId="3" applyFont="1" applyBorder="1" applyAlignment="1">
      <alignment horizontal="center"/>
    </xf>
    <xf numFmtId="9" fontId="0" fillId="0" borderId="0" xfId="3" applyFont="1"/>
    <xf numFmtId="9" fontId="3" fillId="0" borderId="0" xfId="3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 wrapText="1"/>
    </xf>
    <xf numFmtId="9" fontId="0" fillId="0" borderId="0" xfId="3" applyFont="1" applyFill="1"/>
    <xf numFmtId="1" fontId="0" fillId="0" borderId="0" xfId="3" applyNumberFormat="1" applyFont="1" applyFill="1"/>
    <xf numFmtId="165" fontId="0" fillId="0" borderId="0" xfId="3" applyNumberFormat="1" applyFont="1" applyFill="1"/>
    <xf numFmtId="169" fontId="13" fillId="0" borderId="51" xfId="1" applyNumberFormat="1" applyFont="1" applyBorder="1"/>
    <xf numFmtId="169" fontId="18" fillId="0" borderId="52" xfId="0" applyNumberFormat="1" applyFont="1" applyBorder="1"/>
    <xf numFmtId="0" fontId="15" fillId="3" borderId="44" xfId="0" applyFont="1" applyFill="1" applyBorder="1" applyAlignment="1">
      <alignment horizontal="center" wrapText="1"/>
    </xf>
    <xf numFmtId="0" fontId="18" fillId="0" borderId="46" xfId="0" applyFont="1" applyBorder="1" applyAlignment="1">
      <alignment horizontal="center" vertical="center"/>
    </xf>
    <xf numFmtId="9" fontId="13" fillId="0" borderId="36" xfId="3" applyFont="1" applyBorder="1" applyAlignment="1">
      <alignment horizontal="center"/>
    </xf>
    <xf numFmtId="0" fontId="18" fillId="0" borderId="48" xfId="0" applyFont="1" applyBorder="1" applyAlignment="1">
      <alignment horizontal="center" vertical="center"/>
    </xf>
    <xf numFmtId="166" fontId="0" fillId="0" borderId="0" xfId="0" applyNumberFormat="1"/>
    <xf numFmtId="0" fontId="18" fillId="0" borderId="49" xfId="0" applyFont="1" applyBorder="1" applyAlignment="1">
      <alignment horizontal="center" vertical="center"/>
    </xf>
    <xf numFmtId="169" fontId="18" fillId="0" borderId="41" xfId="2" applyNumberFormat="1" applyFont="1" applyBorder="1"/>
    <xf numFmtId="169" fontId="18" fillId="0" borderId="42" xfId="2" applyNumberFormat="1" applyFont="1" applyBorder="1"/>
    <xf numFmtId="10" fontId="18" fillId="5" borderId="40" xfId="3" applyNumberFormat="1" applyFont="1" applyFill="1" applyBorder="1" applyAlignment="1">
      <alignment horizontal="center"/>
    </xf>
    <xf numFmtId="0" fontId="15" fillId="4" borderId="44" xfId="0" applyFont="1" applyFill="1" applyBorder="1" applyAlignment="1">
      <alignment horizontal="center" vertical="center" wrapText="1"/>
    </xf>
    <xf numFmtId="0" fontId="19" fillId="0" borderId="0" xfId="0" applyFont="1"/>
    <xf numFmtId="0" fontId="3" fillId="0" borderId="46" xfId="0" applyFont="1" applyBorder="1" applyAlignment="1">
      <alignment horizontal="center" vertical="center"/>
    </xf>
    <xf numFmtId="165" fontId="3" fillId="0" borderId="35" xfId="2" applyNumberFormat="1" applyFont="1" applyBorder="1" applyAlignment="1">
      <alignment horizontal="center"/>
    </xf>
    <xf numFmtId="165" fontId="3" fillId="0" borderId="53" xfId="0" applyNumberFormat="1" applyFont="1" applyBorder="1" applyAlignment="1">
      <alignment horizontal="center"/>
    </xf>
    <xf numFmtId="165" fontId="3" fillId="0" borderId="34" xfId="0" applyNumberFormat="1" applyFont="1" applyBorder="1" applyAlignment="1">
      <alignment horizontal="center"/>
    </xf>
    <xf numFmtId="165" fontId="0" fillId="0" borderId="37" xfId="2" applyNumberFormat="1" applyFont="1" applyBorder="1" applyAlignment="1">
      <alignment horizontal="center"/>
    </xf>
    <xf numFmtId="165" fontId="0" fillId="0" borderId="38" xfId="2" applyNumberFormat="1" applyFont="1" applyBorder="1" applyAlignment="1">
      <alignment horizontal="center"/>
    </xf>
    <xf numFmtId="165" fontId="0" fillId="0" borderId="36" xfId="2" applyNumberFormat="1" applyFont="1" applyBorder="1" applyAlignment="1">
      <alignment horizontal="center"/>
    </xf>
    <xf numFmtId="0" fontId="3" fillId="0" borderId="48" xfId="0" applyFont="1" applyBorder="1" applyAlignment="1">
      <alignment horizontal="center" vertical="center"/>
    </xf>
    <xf numFmtId="165" fontId="3" fillId="0" borderId="37" xfId="2" applyNumberFormat="1" applyFont="1" applyBorder="1" applyAlignment="1">
      <alignment horizontal="center"/>
    </xf>
    <xf numFmtId="165" fontId="3" fillId="0" borderId="41" xfId="2" applyNumberFormat="1" applyFont="1" applyBorder="1" applyAlignment="1">
      <alignment horizontal="center"/>
    </xf>
    <xf numFmtId="165" fontId="3" fillId="0" borderId="42" xfId="2" applyNumberFormat="1" applyFont="1" applyBorder="1" applyAlignment="1">
      <alignment horizontal="center"/>
    </xf>
    <xf numFmtId="165" fontId="3" fillId="0" borderId="40" xfId="2" applyNumberFormat="1" applyFont="1" applyBorder="1" applyAlignment="1">
      <alignment horizontal="center"/>
    </xf>
    <xf numFmtId="37" fontId="20" fillId="0" borderId="0" xfId="0" applyNumberFormat="1" applyFont="1"/>
    <xf numFmtId="165" fontId="0" fillId="0" borderId="0" xfId="0" applyNumberFormat="1"/>
    <xf numFmtId="0" fontId="0" fillId="0" borderId="0" xfId="0" applyAlignment="1">
      <alignment horizontal="right"/>
    </xf>
    <xf numFmtId="172" fontId="1" fillId="0" borderId="0" xfId="2" applyNumberFormat="1" applyFont="1" applyBorder="1"/>
    <xf numFmtId="172" fontId="0" fillId="0" borderId="0" xfId="2" applyNumberFormat="1" applyFont="1"/>
    <xf numFmtId="0" fontId="21" fillId="0" borderId="11" xfId="0" applyFont="1" applyBorder="1"/>
    <xf numFmtId="0" fontId="2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1" fillId="0" borderId="5" xfId="0" applyFont="1" applyBorder="1"/>
    <xf numFmtId="0" fontId="0" fillId="0" borderId="19" xfId="0" applyBorder="1"/>
    <xf numFmtId="1" fontId="0" fillId="0" borderId="20" xfId="0" applyNumberFormat="1" applyBorder="1"/>
    <xf numFmtId="0" fontId="18" fillId="0" borderId="5" xfId="0" applyFont="1" applyBorder="1"/>
    <xf numFmtId="165" fontId="0" fillId="0" borderId="20" xfId="0" applyNumberFormat="1" applyBorder="1"/>
    <xf numFmtId="165" fontId="0" fillId="0" borderId="21" xfId="0" applyNumberFormat="1" applyBorder="1"/>
    <xf numFmtId="167" fontId="0" fillId="0" borderId="20" xfId="0" applyNumberFormat="1" applyBorder="1"/>
    <xf numFmtId="0" fontId="0" fillId="0" borderId="54" xfId="0" applyBorder="1"/>
    <xf numFmtId="0" fontId="0" fillId="0" borderId="22" xfId="0" applyBorder="1"/>
    <xf numFmtId="165" fontId="0" fillId="0" borderId="23" xfId="0" applyNumberFormat="1" applyBorder="1"/>
    <xf numFmtId="165" fontId="0" fillId="0" borderId="24" xfId="0" applyNumberFormat="1" applyBorder="1"/>
    <xf numFmtId="0" fontId="28" fillId="0" borderId="26" xfId="0" applyFont="1" applyBorder="1"/>
    <xf numFmtId="0" fontId="11" fillId="0" borderId="26" xfId="6" applyFont="1" applyBorder="1"/>
    <xf numFmtId="0" fontId="11" fillId="0" borderId="27" xfId="6" applyFont="1" applyBorder="1"/>
    <xf numFmtId="0" fontId="0" fillId="0" borderId="55" xfId="0" applyBorder="1"/>
    <xf numFmtId="0" fontId="0" fillId="0" borderId="26" xfId="0" applyBorder="1"/>
    <xf numFmtId="0" fontId="0" fillId="0" borderId="27" xfId="0" applyBorder="1"/>
    <xf numFmtId="0" fontId="11" fillId="0" borderId="20" xfId="0" applyFont="1" applyBorder="1"/>
    <xf numFmtId="0" fontId="11" fillId="0" borderId="21" xfId="6" applyFont="1" applyBorder="1"/>
    <xf numFmtId="172" fontId="0" fillId="0" borderId="19" xfId="2" applyNumberFormat="1" applyFont="1" applyBorder="1"/>
    <xf numFmtId="172" fontId="0" fillId="0" borderId="20" xfId="2" applyNumberFormat="1" applyFont="1" applyBorder="1"/>
    <xf numFmtId="172" fontId="0" fillId="0" borderId="21" xfId="2" applyNumberFormat="1" applyFont="1" applyBorder="1"/>
    <xf numFmtId="0" fontId="28" fillId="0" borderId="20" xfId="6" applyFont="1" applyBorder="1"/>
    <xf numFmtId="0" fontId="11" fillId="0" borderId="20" xfId="6" applyFont="1" applyBorder="1"/>
    <xf numFmtId="0" fontId="28" fillId="0" borderId="20" xfId="0" applyFont="1" applyBorder="1"/>
    <xf numFmtId="0" fontId="28" fillId="0" borderId="20" xfId="0" applyFont="1" applyBorder="1" applyAlignment="1">
      <alignment horizontal="left" vertical="center"/>
    </xf>
    <xf numFmtId="0" fontId="11" fillId="0" borderId="20" xfId="0" applyFont="1" applyBorder="1" applyAlignment="1">
      <alignment horizontal="left" vertical="center" indent="1"/>
    </xf>
    <xf numFmtId="0" fontId="28" fillId="0" borderId="21" xfId="6" applyFont="1" applyBorder="1"/>
    <xf numFmtId="0" fontId="28" fillId="0" borderId="23" xfId="6" applyFont="1" applyBorder="1"/>
    <xf numFmtId="0" fontId="11" fillId="0" borderId="23" xfId="6" applyFont="1" applyBorder="1"/>
    <xf numFmtId="0" fontId="11" fillId="0" borderId="24" xfId="6" applyFont="1" applyBorder="1"/>
    <xf numFmtId="171" fontId="5" fillId="0" borderId="22" xfId="8" applyNumberFormat="1" applyFont="1" applyBorder="1"/>
    <xf numFmtId="171" fontId="5" fillId="0" borderId="23" xfId="8" applyNumberFormat="1" applyFont="1" applyBorder="1"/>
    <xf numFmtId="171" fontId="5" fillId="0" borderId="24" xfId="8" applyNumberFormat="1" applyFont="1" applyBorder="1"/>
    <xf numFmtId="0" fontId="27" fillId="6" borderId="60" xfId="7" applyFont="1" applyFill="1" applyBorder="1" applyAlignment="1">
      <alignment horizontal="center"/>
    </xf>
    <xf numFmtId="0" fontId="27" fillId="6" borderId="61" xfId="7" applyFont="1" applyFill="1" applyBorder="1" applyAlignment="1">
      <alignment horizontal="center"/>
    </xf>
    <xf numFmtId="0" fontId="0" fillId="0" borderId="63" xfId="0" applyBorder="1"/>
    <xf numFmtId="0" fontId="0" fillId="0" borderId="67" xfId="0" applyBorder="1"/>
    <xf numFmtId="0" fontId="0" fillId="0" borderId="68" xfId="0" applyBorder="1"/>
    <xf numFmtId="165" fontId="0" fillId="0" borderId="67" xfId="0" applyNumberFormat="1" applyBorder="1"/>
    <xf numFmtId="165" fontId="0" fillId="0" borderId="68" xfId="0" applyNumberFormat="1" applyBorder="1"/>
    <xf numFmtId="0" fontId="0" fillId="0" borderId="71" xfId="0" applyBorder="1"/>
    <xf numFmtId="0" fontId="0" fillId="0" borderId="72" xfId="0" applyBorder="1"/>
    <xf numFmtId="0" fontId="0" fillId="0" borderId="74" xfId="0" applyBorder="1"/>
    <xf numFmtId="9" fontId="3" fillId="0" borderId="75" xfId="0" applyNumberFormat="1" applyFont="1" applyBorder="1"/>
    <xf numFmtId="0" fontId="0" fillId="0" borderId="1" xfId="0" applyBorder="1"/>
    <xf numFmtId="9" fontId="3" fillId="0" borderId="36" xfId="0" applyNumberFormat="1" applyFont="1" applyBorder="1"/>
    <xf numFmtId="0" fontId="0" fillId="0" borderId="39" xfId="0" applyBorder="1"/>
    <xf numFmtId="0" fontId="3" fillId="0" borderId="40" xfId="0" applyFont="1" applyBorder="1" applyAlignment="1">
      <alignment horizontal="right"/>
    </xf>
    <xf numFmtId="164" fontId="11" fillId="0" borderId="0" xfId="4" applyNumberFormat="1" applyFont="1" applyAlignment="1">
      <alignment horizontal="right"/>
    </xf>
    <xf numFmtId="0" fontId="0" fillId="0" borderId="62" xfId="0" applyBorder="1"/>
    <xf numFmtId="172" fontId="30" fillId="0" borderId="64" xfId="2" applyNumberFormat="1" applyFont="1" applyBorder="1" applyAlignment="1">
      <alignment horizontal="center"/>
    </xf>
    <xf numFmtId="165" fontId="30" fillId="0" borderId="65" xfId="2" applyNumberFormat="1" applyFont="1" applyBorder="1" applyAlignment="1">
      <alignment horizontal="center"/>
    </xf>
    <xf numFmtId="0" fontId="0" fillId="0" borderId="66" xfId="0" applyBorder="1"/>
    <xf numFmtId="172" fontId="31" fillId="0" borderId="68" xfId="2" applyNumberFormat="1" applyFont="1" applyBorder="1" applyAlignment="1">
      <alignment horizontal="center"/>
    </xf>
    <xf numFmtId="165" fontId="31" fillId="0" borderId="69" xfId="2" applyNumberFormat="1" applyFont="1" applyBorder="1" applyAlignment="1">
      <alignment horizontal="center"/>
    </xf>
    <xf numFmtId="165" fontId="30" fillId="0" borderId="67" xfId="2" applyNumberFormat="1" applyFont="1" applyBorder="1" applyAlignment="1">
      <alignment horizontal="center"/>
    </xf>
    <xf numFmtId="165" fontId="30" fillId="0" borderId="68" xfId="2" applyNumberFormat="1" applyFont="1" applyBorder="1" applyAlignment="1">
      <alignment horizontal="center"/>
    </xf>
    <xf numFmtId="165" fontId="3" fillId="0" borderId="68" xfId="0" applyNumberFormat="1" applyFont="1" applyBorder="1" applyAlignment="1">
      <alignment horizontal="center"/>
    </xf>
    <xf numFmtId="165" fontId="29" fillId="0" borderId="69" xfId="2" applyNumberFormat="1" applyFont="1" applyBorder="1" applyAlignment="1">
      <alignment horizontal="center"/>
    </xf>
    <xf numFmtId="165" fontId="0" fillId="0" borderId="68" xfId="0" applyNumberFormat="1" applyBorder="1" applyAlignment="1">
      <alignment horizontal="center"/>
    </xf>
    <xf numFmtId="165" fontId="30" fillId="0" borderId="69" xfId="2" applyNumberFormat="1" applyFont="1" applyBorder="1" applyAlignment="1">
      <alignment horizontal="center"/>
    </xf>
    <xf numFmtId="165" fontId="0" fillId="0" borderId="69" xfId="0" applyNumberFormat="1" applyBorder="1" applyAlignment="1">
      <alignment horizontal="center"/>
    </xf>
    <xf numFmtId="165" fontId="0" fillId="0" borderId="67" xfId="0" applyNumberFormat="1" applyBorder="1" applyAlignment="1">
      <alignment horizontal="center"/>
    </xf>
    <xf numFmtId="165" fontId="0" fillId="0" borderId="67" xfId="2" applyNumberFormat="1" applyFont="1" applyBorder="1" applyAlignment="1">
      <alignment horizontal="center"/>
    </xf>
    <xf numFmtId="165" fontId="0" fillId="0" borderId="68" xfId="2" applyNumberFormat="1" applyFont="1" applyBorder="1"/>
    <xf numFmtId="0" fontId="3" fillId="0" borderId="67" xfId="0" applyFont="1" applyBorder="1"/>
    <xf numFmtId="169" fontId="0" fillId="0" borderId="68" xfId="0" applyNumberFormat="1" applyBorder="1" applyAlignment="1">
      <alignment horizontal="center"/>
    </xf>
    <xf numFmtId="165" fontId="0" fillId="0" borderId="69" xfId="2" applyNumberFormat="1" applyFont="1" applyBorder="1" applyAlignment="1">
      <alignment horizontal="center"/>
    </xf>
    <xf numFmtId="172" fontId="0" fillId="0" borderId="0" xfId="0" applyNumberFormat="1"/>
    <xf numFmtId="165" fontId="3" fillId="0" borderId="69" xfId="0" applyNumberFormat="1" applyFont="1" applyBorder="1" applyAlignment="1">
      <alignment horizontal="center"/>
    </xf>
    <xf numFmtId="165" fontId="3" fillId="0" borderId="67" xfId="2" applyNumberFormat="1" applyFont="1" applyBorder="1" applyAlignment="1">
      <alignment horizontal="center"/>
    </xf>
    <xf numFmtId="0" fontId="3" fillId="7" borderId="66" xfId="0" applyFont="1" applyFill="1" applyBorder="1"/>
    <xf numFmtId="0" fontId="3" fillId="7" borderId="67" xfId="0" applyFont="1" applyFill="1" applyBorder="1"/>
    <xf numFmtId="169" fontId="3" fillId="7" borderId="68" xfId="0" applyNumberFormat="1" applyFont="1" applyFill="1" applyBorder="1" applyAlignment="1">
      <alignment horizontal="center"/>
    </xf>
    <xf numFmtId="165" fontId="3" fillId="7" borderId="69" xfId="2" applyNumberFormat="1" applyFont="1" applyFill="1" applyBorder="1" applyAlignment="1">
      <alignment horizontal="center"/>
    </xf>
    <xf numFmtId="165" fontId="3" fillId="7" borderId="67" xfId="2" applyNumberFormat="1" applyFont="1" applyFill="1" applyBorder="1" applyAlignment="1">
      <alignment horizontal="center"/>
    </xf>
    <xf numFmtId="165" fontId="3" fillId="7" borderId="68" xfId="2" applyNumberFormat="1" applyFont="1" applyFill="1" applyBorder="1" applyAlignment="1">
      <alignment horizontal="center"/>
    </xf>
    <xf numFmtId="0" fontId="3" fillId="0" borderId="66" xfId="0" applyFont="1" applyBorder="1"/>
    <xf numFmtId="0" fontId="0" fillId="0" borderId="78" xfId="0" applyBorder="1"/>
    <xf numFmtId="0" fontId="0" fillId="0" borderId="79" xfId="0" applyBorder="1"/>
    <xf numFmtId="165" fontId="0" fillId="0" borderId="80" xfId="0" applyNumberFormat="1" applyBorder="1" applyAlignment="1">
      <alignment horizontal="center"/>
    </xf>
    <xf numFmtId="0" fontId="3" fillId="8" borderId="81" xfId="0" applyFont="1" applyFill="1" applyBorder="1" applyAlignment="1">
      <alignment vertical="center"/>
    </xf>
    <xf numFmtId="0" fontId="3" fillId="8" borderId="82" xfId="0" applyFont="1" applyFill="1" applyBorder="1" applyAlignment="1">
      <alignment vertical="center"/>
    </xf>
    <xf numFmtId="165" fontId="3" fillId="8" borderId="83" xfId="0" applyNumberFormat="1" applyFont="1" applyFill="1" applyBorder="1" applyAlignment="1">
      <alignment horizontal="center" vertical="center"/>
    </xf>
    <xf numFmtId="172" fontId="3" fillId="0" borderId="69" xfId="0" applyNumberFormat="1" applyFont="1" applyBorder="1" applyAlignment="1">
      <alignment horizontal="center" vertical="center"/>
    </xf>
    <xf numFmtId="167" fontId="3" fillId="0" borderId="67" xfId="0" applyNumberFormat="1" applyFont="1" applyBorder="1" applyAlignment="1">
      <alignment horizontal="center" vertical="center"/>
    </xf>
    <xf numFmtId="165" fontId="3" fillId="0" borderId="67" xfId="0" applyNumberFormat="1" applyFont="1" applyBorder="1" applyAlignment="1">
      <alignment horizontal="center"/>
    </xf>
    <xf numFmtId="0" fontId="0" fillId="0" borderId="84" xfId="0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7" xfId="0" applyBorder="1" applyAlignment="1">
      <alignment horizontal="center"/>
    </xf>
    <xf numFmtId="0" fontId="3" fillId="8" borderId="81" xfId="0" applyFont="1" applyFill="1" applyBorder="1"/>
    <xf numFmtId="0" fontId="3" fillId="8" borderId="82" xfId="0" applyFont="1" applyFill="1" applyBorder="1"/>
    <xf numFmtId="10" fontId="32" fillId="0" borderId="69" xfId="0" applyNumberFormat="1" applyFont="1" applyBorder="1" applyAlignment="1">
      <alignment horizontal="center"/>
    </xf>
    <xf numFmtId="10" fontId="32" fillId="0" borderId="67" xfId="0" applyNumberFormat="1" applyFont="1" applyBorder="1" applyAlignment="1">
      <alignment horizontal="center"/>
    </xf>
    <xf numFmtId="0" fontId="0" fillId="0" borderId="87" xfId="0" applyBorder="1"/>
    <xf numFmtId="0" fontId="0" fillId="0" borderId="88" xfId="0" applyBorder="1"/>
    <xf numFmtId="9" fontId="0" fillId="0" borderId="89" xfId="0" applyNumberFormat="1" applyBorder="1"/>
    <xf numFmtId="9" fontId="0" fillId="0" borderId="73" xfId="0" applyNumberFormat="1" applyBorder="1"/>
    <xf numFmtId="9" fontId="0" fillId="0" borderId="71" xfId="0" applyNumberFormat="1" applyBorder="1"/>
    <xf numFmtId="9" fontId="0" fillId="0" borderId="0" xfId="0" applyNumberFormat="1"/>
    <xf numFmtId="0" fontId="6" fillId="0" borderId="0" xfId="4" applyFont="1" applyAlignment="1">
      <alignment horizontal="left"/>
    </xf>
    <xf numFmtId="17" fontId="7" fillId="0" borderId="0" xfId="4" applyNumberFormat="1" applyFont="1" applyAlignment="1">
      <alignment horizontal="left"/>
    </xf>
    <xf numFmtId="0" fontId="0" fillId="0" borderId="90" xfId="0" applyBorder="1"/>
    <xf numFmtId="9" fontId="0" fillId="0" borderId="90" xfId="0" applyNumberFormat="1" applyBorder="1"/>
    <xf numFmtId="0" fontId="0" fillId="0" borderId="91" xfId="0" applyBorder="1"/>
    <xf numFmtId="0" fontId="0" fillId="0" borderId="92" xfId="0" applyBorder="1"/>
    <xf numFmtId="165" fontId="0" fillId="0" borderId="92" xfId="0" applyNumberFormat="1" applyBorder="1"/>
    <xf numFmtId="0" fontId="0" fillId="0" borderId="48" xfId="0" applyBorder="1"/>
    <xf numFmtId="174" fontId="0" fillId="0" borderId="90" xfId="1" applyNumberFormat="1" applyFont="1" applyBorder="1"/>
    <xf numFmtId="0" fontId="0" fillId="0" borderId="49" xfId="0" applyBorder="1"/>
    <xf numFmtId="167" fontId="0" fillId="0" borderId="49" xfId="0" applyNumberFormat="1" applyBorder="1"/>
    <xf numFmtId="0" fontId="23" fillId="2" borderId="56" xfId="6" applyFont="1" applyFill="1" applyBorder="1"/>
    <xf numFmtId="0" fontId="24" fillId="2" borderId="57" xfId="6" applyFont="1" applyFill="1" applyBorder="1"/>
    <xf numFmtId="0" fontId="26" fillId="6" borderId="57" xfId="7" applyFont="1" applyFill="1" applyBorder="1" applyAlignment="1">
      <alignment horizontal="centerContinuous"/>
    </xf>
    <xf numFmtId="0" fontId="26" fillId="6" borderId="58" xfId="7" applyFont="1" applyFill="1" applyBorder="1" applyAlignment="1">
      <alignment horizontal="centerContinuous"/>
    </xf>
    <xf numFmtId="0" fontId="23" fillId="2" borderId="59" xfId="6" applyFont="1" applyFill="1" applyBorder="1"/>
    <xf numFmtId="0" fontId="23" fillId="2" borderId="60" xfId="0" applyFont="1" applyFill="1" applyBorder="1"/>
    <xf numFmtId="0" fontId="24" fillId="2" borderId="60" xfId="6" applyFont="1" applyFill="1" applyBorder="1"/>
    <xf numFmtId="0" fontId="0" fillId="0" borderId="93" xfId="0" applyBorder="1"/>
    <xf numFmtId="0" fontId="0" fillId="0" borderId="94" xfId="0" applyBorder="1"/>
    <xf numFmtId="165" fontId="0" fillId="0" borderId="94" xfId="0" applyNumberFormat="1" applyBorder="1"/>
    <xf numFmtId="165" fontId="0" fillId="0" borderId="95" xfId="0" applyNumberFormat="1" applyBorder="1"/>
    <xf numFmtId="0" fontId="0" fillId="0" borderId="70" xfId="0" applyBorder="1"/>
    <xf numFmtId="165" fontId="0" fillId="0" borderId="71" xfId="0" applyNumberFormat="1" applyBorder="1"/>
    <xf numFmtId="165" fontId="0" fillId="0" borderId="72" xfId="0" applyNumberFormat="1" applyBorder="1"/>
    <xf numFmtId="0" fontId="23" fillId="2" borderId="96" xfId="6" applyFont="1" applyFill="1" applyBorder="1"/>
    <xf numFmtId="0" fontId="23" fillId="2" borderId="97" xfId="0" applyFont="1" applyFill="1" applyBorder="1"/>
    <xf numFmtId="0" fontId="24" fillId="2" borderId="97" xfId="6" applyFont="1" applyFill="1" applyBorder="1"/>
    <xf numFmtId="0" fontId="27" fillId="6" borderId="97" xfId="7" applyFont="1" applyFill="1" applyBorder="1" applyAlignment="1">
      <alignment horizontal="center"/>
    </xf>
    <xf numFmtId="0" fontId="27" fillId="6" borderId="98" xfId="7" applyFont="1" applyFill="1" applyBorder="1" applyAlignment="1">
      <alignment horizontal="center"/>
    </xf>
    <xf numFmtId="0" fontId="0" fillId="0" borderId="99" xfId="0" applyBorder="1"/>
    <xf numFmtId="0" fontId="0" fillId="0" borderId="100" xfId="0" applyBorder="1"/>
    <xf numFmtId="165" fontId="0" fillId="0" borderId="100" xfId="0" applyNumberFormat="1" applyBorder="1"/>
    <xf numFmtId="165" fontId="0" fillId="0" borderId="101" xfId="0" applyNumberFormat="1" applyBorder="1"/>
    <xf numFmtId="0" fontId="0" fillId="0" borderId="76" xfId="0" applyBorder="1"/>
    <xf numFmtId="165" fontId="0" fillId="0" borderId="77" xfId="0" applyNumberFormat="1" applyBorder="1"/>
    <xf numFmtId="0" fontId="0" fillId="0" borderId="59" xfId="0" applyBorder="1"/>
    <xf numFmtId="0" fontId="0" fillId="0" borderId="60" xfId="0" applyBorder="1"/>
    <xf numFmtId="165" fontId="0" fillId="0" borderId="60" xfId="0" applyNumberFormat="1" applyBorder="1"/>
    <xf numFmtId="165" fontId="0" fillId="0" borderId="61" xfId="0" applyNumberFormat="1" applyBorder="1"/>
    <xf numFmtId="0" fontId="23" fillId="2" borderId="102" xfId="6" applyFont="1" applyFill="1" applyBorder="1"/>
    <xf numFmtId="0" fontId="23" fillId="2" borderId="103" xfId="0" applyFont="1" applyFill="1" applyBorder="1"/>
    <xf numFmtId="0" fontId="0" fillId="0" borderId="103" xfId="0" applyBorder="1"/>
    <xf numFmtId="174" fontId="2" fillId="2" borderId="103" xfId="0" applyNumberFormat="1" applyFont="1" applyFill="1" applyBorder="1" applyAlignment="1">
      <alignment horizontal="center"/>
    </xf>
    <xf numFmtId="0" fontId="27" fillId="6" borderId="103" xfId="7" applyFont="1" applyFill="1" applyBorder="1" applyAlignment="1">
      <alignment horizontal="center"/>
    </xf>
    <xf numFmtId="0" fontId="27" fillId="6" borderId="104" xfId="7" applyFont="1" applyFill="1" applyBorder="1" applyAlignment="1">
      <alignment horizontal="center"/>
    </xf>
    <xf numFmtId="0" fontId="0" fillId="0" borderId="105" xfId="0" applyBorder="1"/>
    <xf numFmtId="2" fontId="0" fillId="0" borderId="38" xfId="0" applyNumberFormat="1" applyBorder="1"/>
    <xf numFmtId="0" fontId="0" fillId="0" borderId="38" xfId="0" applyBorder="1"/>
    <xf numFmtId="165" fontId="0" fillId="0" borderId="38" xfId="0" applyNumberFormat="1" applyBorder="1"/>
    <xf numFmtId="165" fontId="0" fillId="0" borderId="106" xfId="0" applyNumberFormat="1" applyBorder="1"/>
    <xf numFmtId="0" fontId="0" fillId="0" borderId="107" xfId="0" applyBorder="1"/>
    <xf numFmtId="2" fontId="0" fillId="0" borderId="108" xfId="0" applyNumberFormat="1" applyBorder="1"/>
    <xf numFmtId="0" fontId="0" fillId="0" borderId="108" xfId="0" applyBorder="1"/>
    <xf numFmtId="165" fontId="0" fillId="0" borderId="108" xfId="0" applyNumberFormat="1" applyBorder="1"/>
    <xf numFmtId="165" fontId="0" fillId="0" borderId="109" xfId="0" applyNumberFormat="1" applyBorder="1"/>
    <xf numFmtId="172" fontId="0" fillId="0" borderId="100" xfId="0" applyNumberFormat="1" applyBorder="1"/>
    <xf numFmtId="172" fontId="0" fillId="0" borderId="101" xfId="0" applyNumberFormat="1" applyBorder="1"/>
    <xf numFmtId="172" fontId="0" fillId="0" borderId="77" xfId="0" applyNumberFormat="1" applyBorder="1"/>
    <xf numFmtId="172" fontId="0" fillId="0" borderId="60" xfId="0" applyNumberFormat="1" applyBorder="1"/>
    <xf numFmtId="172" fontId="0" fillId="0" borderId="61" xfId="0" applyNumberFormat="1" applyBorder="1"/>
    <xf numFmtId="0" fontId="0" fillId="0" borderId="81" xfId="0" applyBorder="1"/>
    <xf numFmtId="0" fontId="0" fillId="0" borderId="82" xfId="0" applyBorder="1"/>
    <xf numFmtId="0" fontId="0" fillId="0" borderId="83" xfId="0" applyBorder="1"/>
    <xf numFmtId="165" fontId="0" fillId="0" borderId="80" xfId="0" applyNumberFormat="1" applyBorder="1"/>
    <xf numFmtId="0" fontId="3" fillId="0" borderId="11" xfId="0" applyFont="1" applyBorder="1"/>
    <xf numFmtId="9" fontId="0" fillId="0" borderId="21" xfId="3" applyFont="1" applyBorder="1"/>
    <xf numFmtId="9" fontId="0" fillId="0" borderId="20" xfId="3" applyFont="1" applyBorder="1"/>
    <xf numFmtId="0" fontId="3" fillId="0" borderId="3" xfId="0" applyFont="1" applyBorder="1"/>
    <xf numFmtId="9" fontId="0" fillId="0" borderId="24" xfId="3" applyFont="1" applyBorder="1"/>
    <xf numFmtId="0" fontId="21" fillId="0" borderId="0" xfId="0" applyFont="1"/>
    <xf numFmtId="0" fontId="18" fillId="0" borderId="0" xfId="0" applyFont="1"/>
    <xf numFmtId="0" fontId="3" fillId="0" borderId="4" xfId="0" applyFont="1" applyBorder="1"/>
    <xf numFmtId="9" fontId="0" fillId="0" borderId="6" xfId="0" applyNumberFormat="1" applyBorder="1"/>
    <xf numFmtId="0" fontId="0" fillId="0" borderId="5" xfId="0" quotePrefix="1" applyBorder="1"/>
    <xf numFmtId="0" fontId="3" fillId="0" borderId="9" xfId="0" applyFont="1" applyBorder="1"/>
    <xf numFmtId="165" fontId="0" fillId="0" borderId="10" xfId="0" applyNumberFormat="1" applyBorder="1"/>
    <xf numFmtId="0" fontId="3" fillId="0" borderId="110" xfId="0" applyFont="1" applyBorder="1"/>
    <xf numFmtId="0" fontId="3" fillId="0" borderId="13" xfId="0" applyFont="1" applyBorder="1"/>
    <xf numFmtId="0" fontId="3" fillId="0" borderId="14" xfId="0" applyFont="1" applyBorder="1"/>
    <xf numFmtId="0" fontId="0" fillId="0" borderId="111" xfId="0" applyBorder="1"/>
    <xf numFmtId="165" fontId="0" fillId="0" borderId="17" xfId="0" applyNumberFormat="1" applyBorder="1"/>
    <xf numFmtId="9" fontId="0" fillId="0" borderId="17" xfId="0" applyNumberFormat="1" applyBorder="1"/>
    <xf numFmtId="165" fontId="0" fillId="0" borderId="18" xfId="0" applyNumberFormat="1" applyBorder="1"/>
    <xf numFmtId="0" fontId="0" fillId="0" borderId="28" xfId="0" applyBorder="1"/>
    <xf numFmtId="9" fontId="0" fillId="0" borderId="20" xfId="0" applyNumberFormat="1" applyBorder="1"/>
    <xf numFmtId="0" fontId="3" fillId="0" borderId="29" xfId="0" applyFont="1" applyBorder="1"/>
    <xf numFmtId="165" fontId="0" fillId="0" borderId="112" xfId="0" applyNumberFormat="1" applyBorder="1"/>
    <xf numFmtId="0" fontId="3" fillId="0" borderId="12" xfId="0" applyFont="1" applyBorder="1"/>
    <xf numFmtId="0" fontId="3" fillId="0" borderId="13" xfId="0" quotePrefix="1" applyFont="1" applyBorder="1"/>
    <xf numFmtId="0" fontId="0" fillId="0" borderId="15" xfId="0" quotePrefix="1" applyBorder="1"/>
    <xf numFmtId="165" fontId="0" fillId="0" borderId="16" xfId="0" quotePrefix="1" applyNumberFormat="1" applyBorder="1"/>
    <xf numFmtId="9" fontId="0" fillId="0" borderId="17" xfId="0" quotePrefix="1" applyNumberFormat="1" applyBorder="1"/>
    <xf numFmtId="9" fontId="0" fillId="0" borderId="5" xfId="0" applyNumberFormat="1" applyBorder="1"/>
    <xf numFmtId="165" fontId="0" fillId="0" borderId="19" xfId="0" quotePrefix="1" applyNumberFormat="1" applyBorder="1"/>
    <xf numFmtId="9" fontId="0" fillId="0" borderId="20" xfId="0" quotePrefix="1" applyNumberFormat="1" applyBorder="1"/>
    <xf numFmtId="165" fontId="0" fillId="0" borderId="22" xfId="0" applyNumberFormat="1" applyBorder="1"/>
    <xf numFmtId="9" fontId="0" fillId="0" borderId="9" xfId="0" applyNumberFormat="1" applyBorder="1"/>
    <xf numFmtId="175" fontId="12" fillId="0" borderId="18" xfId="1" applyNumberFormat="1" applyFont="1" applyBorder="1"/>
    <xf numFmtId="175" fontId="12" fillId="0" borderId="21" xfId="1" applyNumberFormat="1" applyFont="1" applyBorder="1"/>
    <xf numFmtId="175" fontId="12" fillId="0" borderId="24" xfId="1" applyNumberFormat="1" applyFont="1" applyBorder="1"/>
    <xf numFmtId="175" fontId="12" fillId="0" borderId="16" xfId="1" applyNumberFormat="1" applyFont="1" applyBorder="1"/>
    <xf numFmtId="175" fontId="0" fillId="0" borderId="0" xfId="0" applyNumberFormat="1"/>
    <xf numFmtId="43" fontId="0" fillId="0" borderId="0" xfId="1" applyFont="1"/>
    <xf numFmtId="176" fontId="0" fillId="0" borderId="0" xfId="1" applyNumberFormat="1" applyFont="1"/>
    <xf numFmtId="9" fontId="32" fillId="8" borderId="83" xfId="3" applyFont="1" applyFill="1" applyBorder="1" applyAlignment="1">
      <alignment horizontal="center"/>
    </xf>
    <xf numFmtId="0" fontId="0" fillId="0" borderId="114" xfId="0" applyBorder="1"/>
    <xf numFmtId="0" fontId="0" fillId="0" borderId="115" xfId="0" applyBorder="1"/>
    <xf numFmtId="9" fontId="12" fillId="0" borderId="116" xfId="3" applyFont="1" applyBorder="1"/>
    <xf numFmtId="165" fontId="12" fillId="0" borderId="117" xfId="0" applyNumberFormat="1" applyFont="1" applyBorder="1"/>
    <xf numFmtId="9" fontId="12" fillId="0" borderId="117" xfId="0" applyNumberFormat="1" applyFont="1" applyBorder="1"/>
    <xf numFmtId="165" fontId="12" fillId="0" borderId="118" xfId="2" applyNumberFormat="1" applyFont="1" applyBorder="1"/>
    <xf numFmtId="9" fontId="12" fillId="0" borderId="0" xfId="3" applyFont="1" applyBorder="1"/>
    <xf numFmtId="165" fontId="12" fillId="0" borderId="0" xfId="0" applyNumberFormat="1" applyFont="1"/>
    <xf numFmtId="9" fontId="12" fillId="0" borderId="0" xfId="0" applyNumberFormat="1" applyFont="1"/>
    <xf numFmtId="165" fontId="12" fillId="0" borderId="0" xfId="2" applyNumberFormat="1" applyFont="1" applyBorder="1"/>
    <xf numFmtId="0" fontId="0" fillId="0" borderId="119" xfId="0" applyBorder="1"/>
    <xf numFmtId="0" fontId="0" fillId="0" borderId="121" xfId="0" applyBorder="1"/>
    <xf numFmtId="0" fontId="0" fillId="0" borderId="120" xfId="0" applyBorder="1"/>
    <xf numFmtId="0" fontId="0" fillId="0" borderId="122" xfId="0" applyBorder="1"/>
    <xf numFmtId="0" fontId="0" fillId="0" borderId="123" xfId="0" applyBorder="1"/>
    <xf numFmtId="9" fontId="32" fillId="0" borderId="67" xfId="0" applyNumberFormat="1" applyFont="1" applyBorder="1" applyAlignment="1">
      <alignment horizontal="center"/>
    </xf>
    <xf numFmtId="165" fontId="12" fillId="0" borderId="125" xfId="0" applyNumberFormat="1" applyFont="1" applyBorder="1"/>
    <xf numFmtId="9" fontId="12" fillId="0" borderId="125" xfId="0" applyNumberFormat="1" applyFont="1" applyBorder="1"/>
    <xf numFmtId="0" fontId="0" fillId="8" borderId="124" xfId="0" applyFill="1" applyBorder="1"/>
    <xf numFmtId="10" fontId="0" fillId="8" borderId="124" xfId="0" applyNumberFormat="1" applyFill="1" applyBorder="1"/>
    <xf numFmtId="177" fontId="0" fillId="8" borderId="124" xfId="0" applyNumberFormat="1" applyFill="1" applyBorder="1"/>
    <xf numFmtId="9" fontId="0" fillId="8" borderId="124" xfId="0" applyNumberFormat="1" applyFill="1" applyBorder="1"/>
    <xf numFmtId="0" fontId="0" fillId="8" borderId="0" xfId="0" applyFill="1" applyAlignment="1">
      <alignment horizontal="center"/>
    </xf>
    <xf numFmtId="0" fontId="0" fillId="9" borderId="124" xfId="0" applyFill="1" applyBorder="1"/>
    <xf numFmtId="10" fontId="0" fillId="9" borderId="124" xfId="0" applyNumberFormat="1" applyFill="1" applyBorder="1"/>
    <xf numFmtId="177" fontId="0" fillId="9" borderId="124" xfId="0" applyNumberFormat="1" applyFill="1" applyBorder="1"/>
    <xf numFmtId="9" fontId="0" fillId="9" borderId="124" xfId="0" applyNumberFormat="1" applyFill="1" applyBorder="1"/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0" borderId="124" xfId="0" applyFill="1" applyBorder="1"/>
    <xf numFmtId="10" fontId="0" fillId="10" borderId="124" xfId="0" applyNumberFormat="1" applyFill="1" applyBorder="1"/>
    <xf numFmtId="177" fontId="0" fillId="10" borderId="124" xfId="0" applyNumberFormat="1" applyFill="1" applyBorder="1"/>
    <xf numFmtId="9" fontId="0" fillId="10" borderId="124" xfId="0" applyNumberFormat="1" applyFill="1" applyBorder="1"/>
    <xf numFmtId="1" fontId="0" fillId="10" borderId="124" xfId="0" applyNumberFormat="1" applyFill="1" applyBorder="1"/>
    <xf numFmtId="1" fontId="0" fillId="8" borderId="124" xfId="0" applyNumberFormat="1" applyFill="1" applyBorder="1"/>
    <xf numFmtId="1" fontId="0" fillId="9" borderId="124" xfId="0" applyNumberFormat="1" applyFill="1" applyBorder="1"/>
    <xf numFmtId="0" fontId="0" fillId="11" borderId="0" xfId="0" applyFill="1" applyAlignment="1">
      <alignment horizontal="center"/>
    </xf>
    <xf numFmtId="0" fontId="0" fillId="11" borderId="124" xfId="0" applyFill="1" applyBorder="1"/>
    <xf numFmtId="10" fontId="0" fillId="11" borderId="124" xfId="0" applyNumberFormat="1" applyFill="1" applyBorder="1"/>
    <xf numFmtId="177" fontId="0" fillId="11" borderId="124" xfId="0" applyNumberFormat="1" applyFill="1" applyBorder="1"/>
    <xf numFmtId="1" fontId="0" fillId="11" borderId="124" xfId="0" applyNumberFormat="1" applyFill="1" applyBorder="1"/>
    <xf numFmtId="9" fontId="0" fillId="11" borderId="124" xfId="0" applyNumberFormat="1" applyFill="1" applyBorder="1"/>
    <xf numFmtId="0" fontId="0" fillId="12" borderId="0" xfId="0" applyFill="1" applyAlignment="1">
      <alignment horizontal="center"/>
    </xf>
    <xf numFmtId="0" fontId="0" fillId="12" borderId="124" xfId="0" applyFill="1" applyBorder="1"/>
    <xf numFmtId="10" fontId="0" fillId="12" borderId="124" xfId="0" applyNumberFormat="1" applyFill="1" applyBorder="1"/>
    <xf numFmtId="177" fontId="0" fillId="12" borderId="124" xfId="0" applyNumberFormat="1" applyFill="1" applyBorder="1"/>
    <xf numFmtId="1" fontId="0" fillId="12" borderId="124" xfId="0" applyNumberFormat="1" applyFill="1" applyBorder="1"/>
    <xf numFmtId="9" fontId="0" fillId="12" borderId="124" xfId="0" applyNumberFormat="1" applyFill="1" applyBorder="1"/>
    <xf numFmtId="0" fontId="0" fillId="13" borderId="124" xfId="0" applyFill="1" applyBorder="1"/>
    <xf numFmtId="10" fontId="0" fillId="13" borderId="124" xfId="0" applyNumberFormat="1" applyFill="1" applyBorder="1"/>
    <xf numFmtId="177" fontId="0" fillId="13" borderId="124" xfId="0" applyNumberFormat="1" applyFill="1" applyBorder="1"/>
    <xf numFmtId="1" fontId="0" fillId="13" borderId="124" xfId="0" applyNumberFormat="1" applyFill="1" applyBorder="1"/>
    <xf numFmtId="9" fontId="0" fillId="13" borderId="124" xfId="0" applyNumberFormat="1" applyFill="1" applyBorder="1"/>
    <xf numFmtId="9" fontId="0" fillId="8" borderId="124" xfId="3" applyFont="1" applyFill="1" applyBorder="1"/>
    <xf numFmtId="9" fontId="0" fillId="9" borderId="124" xfId="3" applyFont="1" applyFill="1" applyBorder="1"/>
    <xf numFmtId="9" fontId="0" fillId="12" borderId="124" xfId="3" applyFont="1" applyFill="1" applyBorder="1"/>
    <xf numFmtId="177" fontId="0" fillId="14" borderId="124" xfId="0" applyNumberFormat="1" applyFill="1" applyBorder="1"/>
    <xf numFmtId="0" fontId="0" fillId="14" borderId="124" xfId="0" applyFill="1" applyBorder="1"/>
    <xf numFmtId="9" fontId="0" fillId="14" borderId="124" xfId="0" applyNumberFormat="1" applyFill="1" applyBorder="1"/>
    <xf numFmtId="9" fontId="0" fillId="14" borderId="124" xfId="3" applyFont="1" applyFill="1" applyBorder="1"/>
    <xf numFmtId="9" fontId="0" fillId="11" borderId="124" xfId="3" applyFont="1" applyFill="1" applyBorder="1"/>
    <xf numFmtId="9" fontId="0" fillId="13" borderId="124" xfId="3" applyFont="1" applyFill="1" applyBorder="1"/>
    <xf numFmtId="0" fontId="0" fillId="5" borderId="0" xfId="0" applyFill="1"/>
    <xf numFmtId="177" fontId="0" fillId="0" borderId="20" xfId="0" applyNumberFormat="1" applyBorder="1"/>
    <xf numFmtId="0" fontId="0" fillId="0" borderId="127" xfId="0" applyBorder="1"/>
    <xf numFmtId="0" fontId="0" fillId="0" borderId="128" xfId="0" applyBorder="1"/>
    <xf numFmtId="0" fontId="0" fillId="0" borderId="129" xfId="0" applyBorder="1"/>
    <xf numFmtId="177" fontId="0" fillId="0" borderId="130" xfId="0" applyNumberFormat="1" applyBorder="1"/>
    <xf numFmtId="0" fontId="0" fillId="0" borderId="131" xfId="0" applyBorder="1"/>
    <xf numFmtId="0" fontId="18" fillId="0" borderId="131" xfId="0" applyFont="1" applyBorder="1"/>
    <xf numFmtId="0" fontId="18" fillId="0" borderId="131" xfId="0" applyFont="1" applyBorder="1" applyAlignment="1">
      <alignment horizontal="center"/>
    </xf>
    <xf numFmtId="0" fontId="21" fillId="0" borderId="131" xfId="0" applyFont="1" applyBorder="1"/>
    <xf numFmtId="0" fontId="18" fillId="0" borderId="133" xfId="0" applyFont="1" applyBorder="1"/>
    <xf numFmtId="0" fontId="18" fillId="0" borderId="134" xfId="0" applyFont="1" applyBorder="1" applyAlignment="1">
      <alignment horizontal="center"/>
    </xf>
    <xf numFmtId="0" fontId="18" fillId="0" borderId="134" xfId="0" applyFont="1" applyBorder="1"/>
    <xf numFmtId="0" fontId="0" fillId="0" borderId="134" xfId="0" applyBorder="1"/>
    <xf numFmtId="0" fontId="18" fillId="0" borderId="136" xfId="0" applyFont="1" applyBorder="1"/>
    <xf numFmtId="0" fontId="0" fillId="0" borderId="136" xfId="0" applyBorder="1"/>
    <xf numFmtId="0" fontId="0" fillId="0" borderId="135" xfId="0" applyBorder="1"/>
    <xf numFmtId="0" fontId="0" fillId="0" borderId="132" xfId="0" applyBorder="1"/>
    <xf numFmtId="0" fontId="0" fillId="0" borderId="137" xfId="0" applyBorder="1"/>
    <xf numFmtId="10" fontId="0" fillId="0" borderId="0" xfId="3" applyNumberFormat="1" applyFont="1" applyBorder="1"/>
    <xf numFmtId="0" fontId="0" fillId="0" borderId="140" xfId="0" applyBorder="1"/>
    <xf numFmtId="0" fontId="0" fillId="0" borderId="122" xfId="0" applyBorder="1" applyAlignment="1">
      <alignment horizontal="center"/>
    </xf>
    <xf numFmtId="0" fontId="0" fillId="0" borderId="141" xfId="0" applyBorder="1" applyAlignment="1">
      <alignment horizontal="center"/>
    </xf>
    <xf numFmtId="0" fontId="0" fillId="0" borderId="142" xfId="0" applyBorder="1"/>
    <xf numFmtId="0" fontId="0" fillId="0" borderId="143" xfId="0" applyBorder="1" applyAlignment="1">
      <alignment horizontal="center"/>
    </xf>
    <xf numFmtId="0" fontId="0" fillId="0" borderId="139" xfId="0" applyBorder="1"/>
    <xf numFmtId="0" fontId="0" fillId="15" borderId="124" xfId="0" applyFill="1" applyBorder="1"/>
    <xf numFmtId="10" fontId="0" fillId="15" borderId="124" xfId="0" applyNumberFormat="1" applyFill="1" applyBorder="1"/>
    <xf numFmtId="177" fontId="0" fillId="15" borderId="124" xfId="0" applyNumberFormat="1" applyFill="1" applyBorder="1"/>
    <xf numFmtId="1" fontId="0" fillId="15" borderId="124" xfId="0" applyNumberFormat="1" applyFill="1" applyBorder="1"/>
    <xf numFmtId="9" fontId="0" fillId="15" borderId="124" xfId="0" applyNumberFormat="1" applyFill="1" applyBorder="1"/>
    <xf numFmtId="9" fontId="0" fillId="15" borderId="124" xfId="3" applyFont="1" applyFill="1" applyBorder="1"/>
    <xf numFmtId="0" fontId="0" fillId="15" borderId="0" xfId="0" applyFill="1" applyAlignment="1">
      <alignment horizontal="center"/>
    </xf>
    <xf numFmtId="0" fontId="0" fillId="16" borderId="0" xfId="0" applyFill="1" applyAlignment="1">
      <alignment horizontal="center"/>
    </xf>
    <xf numFmtId="0" fontId="0" fillId="16" borderId="124" xfId="0" applyFill="1" applyBorder="1"/>
    <xf numFmtId="10" fontId="0" fillId="16" borderId="124" xfId="0" applyNumberFormat="1" applyFill="1" applyBorder="1"/>
    <xf numFmtId="177" fontId="0" fillId="16" borderId="124" xfId="0" applyNumberFormat="1" applyFill="1" applyBorder="1"/>
    <xf numFmtId="1" fontId="0" fillId="16" borderId="124" xfId="0" applyNumberFormat="1" applyFill="1" applyBorder="1"/>
    <xf numFmtId="9" fontId="0" fillId="16" borderId="124" xfId="0" applyNumberFormat="1" applyFill="1" applyBorder="1"/>
    <xf numFmtId="9" fontId="0" fillId="16" borderId="124" xfId="3" applyFont="1" applyFill="1" applyBorder="1"/>
    <xf numFmtId="0" fontId="0" fillId="18" borderId="0" xfId="0" applyFill="1" applyAlignment="1">
      <alignment horizontal="center"/>
    </xf>
    <xf numFmtId="0" fontId="0" fillId="19" borderId="124" xfId="0" applyFill="1" applyBorder="1"/>
    <xf numFmtId="10" fontId="0" fillId="19" borderId="124" xfId="0" applyNumberFormat="1" applyFill="1" applyBorder="1"/>
    <xf numFmtId="177" fontId="0" fillId="19" borderId="124" xfId="0" applyNumberFormat="1" applyFill="1" applyBorder="1"/>
    <xf numFmtId="1" fontId="0" fillId="19" borderId="124" xfId="0" applyNumberFormat="1" applyFill="1" applyBorder="1"/>
    <xf numFmtId="9" fontId="0" fillId="19" borderId="124" xfId="0" applyNumberFormat="1" applyFill="1" applyBorder="1"/>
    <xf numFmtId="9" fontId="0" fillId="19" borderId="124" xfId="3" applyFont="1" applyFill="1" applyBorder="1"/>
    <xf numFmtId="0" fontId="0" fillId="18" borderId="124" xfId="0" applyFill="1" applyBorder="1"/>
    <xf numFmtId="10" fontId="0" fillId="18" borderId="124" xfId="0" applyNumberFormat="1" applyFill="1" applyBorder="1"/>
    <xf numFmtId="177" fontId="0" fillId="18" borderId="124" xfId="0" applyNumberFormat="1" applyFill="1" applyBorder="1"/>
    <xf numFmtId="1" fontId="0" fillId="18" borderId="124" xfId="0" applyNumberFormat="1" applyFill="1" applyBorder="1"/>
    <xf numFmtId="9" fontId="0" fillId="18" borderId="124" xfId="0" applyNumberFormat="1" applyFill="1" applyBorder="1"/>
    <xf numFmtId="9" fontId="0" fillId="18" borderId="124" xfId="3" applyFont="1" applyFill="1" applyBorder="1"/>
    <xf numFmtId="0" fontId="15" fillId="3" borderId="30" xfId="0" applyFont="1" applyFill="1" applyBorder="1" applyAlignment="1">
      <alignment horizontal="center" vertical="center" wrapText="1"/>
    </xf>
    <xf numFmtId="0" fontId="15" fillId="3" borderId="31" xfId="0" applyFont="1" applyFill="1" applyBorder="1" applyAlignment="1">
      <alignment horizontal="center" vertical="center" wrapText="1"/>
    </xf>
    <xf numFmtId="177" fontId="0" fillId="0" borderId="21" xfId="0" applyNumberFormat="1" applyBorder="1"/>
    <xf numFmtId="0" fontId="21" fillId="0" borderId="144" xfId="0" applyFont="1" applyBorder="1"/>
    <xf numFmtId="0" fontId="21" fillId="0" borderId="145" xfId="0" applyFont="1" applyBorder="1"/>
    <xf numFmtId="0" fontId="0" fillId="0" borderId="145" xfId="0" applyBorder="1"/>
    <xf numFmtId="0" fontId="18" fillId="0" borderId="145" xfId="0" applyFont="1" applyBorder="1"/>
    <xf numFmtId="0" fontId="3" fillId="0" borderId="145" xfId="0" applyFont="1" applyBorder="1"/>
    <xf numFmtId="0" fontId="18" fillId="0" borderId="146" xfId="0" applyFont="1" applyBorder="1"/>
    <xf numFmtId="0" fontId="0" fillId="0" borderId="147" xfId="0" applyBorder="1"/>
    <xf numFmtId="177" fontId="0" fillId="0" borderId="0" xfId="0" applyNumberFormat="1" applyBorder="1"/>
    <xf numFmtId="177" fontId="0" fillId="0" borderId="113" xfId="0" applyNumberFormat="1" applyBorder="1"/>
    <xf numFmtId="0" fontId="0" fillId="0" borderId="0" xfId="0" applyBorder="1"/>
    <xf numFmtId="0" fontId="18" fillId="0" borderId="0" xfId="0" applyFont="1" applyBorder="1"/>
    <xf numFmtId="0" fontId="0" fillId="0" borderId="148" xfId="0" applyFill="1" applyBorder="1"/>
    <xf numFmtId="0" fontId="0" fillId="0" borderId="149" xfId="0" applyBorder="1"/>
    <xf numFmtId="0" fontId="0" fillId="0" borderId="150" xfId="0" applyBorder="1"/>
    <xf numFmtId="165" fontId="12" fillId="0" borderId="151" xfId="0" applyNumberFormat="1" applyFont="1" applyBorder="1"/>
    <xf numFmtId="0" fontId="0" fillId="0" borderId="152" xfId="0" applyBorder="1"/>
    <xf numFmtId="0" fontId="0" fillId="0" borderId="152" xfId="0" applyFill="1" applyBorder="1"/>
    <xf numFmtId="0" fontId="12" fillId="0" borderId="152" xfId="0" applyFont="1" applyBorder="1"/>
    <xf numFmtId="0" fontId="0" fillId="13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139" xfId="0" applyBorder="1" applyAlignment="1">
      <alignment horizontal="center"/>
    </xf>
    <xf numFmtId="1" fontId="0" fillId="0" borderId="0" xfId="0" applyNumberFormat="1" applyBorder="1"/>
    <xf numFmtId="9" fontId="12" fillId="0" borderId="6" xfId="0" applyNumberFormat="1" applyFont="1" applyBorder="1" applyAlignment="1">
      <alignment horizontal="right"/>
    </xf>
    <xf numFmtId="177" fontId="0" fillId="0" borderId="125" xfId="0" applyNumberFormat="1" applyBorder="1"/>
    <xf numFmtId="0" fontId="0" fillId="0" borderId="155" xfId="0" applyBorder="1"/>
    <xf numFmtId="0" fontId="0" fillId="0" borderId="125" xfId="0" applyBorder="1"/>
    <xf numFmtId="0" fontId="3" fillId="0" borderId="0" xfId="0" applyFont="1" applyBorder="1"/>
    <xf numFmtId="165" fontId="0" fillId="0" borderId="0" xfId="0" applyNumberFormat="1" applyBorder="1"/>
    <xf numFmtId="167" fontId="0" fillId="0" borderId="0" xfId="0" applyNumberFormat="1" applyBorder="1"/>
    <xf numFmtId="0" fontId="0" fillId="0" borderId="148" xfId="0" applyBorder="1"/>
    <xf numFmtId="0" fontId="21" fillId="0" borderId="0" xfId="0" applyFont="1" applyBorder="1"/>
    <xf numFmtId="0" fontId="0" fillId="0" borderId="158" xfId="0" applyBorder="1"/>
    <xf numFmtId="177" fontId="0" fillId="0" borderId="159" xfId="0" applyNumberFormat="1" applyBorder="1"/>
    <xf numFmtId="0" fontId="21" fillId="0" borderId="160" xfId="0" applyFont="1" applyBorder="1"/>
    <xf numFmtId="0" fontId="33" fillId="0" borderId="161" xfId="0" applyFont="1" applyBorder="1"/>
    <xf numFmtId="0" fontId="18" fillId="0" borderId="154" xfId="0" applyFont="1" applyBorder="1"/>
    <xf numFmtId="0" fontId="33" fillId="0" borderId="162" xfId="6" applyFont="1" applyBorder="1"/>
    <xf numFmtId="0" fontId="33" fillId="0" borderId="162" xfId="0" applyFont="1" applyBorder="1"/>
    <xf numFmtId="0" fontId="18" fillId="0" borderId="162" xfId="0" applyFont="1" applyBorder="1"/>
    <xf numFmtId="0" fontId="18" fillId="0" borderId="162" xfId="0" applyFont="1" applyBorder="1" applyAlignment="1">
      <alignment horizontal="left"/>
    </xf>
    <xf numFmtId="0" fontId="34" fillId="5" borderId="163" xfId="6" applyFont="1" applyFill="1" applyBorder="1"/>
    <xf numFmtId="0" fontId="34" fillId="5" borderId="164" xfId="0" applyFont="1" applyFill="1" applyBorder="1"/>
    <xf numFmtId="0" fontId="35" fillId="5" borderId="164" xfId="6" applyFont="1" applyFill="1" applyBorder="1"/>
    <xf numFmtId="0" fontId="34" fillId="5" borderId="164" xfId="7" applyFont="1" applyFill="1" applyBorder="1" applyAlignment="1">
      <alignment horizontal="center"/>
    </xf>
    <xf numFmtId="0" fontId="34" fillId="5" borderId="165" xfId="7" applyFont="1" applyFill="1" applyBorder="1" applyAlignment="1">
      <alignment horizontal="center"/>
    </xf>
    <xf numFmtId="9" fontId="12" fillId="0" borderId="5" xfId="0" applyNumberFormat="1" applyFont="1" applyBorder="1"/>
    <xf numFmtId="0" fontId="0" fillId="8" borderId="166" xfId="0" applyFill="1" applyBorder="1"/>
    <xf numFmtId="9" fontId="12" fillId="0" borderId="156" xfId="0" applyNumberFormat="1" applyFont="1" applyBorder="1"/>
    <xf numFmtId="175" fontId="12" fillId="0" borderId="113" xfId="1" applyNumberFormat="1" applyFont="1" applyBorder="1"/>
    <xf numFmtId="175" fontId="12" fillId="0" borderId="126" xfId="1" applyNumberFormat="1" applyFont="1" applyFill="1" applyBorder="1"/>
    <xf numFmtId="177" fontId="12" fillId="0" borderId="17" xfId="0" applyNumberFormat="1" applyFont="1" applyBorder="1"/>
    <xf numFmtId="177" fontId="12" fillId="0" borderId="20" xfId="0" applyNumberFormat="1" applyFont="1" applyBorder="1"/>
    <xf numFmtId="177" fontId="12" fillId="0" borderId="21" xfId="1" applyNumberFormat="1" applyFont="1" applyBorder="1"/>
    <xf numFmtId="177" fontId="12" fillId="0" borderId="24" xfId="1" applyNumberFormat="1" applyFont="1" applyBorder="1"/>
    <xf numFmtId="177" fontId="12" fillId="0" borderId="18" xfId="0" applyNumberFormat="1" applyFont="1" applyBorder="1"/>
    <xf numFmtId="175" fontId="12" fillId="0" borderId="157" xfId="1" applyNumberFormat="1" applyFont="1" applyBorder="1"/>
    <xf numFmtId="9" fontId="12" fillId="0" borderId="113" xfId="0" applyNumberFormat="1" applyFont="1" applyBorder="1"/>
    <xf numFmtId="177" fontId="12" fillId="0" borderId="153" xfId="0" applyNumberFormat="1" applyFont="1" applyBorder="1"/>
    <xf numFmtId="9" fontId="12" fillId="0" borderId="153" xfId="0" applyNumberFormat="1" applyFont="1" applyBorder="1"/>
    <xf numFmtId="177" fontId="12" fillId="0" borderId="157" xfId="0" applyNumberFormat="1" applyFont="1" applyBorder="1"/>
    <xf numFmtId="175" fontId="12" fillId="0" borderId="167" xfId="1" applyNumberFormat="1" applyFont="1" applyBorder="1"/>
    <xf numFmtId="0" fontId="0" fillId="9" borderId="166" xfId="0" applyFill="1" applyBorder="1"/>
    <xf numFmtId="0" fontId="0" fillId="12" borderId="166" xfId="0" applyFill="1" applyBorder="1"/>
    <xf numFmtId="0" fontId="0" fillId="15" borderId="166" xfId="0" applyFill="1" applyBorder="1"/>
    <xf numFmtId="0" fontId="0" fillId="19" borderId="166" xfId="0" applyFill="1" applyBorder="1"/>
    <xf numFmtId="0" fontId="0" fillId="18" borderId="166" xfId="0" applyFill="1" applyBorder="1"/>
    <xf numFmtId="0" fontId="0" fillId="16" borderId="166" xfId="0" applyFill="1" applyBorder="1"/>
    <xf numFmtId="0" fontId="0" fillId="13" borderId="166" xfId="0" applyFill="1" applyBorder="1"/>
    <xf numFmtId="0" fontId="0" fillId="11" borderId="166" xfId="0" applyFill="1" applyBorder="1"/>
    <xf numFmtId="0" fontId="0" fillId="14" borderId="166" xfId="0" applyFill="1" applyBorder="1"/>
    <xf numFmtId="0" fontId="0" fillId="10" borderId="166" xfId="0" applyFill="1" applyBorder="1"/>
    <xf numFmtId="10" fontId="36" fillId="0" borderId="138" xfId="0" applyNumberFormat="1" applyFont="1" applyBorder="1"/>
    <xf numFmtId="10" fontId="36" fillId="0" borderId="126" xfId="0" applyNumberFormat="1" applyFont="1" applyBorder="1"/>
    <xf numFmtId="9" fontId="36" fillId="0" borderId="138" xfId="0" applyNumberFormat="1" applyFont="1" applyBorder="1"/>
    <xf numFmtId="9" fontId="36" fillId="0" borderId="126" xfId="0" applyNumberFormat="1" applyFont="1" applyBorder="1"/>
    <xf numFmtId="177" fontId="36" fillId="0" borderId="20" xfId="0" applyNumberFormat="1" applyFont="1" applyBorder="1"/>
    <xf numFmtId="177" fontId="36" fillId="0" borderId="128" xfId="0" applyNumberFormat="1" applyFont="1" applyBorder="1"/>
    <xf numFmtId="0" fontId="0" fillId="5" borderId="124" xfId="0" applyFill="1" applyBorder="1"/>
    <xf numFmtId="1" fontId="0" fillId="5" borderId="124" xfId="0" applyNumberFormat="1" applyFill="1" applyBorder="1"/>
    <xf numFmtId="0" fontId="0" fillId="5" borderId="166" xfId="0" applyFill="1" applyBorder="1"/>
    <xf numFmtId="0" fontId="0" fillId="5" borderId="168" xfId="0" applyFill="1" applyBorder="1"/>
    <xf numFmtId="9" fontId="36" fillId="0" borderId="20" xfId="0" applyNumberFormat="1" applyFont="1" applyBorder="1"/>
    <xf numFmtId="0" fontId="0" fillId="0" borderId="169" xfId="0" applyFill="1" applyBorder="1"/>
    <xf numFmtId="177" fontId="36" fillId="0" borderId="153" xfId="0" applyNumberFormat="1" applyFont="1" applyFill="1" applyBorder="1"/>
    <xf numFmtId="0" fontId="41" fillId="0" borderId="0" xfId="10"/>
    <xf numFmtId="0" fontId="45" fillId="22" borderId="170" xfId="10" applyFont="1" applyFill="1" applyBorder="1" applyAlignment="1">
      <alignment horizontal="center" vertical="center" wrapText="1"/>
    </xf>
    <xf numFmtId="0" fontId="46" fillId="0" borderId="170" xfId="10" applyFont="1" applyBorder="1" applyAlignment="1">
      <alignment vertical="center"/>
    </xf>
    <xf numFmtId="0" fontId="46" fillId="0" borderId="170" xfId="10" applyFont="1" applyBorder="1" applyAlignment="1">
      <alignment vertical="center" wrapText="1"/>
    </xf>
    <xf numFmtId="189" fontId="47" fillId="0" borderId="170" xfId="10" applyNumberFormat="1" applyFont="1" applyBorder="1" applyAlignment="1">
      <alignment vertical="center"/>
    </xf>
    <xf numFmtId="189" fontId="49" fillId="24" borderId="170" xfId="10" applyNumberFormat="1" applyFont="1" applyFill="1" applyBorder="1"/>
    <xf numFmtId="0" fontId="41" fillId="24" borderId="170" xfId="10" applyFill="1" applyBorder="1"/>
    <xf numFmtId="189" fontId="46" fillId="0" borderId="0" xfId="10" applyNumberFormat="1" applyFont="1"/>
    <xf numFmtId="189" fontId="49" fillId="24" borderId="0" xfId="10" applyNumberFormat="1" applyFont="1" applyFill="1"/>
    <xf numFmtId="0" fontId="48" fillId="24" borderId="170" xfId="10" applyFont="1" applyFill="1" applyBorder="1"/>
    <xf numFmtId="0" fontId="44" fillId="23" borderId="0" xfId="10" applyFont="1" applyFill="1"/>
    <xf numFmtId="0" fontId="50" fillId="0" borderId="0" xfId="10" applyFont="1"/>
    <xf numFmtId="0" fontId="48" fillId="24" borderId="0" xfId="10" applyFont="1" applyFill="1"/>
    <xf numFmtId="0" fontId="42" fillId="22" borderId="0" xfId="10" applyFont="1" applyFill="1"/>
    <xf numFmtId="0" fontId="43" fillId="0" borderId="0" xfId="10" applyFont="1"/>
    <xf numFmtId="0" fontId="53" fillId="26" borderId="172" xfId="9" applyFont="1" applyFill="1" applyBorder="1" applyAlignment="1">
      <alignment horizontal="right" vertical="center"/>
    </xf>
    <xf numFmtId="0" fontId="38" fillId="20" borderId="171" xfId="9" applyFont="1" applyFill="1" applyBorder="1" applyAlignment="1">
      <alignment horizontal="center" vertical="center" wrapText="1"/>
    </xf>
    <xf numFmtId="0" fontId="40" fillId="25" borderId="171" xfId="9" applyFont="1" applyFill="1" applyBorder="1" applyAlignment="1">
      <alignment vertical="center" wrapText="1"/>
    </xf>
    <xf numFmtId="0" fontId="40" fillId="21" borderId="171" xfId="9" applyFont="1" applyFill="1" applyBorder="1" applyAlignment="1">
      <alignment vertical="center" wrapText="1"/>
    </xf>
    <xf numFmtId="0" fontId="54" fillId="26" borderId="171" xfId="9" applyFont="1" applyFill="1" applyBorder="1" applyAlignment="1">
      <alignment horizontal="center" vertical="center"/>
    </xf>
    <xf numFmtId="0" fontId="39" fillId="0" borderId="173" xfId="9" applyFont="1" applyBorder="1"/>
    <xf numFmtId="0" fontId="39" fillId="0" borderId="174" xfId="9" applyFont="1" applyBorder="1"/>
    <xf numFmtId="0" fontId="52" fillId="0" borderId="0" xfId="9" applyFont="1" applyAlignment="1">
      <alignment horizontal="center"/>
    </xf>
    <xf numFmtId="0" fontId="37" fillId="0" borderId="0" xfId="9"/>
    <xf numFmtId="0" fontId="51" fillId="20" borderId="0" xfId="9" applyFont="1" applyFill="1" applyBorder="1" applyAlignment="1">
      <alignment horizontal="center" vertical="center"/>
    </xf>
    <xf numFmtId="0" fontId="39" fillId="0" borderId="0" xfId="9" applyFont="1" applyBorder="1"/>
    <xf numFmtId="0" fontId="55" fillId="26" borderId="172" xfId="9" applyFont="1" applyFill="1" applyBorder="1" applyAlignment="1">
      <alignment horizontal="left" vertical="center"/>
    </xf>
    <xf numFmtId="0" fontId="39" fillId="20" borderId="0" xfId="9" applyFont="1" applyFill="1" applyBorder="1"/>
    <xf numFmtId="43" fontId="54" fillId="26" borderId="171" xfId="1" applyFont="1" applyFill="1" applyBorder="1" applyAlignment="1">
      <alignment horizontal="center" vertical="center"/>
    </xf>
    <xf numFmtId="43" fontId="0" fillId="0" borderId="0" xfId="0" applyNumberFormat="1"/>
    <xf numFmtId="0" fontId="45" fillId="22" borderId="170" xfId="10" applyFont="1" applyFill="1" applyBorder="1" applyAlignment="1">
      <alignment horizontal="center" vertical="center" wrapText="1"/>
    </xf>
    <xf numFmtId="0" fontId="46" fillId="0" borderId="170" xfId="10" applyFont="1" applyBorder="1" applyAlignment="1">
      <alignment vertical="center"/>
    </xf>
    <xf numFmtId="0" fontId="46" fillId="0" borderId="170" xfId="10" applyFont="1" applyBorder="1" applyAlignment="1">
      <alignment vertical="center" wrapText="1"/>
    </xf>
    <xf numFmtId="189" fontId="47" fillId="0" borderId="170" xfId="10" applyNumberFormat="1" applyFont="1" applyBorder="1" applyAlignment="1">
      <alignment vertical="center"/>
    </xf>
    <xf numFmtId="189" fontId="49" fillId="24" borderId="170" xfId="10" applyNumberFormat="1" applyFont="1" applyFill="1" applyBorder="1"/>
    <xf numFmtId="0" fontId="41" fillId="24" borderId="170" xfId="10" applyFill="1" applyBorder="1"/>
    <xf numFmtId="164" fontId="8" fillId="0" borderId="0" xfId="4" applyNumberFormat="1" applyFont="1" applyBorder="1" applyAlignment="1">
      <alignment horizontal="right"/>
    </xf>
    <xf numFmtId="164" fontId="9" fillId="0" borderId="0" xfId="4" applyNumberFormat="1" applyFont="1" applyBorder="1" applyAlignment="1">
      <alignment horizontal="right"/>
    </xf>
    <xf numFmtId="164" fontId="10" fillId="0" borderId="0" xfId="4" applyNumberFormat="1" applyFont="1" applyBorder="1" applyAlignment="1">
      <alignment horizontal="right"/>
    </xf>
    <xf numFmtId="164" fontId="11" fillId="0" borderId="0" xfId="4" applyNumberFormat="1" applyFont="1" applyBorder="1" applyAlignment="1">
      <alignment horizontal="right"/>
    </xf>
    <xf numFmtId="164" fontId="5" fillId="0" borderId="0" xfId="4" applyNumberFormat="1" applyBorder="1" applyAlignment="1">
      <alignment horizontal="left" indent="1"/>
    </xf>
    <xf numFmtId="0" fontId="0" fillId="0" borderId="176" xfId="0" applyBorder="1"/>
    <xf numFmtId="0" fontId="12" fillId="0" borderId="177" xfId="0" applyFont="1" applyBorder="1"/>
    <xf numFmtId="0" fontId="0" fillId="0" borderId="178" xfId="0" applyBorder="1"/>
    <xf numFmtId="0" fontId="0" fillId="5" borderId="179" xfId="0" applyFill="1" applyBorder="1"/>
    <xf numFmtId="0" fontId="0" fillId="5" borderId="181" xfId="0" applyFill="1" applyBorder="1"/>
    <xf numFmtId="0" fontId="0" fillId="5" borderId="178" xfId="0" applyFill="1" applyBorder="1"/>
    <xf numFmtId="0" fontId="7" fillId="5" borderId="181" xfId="4" applyFont="1" applyFill="1" applyBorder="1" applyAlignment="1">
      <alignment horizontal="left"/>
    </xf>
    <xf numFmtId="17" fontId="7" fillId="5" borderId="182" xfId="4" applyNumberFormat="1" applyFont="1" applyFill="1" applyBorder="1" applyAlignment="1">
      <alignment horizontal="left"/>
    </xf>
    <xf numFmtId="0" fontId="6" fillId="5" borderId="183" xfId="4" applyFont="1" applyFill="1" applyBorder="1"/>
    <xf numFmtId="0" fontId="6" fillId="5" borderId="175" xfId="4" applyFont="1" applyFill="1" applyBorder="1" applyAlignment="1">
      <alignment horizontal="left"/>
    </xf>
    <xf numFmtId="0" fontId="0" fillId="5" borderId="175" xfId="0" applyFill="1" applyBorder="1"/>
    <xf numFmtId="0" fontId="0" fillId="5" borderId="182" xfId="0" applyFill="1" applyBorder="1"/>
    <xf numFmtId="0" fontId="6" fillId="5" borderId="180" xfId="4" applyFont="1" applyFill="1" applyBorder="1"/>
    <xf numFmtId="0" fontId="6" fillId="5" borderId="175" xfId="4" applyFont="1" applyFill="1" applyBorder="1"/>
    <xf numFmtId="0" fontId="7" fillId="5" borderId="178" xfId="4" applyFont="1" applyFill="1" applyBorder="1" applyAlignment="1">
      <alignment horizontal="left"/>
    </xf>
    <xf numFmtId="0" fontId="7" fillId="5" borderId="175" xfId="4" applyFont="1" applyFill="1" applyBorder="1" applyAlignment="1">
      <alignment horizontal="left"/>
    </xf>
    <xf numFmtId="164" fontId="8" fillId="0" borderId="100" xfId="4" applyNumberFormat="1" applyFont="1" applyBorder="1" applyAlignment="1">
      <alignment horizontal="right"/>
    </xf>
    <xf numFmtId="17" fontId="7" fillId="5" borderId="175" xfId="4" applyNumberFormat="1" applyFont="1" applyFill="1" applyBorder="1" applyAlignment="1">
      <alignment horizontal="left"/>
    </xf>
    <xf numFmtId="175" fontId="0" fillId="0" borderId="94" xfId="1" applyNumberFormat="1" applyFont="1" applyBorder="1"/>
  </cellXfs>
  <cellStyles count="11">
    <cellStyle name="Comma" xfId="1" builtinId="3"/>
    <cellStyle name="Currency" xfId="2" builtinId="4"/>
    <cellStyle name="Currency 2" xfId="8" xr:uid="{02AADD72-57CB-4D46-BDA4-DE9BC65FA649}"/>
    <cellStyle name="Hyperlink" xfId="5" builtinId="8"/>
    <cellStyle name="Normal" xfId="0" builtinId="0"/>
    <cellStyle name="Normal 2" xfId="9" xr:uid="{88D6071D-93E2-4EBF-9F4F-25D159C6AE77}"/>
    <cellStyle name="Normal 3" xfId="10" xr:uid="{44EE0342-CC1A-4515-BDF6-3308651E9163}"/>
    <cellStyle name="Normal_MO_GEN49 model_TL_v21" xfId="4" xr:uid="{5BEC7079-4601-4E19-9E4A-37FF7FDE507B}"/>
    <cellStyle name="Normal_Republic - Mesa Merger Model v.5 - Beta" xfId="7" xr:uid="{020583D8-39BD-4790-9166-F925A383EC08}"/>
    <cellStyle name="Normal_Simple LBO" xfId="6" xr:uid="{5E46F013-E8EB-499B-8957-2D671AD8DAC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 </a:t>
            </a:r>
            <a:r>
              <a:rPr lang="en-US" sz="1600"/>
              <a:t>Operating</a:t>
            </a:r>
            <a:r>
              <a:rPr lang="en-US" sz="1600" baseline="0"/>
              <a:t> Summary</a:t>
            </a:r>
            <a:endParaRPr lang="en-US" sz="1600"/>
          </a:p>
        </c:rich>
      </c:tx>
      <c:layout>
        <c:manualLayout>
          <c:xMode val="edge"/>
          <c:yMode val="edge"/>
          <c:x val="0.29584213681543181"/>
          <c:y val="8.9652519277897941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9.9363517060367473E-2"/>
          <c:y val="0.17083075478185036"/>
          <c:w val="0.87008092738408016"/>
          <c:h val="0.743752190720568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'[1]Net Income Analysis'!$C$15</c:f>
              <c:strCache>
                <c:ptCount val="1"/>
                <c:pt idx="0">
                  <c:v>Revenue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-1.179555454118964E-2"/>
                  <c:y val="1.16668416447944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822-491F-BB6F-D2E77556ABDE}"/>
                </c:ext>
              </c:extLst>
            </c:dLbl>
            <c:dLbl>
              <c:idx val="1"/>
              <c:layout>
                <c:manualLayout>
                  <c:x val="-3.1399698226127612E-3"/>
                  <c:y val="1.9629396325459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822-491F-BB6F-D2E77556ABDE}"/>
                </c:ext>
              </c:extLst>
            </c:dLbl>
            <c:dLbl>
              <c:idx val="2"/>
              <c:layout>
                <c:manualLayout>
                  <c:x val="-1.3687854235611942E-2"/>
                  <c:y val="1.18519685039370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822-491F-BB6F-D2E77556ABDE}"/>
                </c:ext>
              </c:extLst>
            </c:dLbl>
            <c:dLbl>
              <c:idx val="3"/>
              <c:layout>
                <c:manualLayout>
                  <c:x val="-1.4130371384736341E-2"/>
                  <c:y val="2.407349081364829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822-491F-BB6F-D2E77556ABDE}"/>
                </c:ext>
              </c:extLst>
            </c:dLbl>
            <c:dLbl>
              <c:idx val="4"/>
              <c:layout>
                <c:manualLayout>
                  <c:x val="-1.0909759468472309E-2"/>
                  <c:y val="1.1296237970253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Analysis'!$D$15:$I$15</c:f>
              <c:numCache>
                <c:formatCode>General</c:formatCode>
                <c:ptCount val="6"/>
                <c:pt idx="0">
                  <c:v>262.52703015867206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  <c:pt idx="4">
                  <c:v>105</c:v>
                </c:pt>
                <c:pt idx="5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22-491F-BB6F-D2E77556ABDE}"/>
            </c:ext>
          </c:extLst>
        </c:ser>
        <c:ser>
          <c:idx val="1"/>
          <c:order val="1"/>
          <c:tx>
            <c:strRef>
              <c:f>'[1]Net Income Analysis'!$C$16</c:f>
              <c:strCache>
                <c:ptCount val="1"/>
                <c:pt idx="0">
                  <c:v>Expenses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4.5491777295954003E-3"/>
                  <c:y val="1.88888888888889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822-491F-BB6F-D2E77556ABDE}"/>
                </c:ext>
              </c:extLst>
            </c:dLbl>
            <c:dLbl>
              <c:idx val="1"/>
              <c:layout>
                <c:manualLayout>
                  <c:x val="7.7697896458595048E-3"/>
                  <c:y val="1.87037620297462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822-491F-BB6F-D2E77556ABDE}"/>
                </c:ext>
              </c:extLst>
            </c:dLbl>
            <c:dLbl>
              <c:idx val="2"/>
              <c:layout>
                <c:manualLayout>
                  <c:x val="0"/>
                  <c:y val="1.3888888888888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822-491F-BB6F-D2E77556ABDE}"/>
                </c:ext>
              </c:extLst>
            </c:dLbl>
            <c:dLbl>
              <c:idx val="3"/>
              <c:layout>
                <c:manualLayout>
                  <c:x val="5.981229313706345E-3"/>
                  <c:y val="1.50212904561329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822-491F-BB6F-D2E77556ABDE}"/>
                </c:ext>
              </c:extLst>
            </c:dLbl>
            <c:dLbl>
              <c:idx val="4"/>
              <c:layout>
                <c:manualLayout>
                  <c:x val="9.7424194336552684E-3"/>
                  <c:y val="1.53918979779445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Analysis'!$D$16:$I$16</c:f>
              <c:numCache>
                <c:formatCode>General</c:formatCode>
                <c:ptCount val="6"/>
                <c:pt idx="0">
                  <c:v>25.421749999999999</c:v>
                </c:pt>
                <c:pt idx="1">
                  <c:v>89</c:v>
                </c:pt>
                <c:pt idx="2">
                  <c:v>91</c:v>
                </c:pt>
                <c:pt idx="3">
                  <c:v>94</c:v>
                </c:pt>
                <c:pt idx="4">
                  <c:v>96</c:v>
                </c:pt>
                <c:pt idx="5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822-491F-BB6F-D2E77556ABDE}"/>
            </c:ext>
          </c:extLst>
        </c:ser>
        <c:ser>
          <c:idx val="2"/>
          <c:order val="2"/>
          <c:tx>
            <c:strRef>
              <c:f>'[1]Net Income Analysis'!$C$17</c:f>
              <c:strCache>
                <c:ptCount val="1"/>
                <c:pt idx="0">
                  <c:v>Profit Margin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2.1104322009740891E-3"/>
                  <c:y val="9.24957862695278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822-491F-BB6F-D2E77556ABDE}"/>
                </c:ext>
              </c:extLst>
            </c:dLbl>
            <c:dLbl>
              <c:idx val="1"/>
              <c:layout>
                <c:manualLayout>
                  <c:x val="4.3075050401308506E-3"/>
                  <c:y val="2.592475940507439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822-491F-BB6F-D2E77556ABDE}"/>
                </c:ext>
              </c:extLst>
            </c:dLbl>
            <c:dLbl>
              <c:idx val="2"/>
              <c:layout>
                <c:manualLayout>
                  <c:x val="7.7560759450523388E-3"/>
                  <c:y val="5.04545627448742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822-491F-BB6F-D2E77556ABDE}"/>
                </c:ext>
              </c:extLst>
            </c:dLbl>
            <c:dLbl>
              <c:idx val="3"/>
              <c:layout>
                <c:manualLayout>
                  <c:x val="2.8869118632898192E-3"/>
                  <c:y val="0.1093168245273688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822-491F-BB6F-D2E77556ABDE}"/>
                </c:ext>
              </c:extLst>
            </c:dLbl>
            <c:dLbl>
              <c:idx val="4"/>
              <c:layout>
                <c:manualLayout>
                  <c:x val="1.109656747452023E-2"/>
                  <c:y val="8.8643539122827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822-491F-BB6F-D2E77556ABD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'[1]Net Income Analysis'!$D$14:$I$14</c:f>
              <c:strCache>
                <c:ptCount val="6"/>
                <c:pt idx="0">
                  <c:v>FY09</c:v>
                </c:pt>
                <c:pt idx="1">
                  <c:v>2009</c:v>
                </c:pt>
                <c:pt idx="2">
                  <c:v>2010</c:v>
                </c:pt>
                <c:pt idx="3">
                  <c:v>2011</c:v>
                </c:pt>
                <c:pt idx="4">
                  <c:v>2012</c:v>
                </c:pt>
                <c:pt idx="5">
                  <c:v>2013</c:v>
                </c:pt>
              </c:strCache>
            </c:strRef>
          </c:cat>
          <c:val>
            <c:numRef>
              <c:f>'[1]Net Income Analysis'!$D$17:$I$17</c:f>
              <c:numCache>
                <c:formatCode>General</c:formatCode>
                <c:ptCount val="6"/>
                <c:pt idx="0">
                  <c:v>237.10528015867206</c:v>
                </c:pt>
                <c:pt idx="1">
                  <c:v>6</c:v>
                </c:pt>
                <c:pt idx="2">
                  <c:v>9</c:v>
                </c:pt>
                <c:pt idx="3">
                  <c:v>11</c:v>
                </c:pt>
                <c:pt idx="4">
                  <c:v>9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8822-491F-BB6F-D2E77556AB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377415936"/>
        <c:axId val="380293120"/>
      </c:barChart>
      <c:catAx>
        <c:axId val="377415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crossAx val="380293120"/>
        <c:crosses val="autoZero"/>
        <c:auto val="1"/>
        <c:lblAlgn val="ctr"/>
        <c:lblOffset val="100"/>
        <c:noMultiLvlLbl val="0"/>
      </c:catAx>
      <c:valAx>
        <c:axId val="38029312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($Thousands)</a:t>
                </a:r>
              </a:p>
            </c:rich>
          </c:tx>
          <c:layout>
            <c:manualLayout>
              <c:xMode val="edge"/>
              <c:yMode val="edge"/>
              <c:x val="0.10177208618153517"/>
              <c:y val="0.15637342094828072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crossAx val="377415936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0169895358009599"/>
          <c:y val="2.8416895172448551E-3"/>
          <c:w val="0.64649813184515381"/>
          <c:h val="7.7030514955598969E-2"/>
        </c:manualLayout>
      </c:layout>
      <c:overlay val="0"/>
    </c:legend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89" l="0.70000000000000062" r="0.70000000000000062" t="0.750000000000002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709004387155782"/>
          <c:y val="0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'[1]Expense Analysis'!$C$14</c:f>
              <c:strCache>
                <c:ptCount val="1"/>
                <c:pt idx="0">
                  <c:v>Total Expenses</c:v>
                </c:pt>
              </c:strCache>
            </c:strRef>
          </c:tx>
          <c:invertIfNegative val="0"/>
          <c:dLbls>
            <c:numFmt formatCode="&quot;$&quot;#,##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800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'[1]Expense Analysis'!$D$7:$H$7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'[1]Expense Analysis'!$D$14:$H$14</c:f>
              <c:numCache>
                <c:formatCode>General</c:formatCode>
                <c:ptCount val="5"/>
                <c:pt idx="0">
                  <c:v>88695.62966398921</c:v>
                </c:pt>
                <c:pt idx="1">
                  <c:v>91148.092493528457</c:v>
                </c:pt>
                <c:pt idx="2">
                  <c:v>93700.472442696511</c:v>
                </c:pt>
                <c:pt idx="3">
                  <c:v>96356.840289111249</c:v>
                </c:pt>
                <c:pt idx="4">
                  <c:v>99121.432660151506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1F-4786-89D2-7468E4512BD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53398144"/>
        <c:axId val="353440896"/>
      </c:barChart>
      <c:catAx>
        <c:axId val="3533981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53440896"/>
        <c:crosses val="autoZero"/>
        <c:auto val="1"/>
        <c:lblAlgn val="ctr"/>
        <c:lblOffset val="100"/>
        <c:noMultiLvlLbl val="0"/>
      </c:catAx>
      <c:valAx>
        <c:axId val="353440896"/>
        <c:scaling>
          <c:orientation val="minMax"/>
        </c:scaling>
        <c:delete val="0"/>
        <c:axPos val="l"/>
        <c:numFmt formatCode="&quot;$&quot;#,##0_);\(&quot;$&quot;#,##0\)" sourceLinked="0"/>
        <c:majorTickMark val="out"/>
        <c:minorTickMark val="none"/>
        <c:tickLblPos val="nextTo"/>
        <c:crossAx val="353398144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1.6938898971566849E-2"/>
                <c:y val="0.19988219976439972"/>
              </c:manualLayout>
            </c:layout>
            <c:tx>
              <c:rich>
                <a:bodyPr/>
                <a:lstStyle/>
                <a:p>
                  <a:pPr>
                    <a:defRPr/>
                  </a:pPr>
                  <a:r>
                    <a:rPr lang="en-SG"/>
                    <a:t>(Thousands)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31421517209987537"/>
          <c:y val="0.29165107368322568"/>
          <c:w val="0.42526483588007835"/>
          <c:h val="0.53127983425759528"/>
        </c:manualLayout>
      </c:layout>
      <c:pieChart>
        <c:varyColors val="1"/>
        <c:ser>
          <c:idx val="0"/>
          <c:order val="0"/>
          <c:dPt>
            <c:idx val="2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673-4740-8D15-2347D462F9B9}"/>
              </c:ext>
            </c:extLst>
          </c:dPt>
          <c:dLbls>
            <c:dLbl>
              <c:idx val="0"/>
              <c:layout>
                <c:manualLayout>
                  <c:x val="-0.20299505347663618"/>
                  <c:y val="-8.8515874011528897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673-4740-8D15-2347D462F9B9}"/>
                </c:ext>
              </c:extLst>
            </c:dLbl>
            <c:dLbl>
              <c:idx val="1"/>
              <c:layout>
                <c:manualLayout>
                  <c:x val="1.7932278005183201E-2"/>
                  <c:y val="0.151750603600007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673-4740-8D15-2347D462F9B9}"/>
                </c:ext>
              </c:extLst>
            </c:dLbl>
            <c:dLbl>
              <c:idx val="2"/>
              <c:layout>
                <c:manualLayout>
                  <c:x val="-7.0958256180297413E-2"/>
                  <c:y val="-4.671967926650608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673-4740-8D15-2347D462F9B9}"/>
                </c:ext>
              </c:extLst>
            </c:dLbl>
            <c:dLbl>
              <c:idx val="3"/>
              <c:layout>
                <c:manualLayout>
                  <c:x val="-5.661481443038327E-2"/>
                  <c:y val="-5.389147708788281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673-4740-8D15-2347D462F9B9}"/>
                </c:ext>
              </c:extLst>
            </c:dLbl>
            <c:dLbl>
              <c:idx val="4"/>
              <c:layout>
                <c:manualLayout>
                  <c:x val="-6.9460348537302265E-3"/>
                  <c:y val="-8.10538340665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673-4740-8D15-2347D462F9B9}"/>
                </c:ext>
              </c:extLst>
            </c:dLbl>
            <c:dLbl>
              <c:idx val="5"/>
              <c:layout>
                <c:manualLayout>
                  <c:x val="7.3631730883227484E-2"/>
                  <c:y val="-6.38856935085701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673-4740-8D15-2347D462F9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'[1]Expense Analysis'!$C$29:$C$34</c:f>
              <c:strCache>
                <c:ptCount val="6"/>
                <c:pt idx="0">
                  <c:v>Salaries and Wages</c:v>
                </c:pt>
                <c:pt idx="1">
                  <c:v>Professional Services</c:v>
                </c:pt>
                <c:pt idx="2">
                  <c:v>Other Cash Expenses</c:v>
                </c:pt>
                <c:pt idx="3">
                  <c:v>Travel</c:v>
                </c:pt>
                <c:pt idx="4">
                  <c:v>Other Direct Costs</c:v>
                </c:pt>
                <c:pt idx="5">
                  <c:v>Miscellaneous</c:v>
                </c:pt>
              </c:strCache>
            </c:strRef>
          </c:cat>
          <c:val>
            <c:numRef>
              <c:f>'[1]Expense Analysis'!$D$29:$D$34</c:f>
              <c:numCache>
                <c:formatCode>General</c:formatCode>
                <c:ptCount val="6"/>
                <c:pt idx="0">
                  <c:v>48395.398015839855</c:v>
                </c:pt>
                <c:pt idx="1">
                  <c:v>1000.0000000000001</c:v>
                </c:pt>
                <c:pt idx="2">
                  <c:v>16999.999999999996</c:v>
                </c:pt>
                <c:pt idx="3">
                  <c:v>9000</c:v>
                </c:pt>
                <c:pt idx="4">
                  <c:v>600</c:v>
                </c:pt>
                <c:pt idx="5">
                  <c:v>23126.034644311661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673-4740-8D15-2347D462F9B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spPr>
    <a:ln>
      <a:noFill/>
    </a:ln>
  </c:spPr>
  <c:printSettings>
    <c:headerFooter/>
    <c:pageMargins b="0.75000000000000167" l="0.70000000000000062" r="0.70000000000000062" t="0.7500000000000016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31"/>
    </mc:Choice>
    <mc:Fallback>
      <c:style val="31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Total Revenue </a:t>
            </a:r>
          </a:p>
        </c:rich>
      </c:tx>
      <c:layout>
        <c:manualLayout>
          <c:xMode val="edge"/>
          <c:yMode val="edge"/>
          <c:x val="0.40578203076606534"/>
          <c:y val="4.204283155538353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9363517060367473E-2"/>
          <c:y val="0.19480351414406533"/>
          <c:w val="0.87008092738407994"/>
          <c:h val="0.5919943861184018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'[1]Revenue Analysis'!$C$16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dLbl>
              <c:idx val="0"/>
              <c:layout>
                <c:manualLayout>
                  <c:x val="0"/>
                  <c:y val="2.31481481481481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B72-4F72-9D7A-B37961412598}"/>
                </c:ext>
              </c:extLst>
            </c:dLbl>
            <c:dLbl>
              <c:idx val="4"/>
              <c:layout>
                <c:manualLayout>
                  <c:x val="0"/>
                  <c:y val="1.388888888888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B72-4F72-9D7A-B37961412598}"/>
                </c:ext>
              </c:extLst>
            </c:dLbl>
            <c:dLbl>
              <c:idx val="5"/>
              <c:layout>
                <c:manualLayout>
                  <c:x val="0"/>
                  <c:y val="1.38888888888889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B72-4F72-9D7A-B37961412598}"/>
                </c:ext>
              </c:extLst>
            </c:dLbl>
            <c:numFmt formatCode="&quot;$&quot;#,##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'[1]Revenue Analysis'!$D$15:$H$15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'[1]Revenue Analysis'!$D$16:$H$16</c:f>
              <c:numCache>
                <c:formatCode>General</c:formatCode>
                <c:ptCount val="5"/>
                <c:pt idx="0">
                  <c:v>95</c:v>
                </c:pt>
                <c:pt idx="1">
                  <c:v>100</c:v>
                </c:pt>
                <c:pt idx="2">
                  <c:v>105</c:v>
                </c:pt>
                <c:pt idx="3">
                  <c:v>105</c:v>
                </c:pt>
                <c:pt idx="4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B72-4F72-9D7A-B37961412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0637440"/>
        <c:axId val="390638976"/>
      </c:barChart>
      <c:catAx>
        <c:axId val="3906374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0638976"/>
        <c:crosses val="autoZero"/>
        <c:auto val="1"/>
        <c:lblAlgn val="ctr"/>
        <c:lblOffset val="100"/>
        <c:noMultiLvlLbl val="0"/>
      </c:catAx>
      <c:valAx>
        <c:axId val="390638976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($Thousands)</a:t>
                </a:r>
              </a:p>
            </c:rich>
          </c:tx>
          <c:layout>
            <c:manualLayout>
              <c:xMode val="edge"/>
              <c:yMode val="edge"/>
              <c:x val="1.3888931269591703E-2"/>
              <c:y val="7.839444697726089E-2"/>
            </c:manualLayout>
          </c:layout>
          <c:overlay val="0"/>
        </c:title>
        <c:numFmt formatCode="&quot;$&quot;#,##0_);\(&quot;$&quot;#,##0\)" sourceLinked="0"/>
        <c:majorTickMark val="out"/>
        <c:minorTickMark val="none"/>
        <c:tickLblPos val="nextTo"/>
        <c:crossAx val="39063744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132204364865337"/>
          <c:y val="0.21859938612719507"/>
          <c:w val="0.40564628051630525"/>
          <c:h val="0.63454620581461851"/>
        </c:manualLayout>
      </c:layout>
      <c:pieChart>
        <c:varyColors val="1"/>
        <c:ser>
          <c:idx val="0"/>
          <c:order val="0"/>
          <c:dPt>
            <c:idx val="1"/>
            <c:bubble3D val="0"/>
            <c:spPr>
              <a:solidFill>
                <a:srgbClr val="FFFF00">
                  <a:alpha val="99000"/>
                </a:srgbClr>
              </a:solidFill>
            </c:spPr>
            <c:extLst>
              <c:ext xmlns:c16="http://schemas.microsoft.com/office/drawing/2014/chart" uri="{C3380CC4-5D6E-409C-BE32-E72D297353CC}">
                <c16:uniqueId val="{00000001-D329-4B3C-A68A-A677F7FD1AEA}"/>
              </c:ext>
            </c:extLst>
          </c:dPt>
          <c:dPt>
            <c:idx val="2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D329-4B3C-A68A-A677F7FD1AEA}"/>
              </c:ext>
            </c:extLst>
          </c:dPt>
          <c:dPt>
            <c:idx val="3"/>
            <c:bubble3D val="0"/>
            <c:spPr>
              <a:solidFill>
                <a:srgbClr val="7030A0"/>
              </a:solidFill>
            </c:spPr>
            <c:extLst>
              <c:ext xmlns:c16="http://schemas.microsoft.com/office/drawing/2014/chart" uri="{C3380CC4-5D6E-409C-BE32-E72D297353CC}">
                <c16:uniqueId val="{00000005-D329-4B3C-A68A-A677F7FD1AEA}"/>
              </c:ext>
            </c:extLst>
          </c:dPt>
          <c:dPt>
            <c:idx val="4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D329-4B3C-A68A-A677F7FD1AEA}"/>
              </c:ext>
            </c:extLst>
          </c:dPt>
          <c:dLbls>
            <c:dLbl>
              <c:idx val="0"/>
              <c:layout>
                <c:manualLayout>
                  <c:x val="-0.14039358093936891"/>
                  <c:y val="-0.2226586256778210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329-4B3C-A68A-A677F7FD1AEA}"/>
                </c:ext>
              </c:extLst>
            </c:dLbl>
            <c:dLbl>
              <c:idx val="1"/>
              <c:layout>
                <c:manualLayout>
                  <c:x val="-8.7544193962056233E-3"/>
                  <c:y val="-5.362575656111239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29-4B3C-A68A-A677F7FD1AEA}"/>
                </c:ext>
              </c:extLst>
            </c:dLbl>
            <c:dLbl>
              <c:idx val="2"/>
              <c:layout>
                <c:manualLayout>
                  <c:x val="-5.4954397823559757E-2"/>
                  <c:y val="-9.333588801208260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329-4B3C-A68A-A677F7FD1AEA}"/>
                </c:ext>
              </c:extLst>
            </c:dLbl>
            <c:dLbl>
              <c:idx val="3"/>
              <c:layout>
                <c:manualLayout>
                  <c:x val="0.11307062644566694"/>
                  <c:y val="-1.589612606214769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329-4B3C-A68A-A677F7FD1AEA}"/>
                </c:ext>
              </c:extLst>
            </c:dLbl>
            <c:dLbl>
              <c:idx val="4"/>
              <c:layout>
                <c:manualLayout>
                  <c:x val="0.15251620944642216"/>
                  <c:y val="-1.30952282750444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329-4B3C-A68A-A677F7FD1A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'[1]Revenue Analysis'!$D$20:$D$24</c:f>
              <c:strCache>
                <c:ptCount val="5"/>
                <c:pt idx="0">
                  <c:v>Medical Exams</c:v>
                </c:pt>
                <c:pt idx="1">
                  <c:v>Product Sales</c:v>
                </c:pt>
                <c:pt idx="2">
                  <c:v>Misc 1</c:v>
                </c:pt>
                <c:pt idx="3">
                  <c:v>Misc 2</c:v>
                </c:pt>
                <c:pt idx="4">
                  <c:v>Other Revenue</c:v>
                </c:pt>
              </c:strCache>
            </c:strRef>
          </c:cat>
          <c:val>
            <c:numRef>
              <c:f>'[1]Revenue Analysis'!$E$20:$E$24</c:f>
              <c:numCache>
                <c:formatCode>General</c:formatCode>
                <c:ptCount val="5"/>
                <c:pt idx="0">
                  <c:v>83000</c:v>
                </c:pt>
                <c:pt idx="1">
                  <c:v>8000.0000000000009</c:v>
                </c:pt>
                <c:pt idx="2">
                  <c:v>5000</c:v>
                </c:pt>
                <c:pt idx="3">
                  <c:v>9000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D329-4B3C-A68A-A677F7FD1AE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plotVisOnly val="1"/>
    <c:dispBlanksAs val="zero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/>
              <a:t>Year-end</a:t>
            </a:r>
            <a:r>
              <a:rPr lang="en-US" sz="1400" baseline="0"/>
              <a:t> Cash Balances</a:t>
            </a:r>
            <a:endParaRPr lang="en-US" sz="1400"/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0.12744685039370079"/>
          <c:y val="0.18565981335666376"/>
          <c:w val="0.77170538057743043"/>
          <c:h val="0.69836030912802549"/>
        </c:manualLayout>
      </c:layout>
      <c:lineChart>
        <c:grouping val="standard"/>
        <c:varyColors val="0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'[1]Cashflow Analysis'!$D$21:$H$21</c:f>
              <c:numCache>
                <c:formatCode>General</c:formatCode>
                <c:ptCount val="5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</c:numCache>
            </c:numRef>
          </c:cat>
          <c:val>
            <c:numRef>
              <c:f>'[1]Cashflow Analysis'!$D$22:$H$22</c:f>
              <c:numCache>
                <c:formatCode>General</c:formatCode>
                <c:ptCount val="5"/>
                <c:pt idx="0">
                  <c:v>2704.3703360107847</c:v>
                </c:pt>
                <c:pt idx="1">
                  <c:v>12456.277842482341</c:v>
                </c:pt>
                <c:pt idx="2">
                  <c:v>24655.80539978579</c:v>
                </c:pt>
                <c:pt idx="3">
                  <c:v>34198.965110674515</c:v>
                </c:pt>
                <c:pt idx="4">
                  <c:v>40977.532450523038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9A1-49C3-8CA9-226CF5DE9F0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75323264"/>
        <c:axId val="375341440"/>
      </c:lineChart>
      <c:catAx>
        <c:axId val="375323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75341440"/>
        <c:crosses val="autoZero"/>
        <c:auto val="1"/>
        <c:lblAlgn val="ctr"/>
        <c:lblOffset val="100"/>
        <c:noMultiLvlLbl val="0"/>
      </c:catAx>
      <c:valAx>
        <c:axId val="37534144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375323264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txPr>
    <a:bodyPr/>
    <a:lstStyle/>
    <a:p>
      <a:pPr>
        <a:defRPr b="1"/>
      </a:pPr>
      <a:endParaRPr lang="en-US"/>
    </a:p>
  </c:txPr>
  <c:printSettings>
    <c:headerFooter/>
    <c:pageMargins b="0.75000000000000278" l="0.70000000000000062" r="0.70000000000000062" t="0.75000000000000278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'[1]Cashflow Analysis'!$E$25</c:f>
              <c:strCache>
                <c:ptCount val="1"/>
                <c:pt idx="0">
                  <c:v>End Points</c:v>
                </c:pt>
              </c:strCache>
            </c:strRef>
          </c:tx>
          <c:invertIfNegative val="0"/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Analysis'!$E$26:$E$32</c:f>
              <c:numCache>
                <c:formatCode>General</c:formatCode>
                <c:ptCount val="7"/>
                <c:pt idx="0">
                  <c:v>34198.965110674515</c:v>
                </c:pt>
                <c:pt idx="6">
                  <c:v>40977.532450523038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36-4D34-A019-4A4EFDF6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axId val="375384320"/>
        <c:axId val="375128064"/>
      </c:barChart>
      <c:lineChart>
        <c:grouping val="standard"/>
        <c:varyColors val="0"/>
        <c:ser>
          <c:idx val="1"/>
          <c:order val="1"/>
          <c:tx>
            <c:strRef>
              <c:f>'[1]Cashflow Analysis'!$F$25</c:f>
              <c:strCache>
                <c:ptCount val="1"/>
                <c:pt idx="0">
                  <c:v>Before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Analysis'!$F$26:$F$32</c:f>
              <c:numCache>
                <c:formatCode>General</c:formatCode>
                <c:ptCount val="7"/>
                <c:pt idx="1">
                  <c:v>34198.965110674515</c:v>
                </c:pt>
                <c:pt idx="2">
                  <c:v>40077.532450523038</c:v>
                </c:pt>
                <c:pt idx="3">
                  <c:v>40977.532450523038</c:v>
                </c:pt>
                <c:pt idx="4">
                  <c:v>34198.965110674522</c:v>
                </c:pt>
                <c:pt idx="5">
                  <c:v>34198.965110674522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36-4D34-A019-4A4EFDF6DF4F}"/>
            </c:ext>
          </c:extLst>
        </c:ser>
        <c:ser>
          <c:idx val="2"/>
          <c:order val="2"/>
          <c:tx>
            <c:strRef>
              <c:f>'[1]Cashflow Analysis'!$G$25</c:f>
              <c:strCache>
                <c:ptCount val="1"/>
                <c:pt idx="0">
                  <c:v>After</c:v>
                </c:pt>
              </c:strCache>
            </c:strRef>
          </c:tx>
          <c:spPr>
            <a:ln>
              <a:noFill/>
            </a:ln>
          </c:spPr>
          <c:marker>
            <c:symbol val="none"/>
          </c:marker>
          <c:cat>
            <c:strRef>
              <c:f>'[1]Cashflow Analysis'!$C$26:$C$32</c:f>
              <c:strCache>
                <c:ptCount val="7"/>
                <c:pt idx="0">
                  <c:v>Beginning Cash</c:v>
                </c:pt>
                <c:pt idx="1">
                  <c:v>Net Income (Loss)</c:v>
                </c:pt>
                <c:pt idx="2">
                  <c:v>Depreciation</c:v>
                </c:pt>
                <c:pt idx="3">
                  <c:v>(Incr) Decr Current Assets</c:v>
                </c:pt>
                <c:pt idx="4">
                  <c:v>Incr (Decr) Current Liabilities</c:v>
                </c:pt>
                <c:pt idx="5">
                  <c:v>Other (net)</c:v>
                </c:pt>
                <c:pt idx="6">
                  <c:v>Ending Cash</c:v>
                </c:pt>
              </c:strCache>
            </c:strRef>
          </c:cat>
          <c:val>
            <c:numRef>
              <c:f>'[1]Cashflow Analysis'!$G$26:$G$32</c:f>
              <c:numCache>
                <c:formatCode>General</c:formatCode>
                <c:ptCount val="7"/>
                <c:pt idx="1">
                  <c:v>40077.532450523038</c:v>
                </c:pt>
                <c:pt idx="2">
                  <c:v>40977.532450523038</c:v>
                </c:pt>
                <c:pt idx="3">
                  <c:v>34198.965110674522</c:v>
                </c:pt>
                <c:pt idx="4">
                  <c:v>34198.965110674522</c:v>
                </c:pt>
                <c:pt idx="5">
                  <c:v>40977.532450523038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E36-4D34-A019-4A4EFDF6DF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upDownBars>
          <c:gapWidth val="75"/>
          <c:upBars>
            <c:spPr>
              <a:solidFill>
                <a:srgbClr val="00B050"/>
              </a:solidFill>
              <a:ln>
                <a:noFill/>
              </a:ln>
            </c:spPr>
          </c:upBars>
          <c:downBars>
            <c:spPr>
              <a:solidFill>
                <a:srgbClr val="FF0000"/>
              </a:solidFill>
              <a:ln>
                <a:noFill/>
              </a:ln>
            </c:spPr>
          </c:downBars>
        </c:upDownBars>
        <c:marker val="1"/>
        <c:smooth val="0"/>
        <c:axId val="375384320"/>
        <c:axId val="375128064"/>
      </c:lineChart>
      <c:catAx>
        <c:axId val="375384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5128064"/>
        <c:crosses val="autoZero"/>
        <c:auto val="1"/>
        <c:lblAlgn val="ctr"/>
        <c:lblOffset val="100"/>
        <c:noMultiLvlLbl val="0"/>
      </c:catAx>
      <c:valAx>
        <c:axId val="375128064"/>
        <c:scaling>
          <c:orientation val="minMax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753843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Revenue Break-down</a:t>
            </a:r>
          </a:p>
        </c:rich>
      </c:tx>
      <c:overlay val="0"/>
    </c:title>
    <c:autoTitleDeleted val="0"/>
    <c:view3D>
      <c:rotX val="7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3055555555555683E-2"/>
          <c:y val="0.27564377369495502"/>
          <c:w val="0.78055555555555567"/>
          <c:h val="0.61989319043452984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[1]Dashboard!$A$8:$A$9</c:f>
              <c:strCache>
                <c:ptCount val="2"/>
                <c:pt idx="0">
                  <c:v>Medical Exams</c:v>
                </c:pt>
                <c:pt idx="1">
                  <c:v>Product Sales</c:v>
                </c:pt>
              </c:strCache>
            </c:strRef>
          </c:cat>
          <c:val>
            <c:numRef>
              <c:f>[1]Dashboard!$D$8:$D$9</c:f>
              <c:numCache>
                <c:formatCode>General</c:formatCode>
                <c:ptCount val="2"/>
                <c:pt idx="0">
                  <c:v>0.47229959764778706</c:v>
                </c:pt>
                <c:pt idx="1">
                  <c:v>0.52770040235221305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5-4C37-BC86-AEC0D01CA9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SG"/>
              <a:t>Expenses</a:t>
            </a:r>
            <a:r>
              <a:rPr lang="en-SG" baseline="0"/>
              <a:t> Break-down</a:t>
            </a:r>
            <a:endParaRPr lang="en-SG"/>
          </a:p>
        </c:rich>
      </c:tx>
      <c:overlay val="0"/>
    </c:title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9.4593175853018366E-2"/>
          <c:y val="0.25601097445900856"/>
          <c:w val="0.76996755055508703"/>
          <c:h val="0.64497720262308733"/>
        </c:manualLayout>
      </c:layout>
      <c:pie3D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[1]Dashboard!$E$13:$E$15</c:f>
              <c:strCache>
                <c:ptCount val="3"/>
                <c:pt idx="0">
                  <c:v>Cost of Good Sold</c:v>
                </c:pt>
                <c:pt idx="1">
                  <c:v>Operating Costs</c:v>
                </c:pt>
                <c:pt idx="2">
                  <c:v>Annual Expenses</c:v>
                </c:pt>
              </c:strCache>
            </c:strRef>
          </c:cat>
          <c:val>
            <c:numRef>
              <c:f>[1]Dashboard!$F$13:$F$15</c:f>
              <c:numCache>
                <c:formatCode>General</c:formatCode>
                <c:ptCount val="3"/>
                <c:pt idx="0">
                  <c:v>0.46961992384286094</c:v>
                </c:pt>
                <c:pt idx="1">
                  <c:v>0.51953990366043057</c:v>
                </c:pt>
                <c:pt idx="2">
                  <c:v>1.0840172496708529E-2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A7-417D-B520-8AF3EADDE9B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</c:pie3DChart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clustered"/>
        <c:varyColors val="0"/>
        <c:ser>
          <c:idx val="0"/>
          <c:order val="0"/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[1]Dashboard!$A$20:$A$23</c:f>
              <c:strCache>
                <c:ptCount val="4"/>
                <c:pt idx="0">
                  <c:v>Earnings before Interest, taxes and Dep. (EBITDA)</c:v>
                </c:pt>
                <c:pt idx="1">
                  <c:v>Earnings Before Interest and Taxes (EBIT)</c:v>
                </c:pt>
                <c:pt idx="2">
                  <c:v>Income Before Taxes (EBT)</c:v>
                </c:pt>
                <c:pt idx="3">
                  <c:v>Net Income</c:v>
                </c:pt>
              </c:strCache>
            </c:strRef>
          </c:cat>
          <c:val>
            <c:numRef>
              <c:f>[1]Dashboard!$D$20:$D$23</c:f>
              <c:numCache>
                <c:formatCode>General</c:formatCode>
                <c:ptCount val="4"/>
                <c:pt idx="0">
                  <c:v>0.562851413391107</c:v>
                </c:pt>
                <c:pt idx="1">
                  <c:v>0.54592553904879815</c:v>
                </c:pt>
                <c:pt idx="2">
                  <c:v>0.52831920259985754</c:v>
                </c:pt>
                <c:pt idx="3">
                  <c:v>0.34340748168990737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0-447C-B95B-4C3ADE02B5E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91166592"/>
        <c:axId val="391194496"/>
      </c:barChart>
      <c:catAx>
        <c:axId val="391166592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b="1"/>
            </a:pPr>
            <a:endParaRPr lang="en-US"/>
          </a:p>
        </c:txPr>
        <c:crossAx val="391194496"/>
        <c:crosses val="autoZero"/>
        <c:auto val="1"/>
        <c:lblAlgn val="ctr"/>
        <c:lblOffset val="100"/>
        <c:noMultiLvlLbl val="0"/>
      </c:catAx>
      <c:valAx>
        <c:axId val="391194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911665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38100</xdr:colOff>
      <xdr:row>5</xdr:row>
      <xdr:rowOff>0</xdr:rowOff>
    </xdr:from>
    <xdr:ext cx="91884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C30997-8E2D-44C4-B035-C829E3E455E8}"/>
            </a:ext>
          </a:extLst>
        </xdr:cNvPr>
        <xdr:cNvSpPr txBox="1"/>
      </xdr:nvSpPr>
      <xdr:spPr>
        <a:xfrm>
          <a:off x="6454140" y="73914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5</xdr:row>
      <xdr:rowOff>0</xdr:rowOff>
    </xdr:from>
    <xdr:ext cx="91884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3B64E477-7AA0-4C06-832C-46F5CED15C94}"/>
            </a:ext>
          </a:extLst>
        </xdr:cNvPr>
        <xdr:cNvSpPr txBox="1"/>
      </xdr:nvSpPr>
      <xdr:spPr>
        <a:xfrm>
          <a:off x="6454140" y="73914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twoCellAnchor>
    <xdr:from>
      <xdr:col>0</xdr:col>
      <xdr:colOff>152400</xdr:colOff>
      <xdr:row>12</xdr:row>
      <xdr:rowOff>76200</xdr:rowOff>
    </xdr:from>
    <xdr:to>
      <xdr:col>6</xdr:col>
      <xdr:colOff>257175</xdr:colOff>
      <xdr:row>26</xdr:row>
      <xdr:rowOff>104774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8F544C-D696-4631-89BB-B79D6BEC47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571499</xdr:colOff>
      <xdr:row>15</xdr:row>
      <xdr:rowOff>28575</xdr:rowOff>
    </xdr:from>
    <xdr:to>
      <xdr:col>16</xdr:col>
      <xdr:colOff>123824</xdr:colOff>
      <xdr:row>27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33D3E3-562F-4AE0-8F2F-09B959E3A9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1200149</xdr:colOff>
      <xdr:row>15</xdr:row>
      <xdr:rowOff>19050</xdr:rowOff>
    </xdr:from>
    <xdr:to>
      <xdr:col>5</xdr:col>
      <xdr:colOff>619125</xdr:colOff>
      <xdr:row>33</xdr:row>
      <xdr:rowOff>161926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A95846F-D77A-4B26-AA08-100682506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586E4D2-0A8A-437A-8646-8C7C00667B2C}"/>
            </a:ext>
          </a:extLst>
        </xdr:cNvPr>
        <xdr:cNvSpPr txBox="1"/>
      </xdr:nvSpPr>
      <xdr:spPr>
        <a:xfrm>
          <a:off x="7018020" y="9220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AAD756C-AD22-497D-ABA8-B4266B463117}"/>
            </a:ext>
          </a:extLst>
        </xdr:cNvPr>
        <xdr:cNvSpPr txBox="1"/>
      </xdr:nvSpPr>
      <xdr:spPr>
        <a:xfrm>
          <a:off x="7018020" y="9220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333375</xdr:colOff>
      <xdr:row>2</xdr:row>
      <xdr:rowOff>57150</xdr:rowOff>
    </xdr:from>
    <xdr:to>
      <xdr:col>17</xdr:col>
      <xdr:colOff>44617</xdr:colOff>
      <xdr:row>15</xdr:row>
      <xdr:rowOff>33086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8EB91B-52F7-4BD5-9A97-C5175C7C1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438151</xdr:colOff>
      <xdr:row>17</xdr:row>
      <xdr:rowOff>9524</xdr:rowOff>
    </xdr:from>
    <xdr:to>
      <xdr:col>6</xdr:col>
      <xdr:colOff>200026</xdr:colOff>
      <xdr:row>31</xdr:row>
      <xdr:rowOff>9526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0AE53-0DCB-4D5D-ADBF-0E2E03CF51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5E2D97-A394-4B01-B0F7-D49E10FEF351}"/>
            </a:ext>
          </a:extLst>
        </xdr:cNvPr>
        <xdr:cNvSpPr txBox="1"/>
      </xdr:nvSpPr>
      <xdr:spPr>
        <a:xfrm>
          <a:off x="6652260" y="91440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5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E64402-DA0B-45D2-98F1-D1BAADD3F9B4}"/>
            </a:ext>
          </a:extLst>
        </xdr:cNvPr>
        <xdr:cNvSpPr txBox="1"/>
      </xdr:nvSpPr>
      <xdr:spPr>
        <a:xfrm>
          <a:off x="6652260" y="91440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D86A3E6-E136-480E-8728-8D6A5BEBA8AA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E924A29A-F881-4C9D-A19E-3F87F95E1A29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4618E10-330A-4339-974E-7DF5702F9C35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8BF822-9201-4ABC-96EF-02B7D84C8143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8</xdr:col>
      <xdr:colOff>38100</xdr:colOff>
      <xdr:row>13</xdr:row>
      <xdr:rowOff>0</xdr:rowOff>
    </xdr:from>
    <xdr:ext cx="918841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C09A873-B874-4511-BEEA-B7F2D8CA54B7}"/>
            </a:ext>
          </a:extLst>
        </xdr:cNvPr>
        <xdr:cNvSpPr txBox="1"/>
      </xdr:nvSpPr>
      <xdr:spPr>
        <a:xfrm>
          <a:off x="7520940" y="250698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704849</xdr:colOff>
      <xdr:row>4</xdr:row>
      <xdr:rowOff>171450</xdr:rowOff>
    </xdr:from>
    <xdr:to>
      <xdr:col>17</xdr:col>
      <xdr:colOff>561975</xdr:colOff>
      <xdr:row>18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F5312E-8E5E-4501-99C0-27ADBDDD4F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1066799</xdr:colOff>
      <xdr:row>15</xdr:row>
      <xdr:rowOff>47625</xdr:rowOff>
    </xdr:from>
    <xdr:to>
      <xdr:col>8</xdr:col>
      <xdr:colOff>419099</xdr:colOff>
      <xdr:row>27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912FAB8-28B1-4A76-B908-A72E9ABE5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AD5C1EE-50EF-4F36-BBB3-E9975341096B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99CA0E7C-0642-45F4-9513-685A0214F219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29F944F3-D40C-489A-A1C8-23E8977F476F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3463979-B892-476C-A8C1-78264FD62C99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  <xdr:oneCellAnchor>
    <xdr:from>
      <xdr:col>7</xdr:col>
      <xdr:colOff>38100</xdr:colOff>
      <xdr:row>4</xdr:row>
      <xdr:rowOff>0</xdr:rowOff>
    </xdr:from>
    <xdr:ext cx="91884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4C9FE1-9A5A-4329-9586-34C941335A37}"/>
            </a:ext>
          </a:extLst>
        </xdr:cNvPr>
        <xdr:cNvSpPr txBox="1"/>
      </xdr:nvSpPr>
      <xdr:spPr>
        <a:xfrm>
          <a:off x="6522720" y="731520"/>
          <a:ext cx="91884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r>
            <a:rPr lang="en-SG" sz="1100" b="1"/>
            <a:t>$ Thousands</a:t>
          </a: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581025</xdr:colOff>
      <xdr:row>5</xdr:row>
      <xdr:rowOff>47625</xdr:rowOff>
    </xdr:from>
    <xdr:to>
      <xdr:col>14</xdr:col>
      <xdr:colOff>19050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56E9C-CB3A-4894-82A4-CA802A119B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28575</xdr:colOff>
      <xdr:row>21</xdr:row>
      <xdr:rowOff>9526</xdr:rowOff>
    </xdr:from>
    <xdr:to>
      <xdr:col>14</xdr:col>
      <xdr:colOff>47625</xdr:colOff>
      <xdr:row>35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4C64389-AB10-4CE4-BB62-90CA619125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209550</xdr:colOff>
      <xdr:row>25</xdr:row>
      <xdr:rowOff>47625</xdr:rowOff>
    </xdr:from>
    <xdr:to>
      <xdr:col>3</xdr:col>
      <xdr:colOff>457200</xdr:colOff>
      <xdr:row>39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4606FFC-E863-4D2A-BEAA-0D372A7950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BITS,%20Pilani,%20Off%20Campus\NPV%20Model%20srj.xlsx" TargetMode="External"/><Relationship Id="rId1" Type="http://schemas.openxmlformats.org/officeDocument/2006/relationships/externalLinkPath" Target="file:///D:\BITS,%20Pilani,%20Off%20Campus\NPV%20Model%20srj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%20Bindumadhavan\Documents\srj%20Consulting\EN!\Backyard%20Gardners\Proforma%20Model%20for%20Backyard%20Gardner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%20Bindumadhavan\Documents\srj%20Consulting\EN!\Renaissance%20Project\Renaissance%20Analysis%20srj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K%20Bindumadhavan\Documents\srj%20Consulting\EN!\BRYC\Historical%20Analysis\BRYC%20Historical%20Analysis%20sr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of Contents"/>
      <sheetName val="Assumptions"/>
      <sheetName val="Net Income Analysis"/>
      <sheetName val="Expense Analysis"/>
      <sheetName val="Revenue Analysis"/>
      <sheetName val="Cashflow Analysis"/>
      <sheetName val="Income Statement"/>
      <sheetName val="Balance Sheet"/>
      <sheetName val="Cashflow Statement"/>
      <sheetName val="Valuation"/>
      <sheetName val="Loan Repayment Schedule"/>
      <sheetName val="Depreciation Schedule"/>
      <sheetName val="Dashboard"/>
      <sheetName val="Existing Practice Valuation"/>
    </sheetNames>
    <sheetDataSet>
      <sheetData sheetId="0"/>
      <sheetData sheetId="1">
        <row r="11">
          <cell r="D11">
            <v>0.03</v>
          </cell>
        </row>
        <row r="12">
          <cell r="D12">
            <v>0.35</v>
          </cell>
        </row>
      </sheetData>
      <sheetData sheetId="2">
        <row r="14">
          <cell r="D14" t="str">
            <v>FY09</v>
          </cell>
          <cell r="E14">
            <v>2009</v>
          </cell>
          <cell r="F14">
            <v>2010</v>
          </cell>
          <cell r="G14">
            <v>2011</v>
          </cell>
          <cell r="H14">
            <v>2012</v>
          </cell>
          <cell r="I14">
            <v>2013</v>
          </cell>
        </row>
        <row r="15">
          <cell r="C15" t="str">
            <v>Revenue</v>
          </cell>
          <cell r="D15">
            <v>262.52703015867206</v>
          </cell>
          <cell r="E15">
            <v>95</v>
          </cell>
          <cell r="F15">
            <v>100</v>
          </cell>
          <cell r="G15">
            <v>105</v>
          </cell>
          <cell r="H15">
            <v>105</v>
          </cell>
          <cell r="I15">
            <v>105</v>
          </cell>
        </row>
        <row r="16">
          <cell r="C16" t="str">
            <v>Expenses</v>
          </cell>
          <cell r="D16">
            <v>25.421749999999999</v>
          </cell>
          <cell r="E16">
            <v>89</v>
          </cell>
          <cell r="F16">
            <v>91</v>
          </cell>
          <cell r="G16">
            <v>94</v>
          </cell>
          <cell r="H16">
            <v>96</v>
          </cell>
          <cell r="I16">
            <v>99</v>
          </cell>
        </row>
        <row r="17">
          <cell r="C17" t="str">
            <v>Profit Margin</v>
          </cell>
          <cell r="D17">
            <v>237.10528015867206</v>
          </cell>
          <cell r="E17">
            <v>6</v>
          </cell>
          <cell r="F17">
            <v>9</v>
          </cell>
          <cell r="G17">
            <v>11</v>
          </cell>
          <cell r="H17">
            <v>9</v>
          </cell>
          <cell r="I17">
            <v>6</v>
          </cell>
        </row>
      </sheetData>
      <sheetData sheetId="3">
        <row r="7">
          <cell r="D7">
            <v>2015</v>
          </cell>
          <cell r="E7">
            <v>2016</v>
          </cell>
          <cell r="F7">
            <v>2017</v>
          </cell>
          <cell r="G7">
            <v>2018</v>
          </cell>
          <cell r="H7">
            <v>2019</v>
          </cell>
        </row>
        <row r="14">
          <cell r="C14" t="str">
            <v>Total Expenses</v>
          </cell>
          <cell r="D14">
            <v>88695.62966398921</v>
          </cell>
          <cell r="E14">
            <v>91148.092493528457</v>
          </cell>
          <cell r="F14">
            <v>93700.472442696511</v>
          </cell>
          <cell r="G14">
            <v>96356.840289111249</v>
          </cell>
          <cell r="H14">
            <v>99121.432660151506</v>
          </cell>
        </row>
        <row r="29">
          <cell r="C29" t="str">
            <v>Salaries and Wages</v>
          </cell>
          <cell r="D29">
            <v>48395.398015839855</v>
          </cell>
        </row>
        <row r="30">
          <cell r="C30" t="str">
            <v>Professional Services</v>
          </cell>
          <cell r="D30">
            <v>1000.0000000000001</v>
          </cell>
        </row>
        <row r="31">
          <cell r="C31" t="str">
            <v>Other Cash Expenses</v>
          </cell>
          <cell r="D31">
            <v>16999.999999999996</v>
          </cell>
        </row>
        <row r="32">
          <cell r="C32" t="str">
            <v>Travel</v>
          </cell>
          <cell r="D32">
            <v>9000</v>
          </cell>
        </row>
        <row r="33">
          <cell r="C33" t="str">
            <v>Other Direct Costs</v>
          </cell>
          <cell r="D33">
            <v>600</v>
          </cell>
        </row>
        <row r="34">
          <cell r="C34" t="str">
            <v>Miscellaneous</v>
          </cell>
          <cell r="D34">
            <v>23126.034644311661</v>
          </cell>
        </row>
      </sheetData>
      <sheetData sheetId="4">
        <row r="15">
          <cell r="D15">
            <v>2015</v>
          </cell>
          <cell r="E15">
            <v>2016</v>
          </cell>
          <cell r="F15">
            <v>2017</v>
          </cell>
          <cell r="G15">
            <v>2018</v>
          </cell>
          <cell r="H15">
            <v>2019</v>
          </cell>
        </row>
        <row r="16">
          <cell r="C16" t="str">
            <v>Total Revenue</v>
          </cell>
          <cell r="D16">
            <v>95</v>
          </cell>
          <cell r="E16">
            <v>100</v>
          </cell>
          <cell r="F16">
            <v>105</v>
          </cell>
          <cell r="G16">
            <v>105</v>
          </cell>
          <cell r="H16">
            <v>105</v>
          </cell>
        </row>
        <row r="20">
          <cell r="D20" t="str">
            <v>Medical Exams</v>
          </cell>
          <cell r="E20">
            <v>83000</v>
          </cell>
        </row>
        <row r="21">
          <cell r="D21" t="str">
            <v>Product Sales</v>
          </cell>
          <cell r="E21">
            <v>8000.0000000000009</v>
          </cell>
        </row>
        <row r="22">
          <cell r="D22" t="str">
            <v>Misc 1</v>
          </cell>
          <cell r="E22">
            <v>5000</v>
          </cell>
        </row>
        <row r="23">
          <cell r="D23" t="str">
            <v>Misc 2</v>
          </cell>
          <cell r="E23">
            <v>9000</v>
          </cell>
        </row>
        <row r="24">
          <cell r="D24" t="str">
            <v>Other Revenue</v>
          </cell>
          <cell r="E24">
            <v>0</v>
          </cell>
        </row>
      </sheetData>
      <sheetData sheetId="5">
        <row r="21">
          <cell r="D21">
            <v>2015</v>
          </cell>
          <cell r="E21">
            <v>2016</v>
          </cell>
          <cell r="F21">
            <v>2017</v>
          </cell>
          <cell r="G21">
            <v>2018</v>
          </cell>
          <cell r="H21">
            <v>2019</v>
          </cell>
        </row>
        <row r="22">
          <cell r="D22">
            <v>2704.3703360107847</v>
          </cell>
          <cell r="E22">
            <v>12456.277842482341</v>
          </cell>
          <cell r="F22">
            <v>24655.80539978579</v>
          </cell>
          <cell r="G22">
            <v>34198.965110674515</v>
          </cell>
          <cell r="H22">
            <v>40977.532450523038</v>
          </cell>
        </row>
        <row r="25">
          <cell r="E25" t="str">
            <v>End Points</v>
          </cell>
          <cell r="F25" t="str">
            <v>Before</v>
          </cell>
          <cell r="G25" t="str">
            <v>After</v>
          </cell>
        </row>
        <row r="26">
          <cell r="C26" t="str">
            <v>Beginning Cash</v>
          </cell>
          <cell r="E26">
            <v>34198.965110674515</v>
          </cell>
          <cell r="F26"/>
          <cell r="G26"/>
        </row>
        <row r="27">
          <cell r="C27" t="str">
            <v>Net Income (Loss)</v>
          </cell>
          <cell r="E27"/>
          <cell r="F27">
            <v>34198.965110674515</v>
          </cell>
          <cell r="G27">
            <v>40077.532450523038</v>
          </cell>
        </row>
        <row r="28">
          <cell r="C28" t="str">
            <v>Depreciation</v>
          </cell>
          <cell r="E28"/>
          <cell r="F28">
            <v>40077.532450523038</v>
          </cell>
          <cell r="G28">
            <v>40977.532450523038</v>
          </cell>
        </row>
        <row r="29">
          <cell r="C29" t="str">
            <v>(Incr) Decr Current Assets</v>
          </cell>
          <cell r="E29"/>
          <cell r="F29">
            <v>40977.532450523038</v>
          </cell>
          <cell r="G29">
            <v>34198.965110674522</v>
          </cell>
        </row>
        <row r="30">
          <cell r="C30" t="str">
            <v>Incr (Decr) Current Liabilities</v>
          </cell>
          <cell r="E30"/>
          <cell r="F30">
            <v>34198.965110674522</v>
          </cell>
          <cell r="G30">
            <v>34198.965110674522</v>
          </cell>
        </row>
        <row r="31">
          <cell r="C31" t="str">
            <v>Other (net)</v>
          </cell>
          <cell r="E31"/>
          <cell r="F31">
            <v>34198.965110674522</v>
          </cell>
          <cell r="G31">
            <v>40977.532450523038</v>
          </cell>
        </row>
        <row r="32">
          <cell r="C32" t="str">
            <v>Ending Cash</v>
          </cell>
          <cell r="E32">
            <v>40977.532450523038</v>
          </cell>
          <cell r="F32"/>
          <cell r="G32"/>
        </row>
      </sheetData>
      <sheetData sheetId="6">
        <row r="6">
          <cell r="C6" t="str">
            <v>Year 1</v>
          </cell>
        </row>
        <row r="70">
          <cell r="C70">
            <v>585984</v>
          </cell>
        </row>
        <row r="139">
          <cell r="C139">
            <v>654720.00000000012</v>
          </cell>
        </row>
        <row r="141">
          <cell r="C141">
            <v>1240704</v>
          </cell>
        </row>
        <row r="147">
          <cell r="A147" t="str">
            <v>Cost of Good Sold</v>
          </cell>
        </row>
        <row r="158">
          <cell r="C158">
            <v>238272.00000000003</v>
          </cell>
        </row>
        <row r="164">
          <cell r="A164" t="str">
            <v>Startup Costs</v>
          </cell>
        </row>
        <row r="174">
          <cell r="C174">
            <v>35000</v>
          </cell>
        </row>
        <row r="176">
          <cell r="A176" t="str">
            <v>Operating Costs</v>
          </cell>
        </row>
        <row r="193">
          <cell r="C193">
            <v>263600</v>
          </cell>
        </row>
        <row r="195">
          <cell r="A195" t="str">
            <v>Costs Occuring Once a Year</v>
          </cell>
        </row>
        <row r="199">
          <cell r="C199">
            <v>5500</v>
          </cell>
        </row>
        <row r="203">
          <cell r="A203" t="str">
            <v>Earnings before Interest, taxes and Dep. (EBITDA)</v>
          </cell>
        </row>
        <row r="208">
          <cell r="A208" t="str">
            <v>Earnings Before Interest and Taxes (EBIT)</v>
          </cell>
          <cell r="C208">
            <v>677332</v>
          </cell>
        </row>
        <row r="212">
          <cell r="A212" t="str">
            <v>Income Before Taxes (EBT)</v>
          </cell>
          <cell r="C212">
            <v>655487.7479424536</v>
          </cell>
        </row>
        <row r="216">
          <cell r="A216" t="str">
            <v>Net Income</v>
          </cell>
          <cell r="C216">
            <v>426067.03616259486</v>
          </cell>
        </row>
        <row r="218">
          <cell r="C218">
            <v>426067.03616259486</v>
          </cell>
          <cell r="D218">
            <v>898543.40938122838</v>
          </cell>
          <cell r="E218">
            <v>1395961.1552380896</v>
          </cell>
        </row>
      </sheetData>
      <sheetData sheetId="7">
        <row r="11">
          <cell r="I11">
            <v>0</v>
          </cell>
        </row>
        <row r="12">
          <cell r="H12">
            <v>110000</v>
          </cell>
        </row>
      </sheetData>
      <sheetData sheetId="8"/>
      <sheetData sheetId="9"/>
      <sheetData sheetId="10"/>
      <sheetData sheetId="11">
        <row r="23">
          <cell r="F23">
            <v>210000</v>
          </cell>
        </row>
      </sheetData>
      <sheetData sheetId="12">
        <row r="8">
          <cell r="A8" t="str">
            <v>Medical Exams</v>
          </cell>
          <cell r="D8">
            <v>0.47229959764778706</v>
          </cell>
        </row>
        <row r="9">
          <cell r="A9" t="str">
            <v>Product Sales</v>
          </cell>
          <cell r="D9">
            <v>0.52770040235221305</v>
          </cell>
        </row>
        <row r="13">
          <cell r="E13" t="str">
            <v>Cost of Good Sold</v>
          </cell>
          <cell r="F13">
            <v>0.46961992384286094</v>
          </cell>
        </row>
        <row r="14">
          <cell r="E14" t="str">
            <v>Operating Costs</v>
          </cell>
          <cell r="F14">
            <v>0.51953990366043057</v>
          </cell>
        </row>
        <row r="15">
          <cell r="E15" t="str">
            <v>Annual Expenses</v>
          </cell>
          <cell r="F15">
            <v>1.0840172496708529E-2</v>
          </cell>
        </row>
        <row r="20">
          <cell r="A20" t="str">
            <v>Earnings before Interest, taxes and Dep. (EBITDA)</v>
          </cell>
          <cell r="D20">
            <v>0.562851413391107</v>
          </cell>
        </row>
        <row r="21">
          <cell r="A21" t="str">
            <v>Earnings Before Interest and Taxes (EBIT)</v>
          </cell>
          <cell r="D21">
            <v>0.54592553904879815</v>
          </cell>
        </row>
        <row r="22">
          <cell r="A22" t="str">
            <v>Income Before Taxes (EBT)</v>
          </cell>
          <cell r="D22">
            <v>0.52831920259985754</v>
          </cell>
        </row>
        <row r="23">
          <cell r="A23" t="str">
            <v>Net Income</v>
          </cell>
          <cell r="D23">
            <v>0.34340748168990737</v>
          </cell>
        </row>
      </sheetData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able of Contents"/>
      <sheetName val="Assumptions"/>
      <sheetName val="Net Income Analysis"/>
      <sheetName val="Revenue Analysis"/>
      <sheetName val="Expense Analysis"/>
      <sheetName val="Cashflow Analysis"/>
      <sheetName val="Ratio Analysis"/>
      <sheetName val="Dashboard"/>
      <sheetName val="Income Statement"/>
      <sheetName val="Balance Sheet"/>
      <sheetName val="Cashflow Statement"/>
      <sheetName val="General and Admin Costs"/>
      <sheetName val="Capex and Depreciation"/>
    </sheetNames>
    <sheetDataSet>
      <sheetData sheetId="0"/>
      <sheetData sheetId="1"/>
      <sheetData sheetId="2"/>
      <sheetData sheetId="3"/>
      <sheetData sheetId="4">
        <row r="13">
          <cell r="D13">
            <v>95000</v>
          </cell>
          <cell r="E13">
            <v>100000</v>
          </cell>
          <cell r="F13">
            <v>105000</v>
          </cell>
          <cell r="G13">
            <v>105000</v>
          </cell>
          <cell r="H13">
            <v>105000</v>
          </cell>
        </row>
      </sheetData>
      <sheetData sheetId="5">
        <row r="14">
          <cell r="D14">
            <v>88695.62966398921</v>
          </cell>
          <cell r="E14">
            <v>91148.092493528457</v>
          </cell>
          <cell r="F14">
            <v>93700.472442696511</v>
          </cell>
          <cell r="G14">
            <v>96356.840289111249</v>
          </cell>
          <cell r="H14">
            <v>99121.432660151506</v>
          </cell>
        </row>
      </sheetData>
      <sheetData sheetId="6"/>
      <sheetData sheetId="7"/>
      <sheetData sheetId="8">
        <row r="10">
          <cell r="C10">
            <v>7204.3703360107847</v>
          </cell>
          <cell r="D10">
            <v>9751.9075064715562</v>
          </cell>
          <cell r="E10">
            <v>12199.527557303449</v>
          </cell>
          <cell r="F10">
            <v>9543.1597108887236</v>
          </cell>
          <cell r="G10">
            <v>6778.5673398485214</v>
          </cell>
        </row>
        <row r="11">
          <cell r="C11">
            <v>6304.3703360107847</v>
          </cell>
          <cell r="D11">
            <v>8851.9075064715562</v>
          </cell>
          <cell r="E11">
            <v>11299.527557303449</v>
          </cell>
          <cell r="F11">
            <v>8643.1597108887236</v>
          </cell>
          <cell r="G11">
            <v>5878.5673398485214</v>
          </cell>
        </row>
        <row r="12">
          <cell r="C12">
            <v>6304.3703360107847</v>
          </cell>
          <cell r="D12">
            <v>8851.9075064715562</v>
          </cell>
          <cell r="E12">
            <v>11299.527557303449</v>
          </cell>
          <cell r="F12">
            <v>8643.1597108887236</v>
          </cell>
          <cell r="G12">
            <v>5878.5673398485214</v>
          </cell>
        </row>
        <row r="18">
          <cell r="C18">
            <v>2704.3703360107847</v>
          </cell>
          <cell r="D18">
            <v>12456.277842482341</v>
          </cell>
          <cell r="E18">
            <v>24655.805399785786</v>
          </cell>
          <cell r="F18">
            <v>34198.965110674508</v>
          </cell>
          <cell r="G18">
            <v>40977.532450523024</v>
          </cell>
        </row>
        <row r="34">
          <cell r="C34">
            <v>2704.3703360107847</v>
          </cell>
          <cell r="D34">
            <v>12456.277842482341</v>
          </cell>
          <cell r="E34">
            <v>24655.80539978579</v>
          </cell>
          <cell r="F34">
            <v>34198.965110674515</v>
          </cell>
          <cell r="G34">
            <v>40977.532450523038</v>
          </cell>
        </row>
      </sheetData>
      <sheetData sheetId="9">
        <row r="17">
          <cell r="C17">
            <v>6083.333333333333</v>
          </cell>
          <cell r="D17">
            <v>6083.333333333333</v>
          </cell>
          <cell r="E17">
            <v>6083.333333333333</v>
          </cell>
          <cell r="F17">
            <v>6083.333333333333</v>
          </cell>
          <cell r="G17">
            <v>6083.333333333333</v>
          </cell>
          <cell r="H17">
            <v>6083.333333333333</v>
          </cell>
          <cell r="I17">
            <v>6083.333333333333</v>
          </cell>
          <cell r="J17">
            <v>6083.333333333333</v>
          </cell>
          <cell r="K17">
            <v>6083.333333333333</v>
          </cell>
          <cell r="L17">
            <v>6083.333333333333</v>
          </cell>
          <cell r="M17">
            <v>6083.333333333333</v>
          </cell>
          <cell r="N17">
            <v>6083.333333333333</v>
          </cell>
          <cell r="O17">
            <v>6500</v>
          </cell>
          <cell r="P17">
            <v>6500</v>
          </cell>
          <cell r="Q17">
            <v>6500</v>
          </cell>
          <cell r="R17">
            <v>6500</v>
          </cell>
          <cell r="S17">
            <v>6500</v>
          </cell>
          <cell r="T17">
            <v>6500</v>
          </cell>
          <cell r="U17">
            <v>6500</v>
          </cell>
          <cell r="V17">
            <v>6500</v>
          </cell>
          <cell r="W17">
            <v>6500</v>
          </cell>
          <cell r="X17">
            <v>6500</v>
          </cell>
          <cell r="Y17">
            <v>6500</v>
          </cell>
          <cell r="Z17">
            <v>6500</v>
          </cell>
          <cell r="AA17">
            <v>6916.666666666667</v>
          </cell>
          <cell r="AB17">
            <v>6916.666666666667</v>
          </cell>
          <cell r="AC17">
            <v>6916.666666666667</v>
          </cell>
          <cell r="AD17">
            <v>6916.666666666667</v>
          </cell>
          <cell r="AE17">
            <v>6916.666666666667</v>
          </cell>
          <cell r="AF17">
            <v>6916.666666666667</v>
          </cell>
          <cell r="AG17">
            <v>6916.666666666667</v>
          </cell>
          <cell r="AH17">
            <v>6916.666666666667</v>
          </cell>
          <cell r="AI17">
            <v>6916.666666666667</v>
          </cell>
          <cell r="AJ17">
            <v>6916.666666666667</v>
          </cell>
          <cell r="AK17">
            <v>6916.666666666667</v>
          </cell>
          <cell r="AL17">
            <v>6916.666666666667</v>
          </cell>
          <cell r="AM17">
            <v>6916.666666666667</v>
          </cell>
          <cell r="AN17">
            <v>6916.666666666667</v>
          </cell>
          <cell r="AO17">
            <v>6916.666666666667</v>
          </cell>
          <cell r="AP17">
            <v>6916.666666666667</v>
          </cell>
          <cell r="AQ17">
            <v>6916.666666666667</v>
          </cell>
          <cell r="AR17">
            <v>6916.666666666667</v>
          </cell>
          <cell r="AS17">
            <v>6916.666666666667</v>
          </cell>
          <cell r="AT17">
            <v>6916.666666666667</v>
          </cell>
          <cell r="AU17">
            <v>6916.666666666667</v>
          </cell>
          <cell r="AV17">
            <v>6916.666666666667</v>
          </cell>
          <cell r="AW17">
            <v>6916.666666666667</v>
          </cell>
          <cell r="AX17">
            <v>6916.666666666667</v>
          </cell>
          <cell r="AY17">
            <v>6916.666666666667</v>
          </cell>
          <cell r="AZ17">
            <v>6916.666666666667</v>
          </cell>
          <cell r="BA17">
            <v>6916.666666666667</v>
          </cell>
          <cell r="BB17">
            <v>6916.666666666667</v>
          </cell>
          <cell r="BC17">
            <v>6916.666666666667</v>
          </cell>
          <cell r="BD17">
            <v>6916.666666666667</v>
          </cell>
          <cell r="BE17">
            <v>6916.666666666667</v>
          </cell>
          <cell r="BF17">
            <v>6916.666666666667</v>
          </cell>
          <cell r="BG17">
            <v>6916.666666666667</v>
          </cell>
          <cell r="BH17">
            <v>6916.666666666667</v>
          </cell>
          <cell r="BI17">
            <v>6916.666666666667</v>
          </cell>
          <cell r="BJ17">
            <v>6916.666666666667</v>
          </cell>
        </row>
        <row r="23">
          <cell r="C23">
            <v>666.66666666666663</v>
          </cell>
          <cell r="D23">
            <v>666.66666666666663</v>
          </cell>
          <cell r="E23">
            <v>666.66666666666663</v>
          </cell>
          <cell r="F23">
            <v>666.66666666666663</v>
          </cell>
          <cell r="G23">
            <v>666.66666666666663</v>
          </cell>
          <cell r="H23">
            <v>666.66666666666663</v>
          </cell>
          <cell r="I23">
            <v>666.66666666666663</v>
          </cell>
          <cell r="J23">
            <v>666.66666666666663</v>
          </cell>
          <cell r="K23">
            <v>666.66666666666663</v>
          </cell>
          <cell r="L23">
            <v>666.66666666666663</v>
          </cell>
          <cell r="M23">
            <v>666.66666666666663</v>
          </cell>
          <cell r="N23">
            <v>666.66666666666663</v>
          </cell>
          <cell r="O23">
            <v>666.66666666666663</v>
          </cell>
          <cell r="P23">
            <v>666.66666666666663</v>
          </cell>
          <cell r="Q23">
            <v>666.66666666666663</v>
          </cell>
          <cell r="R23">
            <v>666.66666666666663</v>
          </cell>
          <cell r="S23">
            <v>666.66666666666663</v>
          </cell>
          <cell r="T23">
            <v>666.66666666666663</v>
          </cell>
          <cell r="U23">
            <v>666.66666666666663</v>
          </cell>
          <cell r="V23">
            <v>666.66666666666663</v>
          </cell>
          <cell r="W23">
            <v>666.66666666666663</v>
          </cell>
          <cell r="X23">
            <v>666.66666666666663</v>
          </cell>
          <cell r="Y23">
            <v>666.66666666666663</v>
          </cell>
          <cell r="Z23">
            <v>666.66666666666663</v>
          </cell>
          <cell r="AA23">
            <v>666.66666666666663</v>
          </cell>
          <cell r="AB23">
            <v>666.66666666666663</v>
          </cell>
          <cell r="AC23">
            <v>666.66666666666663</v>
          </cell>
          <cell r="AD23">
            <v>666.66666666666663</v>
          </cell>
          <cell r="AE23">
            <v>666.66666666666663</v>
          </cell>
          <cell r="AF23">
            <v>666.66666666666663</v>
          </cell>
          <cell r="AG23">
            <v>666.66666666666663</v>
          </cell>
          <cell r="AH23">
            <v>666.66666666666663</v>
          </cell>
          <cell r="AI23">
            <v>666.66666666666663</v>
          </cell>
          <cell r="AJ23">
            <v>666.66666666666663</v>
          </cell>
          <cell r="AK23">
            <v>666.66666666666663</v>
          </cell>
          <cell r="AL23">
            <v>666.66666666666663</v>
          </cell>
          <cell r="AM23">
            <v>666.66666666666663</v>
          </cell>
          <cell r="AN23">
            <v>666.66666666666663</v>
          </cell>
          <cell r="AO23">
            <v>666.66666666666663</v>
          </cell>
          <cell r="AP23">
            <v>666.66666666666663</v>
          </cell>
          <cell r="AQ23">
            <v>666.66666666666663</v>
          </cell>
          <cell r="AR23">
            <v>666.66666666666663</v>
          </cell>
          <cell r="AS23">
            <v>666.66666666666663</v>
          </cell>
          <cell r="AT23">
            <v>666.66666666666663</v>
          </cell>
          <cell r="AU23">
            <v>666.66666666666663</v>
          </cell>
          <cell r="AV23">
            <v>666.66666666666663</v>
          </cell>
          <cell r="AW23">
            <v>666.66666666666663</v>
          </cell>
          <cell r="AX23">
            <v>666.66666666666663</v>
          </cell>
          <cell r="AY23">
            <v>666.66666666666663</v>
          </cell>
          <cell r="AZ23">
            <v>666.66666666666663</v>
          </cell>
          <cell r="BA23">
            <v>666.66666666666663</v>
          </cell>
          <cell r="BB23">
            <v>666.66666666666663</v>
          </cell>
          <cell r="BC23">
            <v>666.66666666666663</v>
          </cell>
          <cell r="BD23">
            <v>666.66666666666663</v>
          </cell>
          <cell r="BE23">
            <v>666.66666666666663</v>
          </cell>
          <cell r="BF23">
            <v>666.66666666666663</v>
          </cell>
          <cell r="BG23">
            <v>666.66666666666663</v>
          </cell>
          <cell r="BH23">
            <v>666.66666666666663</v>
          </cell>
          <cell r="BI23">
            <v>666.66666666666663</v>
          </cell>
          <cell r="BJ23">
            <v>666.66666666666663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2500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2500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2500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2500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2500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2500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2500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2500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2500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2500</v>
          </cell>
        </row>
        <row r="35">
          <cell r="C35">
            <v>750</v>
          </cell>
          <cell r="D35">
            <v>750</v>
          </cell>
          <cell r="E35">
            <v>750</v>
          </cell>
          <cell r="F35">
            <v>750</v>
          </cell>
          <cell r="G35">
            <v>750</v>
          </cell>
          <cell r="H35">
            <v>750</v>
          </cell>
          <cell r="I35">
            <v>750</v>
          </cell>
          <cell r="J35">
            <v>750</v>
          </cell>
          <cell r="K35">
            <v>750</v>
          </cell>
          <cell r="L35">
            <v>750</v>
          </cell>
          <cell r="M35">
            <v>750</v>
          </cell>
          <cell r="N35">
            <v>750</v>
          </cell>
          <cell r="O35">
            <v>750</v>
          </cell>
          <cell r="P35">
            <v>750</v>
          </cell>
          <cell r="Q35">
            <v>750</v>
          </cell>
          <cell r="R35">
            <v>750</v>
          </cell>
          <cell r="S35">
            <v>750</v>
          </cell>
          <cell r="T35">
            <v>750</v>
          </cell>
          <cell r="U35">
            <v>750</v>
          </cell>
          <cell r="V35">
            <v>750</v>
          </cell>
          <cell r="W35">
            <v>750</v>
          </cell>
          <cell r="X35">
            <v>750</v>
          </cell>
          <cell r="Y35">
            <v>750</v>
          </cell>
          <cell r="Z35">
            <v>750</v>
          </cell>
          <cell r="AA35">
            <v>750</v>
          </cell>
          <cell r="AB35">
            <v>750</v>
          </cell>
          <cell r="AC35">
            <v>750</v>
          </cell>
          <cell r="AD35">
            <v>750</v>
          </cell>
          <cell r="AE35">
            <v>750</v>
          </cell>
          <cell r="AF35">
            <v>750</v>
          </cell>
          <cell r="AG35">
            <v>750</v>
          </cell>
          <cell r="AH35">
            <v>750</v>
          </cell>
          <cell r="AI35">
            <v>750</v>
          </cell>
          <cell r="AJ35">
            <v>750</v>
          </cell>
          <cell r="AK35">
            <v>750</v>
          </cell>
          <cell r="AL35">
            <v>750</v>
          </cell>
          <cell r="AM35">
            <v>750</v>
          </cell>
          <cell r="AN35">
            <v>750</v>
          </cell>
          <cell r="AO35">
            <v>750</v>
          </cell>
          <cell r="AP35">
            <v>750</v>
          </cell>
          <cell r="AQ35">
            <v>750</v>
          </cell>
          <cell r="AR35">
            <v>750</v>
          </cell>
          <cell r="AS35">
            <v>750</v>
          </cell>
          <cell r="AT35">
            <v>750</v>
          </cell>
          <cell r="AU35">
            <v>750</v>
          </cell>
          <cell r="AV35">
            <v>750</v>
          </cell>
          <cell r="AW35">
            <v>750</v>
          </cell>
          <cell r="AX35">
            <v>750</v>
          </cell>
          <cell r="AY35">
            <v>750</v>
          </cell>
          <cell r="AZ35">
            <v>750</v>
          </cell>
          <cell r="BA35">
            <v>750</v>
          </cell>
          <cell r="BB35">
            <v>750</v>
          </cell>
          <cell r="BC35">
            <v>750</v>
          </cell>
          <cell r="BD35">
            <v>750</v>
          </cell>
          <cell r="BE35">
            <v>750</v>
          </cell>
          <cell r="BF35">
            <v>750</v>
          </cell>
          <cell r="BG35">
            <v>750</v>
          </cell>
          <cell r="BH35">
            <v>750</v>
          </cell>
          <cell r="BI35">
            <v>750</v>
          </cell>
          <cell r="BJ35">
            <v>750</v>
          </cell>
        </row>
        <row r="37">
          <cell r="B37" t="str">
            <v>Other Revenue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</row>
        <row r="68">
          <cell r="C68">
            <v>1416.6666666666667</v>
          </cell>
          <cell r="D68">
            <v>1416.6666666666667</v>
          </cell>
          <cell r="E68">
            <v>1416.6666666666667</v>
          </cell>
          <cell r="F68">
            <v>1416.6666666666667</v>
          </cell>
          <cell r="G68">
            <v>1416.6666666666667</v>
          </cell>
          <cell r="H68">
            <v>1416.6666666666667</v>
          </cell>
          <cell r="I68">
            <v>1416.6666666666667</v>
          </cell>
          <cell r="J68">
            <v>1416.6666666666667</v>
          </cell>
          <cell r="K68">
            <v>1416.6666666666667</v>
          </cell>
          <cell r="L68">
            <v>1416.6666666666667</v>
          </cell>
          <cell r="M68">
            <v>1416.6666666666667</v>
          </cell>
          <cell r="N68">
            <v>1416.6666666666667</v>
          </cell>
          <cell r="O68">
            <v>1416.6666666666667</v>
          </cell>
          <cell r="P68">
            <v>1416.6666666666667</v>
          </cell>
          <cell r="Q68">
            <v>1416.6666666666667</v>
          </cell>
          <cell r="R68">
            <v>1416.6666666666667</v>
          </cell>
          <cell r="S68">
            <v>1416.6666666666667</v>
          </cell>
          <cell r="T68">
            <v>1416.6666666666667</v>
          </cell>
          <cell r="U68">
            <v>1416.6666666666667</v>
          </cell>
          <cell r="V68">
            <v>1416.6666666666667</v>
          </cell>
          <cell r="W68">
            <v>1416.6666666666667</v>
          </cell>
          <cell r="X68">
            <v>1416.6666666666667</v>
          </cell>
          <cell r="Y68">
            <v>1416.6666666666667</v>
          </cell>
          <cell r="Z68">
            <v>1416.6666666666667</v>
          </cell>
          <cell r="AA68">
            <v>1416.6666666666667</v>
          </cell>
          <cell r="AB68">
            <v>1416.6666666666667</v>
          </cell>
          <cell r="AC68">
            <v>1416.6666666666667</v>
          </cell>
          <cell r="AD68">
            <v>1416.6666666666667</v>
          </cell>
          <cell r="AE68">
            <v>1416.6666666666667</v>
          </cell>
          <cell r="AF68">
            <v>1416.6666666666667</v>
          </cell>
          <cell r="AG68">
            <v>1416.6666666666667</v>
          </cell>
          <cell r="AH68">
            <v>1416.6666666666667</v>
          </cell>
          <cell r="AI68">
            <v>1416.6666666666667</v>
          </cell>
          <cell r="AJ68">
            <v>1416.6666666666667</v>
          </cell>
          <cell r="AK68">
            <v>1416.6666666666667</v>
          </cell>
          <cell r="AL68">
            <v>1416.6666666666667</v>
          </cell>
          <cell r="AM68">
            <v>1416.6666666666667</v>
          </cell>
          <cell r="AN68">
            <v>1416.6666666666667</v>
          </cell>
          <cell r="AO68">
            <v>1416.6666666666667</v>
          </cell>
          <cell r="AP68">
            <v>1416.6666666666667</v>
          </cell>
          <cell r="AQ68">
            <v>1416.6666666666667</v>
          </cell>
          <cell r="AR68">
            <v>1416.6666666666667</v>
          </cell>
          <cell r="AS68">
            <v>1416.6666666666667</v>
          </cell>
          <cell r="AT68">
            <v>1416.6666666666667</v>
          </cell>
          <cell r="AU68">
            <v>1416.6666666666667</v>
          </cell>
          <cell r="AV68">
            <v>1416.6666666666667</v>
          </cell>
          <cell r="AW68">
            <v>1416.6666666666667</v>
          </cell>
          <cell r="AX68">
            <v>1416.6666666666667</v>
          </cell>
          <cell r="AY68">
            <v>1416.6666666666667</v>
          </cell>
          <cell r="AZ68">
            <v>1416.6666666666667</v>
          </cell>
          <cell r="BA68">
            <v>1416.6666666666667</v>
          </cell>
          <cell r="BB68">
            <v>1416.6666666666667</v>
          </cell>
          <cell r="BC68">
            <v>1416.6666666666667</v>
          </cell>
          <cell r="BD68">
            <v>1416.6666666666667</v>
          </cell>
          <cell r="BE68">
            <v>1416.6666666666667</v>
          </cell>
          <cell r="BF68">
            <v>1416.6666666666667</v>
          </cell>
          <cell r="BG68">
            <v>1416.6666666666667</v>
          </cell>
          <cell r="BH68">
            <v>1416.6666666666667</v>
          </cell>
          <cell r="BI68">
            <v>1416.6666666666667</v>
          </cell>
          <cell r="BJ68">
            <v>1416.6666666666667</v>
          </cell>
        </row>
        <row r="69">
          <cell r="C69">
            <v>750</v>
          </cell>
          <cell r="D69">
            <v>750</v>
          </cell>
          <cell r="E69">
            <v>750</v>
          </cell>
          <cell r="F69">
            <v>750</v>
          </cell>
          <cell r="G69">
            <v>750</v>
          </cell>
          <cell r="H69">
            <v>750</v>
          </cell>
          <cell r="I69">
            <v>750</v>
          </cell>
          <cell r="J69">
            <v>750</v>
          </cell>
          <cell r="K69">
            <v>750</v>
          </cell>
          <cell r="L69">
            <v>750</v>
          </cell>
          <cell r="M69">
            <v>750</v>
          </cell>
          <cell r="N69">
            <v>750</v>
          </cell>
          <cell r="O69">
            <v>750</v>
          </cell>
          <cell r="P69">
            <v>750</v>
          </cell>
          <cell r="Q69">
            <v>750</v>
          </cell>
          <cell r="R69">
            <v>750</v>
          </cell>
          <cell r="S69">
            <v>750</v>
          </cell>
          <cell r="T69">
            <v>750</v>
          </cell>
          <cell r="U69">
            <v>750</v>
          </cell>
          <cell r="V69">
            <v>750</v>
          </cell>
          <cell r="W69">
            <v>750</v>
          </cell>
          <cell r="X69">
            <v>750</v>
          </cell>
          <cell r="Y69">
            <v>750</v>
          </cell>
          <cell r="Z69">
            <v>750</v>
          </cell>
          <cell r="AA69">
            <v>750</v>
          </cell>
          <cell r="AB69">
            <v>750</v>
          </cell>
          <cell r="AC69">
            <v>750</v>
          </cell>
          <cell r="AD69">
            <v>750</v>
          </cell>
          <cell r="AE69">
            <v>750</v>
          </cell>
          <cell r="AF69">
            <v>750</v>
          </cell>
          <cell r="AG69">
            <v>750</v>
          </cell>
          <cell r="AH69">
            <v>750</v>
          </cell>
          <cell r="AI69">
            <v>750</v>
          </cell>
          <cell r="AJ69">
            <v>750</v>
          </cell>
          <cell r="AK69">
            <v>750</v>
          </cell>
          <cell r="AL69">
            <v>750</v>
          </cell>
          <cell r="AM69">
            <v>750</v>
          </cell>
          <cell r="AN69">
            <v>750</v>
          </cell>
          <cell r="AO69">
            <v>750</v>
          </cell>
          <cell r="AP69">
            <v>750</v>
          </cell>
          <cell r="AQ69">
            <v>750</v>
          </cell>
          <cell r="AR69">
            <v>750</v>
          </cell>
          <cell r="AS69">
            <v>750</v>
          </cell>
          <cell r="AT69">
            <v>750</v>
          </cell>
          <cell r="AU69">
            <v>750</v>
          </cell>
          <cell r="AV69">
            <v>750</v>
          </cell>
          <cell r="AW69">
            <v>750</v>
          </cell>
          <cell r="AX69">
            <v>750</v>
          </cell>
          <cell r="AY69">
            <v>750</v>
          </cell>
          <cell r="AZ69">
            <v>750</v>
          </cell>
          <cell r="BA69">
            <v>750</v>
          </cell>
          <cell r="BB69">
            <v>750</v>
          </cell>
          <cell r="BC69">
            <v>750</v>
          </cell>
          <cell r="BD69">
            <v>750</v>
          </cell>
          <cell r="BE69">
            <v>750</v>
          </cell>
          <cell r="BF69">
            <v>750</v>
          </cell>
          <cell r="BG69">
            <v>750</v>
          </cell>
          <cell r="BH69">
            <v>750</v>
          </cell>
          <cell r="BI69">
            <v>750</v>
          </cell>
          <cell r="BJ69">
            <v>750</v>
          </cell>
        </row>
        <row r="77">
          <cell r="C77">
            <v>83.333333333333329</v>
          </cell>
          <cell r="D77">
            <v>83.333333333333329</v>
          </cell>
          <cell r="E77">
            <v>83.333333333333329</v>
          </cell>
          <cell r="F77">
            <v>83.333333333333329</v>
          </cell>
          <cell r="G77">
            <v>83.333333333333329</v>
          </cell>
          <cell r="H77">
            <v>83.333333333333329</v>
          </cell>
          <cell r="I77">
            <v>83.333333333333329</v>
          </cell>
          <cell r="J77">
            <v>83.333333333333329</v>
          </cell>
          <cell r="K77">
            <v>83.333333333333329</v>
          </cell>
          <cell r="L77">
            <v>83.333333333333329</v>
          </cell>
          <cell r="M77">
            <v>83.333333333333329</v>
          </cell>
          <cell r="N77">
            <v>83.333333333333329</v>
          </cell>
          <cell r="O77">
            <v>83.333333333333329</v>
          </cell>
          <cell r="P77">
            <v>83.333333333333329</v>
          </cell>
          <cell r="Q77">
            <v>83.333333333333329</v>
          </cell>
          <cell r="R77">
            <v>83.333333333333329</v>
          </cell>
          <cell r="S77">
            <v>83.333333333333329</v>
          </cell>
          <cell r="T77">
            <v>83.333333333333329</v>
          </cell>
          <cell r="U77">
            <v>83.333333333333329</v>
          </cell>
          <cell r="V77">
            <v>83.333333333333329</v>
          </cell>
          <cell r="W77">
            <v>83.333333333333329</v>
          </cell>
          <cell r="X77">
            <v>83.333333333333329</v>
          </cell>
          <cell r="Y77">
            <v>83.333333333333329</v>
          </cell>
          <cell r="Z77">
            <v>83.333333333333329</v>
          </cell>
          <cell r="AA77">
            <v>83.333333333333329</v>
          </cell>
          <cell r="AB77">
            <v>83.333333333333329</v>
          </cell>
          <cell r="AC77">
            <v>83.333333333333329</v>
          </cell>
          <cell r="AD77">
            <v>83.333333333333329</v>
          </cell>
          <cell r="AE77">
            <v>83.333333333333329</v>
          </cell>
          <cell r="AF77">
            <v>83.333333333333329</v>
          </cell>
          <cell r="AG77">
            <v>83.333333333333329</v>
          </cell>
          <cell r="AH77">
            <v>83.333333333333329</v>
          </cell>
          <cell r="AI77">
            <v>83.333333333333329</v>
          </cell>
          <cell r="AJ77">
            <v>83.333333333333329</v>
          </cell>
          <cell r="AK77">
            <v>83.333333333333329</v>
          </cell>
          <cell r="AL77">
            <v>83.333333333333329</v>
          </cell>
          <cell r="AM77">
            <v>83.333333333333329</v>
          </cell>
          <cell r="AN77">
            <v>83.333333333333329</v>
          </cell>
          <cell r="AO77">
            <v>83.333333333333329</v>
          </cell>
          <cell r="AP77">
            <v>83.333333333333329</v>
          </cell>
          <cell r="AQ77">
            <v>83.333333333333329</v>
          </cell>
          <cell r="AR77">
            <v>83.333333333333329</v>
          </cell>
          <cell r="AS77">
            <v>83.333333333333329</v>
          </cell>
          <cell r="AT77">
            <v>83.333333333333329</v>
          </cell>
          <cell r="AU77">
            <v>83.333333333333329</v>
          </cell>
          <cell r="AV77">
            <v>83.333333333333329</v>
          </cell>
          <cell r="AW77">
            <v>83.333333333333329</v>
          </cell>
          <cell r="AX77">
            <v>83.333333333333329</v>
          </cell>
          <cell r="AY77">
            <v>83.333333333333329</v>
          </cell>
          <cell r="AZ77">
            <v>83.333333333333329</v>
          </cell>
          <cell r="BA77">
            <v>83.333333333333329</v>
          </cell>
          <cell r="BB77">
            <v>83.333333333333329</v>
          </cell>
          <cell r="BC77">
            <v>83.333333333333329</v>
          </cell>
          <cell r="BD77">
            <v>83.333333333333329</v>
          </cell>
          <cell r="BE77">
            <v>83.333333333333329</v>
          </cell>
          <cell r="BF77">
            <v>83.333333333333329</v>
          </cell>
          <cell r="BG77">
            <v>83.333333333333329</v>
          </cell>
          <cell r="BH77">
            <v>83.333333333333329</v>
          </cell>
          <cell r="BI77">
            <v>83.333333333333329</v>
          </cell>
          <cell r="BJ77">
            <v>83.333333333333329</v>
          </cell>
        </row>
        <row r="84">
          <cell r="C84">
            <v>50</v>
          </cell>
          <cell r="D84">
            <v>50</v>
          </cell>
          <cell r="E84">
            <v>50</v>
          </cell>
          <cell r="F84">
            <v>50</v>
          </cell>
          <cell r="G84">
            <v>50</v>
          </cell>
          <cell r="H84">
            <v>50</v>
          </cell>
          <cell r="I84">
            <v>50</v>
          </cell>
          <cell r="J84">
            <v>50</v>
          </cell>
          <cell r="K84">
            <v>50</v>
          </cell>
          <cell r="L84">
            <v>50</v>
          </cell>
          <cell r="M84">
            <v>50</v>
          </cell>
          <cell r="N84">
            <v>50</v>
          </cell>
          <cell r="O84">
            <v>50</v>
          </cell>
          <cell r="P84">
            <v>50</v>
          </cell>
          <cell r="Q84">
            <v>50</v>
          </cell>
          <cell r="R84">
            <v>50</v>
          </cell>
          <cell r="S84">
            <v>50</v>
          </cell>
          <cell r="T84">
            <v>50</v>
          </cell>
          <cell r="U84">
            <v>50</v>
          </cell>
          <cell r="V84">
            <v>50</v>
          </cell>
          <cell r="W84">
            <v>50</v>
          </cell>
          <cell r="X84">
            <v>50</v>
          </cell>
          <cell r="Y84">
            <v>50</v>
          </cell>
          <cell r="Z84">
            <v>50</v>
          </cell>
          <cell r="AA84">
            <v>50</v>
          </cell>
          <cell r="AB84">
            <v>50</v>
          </cell>
          <cell r="AC84">
            <v>50</v>
          </cell>
          <cell r="AD84">
            <v>50</v>
          </cell>
          <cell r="AE84">
            <v>50</v>
          </cell>
          <cell r="AF84">
            <v>50</v>
          </cell>
          <cell r="AG84">
            <v>50</v>
          </cell>
          <cell r="AH84">
            <v>50</v>
          </cell>
          <cell r="AI84">
            <v>50</v>
          </cell>
          <cell r="AJ84">
            <v>50</v>
          </cell>
          <cell r="AK84">
            <v>50</v>
          </cell>
          <cell r="AL84">
            <v>50</v>
          </cell>
          <cell r="AM84">
            <v>50</v>
          </cell>
          <cell r="AN84">
            <v>50</v>
          </cell>
          <cell r="AO84">
            <v>50</v>
          </cell>
          <cell r="AP84">
            <v>50</v>
          </cell>
          <cell r="AQ84">
            <v>50</v>
          </cell>
          <cell r="AR84">
            <v>50</v>
          </cell>
          <cell r="AS84">
            <v>50</v>
          </cell>
          <cell r="AT84">
            <v>50</v>
          </cell>
          <cell r="AU84">
            <v>50</v>
          </cell>
          <cell r="AV84">
            <v>50</v>
          </cell>
          <cell r="AW84">
            <v>50</v>
          </cell>
          <cell r="AX84">
            <v>50</v>
          </cell>
          <cell r="AY84">
            <v>50</v>
          </cell>
          <cell r="AZ84">
            <v>50</v>
          </cell>
          <cell r="BA84">
            <v>50</v>
          </cell>
          <cell r="BB84">
            <v>50</v>
          </cell>
          <cell r="BC84">
            <v>50</v>
          </cell>
          <cell r="BD84">
            <v>50</v>
          </cell>
          <cell r="BE84">
            <v>50</v>
          </cell>
          <cell r="BF84">
            <v>50</v>
          </cell>
          <cell r="BG84">
            <v>50</v>
          </cell>
          <cell r="BH84">
            <v>50</v>
          </cell>
          <cell r="BI84">
            <v>50</v>
          </cell>
          <cell r="BJ84">
            <v>50</v>
          </cell>
        </row>
        <row r="92">
          <cell r="C92">
            <v>2500</v>
          </cell>
          <cell r="D92">
            <v>2508.3333333333335</v>
          </cell>
          <cell r="E92">
            <v>2516.6944444444448</v>
          </cell>
          <cell r="F92">
            <v>2525.0834259259263</v>
          </cell>
          <cell r="G92">
            <v>2533.500370679013</v>
          </cell>
          <cell r="H92">
            <v>2541.94537191461</v>
          </cell>
          <cell r="I92">
            <v>2550.4185231543256</v>
          </cell>
          <cell r="J92">
            <v>2558.9199182315069</v>
          </cell>
          <cell r="K92">
            <v>2567.4496512922788</v>
          </cell>
          <cell r="L92">
            <v>2576.0078167965867</v>
          </cell>
          <cell r="M92">
            <v>2584.5945095192424</v>
          </cell>
          <cell r="N92">
            <v>2593.2098245509733</v>
          </cell>
          <cell r="O92">
            <v>2601.8538572994767</v>
          </cell>
          <cell r="P92">
            <v>2610.526703490475</v>
          </cell>
          <cell r="Q92">
            <v>2619.2284591687767</v>
          </cell>
          <cell r="R92">
            <v>2627.9592206993393</v>
          </cell>
          <cell r="S92">
            <v>2636.7190847683373</v>
          </cell>
          <cell r="T92">
            <v>2645.5081483842318</v>
          </cell>
          <cell r="U92">
            <v>2654.3265088788462</v>
          </cell>
          <cell r="V92">
            <v>2663.1742639084428</v>
          </cell>
          <cell r="W92">
            <v>2672.0515114548043</v>
          </cell>
          <cell r="X92">
            <v>2680.9583498263205</v>
          </cell>
          <cell r="Y92">
            <v>2689.8948776590751</v>
          </cell>
          <cell r="Z92">
            <v>2698.8611939179386</v>
          </cell>
          <cell r="AA92">
            <v>2707.8573978976651</v>
          </cell>
          <cell r="AB92">
            <v>2716.8835892239908</v>
          </cell>
          <cell r="AC92">
            <v>2725.9398678547377</v>
          </cell>
          <cell r="AD92">
            <v>2735.0263340809206</v>
          </cell>
          <cell r="AE92">
            <v>2744.1430885278573</v>
          </cell>
          <cell r="AF92">
            <v>2753.2902321562838</v>
          </cell>
          <cell r="AG92">
            <v>2762.4678662634715</v>
          </cell>
          <cell r="AH92">
            <v>2771.6760924843497</v>
          </cell>
          <cell r="AI92">
            <v>2780.9150127926309</v>
          </cell>
          <cell r="AJ92">
            <v>2790.1847295019397</v>
          </cell>
          <cell r="AK92">
            <v>2799.4853452669463</v>
          </cell>
          <cell r="AL92">
            <v>2808.8169630845032</v>
          </cell>
          <cell r="AM92">
            <v>2818.1796862947849</v>
          </cell>
          <cell r="AN92">
            <v>2827.5736185824344</v>
          </cell>
          <cell r="AO92">
            <v>2836.9988639777093</v>
          </cell>
          <cell r="AP92">
            <v>2846.455526857635</v>
          </cell>
          <cell r="AQ92">
            <v>2855.9437119471609</v>
          </cell>
          <cell r="AR92">
            <v>2865.4635243203184</v>
          </cell>
          <cell r="AS92">
            <v>2875.0150694013864</v>
          </cell>
          <cell r="AT92">
            <v>2884.5984529660577</v>
          </cell>
          <cell r="AU92">
            <v>2894.2137811426114</v>
          </cell>
          <cell r="AV92">
            <v>2903.861160413087</v>
          </cell>
          <cell r="AW92">
            <v>2913.5406976144641</v>
          </cell>
          <cell r="AX92">
            <v>2923.2524999398461</v>
          </cell>
          <cell r="AY92">
            <v>2932.9966749396458</v>
          </cell>
          <cell r="AZ92">
            <v>2942.773330522778</v>
          </cell>
          <cell r="BA92">
            <v>2952.5825749578544</v>
          </cell>
          <cell r="BB92">
            <v>2962.424516874381</v>
          </cell>
          <cell r="BC92">
            <v>2972.2992652639623</v>
          </cell>
          <cell r="BD92">
            <v>2982.2069294815092</v>
          </cell>
          <cell r="BE92">
            <v>2992.1476192464479</v>
          </cell>
          <cell r="BF92">
            <v>3002.1214446439362</v>
          </cell>
          <cell r="BG92">
            <v>3012.128516126083</v>
          </cell>
          <cell r="BH92">
            <v>3022.1689445131701</v>
          </cell>
          <cell r="BI92">
            <v>3032.2428409948811</v>
          </cell>
          <cell r="BJ92">
            <v>3042.350317131531</v>
          </cell>
        </row>
        <row r="93">
          <cell r="C93">
            <v>875</v>
          </cell>
          <cell r="D93">
            <v>877.91666666666663</v>
          </cell>
          <cell r="E93">
            <v>880.84305555555568</v>
          </cell>
          <cell r="F93">
            <v>883.7791990740742</v>
          </cell>
          <cell r="G93">
            <v>886.72512973765447</v>
          </cell>
          <cell r="H93">
            <v>889.68088017011348</v>
          </cell>
          <cell r="I93">
            <v>892.6464831040139</v>
          </cell>
          <cell r="J93">
            <v>895.62197138102738</v>
          </cell>
          <cell r="K93">
            <v>898.6073779522975</v>
          </cell>
          <cell r="L93">
            <v>901.60273587880522</v>
          </cell>
          <cell r="M93">
            <v>904.60807833173476</v>
          </cell>
          <cell r="N93">
            <v>907.62343859284056</v>
          </cell>
          <cell r="O93">
            <v>910.64885005481676</v>
          </cell>
          <cell r="P93">
            <v>913.68434622166615</v>
          </cell>
          <cell r="Q93">
            <v>916.72996070907175</v>
          </cell>
          <cell r="R93">
            <v>919.78572724476874</v>
          </cell>
          <cell r="S93">
            <v>922.851679668918</v>
          </cell>
          <cell r="T93">
            <v>925.92785193448105</v>
          </cell>
          <cell r="U93">
            <v>929.01427810759606</v>
          </cell>
          <cell r="V93">
            <v>932.11099236795485</v>
          </cell>
          <cell r="W93">
            <v>935.21802900918146</v>
          </cell>
          <cell r="X93">
            <v>938.33542243921215</v>
          </cell>
          <cell r="Y93">
            <v>941.46320718067625</v>
          </cell>
          <cell r="Z93">
            <v>944.6014178712785</v>
          </cell>
          <cell r="AA93">
            <v>947.75008926418275</v>
          </cell>
          <cell r="AB93">
            <v>950.90925622839677</v>
          </cell>
          <cell r="AC93">
            <v>954.07895374915813</v>
          </cell>
          <cell r="AD93">
            <v>957.25921692832219</v>
          </cell>
          <cell r="AE93">
            <v>960.45008098475</v>
          </cell>
          <cell r="AF93">
            <v>963.65158125469929</v>
          </cell>
          <cell r="AG93">
            <v>966.86375319221497</v>
          </cell>
          <cell r="AH93">
            <v>970.08663236952236</v>
          </cell>
          <cell r="AI93">
            <v>973.3202544774208</v>
          </cell>
          <cell r="AJ93">
            <v>976.56465532567881</v>
          </cell>
          <cell r="AK93">
            <v>979.81987084343109</v>
          </cell>
          <cell r="AL93">
            <v>983.08593707957607</v>
          </cell>
          <cell r="AM93">
            <v>986.36289020317463</v>
          </cell>
          <cell r="AN93">
            <v>989.65076650385197</v>
          </cell>
          <cell r="AO93">
            <v>992.94960239219824</v>
          </cell>
          <cell r="AP93">
            <v>996.25943440017215</v>
          </cell>
          <cell r="AQ93">
            <v>999.58029918150623</v>
          </cell>
          <cell r="AR93">
            <v>1002.9122335121114</v>
          </cell>
          <cell r="AS93">
            <v>1006.2552742904852</v>
          </cell>
          <cell r="AT93">
            <v>1009.6094585381202</v>
          </cell>
          <cell r="AU93">
            <v>1012.9748233999139</v>
          </cell>
          <cell r="AV93">
            <v>1016.3514061445803</v>
          </cell>
          <cell r="AW93">
            <v>1019.7392441650624</v>
          </cell>
          <cell r="AX93">
            <v>1023.1383749789461</v>
          </cell>
          <cell r="AY93">
            <v>1026.5488362288759</v>
          </cell>
          <cell r="AZ93">
            <v>1029.9706656829721</v>
          </cell>
          <cell r="BA93">
            <v>1033.4039012352489</v>
          </cell>
          <cell r="BB93">
            <v>1036.8485809060332</v>
          </cell>
          <cell r="BC93">
            <v>1040.3047428423868</v>
          </cell>
          <cell r="BD93">
            <v>1043.7724253185281</v>
          </cell>
          <cell r="BE93">
            <v>1047.2516667362568</v>
          </cell>
          <cell r="BF93">
            <v>1050.7425056253776</v>
          </cell>
          <cell r="BG93">
            <v>1054.2449806441291</v>
          </cell>
          <cell r="BH93">
            <v>1057.7591305796095</v>
          </cell>
          <cell r="BI93">
            <v>1061.2849943482083</v>
          </cell>
          <cell r="BJ93">
            <v>1064.8226109960358</v>
          </cell>
        </row>
        <row r="94">
          <cell r="C94">
            <v>500</v>
          </cell>
          <cell r="D94">
            <v>501.66666666666669</v>
          </cell>
          <cell r="E94">
            <v>503.33888888888896</v>
          </cell>
          <cell r="F94">
            <v>505.01668518518528</v>
          </cell>
          <cell r="G94">
            <v>506.70007413580259</v>
          </cell>
          <cell r="H94">
            <v>508.38907438292199</v>
          </cell>
          <cell r="I94">
            <v>510.0837046308651</v>
          </cell>
          <cell r="J94">
            <v>511.78398364630135</v>
          </cell>
          <cell r="K94">
            <v>513.48993025845573</v>
          </cell>
          <cell r="L94">
            <v>515.20156335931733</v>
          </cell>
          <cell r="M94">
            <v>516.91890190384845</v>
          </cell>
          <cell r="N94">
            <v>518.6419649101947</v>
          </cell>
          <cell r="O94">
            <v>520.37077145989542</v>
          </cell>
          <cell r="P94">
            <v>522.10534069809512</v>
          </cell>
          <cell r="Q94">
            <v>523.8456918337555</v>
          </cell>
          <cell r="R94">
            <v>525.59184413986804</v>
          </cell>
          <cell r="S94">
            <v>527.34381695366767</v>
          </cell>
          <cell r="T94">
            <v>529.10162967684664</v>
          </cell>
          <cell r="U94">
            <v>530.86530177576947</v>
          </cell>
          <cell r="V94">
            <v>532.63485278168878</v>
          </cell>
          <cell r="W94">
            <v>534.41030229096111</v>
          </cell>
          <cell r="X94">
            <v>536.1916699652644</v>
          </cell>
          <cell r="Y94">
            <v>537.97897553181531</v>
          </cell>
          <cell r="Z94">
            <v>539.77223878358802</v>
          </cell>
          <cell r="AA94">
            <v>541.57147957953339</v>
          </cell>
          <cell r="AB94">
            <v>543.37671784479858</v>
          </cell>
          <cell r="AC94">
            <v>545.18797357094797</v>
          </cell>
          <cell r="AD94">
            <v>547.00526681618453</v>
          </cell>
          <cell r="AE94">
            <v>548.8286177055719</v>
          </cell>
          <cell r="AF94">
            <v>550.65804643125716</v>
          </cell>
          <cell r="AG94">
            <v>552.49357325269477</v>
          </cell>
          <cell r="AH94">
            <v>554.33521849687043</v>
          </cell>
          <cell r="AI94">
            <v>556.18300255852671</v>
          </cell>
          <cell r="AJ94">
            <v>558.03694590038856</v>
          </cell>
          <cell r="AK94">
            <v>559.89706905338994</v>
          </cell>
          <cell r="AL94">
            <v>561.76339261690123</v>
          </cell>
          <cell r="AM94">
            <v>563.6359372589576</v>
          </cell>
          <cell r="AN94">
            <v>565.51472371648754</v>
          </cell>
          <cell r="AO94">
            <v>567.3997727955425</v>
          </cell>
          <cell r="AP94">
            <v>569.29110537152769</v>
          </cell>
          <cell r="AQ94">
            <v>571.18874238943283</v>
          </cell>
          <cell r="AR94">
            <v>573.09270486406433</v>
          </cell>
          <cell r="AS94">
            <v>575.00301388027788</v>
          </cell>
          <cell r="AT94">
            <v>576.91969059321218</v>
          </cell>
          <cell r="AU94">
            <v>578.84275622852294</v>
          </cell>
          <cell r="AV94">
            <v>580.77223208261807</v>
          </cell>
          <cell r="AW94">
            <v>582.70813952289348</v>
          </cell>
          <cell r="AX94">
            <v>584.65049998796985</v>
          </cell>
          <cell r="AY94">
            <v>586.59933498792975</v>
          </cell>
          <cell r="AZ94">
            <v>588.55466610455619</v>
          </cell>
          <cell r="BA94">
            <v>590.5165149915714</v>
          </cell>
          <cell r="BB94">
            <v>592.48490337487669</v>
          </cell>
          <cell r="BC94">
            <v>594.45985305279305</v>
          </cell>
          <cell r="BD94">
            <v>596.44138589630245</v>
          </cell>
          <cell r="BE94">
            <v>598.42952384929015</v>
          </cell>
          <cell r="BF94">
            <v>600.42428892878786</v>
          </cell>
          <cell r="BG94">
            <v>602.42570322521715</v>
          </cell>
          <cell r="BH94">
            <v>604.43378890263455</v>
          </cell>
          <cell r="BI94">
            <v>606.44856819897666</v>
          </cell>
          <cell r="BJ94">
            <v>608.47006342630664</v>
          </cell>
        </row>
        <row r="95">
          <cell r="C95">
            <v>100</v>
          </cell>
          <cell r="D95">
            <v>100.33333333333334</v>
          </cell>
          <cell r="E95">
            <v>100.6677777777778</v>
          </cell>
          <cell r="F95">
            <v>101.00333703703707</v>
          </cell>
          <cell r="G95">
            <v>101.34001482716053</v>
          </cell>
          <cell r="H95">
            <v>101.67781487658441</v>
          </cell>
          <cell r="I95">
            <v>102.01674092617303</v>
          </cell>
          <cell r="J95">
            <v>102.35679672926028</v>
          </cell>
          <cell r="K95">
            <v>102.69798605169116</v>
          </cell>
          <cell r="L95">
            <v>103.04031267186348</v>
          </cell>
          <cell r="M95">
            <v>103.38378038076969</v>
          </cell>
          <cell r="N95">
            <v>103.72839298203893</v>
          </cell>
          <cell r="O95">
            <v>104.07415429197907</v>
          </cell>
          <cell r="P95">
            <v>104.42106813961901</v>
          </cell>
          <cell r="Q95">
            <v>104.76913836675108</v>
          </cell>
          <cell r="R95">
            <v>105.1183688279736</v>
          </cell>
          <cell r="S95">
            <v>105.46876339073351</v>
          </cell>
          <cell r="T95">
            <v>105.8203259353693</v>
          </cell>
          <cell r="U95">
            <v>106.17306035515386</v>
          </cell>
          <cell r="V95">
            <v>106.52697055633772</v>
          </cell>
          <cell r="W95">
            <v>106.88206045819219</v>
          </cell>
          <cell r="X95">
            <v>107.23833399305283</v>
          </cell>
          <cell r="Y95">
            <v>107.59579510636301</v>
          </cell>
          <cell r="Z95">
            <v>107.95444775671757</v>
          </cell>
          <cell r="AA95">
            <v>108.31429591590664</v>
          </cell>
          <cell r="AB95">
            <v>108.67534356895968</v>
          </cell>
          <cell r="AC95">
            <v>109.03759471418955</v>
          </cell>
          <cell r="AD95">
            <v>109.40105336323685</v>
          </cell>
          <cell r="AE95">
            <v>109.76572354111433</v>
          </cell>
          <cell r="AF95">
            <v>110.13160928625138</v>
          </cell>
          <cell r="AG95">
            <v>110.49871465053889</v>
          </cell>
          <cell r="AH95">
            <v>110.86704369937402</v>
          </cell>
          <cell r="AI95">
            <v>111.23660051170528</v>
          </cell>
          <cell r="AJ95">
            <v>111.60738918007763</v>
          </cell>
          <cell r="AK95">
            <v>111.9794138106779</v>
          </cell>
          <cell r="AL95">
            <v>112.35267852338016</v>
          </cell>
          <cell r="AM95">
            <v>112.72718745179144</v>
          </cell>
          <cell r="AN95">
            <v>113.10294474329741</v>
          </cell>
          <cell r="AO95">
            <v>113.47995455910841</v>
          </cell>
          <cell r="AP95">
            <v>113.85822107430545</v>
          </cell>
          <cell r="AQ95">
            <v>114.23774847788647</v>
          </cell>
          <cell r="AR95">
            <v>114.61854097281277</v>
          </cell>
          <cell r="AS95">
            <v>115.00060277605549</v>
          </cell>
          <cell r="AT95">
            <v>115.38393811864235</v>
          </cell>
          <cell r="AU95">
            <v>115.7685512457045</v>
          </cell>
          <cell r="AV95">
            <v>116.15444641652353</v>
          </cell>
          <cell r="AW95">
            <v>116.54162790457862</v>
          </cell>
          <cell r="AX95">
            <v>116.93009999759389</v>
          </cell>
          <cell r="AY95">
            <v>117.31986699758588</v>
          </cell>
          <cell r="AZ95">
            <v>117.71093322091117</v>
          </cell>
          <cell r="BA95">
            <v>118.10330299831422</v>
          </cell>
          <cell r="BB95">
            <v>118.49698067497528</v>
          </cell>
          <cell r="BC95">
            <v>118.89197061055853</v>
          </cell>
          <cell r="BD95">
            <v>119.2882771792604</v>
          </cell>
          <cell r="BE95">
            <v>119.68590476985794</v>
          </cell>
          <cell r="BF95">
            <v>120.08485778575748</v>
          </cell>
          <cell r="BG95">
            <v>120.48514064504334</v>
          </cell>
          <cell r="BH95">
            <v>120.88675778052684</v>
          </cell>
          <cell r="BI95">
            <v>121.28971363979527</v>
          </cell>
          <cell r="BJ95">
            <v>121.69401268526126</v>
          </cell>
        </row>
        <row r="96">
          <cell r="C96">
            <v>100</v>
          </cell>
          <cell r="D96">
            <v>100.33333333333334</v>
          </cell>
          <cell r="E96">
            <v>100.6677777777778</v>
          </cell>
          <cell r="F96">
            <v>101.00333703703707</v>
          </cell>
          <cell r="G96">
            <v>101.34001482716053</v>
          </cell>
          <cell r="H96">
            <v>101.67781487658441</v>
          </cell>
          <cell r="I96">
            <v>102.01674092617303</v>
          </cell>
          <cell r="J96">
            <v>102.35679672926028</v>
          </cell>
          <cell r="K96">
            <v>102.69798605169116</v>
          </cell>
          <cell r="L96">
            <v>103.04031267186348</v>
          </cell>
          <cell r="M96">
            <v>103.38378038076969</v>
          </cell>
          <cell r="N96">
            <v>103.72839298203893</v>
          </cell>
          <cell r="O96">
            <v>104.07415429197907</v>
          </cell>
          <cell r="P96">
            <v>104.42106813961901</v>
          </cell>
          <cell r="Q96">
            <v>104.76913836675108</v>
          </cell>
          <cell r="R96">
            <v>105.1183688279736</v>
          </cell>
          <cell r="S96">
            <v>105.46876339073351</v>
          </cell>
          <cell r="T96">
            <v>105.8203259353693</v>
          </cell>
          <cell r="U96">
            <v>106.17306035515386</v>
          </cell>
          <cell r="V96">
            <v>106.52697055633772</v>
          </cell>
          <cell r="W96">
            <v>106.88206045819219</v>
          </cell>
          <cell r="X96">
            <v>107.23833399305283</v>
          </cell>
          <cell r="Y96">
            <v>107.59579510636301</v>
          </cell>
          <cell r="Z96">
            <v>107.95444775671757</v>
          </cell>
          <cell r="AA96">
            <v>108.31429591590664</v>
          </cell>
          <cell r="AB96">
            <v>108.67534356895968</v>
          </cell>
          <cell r="AC96">
            <v>109.03759471418955</v>
          </cell>
          <cell r="AD96">
            <v>109.40105336323685</v>
          </cell>
          <cell r="AE96">
            <v>109.76572354111433</v>
          </cell>
          <cell r="AF96">
            <v>110.13160928625138</v>
          </cell>
          <cell r="AG96">
            <v>110.49871465053889</v>
          </cell>
          <cell r="AH96">
            <v>110.86704369937402</v>
          </cell>
          <cell r="AI96">
            <v>111.23660051170528</v>
          </cell>
          <cell r="AJ96">
            <v>111.60738918007763</v>
          </cell>
          <cell r="AK96">
            <v>111.9794138106779</v>
          </cell>
          <cell r="AL96">
            <v>112.35267852338016</v>
          </cell>
          <cell r="AM96">
            <v>112.72718745179144</v>
          </cell>
          <cell r="AN96">
            <v>113.10294474329741</v>
          </cell>
          <cell r="AO96">
            <v>113.47995455910841</v>
          </cell>
          <cell r="AP96">
            <v>113.85822107430545</v>
          </cell>
          <cell r="AQ96">
            <v>114.23774847788647</v>
          </cell>
          <cell r="AR96">
            <v>114.61854097281277</v>
          </cell>
          <cell r="AS96">
            <v>115.00060277605549</v>
          </cell>
          <cell r="AT96">
            <v>115.38393811864235</v>
          </cell>
          <cell r="AU96">
            <v>115.7685512457045</v>
          </cell>
          <cell r="AV96">
            <v>116.15444641652353</v>
          </cell>
          <cell r="AW96">
            <v>116.54162790457862</v>
          </cell>
          <cell r="AX96">
            <v>116.93009999759389</v>
          </cell>
          <cell r="AY96">
            <v>117.31986699758588</v>
          </cell>
          <cell r="AZ96">
            <v>117.71093322091117</v>
          </cell>
          <cell r="BA96">
            <v>118.10330299831422</v>
          </cell>
          <cell r="BB96">
            <v>118.49698067497528</v>
          </cell>
          <cell r="BC96">
            <v>118.89197061055853</v>
          </cell>
          <cell r="BD96">
            <v>119.2882771792604</v>
          </cell>
          <cell r="BE96">
            <v>119.68590476985794</v>
          </cell>
          <cell r="BF96">
            <v>120.08485778575748</v>
          </cell>
          <cell r="BG96">
            <v>120.48514064504334</v>
          </cell>
          <cell r="BH96">
            <v>120.88675778052684</v>
          </cell>
          <cell r="BI96">
            <v>121.28971363979527</v>
          </cell>
          <cell r="BJ96">
            <v>121.69401268526126</v>
          </cell>
        </row>
        <row r="97">
          <cell r="C97">
            <v>100</v>
          </cell>
          <cell r="D97">
            <v>100.33333333333334</v>
          </cell>
          <cell r="E97">
            <v>100.6677777777778</v>
          </cell>
          <cell r="F97">
            <v>101.00333703703707</v>
          </cell>
          <cell r="G97">
            <v>101.34001482716053</v>
          </cell>
          <cell r="H97">
            <v>101.67781487658441</v>
          </cell>
          <cell r="I97">
            <v>102.01674092617303</v>
          </cell>
          <cell r="J97">
            <v>102.35679672926028</v>
          </cell>
          <cell r="K97">
            <v>102.69798605169116</v>
          </cell>
          <cell r="L97">
            <v>103.04031267186348</v>
          </cell>
          <cell r="M97">
            <v>103.38378038076969</v>
          </cell>
          <cell r="N97">
            <v>103.72839298203893</v>
          </cell>
          <cell r="O97">
            <v>104.07415429197907</v>
          </cell>
          <cell r="P97">
            <v>104.42106813961901</v>
          </cell>
          <cell r="Q97">
            <v>104.76913836675108</v>
          </cell>
          <cell r="R97">
            <v>105.1183688279736</v>
          </cell>
          <cell r="S97">
            <v>105.46876339073351</v>
          </cell>
          <cell r="T97">
            <v>105.8203259353693</v>
          </cell>
          <cell r="U97">
            <v>106.17306035515386</v>
          </cell>
          <cell r="V97">
            <v>106.52697055633772</v>
          </cell>
          <cell r="W97">
            <v>106.88206045819219</v>
          </cell>
          <cell r="X97">
            <v>107.23833399305283</v>
          </cell>
          <cell r="Y97">
            <v>107.59579510636301</v>
          </cell>
          <cell r="Z97">
            <v>107.95444775671757</v>
          </cell>
          <cell r="AA97">
            <v>108.31429591590664</v>
          </cell>
          <cell r="AB97">
            <v>108.67534356895968</v>
          </cell>
          <cell r="AC97">
            <v>109.03759471418955</v>
          </cell>
          <cell r="AD97">
            <v>109.40105336323685</v>
          </cell>
          <cell r="AE97">
            <v>109.76572354111433</v>
          </cell>
          <cell r="AF97">
            <v>110.13160928625138</v>
          </cell>
          <cell r="AG97">
            <v>110.49871465053889</v>
          </cell>
          <cell r="AH97">
            <v>110.86704369937402</v>
          </cell>
          <cell r="AI97">
            <v>111.23660051170528</v>
          </cell>
          <cell r="AJ97">
            <v>111.60738918007763</v>
          </cell>
          <cell r="AK97">
            <v>111.9794138106779</v>
          </cell>
          <cell r="AL97">
            <v>112.35267852338016</v>
          </cell>
          <cell r="AM97">
            <v>112.72718745179144</v>
          </cell>
          <cell r="AN97">
            <v>113.10294474329741</v>
          </cell>
          <cell r="AO97">
            <v>113.47995455910841</v>
          </cell>
          <cell r="AP97">
            <v>113.85822107430545</v>
          </cell>
          <cell r="AQ97">
            <v>114.23774847788647</v>
          </cell>
          <cell r="AR97">
            <v>114.61854097281277</v>
          </cell>
          <cell r="AS97">
            <v>115.00060277605549</v>
          </cell>
          <cell r="AT97">
            <v>115.38393811864235</v>
          </cell>
          <cell r="AU97">
            <v>115.7685512457045</v>
          </cell>
          <cell r="AV97">
            <v>116.15444641652353</v>
          </cell>
          <cell r="AW97">
            <v>116.54162790457862</v>
          </cell>
          <cell r="AX97">
            <v>116.93009999759389</v>
          </cell>
          <cell r="AY97">
            <v>117.31986699758588</v>
          </cell>
          <cell r="AZ97">
            <v>117.71093322091117</v>
          </cell>
          <cell r="BA97">
            <v>118.10330299831422</v>
          </cell>
          <cell r="BB97">
            <v>118.49698067497528</v>
          </cell>
          <cell r="BC97">
            <v>118.89197061055853</v>
          </cell>
          <cell r="BD97">
            <v>119.2882771792604</v>
          </cell>
          <cell r="BE97">
            <v>119.68590476985794</v>
          </cell>
          <cell r="BF97">
            <v>120.08485778575748</v>
          </cell>
          <cell r="BG97">
            <v>120.48514064504334</v>
          </cell>
          <cell r="BH97">
            <v>120.88675778052684</v>
          </cell>
          <cell r="BI97">
            <v>121.28971363979527</v>
          </cell>
          <cell r="BJ97">
            <v>121.69401268526126</v>
          </cell>
        </row>
        <row r="98">
          <cell r="C98">
            <v>100</v>
          </cell>
          <cell r="D98">
            <v>100.33333333333334</v>
          </cell>
          <cell r="E98">
            <v>100.6677777777778</v>
          </cell>
          <cell r="F98">
            <v>101.00333703703707</v>
          </cell>
          <cell r="G98">
            <v>101.34001482716053</v>
          </cell>
          <cell r="H98">
            <v>101.67781487658441</v>
          </cell>
          <cell r="I98">
            <v>102.01674092617303</v>
          </cell>
          <cell r="J98">
            <v>102.35679672926028</v>
          </cell>
          <cell r="K98">
            <v>102.69798605169116</v>
          </cell>
          <cell r="L98">
            <v>103.04031267186348</v>
          </cell>
          <cell r="M98">
            <v>103.38378038076969</v>
          </cell>
          <cell r="N98">
            <v>103.72839298203893</v>
          </cell>
          <cell r="O98">
            <v>104.07415429197907</v>
          </cell>
          <cell r="P98">
            <v>104.42106813961901</v>
          </cell>
          <cell r="Q98">
            <v>104.76913836675108</v>
          </cell>
          <cell r="R98">
            <v>105.1183688279736</v>
          </cell>
          <cell r="S98">
            <v>105.46876339073351</v>
          </cell>
          <cell r="T98">
            <v>105.8203259353693</v>
          </cell>
          <cell r="U98">
            <v>106.17306035515386</v>
          </cell>
          <cell r="V98">
            <v>106.52697055633772</v>
          </cell>
          <cell r="W98">
            <v>106.88206045819219</v>
          </cell>
          <cell r="X98">
            <v>107.23833399305283</v>
          </cell>
          <cell r="Y98">
            <v>107.59579510636301</v>
          </cell>
          <cell r="Z98">
            <v>107.95444775671757</v>
          </cell>
          <cell r="AA98">
            <v>108.31429591590664</v>
          </cell>
          <cell r="AB98">
            <v>108.67534356895968</v>
          </cell>
          <cell r="AC98">
            <v>109.03759471418955</v>
          </cell>
          <cell r="AD98">
            <v>109.40105336323685</v>
          </cell>
          <cell r="AE98">
            <v>109.76572354111433</v>
          </cell>
          <cell r="AF98">
            <v>110.13160928625138</v>
          </cell>
          <cell r="AG98">
            <v>110.49871465053889</v>
          </cell>
          <cell r="AH98">
            <v>110.86704369937402</v>
          </cell>
          <cell r="AI98">
            <v>111.23660051170528</v>
          </cell>
          <cell r="AJ98">
            <v>111.60738918007763</v>
          </cell>
          <cell r="AK98">
            <v>111.9794138106779</v>
          </cell>
          <cell r="AL98">
            <v>112.35267852338016</v>
          </cell>
          <cell r="AM98">
            <v>112.72718745179144</v>
          </cell>
          <cell r="AN98">
            <v>113.10294474329741</v>
          </cell>
          <cell r="AO98">
            <v>113.47995455910841</v>
          </cell>
          <cell r="AP98">
            <v>113.85822107430545</v>
          </cell>
          <cell r="AQ98">
            <v>114.23774847788647</v>
          </cell>
          <cell r="AR98">
            <v>114.61854097281277</v>
          </cell>
          <cell r="AS98">
            <v>115.00060277605549</v>
          </cell>
          <cell r="AT98">
            <v>115.38393811864235</v>
          </cell>
          <cell r="AU98">
            <v>115.7685512457045</v>
          </cell>
          <cell r="AV98">
            <v>116.15444641652353</v>
          </cell>
          <cell r="AW98">
            <v>116.54162790457862</v>
          </cell>
          <cell r="AX98">
            <v>116.93009999759389</v>
          </cell>
          <cell r="AY98">
            <v>117.31986699758588</v>
          </cell>
          <cell r="AZ98">
            <v>117.71093322091117</v>
          </cell>
          <cell r="BA98">
            <v>118.10330299831422</v>
          </cell>
          <cell r="BB98">
            <v>118.49698067497528</v>
          </cell>
          <cell r="BC98">
            <v>118.89197061055853</v>
          </cell>
          <cell r="BD98">
            <v>119.2882771792604</v>
          </cell>
          <cell r="BE98">
            <v>119.68590476985794</v>
          </cell>
          <cell r="BF98">
            <v>120.08485778575748</v>
          </cell>
          <cell r="BG98">
            <v>120.48514064504334</v>
          </cell>
          <cell r="BH98">
            <v>120.88675778052684</v>
          </cell>
          <cell r="BI98">
            <v>121.28971363979527</v>
          </cell>
          <cell r="BJ98">
            <v>121.69401268526126</v>
          </cell>
        </row>
        <row r="99">
          <cell r="C99">
            <v>100</v>
          </cell>
          <cell r="D99">
            <v>100.33333333333334</v>
          </cell>
          <cell r="E99">
            <v>100.6677777777778</v>
          </cell>
          <cell r="F99">
            <v>101.00333703703707</v>
          </cell>
          <cell r="G99">
            <v>101.34001482716053</v>
          </cell>
          <cell r="H99">
            <v>101.67781487658441</v>
          </cell>
          <cell r="I99">
            <v>102.01674092617303</v>
          </cell>
          <cell r="J99">
            <v>102.35679672926028</v>
          </cell>
          <cell r="K99">
            <v>102.69798605169116</v>
          </cell>
          <cell r="L99">
            <v>103.04031267186348</v>
          </cell>
          <cell r="M99">
            <v>103.38378038076969</v>
          </cell>
          <cell r="N99">
            <v>103.72839298203893</v>
          </cell>
          <cell r="O99">
            <v>104.07415429197907</v>
          </cell>
          <cell r="P99">
            <v>104.42106813961901</v>
          </cell>
          <cell r="Q99">
            <v>104.76913836675108</v>
          </cell>
          <cell r="R99">
            <v>105.1183688279736</v>
          </cell>
          <cell r="S99">
            <v>105.46876339073351</v>
          </cell>
          <cell r="T99">
            <v>105.8203259353693</v>
          </cell>
          <cell r="U99">
            <v>106.17306035515386</v>
          </cell>
          <cell r="V99">
            <v>106.52697055633772</v>
          </cell>
          <cell r="W99">
            <v>106.88206045819219</v>
          </cell>
          <cell r="X99">
            <v>107.23833399305283</v>
          </cell>
          <cell r="Y99">
            <v>107.59579510636301</v>
          </cell>
          <cell r="Z99">
            <v>107.95444775671757</v>
          </cell>
          <cell r="AA99">
            <v>108.31429591590664</v>
          </cell>
          <cell r="AB99">
            <v>108.67534356895968</v>
          </cell>
          <cell r="AC99">
            <v>109.03759471418955</v>
          </cell>
          <cell r="AD99">
            <v>109.40105336323685</v>
          </cell>
          <cell r="AE99">
            <v>109.76572354111433</v>
          </cell>
          <cell r="AF99">
            <v>110.13160928625138</v>
          </cell>
          <cell r="AG99">
            <v>110.49871465053889</v>
          </cell>
          <cell r="AH99">
            <v>110.86704369937402</v>
          </cell>
          <cell r="AI99">
            <v>111.23660051170528</v>
          </cell>
          <cell r="AJ99">
            <v>111.60738918007763</v>
          </cell>
          <cell r="AK99">
            <v>111.9794138106779</v>
          </cell>
          <cell r="AL99">
            <v>112.35267852338016</v>
          </cell>
          <cell r="AM99">
            <v>112.72718745179144</v>
          </cell>
          <cell r="AN99">
            <v>113.10294474329741</v>
          </cell>
          <cell r="AO99">
            <v>113.47995455910841</v>
          </cell>
          <cell r="AP99">
            <v>113.85822107430545</v>
          </cell>
          <cell r="AQ99">
            <v>114.23774847788647</v>
          </cell>
          <cell r="AR99">
            <v>114.61854097281277</v>
          </cell>
          <cell r="AS99">
            <v>115.00060277605549</v>
          </cell>
          <cell r="AT99">
            <v>115.38393811864235</v>
          </cell>
          <cell r="AU99">
            <v>115.7685512457045</v>
          </cell>
          <cell r="AV99">
            <v>116.15444641652353</v>
          </cell>
          <cell r="AW99">
            <v>116.54162790457862</v>
          </cell>
          <cell r="AX99">
            <v>116.93009999759389</v>
          </cell>
          <cell r="AY99">
            <v>117.31986699758588</v>
          </cell>
          <cell r="AZ99">
            <v>117.71093322091117</v>
          </cell>
          <cell r="BA99">
            <v>118.10330299831422</v>
          </cell>
          <cell r="BB99">
            <v>118.49698067497528</v>
          </cell>
          <cell r="BC99">
            <v>118.89197061055853</v>
          </cell>
          <cell r="BD99">
            <v>119.2882771792604</v>
          </cell>
          <cell r="BE99">
            <v>119.68590476985794</v>
          </cell>
          <cell r="BF99">
            <v>120.08485778575748</v>
          </cell>
          <cell r="BG99">
            <v>120.48514064504334</v>
          </cell>
          <cell r="BH99">
            <v>120.88675778052684</v>
          </cell>
          <cell r="BI99">
            <v>121.28971363979527</v>
          </cell>
          <cell r="BJ99">
            <v>121.69401268526126</v>
          </cell>
        </row>
        <row r="100">
          <cell r="C100">
            <v>50</v>
          </cell>
          <cell r="D100">
            <v>50.166666666666671</v>
          </cell>
          <cell r="E100">
            <v>50.3338888888889</v>
          </cell>
          <cell r="F100">
            <v>50.501668518518535</v>
          </cell>
          <cell r="G100">
            <v>50.670007413580265</v>
          </cell>
          <cell r="H100">
            <v>50.838907438292203</v>
          </cell>
          <cell r="I100">
            <v>51.008370463086514</v>
          </cell>
          <cell r="J100">
            <v>51.178398364630141</v>
          </cell>
          <cell r="K100">
            <v>51.34899302584558</v>
          </cell>
          <cell r="L100">
            <v>51.520156335931738</v>
          </cell>
          <cell r="M100">
            <v>51.691890190384846</v>
          </cell>
          <cell r="N100">
            <v>51.864196491019463</v>
          </cell>
          <cell r="O100">
            <v>52.037077145989535</v>
          </cell>
          <cell r="P100">
            <v>52.210534069809505</v>
          </cell>
          <cell r="Q100">
            <v>52.38456918337554</v>
          </cell>
          <cell r="R100">
            <v>52.559184413986799</v>
          </cell>
          <cell r="S100">
            <v>52.734381695366757</v>
          </cell>
          <cell r="T100">
            <v>52.910162967684649</v>
          </cell>
          <cell r="U100">
            <v>53.086530177576932</v>
          </cell>
          <cell r="V100">
            <v>53.263485278168858</v>
          </cell>
          <cell r="W100">
            <v>53.441030229096093</v>
          </cell>
          <cell r="X100">
            <v>53.619166996526417</v>
          </cell>
          <cell r="Y100">
            <v>53.797897553181507</v>
          </cell>
          <cell r="Z100">
            <v>53.977223878358785</v>
          </cell>
          <cell r="AA100">
            <v>54.15714795795332</v>
          </cell>
          <cell r="AB100">
            <v>54.337671784479838</v>
          </cell>
          <cell r="AC100">
            <v>54.518797357094776</v>
          </cell>
          <cell r="AD100">
            <v>54.700526681618427</v>
          </cell>
          <cell r="AE100">
            <v>54.882861770557163</v>
          </cell>
          <cell r="AF100">
            <v>55.065804643125688</v>
          </cell>
          <cell r="AG100">
            <v>55.249357325269443</v>
          </cell>
          <cell r="AH100">
            <v>55.433521849687011</v>
          </cell>
          <cell r="AI100">
            <v>55.618300255852638</v>
          </cell>
          <cell r="AJ100">
            <v>55.803694590038816</v>
          </cell>
          <cell r="AK100">
            <v>55.989706905338949</v>
          </cell>
          <cell r="AL100">
            <v>56.176339261690082</v>
          </cell>
          <cell r="AM100">
            <v>56.363593725895718</v>
          </cell>
          <cell r="AN100">
            <v>56.551472371648707</v>
          </cell>
          <cell r="AO100">
            <v>56.739977279554203</v>
          </cell>
          <cell r="AP100">
            <v>56.929110537152724</v>
          </cell>
          <cell r="AQ100">
            <v>57.118874238943235</v>
          </cell>
          <cell r="AR100">
            <v>57.309270486406383</v>
          </cell>
          <cell r="AS100">
            <v>57.500301388027744</v>
          </cell>
          <cell r="AT100">
            <v>57.691969059321174</v>
          </cell>
          <cell r="AU100">
            <v>57.88427562285225</v>
          </cell>
          <cell r="AV100">
            <v>58.077223208261763</v>
          </cell>
          <cell r="AW100">
            <v>58.270813952289309</v>
          </cell>
          <cell r="AX100">
            <v>58.465049998796943</v>
          </cell>
          <cell r="AY100">
            <v>58.659933498792938</v>
          </cell>
          <cell r="AZ100">
            <v>58.855466610455586</v>
          </cell>
          <cell r="BA100">
            <v>59.05165149915711</v>
          </cell>
          <cell r="BB100">
            <v>59.248490337487638</v>
          </cell>
          <cell r="BC100">
            <v>59.445985305279265</v>
          </cell>
          <cell r="BD100">
            <v>59.644138589630202</v>
          </cell>
          <cell r="BE100">
            <v>59.842952384928971</v>
          </cell>
          <cell r="BF100">
            <v>60.042428892878739</v>
          </cell>
          <cell r="BG100">
            <v>60.242570322521672</v>
          </cell>
          <cell r="BH100">
            <v>60.443378890263418</v>
          </cell>
          <cell r="BI100">
            <v>60.644856819897633</v>
          </cell>
          <cell r="BJ100">
            <v>60.847006342630628</v>
          </cell>
        </row>
        <row r="101">
          <cell r="C101">
            <v>100</v>
          </cell>
          <cell r="D101">
            <v>100.33333333333334</v>
          </cell>
          <cell r="E101">
            <v>100.6677777777778</v>
          </cell>
          <cell r="F101">
            <v>101.00333703703707</v>
          </cell>
          <cell r="G101">
            <v>101.34001482716053</v>
          </cell>
          <cell r="H101">
            <v>101.67781487658441</v>
          </cell>
          <cell r="I101">
            <v>102.01674092617303</v>
          </cell>
          <cell r="J101">
            <v>102.35679672926028</v>
          </cell>
          <cell r="K101">
            <v>102.69798605169116</v>
          </cell>
          <cell r="L101">
            <v>103.04031267186348</v>
          </cell>
          <cell r="M101">
            <v>103.38378038076969</v>
          </cell>
          <cell r="N101">
            <v>103.72839298203893</v>
          </cell>
          <cell r="O101">
            <v>104.07415429197907</v>
          </cell>
          <cell r="P101">
            <v>104.42106813961901</v>
          </cell>
          <cell r="Q101">
            <v>104.76913836675108</v>
          </cell>
          <cell r="R101">
            <v>105.1183688279736</v>
          </cell>
          <cell r="S101">
            <v>105.46876339073351</v>
          </cell>
          <cell r="T101">
            <v>105.8203259353693</v>
          </cell>
          <cell r="U101">
            <v>106.17306035515386</v>
          </cell>
          <cell r="V101">
            <v>106.52697055633772</v>
          </cell>
          <cell r="W101">
            <v>106.88206045819219</v>
          </cell>
          <cell r="X101">
            <v>107.23833399305283</v>
          </cell>
          <cell r="Y101">
            <v>107.59579510636301</v>
          </cell>
          <cell r="Z101">
            <v>107.95444775671757</v>
          </cell>
          <cell r="AA101">
            <v>108.31429591590664</v>
          </cell>
          <cell r="AB101">
            <v>108.67534356895968</v>
          </cell>
          <cell r="AC101">
            <v>109.03759471418955</v>
          </cell>
          <cell r="AD101">
            <v>109.40105336323685</v>
          </cell>
          <cell r="AE101">
            <v>109.76572354111433</v>
          </cell>
          <cell r="AF101">
            <v>110.13160928625138</v>
          </cell>
          <cell r="AG101">
            <v>110.49871465053889</v>
          </cell>
          <cell r="AH101">
            <v>110.86704369937402</v>
          </cell>
          <cell r="AI101">
            <v>111.23660051170528</v>
          </cell>
          <cell r="AJ101">
            <v>111.60738918007763</v>
          </cell>
          <cell r="AK101">
            <v>111.9794138106779</v>
          </cell>
          <cell r="AL101">
            <v>112.35267852338016</v>
          </cell>
          <cell r="AM101">
            <v>112.72718745179144</v>
          </cell>
          <cell r="AN101">
            <v>113.10294474329741</v>
          </cell>
          <cell r="AO101">
            <v>113.47995455910841</v>
          </cell>
          <cell r="AP101">
            <v>113.85822107430545</v>
          </cell>
          <cell r="AQ101">
            <v>114.23774847788647</v>
          </cell>
          <cell r="AR101">
            <v>114.61854097281277</v>
          </cell>
          <cell r="AS101">
            <v>115.00060277605549</v>
          </cell>
          <cell r="AT101">
            <v>115.38393811864235</v>
          </cell>
          <cell r="AU101">
            <v>115.7685512457045</v>
          </cell>
          <cell r="AV101">
            <v>116.15444641652353</v>
          </cell>
          <cell r="AW101">
            <v>116.54162790457862</v>
          </cell>
          <cell r="AX101">
            <v>116.93009999759389</v>
          </cell>
          <cell r="AY101">
            <v>117.31986699758588</v>
          </cell>
          <cell r="AZ101">
            <v>117.71093322091117</v>
          </cell>
          <cell r="BA101">
            <v>118.10330299831422</v>
          </cell>
          <cell r="BB101">
            <v>118.49698067497528</v>
          </cell>
          <cell r="BC101">
            <v>118.89197061055853</v>
          </cell>
          <cell r="BD101">
            <v>119.2882771792604</v>
          </cell>
          <cell r="BE101">
            <v>119.68590476985794</v>
          </cell>
          <cell r="BF101">
            <v>120.08485778575748</v>
          </cell>
          <cell r="BG101">
            <v>120.48514064504334</v>
          </cell>
          <cell r="BH101">
            <v>120.88675778052684</v>
          </cell>
          <cell r="BI101">
            <v>121.28971363979527</v>
          </cell>
          <cell r="BJ101">
            <v>121.69401268526126</v>
          </cell>
        </row>
        <row r="102">
          <cell r="C102">
            <v>100</v>
          </cell>
          <cell r="D102">
            <v>100.33333333333334</v>
          </cell>
          <cell r="E102">
            <v>100.6677777777778</v>
          </cell>
          <cell r="F102">
            <v>101.00333703703707</v>
          </cell>
          <cell r="G102">
            <v>101.34001482716053</v>
          </cell>
          <cell r="H102">
            <v>101.67781487658441</v>
          </cell>
          <cell r="I102">
            <v>102.01674092617303</v>
          </cell>
          <cell r="J102">
            <v>102.35679672926028</v>
          </cell>
          <cell r="K102">
            <v>102.69798605169116</v>
          </cell>
          <cell r="L102">
            <v>103.04031267186348</v>
          </cell>
          <cell r="M102">
            <v>103.38378038076969</v>
          </cell>
          <cell r="N102">
            <v>103.72839298203893</v>
          </cell>
          <cell r="O102">
            <v>104.07415429197907</v>
          </cell>
          <cell r="P102">
            <v>104.42106813961901</v>
          </cell>
          <cell r="Q102">
            <v>104.76913836675108</v>
          </cell>
          <cell r="R102">
            <v>105.1183688279736</v>
          </cell>
          <cell r="S102">
            <v>105.46876339073351</v>
          </cell>
          <cell r="T102">
            <v>105.8203259353693</v>
          </cell>
          <cell r="U102">
            <v>106.17306035515386</v>
          </cell>
          <cell r="V102">
            <v>106.52697055633772</v>
          </cell>
          <cell r="W102">
            <v>106.88206045819219</v>
          </cell>
          <cell r="X102">
            <v>107.23833399305283</v>
          </cell>
          <cell r="Y102">
            <v>107.59579510636301</v>
          </cell>
          <cell r="Z102">
            <v>107.95444775671757</v>
          </cell>
          <cell r="AA102">
            <v>108.31429591590664</v>
          </cell>
          <cell r="AB102">
            <v>108.67534356895968</v>
          </cell>
          <cell r="AC102">
            <v>109.03759471418955</v>
          </cell>
          <cell r="AD102">
            <v>109.40105336323685</v>
          </cell>
          <cell r="AE102">
            <v>109.76572354111433</v>
          </cell>
          <cell r="AF102">
            <v>110.13160928625138</v>
          </cell>
          <cell r="AG102">
            <v>110.49871465053889</v>
          </cell>
          <cell r="AH102">
            <v>110.86704369937402</v>
          </cell>
          <cell r="AI102">
            <v>111.23660051170528</v>
          </cell>
          <cell r="AJ102">
            <v>111.60738918007763</v>
          </cell>
          <cell r="AK102">
            <v>111.9794138106779</v>
          </cell>
          <cell r="AL102">
            <v>112.35267852338016</v>
          </cell>
          <cell r="AM102">
            <v>112.72718745179144</v>
          </cell>
          <cell r="AN102">
            <v>113.10294474329741</v>
          </cell>
          <cell r="AO102">
            <v>113.47995455910841</v>
          </cell>
          <cell r="AP102">
            <v>113.85822107430545</v>
          </cell>
          <cell r="AQ102">
            <v>114.23774847788647</v>
          </cell>
          <cell r="AR102">
            <v>114.61854097281277</v>
          </cell>
          <cell r="AS102">
            <v>115.00060277605549</v>
          </cell>
          <cell r="AT102">
            <v>115.38393811864235</v>
          </cell>
          <cell r="AU102">
            <v>115.7685512457045</v>
          </cell>
          <cell r="AV102">
            <v>116.15444641652353</v>
          </cell>
          <cell r="AW102">
            <v>116.54162790457862</v>
          </cell>
          <cell r="AX102">
            <v>116.93009999759389</v>
          </cell>
          <cell r="AY102">
            <v>117.31986699758588</v>
          </cell>
          <cell r="AZ102">
            <v>117.71093322091117</v>
          </cell>
          <cell r="BA102">
            <v>118.10330299831422</v>
          </cell>
          <cell r="BB102">
            <v>118.49698067497528</v>
          </cell>
          <cell r="BC102">
            <v>118.89197061055853</v>
          </cell>
          <cell r="BD102">
            <v>119.2882771792604</v>
          </cell>
          <cell r="BE102">
            <v>119.68590476985794</v>
          </cell>
          <cell r="BF102">
            <v>120.08485778575748</v>
          </cell>
          <cell r="BG102">
            <v>120.48514064504334</v>
          </cell>
          <cell r="BH102">
            <v>120.88675778052684</v>
          </cell>
          <cell r="BI102">
            <v>121.28971363979527</v>
          </cell>
          <cell r="BJ102">
            <v>121.69401268526126</v>
          </cell>
        </row>
        <row r="103">
          <cell r="C103">
            <v>100</v>
          </cell>
          <cell r="D103">
            <v>100.33333333333334</v>
          </cell>
          <cell r="E103">
            <v>100.6677777777778</v>
          </cell>
          <cell r="F103">
            <v>101.00333703703707</v>
          </cell>
          <cell r="G103">
            <v>101.34001482716053</v>
          </cell>
          <cell r="H103">
            <v>101.67781487658441</v>
          </cell>
          <cell r="I103">
            <v>102.01674092617303</v>
          </cell>
          <cell r="J103">
            <v>102.35679672926028</v>
          </cell>
          <cell r="K103">
            <v>102.69798605169116</v>
          </cell>
          <cell r="L103">
            <v>103.04031267186348</v>
          </cell>
          <cell r="M103">
            <v>103.38378038076969</v>
          </cell>
          <cell r="N103">
            <v>103.72839298203893</v>
          </cell>
          <cell r="O103">
            <v>104.07415429197907</v>
          </cell>
          <cell r="P103">
            <v>104.42106813961901</v>
          </cell>
          <cell r="Q103">
            <v>104.76913836675108</v>
          </cell>
          <cell r="R103">
            <v>105.1183688279736</v>
          </cell>
          <cell r="S103">
            <v>105.46876339073351</v>
          </cell>
          <cell r="T103">
            <v>105.8203259353693</v>
          </cell>
          <cell r="U103">
            <v>106.17306035515386</v>
          </cell>
          <cell r="V103">
            <v>106.52697055633772</v>
          </cell>
          <cell r="W103">
            <v>106.88206045819219</v>
          </cell>
          <cell r="X103">
            <v>107.23833399305283</v>
          </cell>
          <cell r="Y103">
            <v>107.59579510636301</v>
          </cell>
          <cell r="Z103">
            <v>107.95444775671757</v>
          </cell>
          <cell r="AA103">
            <v>108.31429591590664</v>
          </cell>
          <cell r="AB103">
            <v>108.67534356895968</v>
          </cell>
          <cell r="AC103">
            <v>109.03759471418955</v>
          </cell>
          <cell r="AD103">
            <v>109.40105336323685</v>
          </cell>
          <cell r="AE103">
            <v>109.76572354111433</v>
          </cell>
          <cell r="AF103">
            <v>110.13160928625138</v>
          </cell>
          <cell r="AG103">
            <v>110.49871465053889</v>
          </cell>
          <cell r="AH103">
            <v>110.86704369937402</v>
          </cell>
          <cell r="AI103">
            <v>111.23660051170528</v>
          </cell>
          <cell r="AJ103">
            <v>111.60738918007763</v>
          </cell>
          <cell r="AK103">
            <v>111.9794138106779</v>
          </cell>
          <cell r="AL103">
            <v>112.35267852338016</v>
          </cell>
          <cell r="AM103">
            <v>112.72718745179144</v>
          </cell>
          <cell r="AN103">
            <v>113.10294474329741</v>
          </cell>
          <cell r="AO103">
            <v>113.47995455910841</v>
          </cell>
          <cell r="AP103">
            <v>113.85822107430545</v>
          </cell>
          <cell r="AQ103">
            <v>114.23774847788647</v>
          </cell>
          <cell r="AR103">
            <v>114.61854097281277</v>
          </cell>
          <cell r="AS103">
            <v>115.00060277605549</v>
          </cell>
          <cell r="AT103">
            <v>115.38393811864235</v>
          </cell>
          <cell r="AU103">
            <v>115.7685512457045</v>
          </cell>
          <cell r="AV103">
            <v>116.15444641652353</v>
          </cell>
          <cell r="AW103">
            <v>116.54162790457862</v>
          </cell>
          <cell r="AX103">
            <v>116.93009999759389</v>
          </cell>
          <cell r="AY103">
            <v>117.31986699758588</v>
          </cell>
          <cell r="AZ103">
            <v>117.71093322091117</v>
          </cell>
          <cell r="BA103">
            <v>118.10330299831422</v>
          </cell>
          <cell r="BB103">
            <v>118.49698067497528</v>
          </cell>
          <cell r="BC103">
            <v>118.89197061055853</v>
          </cell>
          <cell r="BD103">
            <v>119.2882771792604</v>
          </cell>
          <cell r="BE103">
            <v>119.68590476985794</v>
          </cell>
          <cell r="BF103">
            <v>120.08485778575748</v>
          </cell>
          <cell r="BG103">
            <v>120.48514064504334</v>
          </cell>
          <cell r="BH103">
            <v>120.88675778052684</v>
          </cell>
          <cell r="BI103">
            <v>121.28971363979527</v>
          </cell>
          <cell r="BJ103">
            <v>121.69401268526126</v>
          </cell>
        </row>
        <row r="104">
          <cell r="C104">
            <v>100</v>
          </cell>
          <cell r="D104">
            <v>100.33333333333334</v>
          </cell>
          <cell r="E104">
            <v>100.6677777777778</v>
          </cell>
          <cell r="F104">
            <v>101.00333703703707</v>
          </cell>
          <cell r="G104">
            <v>101.34001482716053</v>
          </cell>
          <cell r="H104">
            <v>101.67781487658441</v>
          </cell>
          <cell r="I104">
            <v>102.01674092617303</v>
          </cell>
          <cell r="J104">
            <v>102.35679672926028</v>
          </cell>
          <cell r="K104">
            <v>102.69798605169116</v>
          </cell>
          <cell r="L104">
            <v>103.04031267186348</v>
          </cell>
          <cell r="M104">
            <v>103.38378038076969</v>
          </cell>
          <cell r="N104">
            <v>103.72839298203893</v>
          </cell>
          <cell r="O104">
            <v>104.07415429197907</v>
          </cell>
          <cell r="P104">
            <v>104.42106813961901</v>
          </cell>
          <cell r="Q104">
            <v>104.76913836675108</v>
          </cell>
          <cell r="R104">
            <v>105.1183688279736</v>
          </cell>
          <cell r="S104">
            <v>105.46876339073351</v>
          </cell>
          <cell r="T104">
            <v>105.8203259353693</v>
          </cell>
          <cell r="U104">
            <v>106.17306035515386</v>
          </cell>
          <cell r="V104">
            <v>106.52697055633772</v>
          </cell>
          <cell r="W104">
            <v>106.88206045819219</v>
          </cell>
          <cell r="X104">
            <v>107.23833399305283</v>
          </cell>
          <cell r="Y104">
            <v>107.59579510636301</v>
          </cell>
          <cell r="Z104">
            <v>107.95444775671757</v>
          </cell>
          <cell r="AA104">
            <v>108.31429591590664</v>
          </cell>
          <cell r="AB104">
            <v>108.67534356895968</v>
          </cell>
          <cell r="AC104">
            <v>109.03759471418955</v>
          </cell>
          <cell r="AD104">
            <v>109.40105336323685</v>
          </cell>
          <cell r="AE104">
            <v>109.76572354111433</v>
          </cell>
          <cell r="AF104">
            <v>110.13160928625138</v>
          </cell>
          <cell r="AG104">
            <v>110.49871465053889</v>
          </cell>
          <cell r="AH104">
            <v>110.86704369937402</v>
          </cell>
          <cell r="AI104">
            <v>111.23660051170528</v>
          </cell>
          <cell r="AJ104">
            <v>111.60738918007763</v>
          </cell>
          <cell r="AK104">
            <v>111.9794138106779</v>
          </cell>
          <cell r="AL104">
            <v>112.35267852338016</v>
          </cell>
          <cell r="AM104">
            <v>112.72718745179144</v>
          </cell>
          <cell r="AN104">
            <v>113.10294474329741</v>
          </cell>
          <cell r="AO104">
            <v>113.47995455910841</v>
          </cell>
          <cell r="AP104">
            <v>113.85822107430545</v>
          </cell>
          <cell r="AQ104">
            <v>114.23774847788647</v>
          </cell>
          <cell r="AR104">
            <v>114.61854097281277</v>
          </cell>
          <cell r="AS104">
            <v>115.00060277605549</v>
          </cell>
          <cell r="AT104">
            <v>115.38393811864235</v>
          </cell>
          <cell r="AU104">
            <v>115.7685512457045</v>
          </cell>
          <cell r="AV104">
            <v>116.15444641652353</v>
          </cell>
          <cell r="AW104">
            <v>116.54162790457862</v>
          </cell>
          <cell r="AX104">
            <v>116.93009999759389</v>
          </cell>
          <cell r="AY104">
            <v>117.31986699758588</v>
          </cell>
          <cell r="AZ104">
            <v>117.71093322091117</v>
          </cell>
          <cell r="BA104">
            <v>118.10330299831422</v>
          </cell>
          <cell r="BB104">
            <v>118.49698067497528</v>
          </cell>
          <cell r="BC104">
            <v>118.89197061055853</v>
          </cell>
          <cell r="BD104">
            <v>119.2882771792604</v>
          </cell>
          <cell r="BE104">
            <v>119.68590476985794</v>
          </cell>
          <cell r="BF104">
            <v>120.08485778575748</v>
          </cell>
          <cell r="BG104">
            <v>120.48514064504334</v>
          </cell>
          <cell r="BH104">
            <v>120.88675778052684</v>
          </cell>
          <cell r="BI104">
            <v>121.28971363979527</v>
          </cell>
          <cell r="BJ104">
            <v>121.69401268526126</v>
          </cell>
        </row>
        <row r="105">
          <cell r="C105">
            <v>100</v>
          </cell>
          <cell r="D105">
            <v>100.33333333333334</v>
          </cell>
          <cell r="E105">
            <v>100.6677777777778</v>
          </cell>
          <cell r="F105">
            <v>101.00333703703707</v>
          </cell>
          <cell r="G105">
            <v>101.34001482716053</v>
          </cell>
          <cell r="H105">
            <v>101.67781487658441</v>
          </cell>
          <cell r="I105">
            <v>102.01674092617303</v>
          </cell>
          <cell r="J105">
            <v>102.35679672926028</v>
          </cell>
          <cell r="K105">
            <v>102.69798605169116</v>
          </cell>
          <cell r="L105">
            <v>103.04031267186348</v>
          </cell>
          <cell r="M105">
            <v>103.38378038076969</v>
          </cell>
          <cell r="N105">
            <v>103.72839298203893</v>
          </cell>
          <cell r="O105">
            <v>104.07415429197907</v>
          </cell>
          <cell r="P105">
            <v>104.42106813961901</v>
          </cell>
          <cell r="Q105">
            <v>104.76913836675108</v>
          </cell>
          <cell r="R105">
            <v>105.1183688279736</v>
          </cell>
          <cell r="S105">
            <v>105.46876339073351</v>
          </cell>
          <cell r="T105">
            <v>105.8203259353693</v>
          </cell>
          <cell r="U105">
            <v>106.17306035515386</v>
          </cell>
          <cell r="V105">
            <v>106.52697055633772</v>
          </cell>
          <cell r="W105">
            <v>106.88206045819219</v>
          </cell>
          <cell r="X105">
            <v>107.23833399305283</v>
          </cell>
          <cell r="Y105">
            <v>107.59579510636301</v>
          </cell>
          <cell r="Z105">
            <v>107.95444775671757</v>
          </cell>
          <cell r="AA105">
            <v>108.31429591590664</v>
          </cell>
          <cell r="AB105">
            <v>108.67534356895968</v>
          </cell>
          <cell r="AC105">
            <v>109.03759471418955</v>
          </cell>
          <cell r="AD105">
            <v>109.40105336323685</v>
          </cell>
          <cell r="AE105">
            <v>109.76572354111433</v>
          </cell>
          <cell r="AF105">
            <v>110.13160928625138</v>
          </cell>
          <cell r="AG105">
            <v>110.49871465053889</v>
          </cell>
          <cell r="AH105">
            <v>110.86704369937402</v>
          </cell>
          <cell r="AI105">
            <v>111.23660051170528</v>
          </cell>
          <cell r="AJ105">
            <v>111.60738918007763</v>
          </cell>
          <cell r="AK105">
            <v>111.9794138106779</v>
          </cell>
          <cell r="AL105">
            <v>112.35267852338016</v>
          </cell>
          <cell r="AM105">
            <v>112.72718745179144</v>
          </cell>
          <cell r="AN105">
            <v>113.10294474329741</v>
          </cell>
          <cell r="AO105">
            <v>113.47995455910841</v>
          </cell>
          <cell r="AP105">
            <v>113.85822107430545</v>
          </cell>
          <cell r="AQ105">
            <v>114.23774847788647</v>
          </cell>
          <cell r="AR105">
            <v>114.61854097281277</v>
          </cell>
          <cell r="AS105">
            <v>115.00060277605549</v>
          </cell>
          <cell r="AT105">
            <v>115.38393811864235</v>
          </cell>
          <cell r="AU105">
            <v>115.7685512457045</v>
          </cell>
          <cell r="AV105">
            <v>116.15444641652353</v>
          </cell>
          <cell r="AW105">
            <v>116.54162790457862</v>
          </cell>
          <cell r="AX105">
            <v>116.93009999759389</v>
          </cell>
          <cell r="AY105">
            <v>117.31986699758588</v>
          </cell>
          <cell r="AZ105">
            <v>117.71093322091117</v>
          </cell>
          <cell r="BA105">
            <v>118.10330299831422</v>
          </cell>
          <cell r="BB105">
            <v>118.49698067497528</v>
          </cell>
          <cell r="BC105">
            <v>118.89197061055853</v>
          </cell>
          <cell r="BD105">
            <v>119.2882771792604</v>
          </cell>
          <cell r="BE105">
            <v>119.68590476985794</v>
          </cell>
          <cell r="BF105">
            <v>120.08485778575748</v>
          </cell>
          <cell r="BG105">
            <v>120.48514064504334</v>
          </cell>
          <cell r="BH105">
            <v>120.88675778052684</v>
          </cell>
          <cell r="BI105">
            <v>121.28971363979527</v>
          </cell>
          <cell r="BJ105">
            <v>121.69401268526126</v>
          </cell>
        </row>
        <row r="113">
          <cell r="C113">
            <v>75</v>
          </cell>
          <cell r="D113">
            <v>75</v>
          </cell>
          <cell r="E113">
            <v>75</v>
          </cell>
          <cell r="F113">
            <v>75</v>
          </cell>
          <cell r="G113">
            <v>75</v>
          </cell>
          <cell r="H113">
            <v>75</v>
          </cell>
          <cell r="I113">
            <v>75</v>
          </cell>
          <cell r="J113">
            <v>75</v>
          </cell>
          <cell r="K113">
            <v>75</v>
          </cell>
          <cell r="L113">
            <v>75</v>
          </cell>
          <cell r="M113">
            <v>75</v>
          </cell>
          <cell r="N113">
            <v>75</v>
          </cell>
          <cell r="O113">
            <v>75</v>
          </cell>
          <cell r="P113">
            <v>75</v>
          </cell>
          <cell r="Q113">
            <v>75</v>
          </cell>
          <cell r="R113">
            <v>75</v>
          </cell>
          <cell r="S113">
            <v>75</v>
          </cell>
          <cell r="T113">
            <v>75</v>
          </cell>
          <cell r="U113">
            <v>75</v>
          </cell>
          <cell r="V113">
            <v>75</v>
          </cell>
          <cell r="W113">
            <v>75</v>
          </cell>
          <cell r="X113">
            <v>75</v>
          </cell>
          <cell r="Y113">
            <v>75</v>
          </cell>
          <cell r="Z113">
            <v>75</v>
          </cell>
          <cell r="AA113">
            <v>75</v>
          </cell>
          <cell r="AB113">
            <v>75</v>
          </cell>
          <cell r="AC113">
            <v>75</v>
          </cell>
          <cell r="AD113">
            <v>75</v>
          </cell>
          <cell r="AE113">
            <v>75</v>
          </cell>
          <cell r="AF113">
            <v>75</v>
          </cell>
          <cell r="AG113">
            <v>75</v>
          </cell>
          <cell r="AH113">
            <v>75</v>
          </cell>
          <cell r="AI113">
            <v>75</v>
          </cell>
          <cell r="AJ113">
            <v>75</v>
          </cell>
          <cell r="AK113">
            <v>75</v>
          </cell>
          <cell r="AL113">
            <v>75</v>
          </cell>
          <cell r="AM113">
            <v>75</v>
          </cell>
          <cell r="AN113">
            <v>75</v>
          </cell>
          <cell r="AO113">
            <v>75</v>
          </cell>
          <cell r="AP113">
            <v>75</v>
          </cell>
          <cell r="AQ113">
            <v>75</v>
          </cell>
          <cell r="AR113">
            <v>75</v>
          </cell>
          <cell r="AS113">
            <v>75</v>
          </cell>
          <cell r="AT113">
            <v>75</v>
          </cell>
          <cell r="AU113">
            <v>75</v>
          </cell>
          <cell r="AV113">
            <v>75</v>
          </cell>
          <cell r="AW113">
            <v>75</v>
          </cell>
          <cell r="AX113">
            <v>75</v>
          </cell>
          <cell r="AY113">
            <v>75</v>
          </cell>
          <cell r="AZ113">
            <v>75</v>
          </cell>
          <cell r="BA113">
            <v>75</v>
          </cell>
          <cell r="BB113">
            <v>75</v>
          </cell>
          <cell r="BC113">
            <v>75</v>
          </cell>
          <cell r="BD113">
            <v>75</v>
          </cell>
          <cell r="BE113">
            <v>75</v>
          </cell>
          <cell r="BF113">
            <v>75</v>
          </cell>
          <cell r="BG113">
            <v>75</v>
          </cell>
          <cell r="BH113">
            <v>75</v>
          </cell>
          <cell r="BI113">
            <v>75</v>
          </cell>
          <cell r="BJ113">
            <v>75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et Income"/>
      <sheetName val="Revenue"/>
      <sheetName val="Expenses"/>
      <sheetName val="Balance Sheet"/>
      <sheetName val="Cashflow"/>
      <sheetName val="Cash Vs. In Kind"/>
      <sheetName val="Ratio Analysis"/>
    </sheetNames>
    <sheetDataSet>
      <sheetData sheetId="0">
        <row r="14">
          <cell r="E14">
            <v>2009</v>
          </cell>
        </row>
      </sheetData>
      <sheetData sheetId="1">
        <row r="6">
          <cell r="D6">
            <v>25421.75</v>
          </cell>
        </row>
        <row r="10">
          <cell r="D10">
            <v>262527.03015867207</v>
          </cell>
        </row>
      </sheetData>
      <sheetData sheetId="2"/>
      <sheetData sheetId="3" refreshError="1"/>
      <sheetData sheetId="4" refreshError="1"/>
      <sheetData sheetId="5">
        <row r="12">
          <cell r="D12">
            <v>0</v>
          </cell>
        </row>
      </sheetData>
      <sheetData sheetId="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tio Analysis"/>
      <sheetName val="Cashflow"/>
      <sheetName val="Balance Sheet"/>
      <sheetName val="Expenses"/>
      <sheetName val="Revenue"/>
      <sheetName val="Net Income"/>
      <sheetName val="IS 2008 -09"/>
      <sheetName val="IS 2009 - 10"/>
      <sheetName val="IS 2010 - 11"/>
      <sheetName val="IS 2011 - 12"/>
      <sheetName val="IS 2012 - 13"/>
      <sheetName val="BS 2009"/>
      <sheetName val="BS 2010"/>
      <sheetName val="BS 2011"/>
      <sheetName val="BS 2012"/>
      <sheetName val="BS 201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32">
          <cell r="B32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095EC-DF1E-469B-ABF4-5AAE779C55CF}">
  <dimension ref="A1:U1048545"/>
  <sheetViews>
    <sheetView tabSelected="1" zoomScale="55" workbookViewId="0">
      <selection activeCell="H4" sqref="H4"/>
    </sheetView>
  </sheetViews>
  <sheetFormatPr defaultColWidth="8.90625" defaultRowHeight="14.5"/>
  <cols>
    <col min="3" max="3" width="24.6328125" bestFit="1" customWidth="1"/>
    <col min="4" max="4" width="3.36328125" customWidth="1"/>
    <col min="5" max="5" width="12.36328125" customWidth="1"/>
    <col min="6" max="6" width="43.54296875" bestFit="1" customWidth="1"/>
  </cols>
  <sheetData>
    <row r="1" spans="1:21">
      <c r="A1" s="1" t="s">
        <v>0</v>
      </c>
      <c r="B1" s="2" t="s">
        <v>271</v>
      </c>
      <c r="C1" s="3"/>
      <c r="D1" s="3"/>
      <c r="E1" s="4" t="s">
        <v>1</v>
      </c>
      <c r="F1" s="5" t="s">
        <v>661</v>
      </c>
    </row>
    <row r="2" spans="1:21">
      <c r="A2" s="1" t="s">
        <v>660</v>
      </c>
      <c r="B2" s="2" t="s">
        <v>659</v>
      </c>
      <c r="C2" s="3"/>
      <c r="D2" s="3"/>
      <c r="E2" s="6" t="s">
        <v>4</v>
      </c>
      <c r="F2" s="5" t="s">
        <v>5</v>
      </c>
    </row>
    <row r="3" spans="1:21">
      <c r="A3" s="1" t="s">
        <v>6</v>
      </c>
      <c r="B3" s="2" t="s">
        <v>64</v>
      </c>
      <c r="C3" s="3"/>
      <c r="D3" s="3"/>
      <c r="E3" s="7" t="s">
        <v>8</v>
      </c>
      <c r="F3" s="5" t="s">
        <v>9</v>
      </c>
    </row>
    <row r="4" spans="1:21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6" spans="1:21" ht="15" thickBot="1">
      <c r="C6" s="41" t="s">
        <v>65</v>
      </c>
    </row>
    <row r="7" spans="1:21">
      <c r="C7" s="42" t="s">
        <v>66</v>
      </c>
      <c r="D7" s="43"/>
      <c r="E7" s="44" t="s">
        <v>67</v>
      </c>
      <c r="F7" s="45" t="s">
        <v>68</v>
      </c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</row>
    <row r="8" spans="1:21">
      <c r="C8" s="47" t="s">
        <v>7</v>
      </c>
      <c r="D8" s="48"/>
      <c r="E8" s="48" t="s">
        <v>69</v>
      </c>
      <c r="F8" s="49" t="s">
        <v>70</v>
      </c>
    </row>
    <row r="9" spans="1:21">
      <c r="C9" s="47" t="s">
        <v>71</v>
      </c>
      <c r="D9" s="48"/>
      <c r="E9" s="48" t="s">
        <v>72</v>
      </c>
      <c r="F9" s="49" t="s">
        <v>73</v>
      </c>
    </row>
    <row r="10" spans="1:21">
      <c r="C10" s="47" t="s">
        <v>74</v>
      </c>
      <c r="D10" s="48"/>
      <c r="E10" s="48" t="s">
        <v>72</v>
      </c>
      <c r="F10" s="49" t="s">
        <v>75</v>
      </c>
    </row>
    <row r="11" spans="1:21">
      <c r="C11" s="47" t="s">
        <v>76</v>
      </c>
      <c r="D11" s="48"/>
      <c r="E11" s="48" t="s">
        <v>72</v>
      </c>
      <c r="F11" s="49" t="s">
        <v>77</v>
      </c>
    </row>
    <row r="12" spans="1:21">
      <c r="C12" s="47" t="s">
        <v>78</v>
      </c>
      <c r="D12" s="48"/>
      <c r="E12" s="48" t="s">
        <v>72</v>
      </c>
      <c r="F12" s="49" t="s">
        <v>79</v>
      </c>
    </row>
    <row r="13" spans="1:21">
      <c r="C13" s="47" t="s">
        <v>80</v>
      </c>
      <c r="D13" s="48"/>
      <c r="E13" s="48" t="s">
        <v>72</v>
      </c>
      <c r="F13" s="49" t="s">
        <v>80</v>
      </c>
    </row>
    <row r="14" spans="1:21">
      <c r="C14" s="47" t="s">
        <v>81</v>
      </c>
      <c r="D14" s="48"/>
      <c r="E14" s="48" t="s">
        <v>72</v>
      </c>
      <c r="F14" s="49" t="s">
        <v>81</v>
      </c>
    </row>
    <row r="15" spans="1:21">
      <c r="C15" s="47" t="s">
        <v>82</v>
      </c>
      <c r="D15" s="48"/>
      <c r="E15" s="48" t="s">
        <v>72</v>
      </c>
      <c r="F15" s="49" t="s">
        <v>83</v>
      </c>
    </row>
    <row r="16" spans="1:21">
      <c r="C16" s="47" t="s">
        <v>84</v>
      </c>
      <c r="D16" s="48"/>
      <c r="E16" s="48" t="s">
        <v>69</v>
      </c>
      <c r="F16" s="49" t="s">
        <v>85</v>
      </c>
    </row>
    <row r="17" spans="3:6">
      <c r="C17" s="47" t="s">
        <v>86</v>
      </c>
      <c r="D17" s="48"/>
      <c r="E17" s="48" t="s">
        <v>72</v>
      </c>
      <c r="F17" s="49" t="s">
        <v>86</v>
      </c>
    </row>
    <row r="18" spans="3:6">
      <c r="C18" s="47" t="s">
        <v>87</v>
      </c>
      <c r="D18" s="48"/>
      <c r="E18" s="48" t="s">
        <v>72</v>
      </c>
      <c r="F18" s="49" t="s">
        <v>87</v>
      </c>
    </row>
    <row r="19" spans="3:6">
      <c r="C19" s="47" t="s">
        <v>88</v>
      </c>
      <c r="D19" s="48"/>
      <c r="E19" s="48" t="s">
        <v>72</v>
      </c>
      <c r="F19" s="49" t="s">
        <v>89</v>
      </c>
    </row>
    <row r="20" spans="3:6" ht="15" hidden="1" thickBot="1">
      <c r="C20" s="50" t="s">
        <v>90</v>
      </c>
      <c r="D20" s="51"/>
      <c r="E20" s="51" t="s">
        <v>69</v>
      </c>
      <c r="F20" s="52" t="s">
        <v>91</v>
      </c>
    </row>
    <row r="1048543" spans="1:1">
      <c r="A1048543" t="s">
        <v>92</v>
      </c>
    </row>
    <row r="1048544" spans="1:1">
      <c r="A1048544" t="s">
        <v>92</v>
      </c>
    </row>
    <row r="1048545" spans="1:1">
      <c r="A1048545" t="s">
        <v>92</v>
      </c>
    </row>
  </sheetData>
  <hyperlinks>
    <hyperlink ref="C8" location="Assumptions!A1" display="Assumptions" xr:uid="{D41D5753-D96A-49BD-87A4-A55081D7D794}"/>
    <hyperlink ref="C13" location="'Income Statement'!A1" display="Income Statement" xr:uid="{81E03BFF-C01A-479B-88E5-112E5235274F}"/>
    <hyperlink ref="C14" location="'Balance Sheet'!A1" display="Balance Sheet" xr:uid="{929073F4-6872-4504-904D-9FF7115C5475}"/>
    <hyperlink ref="C15" location="'Cashflow Statement'!A1" display="Casflow Statement" xr:uid="{EA729F5E-2E2F-40B3-A2EE-3044FAADBAD1}"/>
    <hyperlink ref="C16" location="Valuation!A1" display="Valuation" xr:uid="{BD669FE3-23F9-430F-AB48-8ED57D2E6E46}"/>
    <hyperlink ref="C17" location="'Loan Repayment Schedule'!A1" display="Loan Repayment Schedule" xr:uid="{A15B93C3-DCC0-4478-B2B4-B221F82B29F4}"/>
    <hyperlink ref="C18" location="'Depreciation Schedule'!A1" display="Depreciation Schedule" xr:uid="{0A2BDCC4-526E-4A5E-9946-ACBEE4D361CA}"/>
    <hyperlink ref="C19" location="Dashboard!A1" display="Dashboard" xr:uid="{E44A94C1-D7EE-47E8-801E-D8BECBF8D167}"/>
    <hyperlink ref="C20" location="'Existing Practice Valuation'!A1" display="Existing Practice Valuation" xr:uid="{DAA57AD0-D206-4913-8CAC-1E289AA280DB}"/>
    <hyperlink ref="C12" location="'Cashflow Analysis'!A1" display="Casflow Analysis" xr:uid="{2D4D1624-8316-4F0E-8454-EE6164298FA8}"/>
    <hyperlink ref="C11" location="'Expense Analysis'!A1" display="Expense Analysis" xr:uid="{82634334-F272-418E-9F3A-DCC3E38BB883}"/>
    <hyperlink ref="C10" location="'Revenue Analysis'!A1" display="Revenue Analysis" xr:uid="{907D1014-F81C-4E44-9377-9D37DA50CF4A}"/>
    <hyperlink ref="C9" location="'Net Income Analysis'!A1" display="Net Income Analysis" xr:uid="{889210F2-EA9C-40D6-B482-786290236E0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ABD65-D204-433B-8C4A-F1AC7B9800A6}">
  <dimension ref="A1:K75"/>
  <sheetViews>
    <sheetView zoomScale="62" workbookViewId="0">
      <selection activeCell="F29" sqref="F29"/>
    </sheetView>
  </sheetViews>
  <sheetFormatPr defaultRowHeight="14.5"/>
  <cols>
    <col min="1" max="1" width="25.6328125" customWidth="1"/>
    <col min="2" max="2" width="29" customWidth="1"/>
    <col min="3" max="3" width="30.453125" customWidth="1"/>
    <col min="4" max="4" width="28.1796875" customWidth="1"/>
    <col min="5" max="5" width="19.7265625" customWidth="1"/>
    <col min="6" max="6" width="19.81640625" customWidth="1"/>
    <col min="7" max="7" width="13" customWidth="1"/>
    <col min="8" max="8" width="22.453125" customWidth="1"/>
    <col min="9" max="9" width="17.1796875" customWidth="1"/>
  </cols>
  <sheetData>
    <row r="1" spans="1:11" ht="15.5">
      <c r="A1" s="566" t="s">
        <v>502</v>
      </c>
      <c r="B1" s="567"/>
      <c r="C1" s="567"/>
      <c r="D1" s="567"/>
      <c r="E1" s="567"/>
      <c r="F1" s="567"/>
      <c r="G1" s="567"/>
      <c r="H1" s="567"/>
      <c r="I1" s="567"/>
      <c r="J1" s="567"/>
      <c r="K1" s="567"/>
    </row>
    <row r="2" spans="1:11">
      <c r="A2" s="564" t="s">
        <v>503</v>
      </c>
      <c r="B2" s="565"/>
      <c r="C2" s="565"/>
      <c r="D2" s="565"/>
      <c r="E2" s="565"/>
      <c r="F2" s="565"/>
      <c r="G2" s="565"/>
      <c r="H2" s="565"/>
      <c r="I2" s="565"/>
      <c r="J2" s="565"/>
      <c r="K2" s="565"/>
    </row>
    <row r="3" spans="1:11" ht="34.5">
      <c r="A3" s="558" t="s">
        <v>415</v>
      </c>
      <c r="B3" s="558" t="s">
        <v>421</v>
      </c>
      <c r="C3" s="558" t="s">
        <v>416</v>
      </c>
      <c r="D3" s="558" t="s">
        <v>417</v>
      </c>
      <c r="E3" s="558" t="s">
        <v>418</v>
      </c>
      <c r="F3" s="558" t="s">
        <v>504</v>
      </c>
      <c r="G3" s="558" t="s">
        <v>505</v>
      </c>
      <c r="H3" s="558" t="s">
        <v>419</v>
      </c>
      <c r="I3" s="558" t="s">
        <v>420</v>
      </c>
      <c r="J3" s="558" t="s">
        <v>506</v>
      </c>
      <c r="K3" s="558" t="s">
        <v>507</v>
      </c>
    </row>
    <row r="4" spans="1:11" ht="57.5">
      <c r="A4" s="559" t="s">
        <v>422</v>
      </c>
      <c r="B4" s="559" t="s">
        <v>508</v>
      </c>
      <c r="C4" s="559" t="s">
        <v>509</v>
      </c>
      <c r="D4" s="559" t="s">
        <v>510</v>
      </c>
      <c r="E4" s="559">
        <v>1</v>
      </c>
      <c r="F4" s="559">
        <v>8500</v>
      </c>
      <c r="G4" s="559" t="s">
        <v>511</v>
      </c>
      <c r="H4" s="559">
        <v>415</v>
      </c>
      <c r="I4" s="559" t="s">
        <v>512</v>
      </c>
      <c r="J4" s="559" t="s">
        <v>513</v>
      </c>
      <c r="K4" s="559" t="s">
        <v>514</v>
      </c>
    </row>
    <row r="5" spans="1:11" ht="57.5">
      <c r="A5" s="560" t="s">
        <v>426</v>
      </c>
      <c r="B5" s="560" t="s">
        <v>515</v>
      </c>
      <c r="C5" s="560" t="s">
        <v>516</v>
      </c>
      <c r="D5" s="560" t="s">
        <v>517</v>
      </c>
      <c r="E5" s="560">
        <v>1</v>
      </c>
      <c r="F5" s="560">
        <v>28500</v>
      </c>
      <c r="G5" s="560" t="s">
        <v>518</v>
      </c>
      <c r="H5" s="560">
        <v>38</v>
      </c>
      <c r="I5" s="560" t="s">
        <v>519</v>
      </c>
      <c r="J5" s="560" t="s">
        <v>520</v>
      </c>
      <c r="K5" s="560" t="s">
        <v>521</v>
      </c>
    </row>
    <row r="6" spans="1:11" ht="57.5">
      <c r="A6" s="559" t="s">
        <v>427</v>
      </c>
      <c r="B6" s="559" t="s">
        <v>522</v>
      </c>
      <c r="C6" s="559" t="s">
        <v>516</v>
      </c>
      <c r="D6" s="559" t="s">
        <v>523</v>
      </c>
      <c r="E6" s="559">
        <v>1</v>
      </c>
      <c r="F6" s="559">
        <v>6200</v>
      </c>
      <c r="G6" s="559" t="s">
        <v>524</v>
      </c>
      <c r="H6" s="559">
        <v>18</v>
      </c>
      <c r="I6" s="559" t="s">
        <v>525</v>
      </c>
      <c r="J6" s="559" t="s">
        <v>526</v>
      </c>
      <c r="K6" s="559" t="s">
        <v>527</v>
      </c>
    </row>
    <row r="7" spans="1:11" ht="46">
      <c r="A7" s="560" t="s">
        <v>428</v>
      </c>
      <c r="B7" s="560" t="s">
        <v>528</v>
      </c>
      <c r="C7" s="560" t="s">
        <v>529</v>
      </c>
      <c r="D7" s="560" t="s">
        <v>530</v>
      </c>
      <c r="E7" s="560">
        <v>1</v>
      </c>
      <c r="F7" s="560">
        <v>7800</v>
      </c>
      <c r="G7" s="560" t="s">
        <v>531</v>
      </c>
      <c r="H7" s="560">
        <v>16</v>
      </c>
      <c r="I7" s="560" t="s">
        <v>532</v>
      </c>
      <c r="J7" s="560" t="s">
        <v>533</v>
      </c>
      <c r="K7" s="560" t="s">
        <v>534</v>
      </c>
    </row>
    <row r="8" spans="1:11" ht="46">
      <c r="A8" s="559" t="s">
        <v>441</v>
      </c>
      <c r="B8" s="559" t="s">
        <v>535</v>
      </c>
      <c r="C8" s="559" t="s">
        <v>442</v>
      </c>
      <c r="D8" s="559" t="s">
        <v>536</v>
      </c>
      <c r="E8" s="559">
        <v>1</v>
      </c>
      <c r="F8" s="559">
        <v>18500</v>
      </c>
      <c r="G8" s="559" t="s">
        <v>537</v>
      </c>
      <c r="H8" s="559">
        <v>952</v>
      </c>
      <c r="I8" s="559" t="s">
        <v>538</v>
      </c>
      <c r="J8" s="559" t="s">
        <v>539</v>
      </c>
      <c r="K8" s="559" t="s">
        <v>540</v>
      </c>
    </row>
    <row r="9" spans="1:11" ht="57.5">
      <c r="A9" s="560" t="s">
        <v>423</v>
      </c>
      <c r="B9" s="560" t="s">
        <v>541</v>
      </c>
      <c r="C9" s="560" t="s">
        <v>542</v>
      </c>
      <c r="D9" s="560" t="s">
        <v>543</v>
      </c>
      <c r="E9" s="560">
        <v>4</v>
      </c>
      <c r="F9" s="560">
        <v>5200</v>
      </c>
      <c r="G9" s="560" t="s">
        <v>544</v>
      </c>
      <c r="H9" s="560">
        <v>110</v>
      </c>
      <c r="I9" s="560" t="s">
        <v>545</v>
      </c>
      <c r="J9" s="560" t="s">
        <v>546</v>
      </c>
      <c r="K9" s="560" t="s">
        <v>547</v>
      </c>
    </row>
    <row r="10" spans="1:11" ht="57.5">
      <c r="A10" s="559" t="s">
        <v>424</v>
      </c>
      <c r="B10" s="559" t="s">
        <v>548</v>
      </c>
      <c r="C10" s="559" t="s">
        <v>516</v>
      </c>
      <c r="D10" s="559" t="s">
        <v>549</v>
      </c>
      <c r="E10" s="559">
        <v>4</v>
      </c>
      <c r="F10" s="559">
        <v>3800</v>
      </c>
      <c r="G10" s="559" t="s">
        <v>550</v>
      </c>
      <c r="H10" s="559">
        <v>13</v>
      </c>
      <c r="I10" s="559" t="s">
        <v>551</v>
      </c>
      <c r="J10" s="559" t="s">
        <v>552</v>
      </c>
      <c r="K10" s="559" t="s">
        <v>553</v>
      </c>
    </row>
    <row r="11" spans="1:11" ht="46">
      <c r="A11" s="560" t="s">
        <v>425</v>
      </c>
      <c r="B11" s="560" t="s">
        <v>554</v>
      </c>
      <c r="C11" s="560" t="s">
        <v>542</v>
      </c>
      <c r="D11" s="560" t="s">
        <v>555</v>
      </c>
      <c r="E11" s="560">
        <v>2</v>
      </c>
      <c r="F11" s="560">
        <v>2900</v>
      </c>
      <c r="G11" s="560" t="s">
        <v>556</v>
      </c>
      <c r="H11" s="560">
        <v>14</v>
      </c>
      <c r="I11" s="560" t="s">
        <v>557</v>
      </c>
      <c r="J11" s="560" t="s">
        <v>558</v>
      </c>
      <c r="K11" s="560" t="s">
        <v>559</v>
      </c>
    </row>
    <row r="12" spans="1:11" ht="46">
      <c r="A12" s="559" t="s">
        <v>429</v>
      </c>
      <c r="B12" s="559" t="s">
        <v>430</v>
      </c>
      <c r="C12" s="559" t="s">
        <v>431</v>
      </c>
      <c r="D12" s="559" t="s">
        <v>560</v>
      </c>
      <c r="E12" s="559">
        <v>1</v>
      </c>
      <c r="F12" s="559">
        <v>14716</v>
      </c>
      <c r="G12" s="559" t="s">
        <v>561</v>
      </c>
      <c r="H12" s="559">
        <v>800</v>
      </c>
      <c r="I12" s="559" t="s">
        <v>562</v>
      </c>
      <c r="J12" s="559" t="s">
        <v>563</v>
      </c>
      <c r="K12" s="559" t="s">
        <v>564</v>
      </c>
    </row>
    <row r="13" spans="1:11" ht="57.5">
      <c r="A13" s="560" t="s">
        <v>432</v>
      </c>
      <c r="B13" s="560" t="s">
        <v>565</v>
      </c>
      <c r="C13" s="560" t="s">
        <v>566</v>
      </c>
      <c r="D13" s="560" t="s">
        <v>567</v>
      </c>
      <c r="E13" s="560">
        <v>1</v>
      </c>
      <c r="F13" s="560">
        <v>2100</v>
      </c>
      <c r="G13" s="560" t="s">
        <v>568</v>
      </c>
      <c r="H13" s="560">
        <v>22</v>
      </c>
      <c r="I13" s="560" t="s">
        <v>569</v>
      </c>
      <c r="J13" s="560" t="s">
        <v>570</v>
      </c>
      <c r="K13" s="560" t="s">
        <v>571</v>
      </c>
    </row>
    <row r="14" spans="1:11" ht="46">
      <c r="A14" s="559" t="s">
        <v>433</v>
      </c>
      <c r="B14" s="559" t="s">
        <v>572</v>
      </c>
      <c r="C14" s="559" t="s">
        <v>434</v>
      </c>
      <c r="D14" s="559" t="s">
        <v>435</v>
      </c>
      <c r="E14" s="559">
        <v>1</v>
      </c>
      <c r="F14" s="559">
        <v>29650</v>
      </c>
      <c r="G14" s="559" t="s">
        <v>573</v>
      </c>
      <c r="H14" s="559">
        <v>50</v>
      </c>
      <c r="I14" s="559" t="s">
        <v>574</v>
      </c>
      <c r="J14" s="559" t="s">
        <v>575</v>
      </c>
      <c r="K14" s="559" t="s">
        <v>576</v>
      </c>
    </row>
    <row r="15" spans="1:11" ht="46">
      <c r="A15" s="560" t="s">
        <v>436</v>
      </c>
      <c r="B15" s="560" t="s">
        <v>437</v>
      </c>
      <c r="C15" s="560" t="s">
        <v>438</v>
      </c>
      <c r="D15" s="560" t="s">
        <v>439</v>
      </c>
      <c r="E15" s="560">
        <v>1</v>
      </c>
      <c r="F15" s="560">
        <v>85000</v>
      </c>
      <c r="G15" s="560" t="s">
        <v>577</v>
      </c>
      <c r="H15" s="560">
        <v>265</v>
      </c>
      <c r="I15" s="560" t="s">
        <v>578</v>
      </c>
      <c r="J15" s="560" t="s">
        <v>579</v>
      </c>
      <c r="K15" s="560" t="s">
        <v>576</v>
      </c>
    </row>
    <row r="16" spans="1:11" ht="57.5">
      <c r="A16" s="559" t="s">
        <v>440</v>
      </c>
      <c r="B16" s="559" t="s">
        <v>580</v>
      </c>
      <c r="C16" s="559" t="s">
        <v>581</v>
      </c>
      <c r="D16" s="559" t="s">
        <v>582</v>
      </c>
      <c r="E16" s="559">
        <v>1</v>
      </c>
      <c r="F16" s="559">
        <v>4000</v>
      </c>
      <c r="G16" s="559" t="s">
        <v>583</v>
      </c>
      <c r="H16" s="559">
        <v>10</v>
      </c>
      <c r="I16" s="559" t="s">
        <v>584</v>
      </c>
      <c r="J16" s="559" t="s">
        <v>585</v>
      </c>
      <c r="K16" s="559" t="s">
        <v>586</v>
      </c>
    </row>
    <row r="17" spans="1:11" ht="46">
      <c r="A17" s="560" t="s">
        <v>443</v>
      </c>
      <c r="B17" s="560" t="s">
        <v>587</v>
      </c>
      <c r="C17" s="560" t="s">
        <v>444</v>
      </c>
      <c r="D17" s="560" t="s">
        <v>588</v>
      </c>
      <c r="E17" s="560">
        <v>1</v>
      </c>
      <c r="F17" s="560">
        <v>6999</v>
      </c>
      <c r="G17" s="560" t="s">
        <v>589</v>
      </c>
      <c r="H17" s="560">
        <v>7</v>
      </c>
      <c r="I17" s="560" t="s">
        <v>590</v>
      </c>
      <c r="J17" s="560" t="s">
        <v>591</v>
      </c>
      <c r="K17" s="560" t="s">
        <v>592</v>
      </c>
    </row>
    <row r="18" spans="1:11" ht="46">
      <c r="A18" s="559" t="s">
        <v>593</v>
      </c>
      <c r="B18" s="559" t="s">
        <v>594</v>
      </c>
      <c r="C18" s="559" t="s">
        <v>595</v>
      </c>
      <c r="D18" s="559" t="s">
        <v>596</v>
      </c>
      <c r="E18" s="559">
        <v>1</v>
      </c>
      <c r="F18" s="559">
        <v>3500</v>
      </c>
      <c r="G18" s="559" t="s">
        <v>597</v>
      </c>
      <c r="H18" s="559">
        <v>180</v>
      </c>
      <c r="I18" s="559" t="s">
        <v>598</v>
      </c>
      <c r="J18" s="559" t="s">
        <v>599</v>
      </c>
      <c r="K18" s="559" t="s">
        <v>600</v>
      </c>
    </row>
    <row r="19" spans="1:11" ht="34.5">
      <c r="A19" s="560" t="s">
        <v>601</v>
      </c>
      <c r="B19" s="560" t="s">
        <v>602</v>
      </c>
      <c r="C19" s="560" t="s">
        <v>447</v>
      </c>
      <c r="D19" s="560" t="s">
        <v>603</v>
      </c>
      <c r="E19" s="560">
        <v>1</v>
      </c>
      <c r="F19" s="560">
        <v>1350</v>
      </c>
      <c r="G19" s="560" t="s">
        <v>604</v>
      </c>
      <c r="H19" s="560">
        <v>100</v>
      </c>
      <c r="I19" s="560" t="s">
        <v>605</v>
      </c>
      <c r="J19" s="560" t="s">
        <v>540</v>
      </c>
      <c r="K19" s="560" t="s">
        <v>592</v>
      </c>
    </row>
    <row r="20" spans="1:11" ht="34.5">
      <c r="A20" s="559" t="s">
        <v>446</v>
      </c>
      <c r="B20" s="559" t="s">
        <v>606</v>
      </c>
      <c r="C20" s="559" t="s">
        <v>447</v>
      </c>
      <c r="D20" s="559" t="s">
        <v>607</v>
      </c>
      <c r="E20" s="559">
        <v>1</v>
      </c>
      <c r="F20" s="559">
        <v>1200</v>
      </c>
      <c r="G20" s="559" t="s">
        <v>608</v>
      </c>
      <c r="H20" s="559">
        <v>70</v>
      </c>
      <c r="I20" s="559" t="s">
        <v>609</v>
      </c>
      <c r="J20" s="559" t="s">
        <v>610</v>
      </c>
      <c r="K20" s="559" t="s">
        <v>611</v>
      </c>
    </row>
    <row r="21" spans="1:11" ht="46">
      <c r="A21" s="560" t="s">
        <v>111</v>
      </c>
      <c r="B21" s="560" t="s">
        <v>612</v>
      </c>
      <c r="C21" s="560" t="s">
        <v>613</v>
      </c>
      <c r="D21" s="560" t="s">
        <v>614</v>
      </c>
      <c r="E21" s="560">
        <v>1</v>
      </c>
      <c r="F21" s="560">
        <v>350</v>
      </c>
      <c r="G21" s="560" t="s">
        <v>615</v>
      </c>
      <c r="H21" s="560">
        <v>12</v>
      </c>
      <c r="I21" s="560" t="s">
        <v>616</v>
      </c>
      <c r="J21" s="560" t="s">
        <v>617</v>
      </c>
      <c r="K21" s="560" t="s">
        <v>618</v>
      </c>
    </row>
    <row r="22" spans="1:11">
      <c r="A22" s="569"/>
      <c r="B22" s="567"/>
      <c r="C22" s="567"/>
      <c r="D22" s="567"/>
      <c r="E22" s="567"/>
      <c r="F22" s="567"/>
      <c r="G22" s="567"/>
      <c r="H22" s="567"/>
      <c r="I22" s="567"/>
      <c r="J22" s="567"/>
      <c r="K22" s="567"/>
    </row>
    <row r="23" spans="1:11">
      <c r="A23" s="557" t="s">
        <v>619</v>
      </c>
      <c r="B23" s="562"/>
      <c r="C23" s="562"/>
      <c r="D23" s="562"/>
      <c r="E23" s="563"/>
      <c r="F23" s="570" t="s">
        <v>620</v>
      </c>
      <c r="G23" s="568" t="s">
        <v>621</v>
      </c>
      <c r="H23" s="562"/>
      <c r="I23" s="562"/>
      <c r="J23" s="562"/>
      <c r="K23" s="563"/>
    </row>
    <row r="24" spans="1:11">
      <c r="A24" s="557" t="s">
        <v>622</v>
      </c>
      <c r="B24" s="562"/>
      <c r="C24" s="562"/>
      <c r="D24" s="562"/>
      <c r="E24" s="563"/>
      <c r="F24" s="561" t="s">
        <v>623</v>
      </c>
      <c r="G24" s="568" t="s">
        <v>624</v>
      </c>
      <c r="H24" s="562"/>
      <c r="I24" s="562"/>
      <c r="J24" s="562"/>
      <c r="K24" s="563"/>
    </row>
    <row r="25" spans="1:11">
      <c r="A25" s="557" t="s">
        <v>625</v>
      </c>
      <c r="B25" s="562"/>
      <c r="C25" s="562"/>
      <c r="D25" s="562"/>
      <c r="E25" s="563"/>
      <c r="F25" s="561" t="s">
        <v>626</v>
      </c>
      <c r="G25" s="568" t="s">
        <v>627</v>
      </c>
      <c r="H25" s="562"/>
      <c r="I25" s="562"/>
      <c r="J25" s="562"/>
      <c r="K25" s="563"/>
    </row>
    <row r="26" spans="1:11">
      <c r="A26" s="557" t="s">
        <v>628</v>
      </c>
      <c r="B26" s="562"/>
      <c r="C26" s="562"/>
      <c r="D26" s="562"/>
      <c r="E26" s="563"/>
      <c r="F26" s="561" t="s">
        <v>629</v>
      </c>
      <c r="G26" s="568" t="s">
        <v>630</v>
      </c>
      <c r="H26" s="562"/>
      <c r="I26" s="562"/>
      <c r="J26" s="562"/>
      <c r="K26" s="563"/>
    </row>
    <row r="27" spans="1:11" ht="18">
      <c r="A27" s="555" t="s">
        <v>454</v>
      </c>
      <c r="B27" s="555"/>
      <c r="C27" s="555"/>
      <c r="D27" s="555"/>
    </row>
    <row r="28" spans="1:11">
      <c r="A28" s="556" t="s">
        <v>455</v>
      </c>
      <c r="B28" s="556"/>
      <c r="C28" s="556"/>
      <c r="D28" s="556"/>
      <c r="F28" s="571">
        <f>F23/Assumptions!D32</f>
        <v>2726.52483756026</v>
      </c>
    </row>
    <row r="30" spans="1:11">
      <c r="A30" s="552" t="s">
        <v>456</v>
      </c>
      <c r="B30" s="552"/>
      <c r="C30" s="552"/>
      <c r="D30" s="552"/>
    </row>
    <row r="31" spans="1:11">
      <c r="A31" s="543" t="s">
        <v>415</v>
      </c>
      <c r="B31" s="543" t="s">
        <v>457</v>
      </c>
      <c r="C31" s="543" t="s">
        <v>458</v>
      </c>
      <c r="D31" s="543" t="s">
        <v>459</v>
      </c>
    </row>
    <row r="32" spans="1:11" ht="50">
      <c r="A32" s="544" t="s">
        <v>460</v>
      </c>
      <c r="B32" s="545" t="s">
        <v>461</v>
      </c>
      <c r="C32" s="546">
        <v>2200</v>
      </c>
      <c r="D32" s="545" t="s">
        <v>462</v>
      </c>
    </row>
    <row r="33" spans="1:4" ht="50">
      <c r="A33" s="544" t="s">
        <v>463</v>
      </c>
      <c r="B33" s="545" t="s">
        <v>464</v>
      </c>
      <c r="C33" s="546">
        <v>500</v>
      </c>
      <c r="D33" s="545" t="s">
        <v>465</v>
      </c>
    </row>
    <row r="34" spans="1:4" ht="25">
      <c r="A34" s="544" t="s">
        <v>443</v>
      </c>
      <c r="B34" s="545" t="s">
        <v>466</v>
      </c>
      <c r="C34" s="546">
        <v>150</v>
      </c>
      <c r="D34" s="545"/>
    </row>
    <row r="35" spans="1:4" ht="25">
      <c r="A35" s="544" t="s">
        <v>445</v>
      </c>
      <c r="B35" s="545" t="s">
        <v>467</v>
      </c>
      <c r="C35" s="546">
        <v>150</v>
      </c>
      <c r="D35" s="545"/>
    </row>
    <row r="36" spans="1:4" ht="25">
      <c r="A36" s="544" t="s">
        <v>468</v>
      </c>
      <c r="B36" s="545" t="s">
        <v>469</v>
      </c>
      <c r="C36" s="546">
        <v>200</v>
      </c>
      <c r="D36" s="545"/>
    </row>
    <row r="37" spans="1:4">
      <c r="A37" s="544" t="s">
        <v>470</v>
      </c>
      <c r="B37" s="545" t="s">
        <v>471</v>
      </c>
      <c r="C37" s="546">
        <v>150</v>
      </c>
      <c r="D37" s="545"/>
    </row>
    <row r="38" spans="1:4" ht="25">
      <c r="A38" s="544" t="s">
        <v>472</v>
      </c>
      <c r="B38" s="545" t="s">
        <v>473</v>
      </c>
      <c r="C38" s="546">
        <v>150</v>
      </c>
      <c r="D38" s="545"/>
    </row>
    <row r="39" spans="1:4">
      <c r="A39" s="551" t="s">
        <v>474</v>
      </c>
      <c r="B39" s="551"/>
      <c r="C39" s="547">
        <v>3500</v>
      </c>
      <c r="D39" s="548"/>
    </row>
    <row r="41" spans="1:4">
      <c r="A41" s="552" t="s">
        <v>475</v>
      </c>
      <c r="B41" s="552"/>
      <c r="C41" s="552"/>
      <c r="D41" s="552"/>
    </row>
    <row r="42" spans="1:4">
      <c r="A42" s="543" t="s">
        <v>415</v>
      </c>
      <c r="B42" s="543" t="s">
        <v>457</v>
      </c>
      <c r="C42" s="543" t="s">
        <v>458</v>
      </c>
      <c r="D42" s="543" t="s">
        <v>459</v>
      </c>
    </row>
    <row r="43" spans="1:4" ht="25">
      <c r="A43" s="544" t="s">
        <v>476</v>
      </c>
      <c r="B43" s="545" t="s">
        <v>477</v>
      </c>
      <c r="C43" s="546">
        <v>2500</v>
      </c>
      <c r="D43" s="545"/>
    </row>
    <row r="44" spans="1:4" ht="25">
      <c r="A44" s="544" t="s">
        <v>463</v>
      </c>
      <c r="B44" s="545" t="s">
        <v>478</v>
      </c>
      <c r="C44" s="546">
        <v>2200</v>
      </c>
      <c r="D44" s="545" t="s">
        <v>479</v>
      </c>
    </row>
    <row r="45" spans="1:4">
      <c r="A45" s="544" t="s">
        <v>480</v>
      </c>
      <c r="B45" s="545" t="s">
        <v>481</v>
      </c>
      <c r="C45" s="546">
        <v>500</v>
      </c>
      <c r="D45" s="545"/>
    </row>
    <row r="46" spans="1:4">
      <c r="A46" s="544" t="s">
        <v>443</v>
      </c>
      <c r="B46" s="545" t="s">
        <v>482</v>
      </c>
      <c r="C46" s="546">
        <v>800</v>
      </c>
      <c r="D46" s="545" t="s">
        <v>483</v>
      </c>
    </row>
    <row r="47" spans="1:4" ht="25">
      <c r="A47" s="544" t="s">
        <v>470</v>
      </c>
      <c r="B47" s="545" t="s">
        <v>484</v>
      </c>
      <c r="C47" s="546">
        <v>500</v>
      </c>
      <c r="D47" s="545" t="s">
        <v>485</v>
      </c>
    </row>
    <row r="48" spans="1:4" ht="25">
      <c r="A48" s="544" t="s">
        <v>486</v>
      </c>
      <c r="B48" s="545" t="s">
        <v>487</v>
      </c>
      <c r="C48" s="546">
        <v>400</v>
      </c>
      <c r="D48" s="545" t="s">
        <v>488</v>
      </c>
    </row>
    <row r="49" spans="1:4">
      <c r="A49" s="544" t="s">
        <v>468</v>
      </c>
      <c r="B49" s="545" t="s">
        <v>489</v>
      </c>
      <c r="C49" s="546">
        <v>800</v>
      </c>
      <c r="D49" s="545" t="s">
        <v>490</v>
      </c>
    </row>
    <row r="50" spans="1:4" ht="25">
      <c r="A50" s="544" t="s">
        <v>491</v>
      </c>
      <c r="B50" s="545" t="s">
        <v>492</v>
      </c>
      <c r="C50" s="546">
        <v>500</v>
      </c>
      <c r="D50" s="545" t="s">
        <v>493</v>
      </c>
    </row>
    <row r="51" spans="1:4" ht="25">
      <c r="A51" s="544" t="s">
        <v>494</v>
      </c>
      <c r="B51" s="545" t="s">
        <v>495</v>
      </c>
      <c r="C51" s="546">
        <v>750</v>
      </c>
      <c r="D51" s="545" t="s">
        <v>496</v>
      </c>
    </row>
    <row r="52" spans="1:4">
      <c r="A52" s="551" t="s">
        <v>497</v>
      </c>
      <c r="B52" s="551"/>
      <c r="C52" s="547">
        <v>8950</v>
      </c>
      <c r="D52" s="548"/>
    </row>
    <row r="54" spans="1:4">
      <c r="A54" s="552" t="s">
        <v>498</v>
      </c>
      <c r="B54" s="552"/>
      <c r="C54" s="552"/>
      <c r="D54" s="552"/>
    </row>
    <row r="55" spans="1:4">
      <c r="A55" s="553" t="s">
        <v>499</v>
      </c>
      <c r="B55" s="553"/>
      <c r="C55" s="549">
        <v>3500</v>
      </c>
      <c r="D55" s="542"/>
    </row>
    <row r="56" spans="1:4">
      <c r="A56" s="553" t="s">
        <v>500</v>
      </c>
      <c r="B56" s="553"/>
      <c r="C56" s="549">
        <v>8950</v>
      </c>
      <c r="D56" s="542"/>
    </row>
    <row r="57" spans="1:4">
      <c r="A57" s="554" t="s">
        <v>501</v>
      </c>
      <c r="B57" s="554"/>
      <c r="C57" s="550">
        <v>12450</v>
      </c>
      <c r="D57" s="542"/>
    </row>
    <row r="59" spans="1:4">
      <c r="A59" s="552" t="s">
        <v>631</v>
      </c>
      <c r="B59" s="552"/>
      <c r="C59" s="552"/>
      <c r="D59" s="552"/>
    </row>
    <row r="60" spans="1:4">
      <c r="A60" s="556" t="s">
        <v>632</v>
      </c>
      <c r="B60" s="556"/>
      <c r="C60" s="556"/>
      <c r="D60" s="556"/>
    </row>
    <row r="61" spans="1:4">
      <c r="A61" s="572" t="s">
        <v>415</v>
      </c>
      <c r="B61" s="572" t="s">
        <v>457</v>
      </c>
      <c r="C61" s="572" t="s">
        <v>458</v>
      </c>
      <c r="D61" s="572" t="s">
        <v>459</v>
      </c>
    </row>
    <row r="62" spans="1:4" ht="50">
      <c r="A62" s="573" t="s">
        <v>633</v>
      </c>
      <c r="B62" s="574" t="s">
        <v>634</v>
      </c>
      <c r="C62" s="575">
        <v>3000</v>
      </c>
      <c r="D62" s="574" t="s">
        <v>635</v>
      </c>
    </row>
    <row r="63" spans="1:4" ht="37.5">
      <c r="A63" s="573" t="s">
        <v>429</v>
      </c>
      <c r="B63" s="574" t="s">
        <v>636</v>
      </c>
      <c r="C63" s="575">
        <v>600</v>
      </c>
      <c r="D63" s="574"/>
    </row>
    <row r="64" spans="1:4" ht="25">
      <c r="A64" s="573" t="s">
        <v>637</v>
      </c>
      <c r="B64" s="574" t="s">
        <v>638</v>
      </c>
      <c r="C64" s="575">
        <v>500</v>
      </c>
      <c r="D64" s="574"/>
    </row>
    <row r="65" spans="1:4" ht="25">
      <c r="A65" s="573" t="s">
        <v>639</v>
      </c>
      <c r="B65" s="574" t="s">
        <v>640</v>
      </c>
      <c r="C65" s="575">
        <v>310</v>
      </c>
      <c r="D65" s="574"/>
    </row>
    <row r="66" spans="1:4" ht="37.5">
      <c r="A66" s="573" t="s">
        <v>436</v>
      </c>
      <c r="B66" s="574" t="s">
        <v>641</v>
      </c>
      <c r="C66" s="575">
        <v>890</v>
      </c>
      <c r="D66" s="574"/>
    </row>
    <row r="67" spans="1:4" ht="25">
      <c r="A67" s="573" t="s">
        <v>642</v>
      </c>
      <c r="B67" s="574" t="s">
        <v>643</v>
      </c>
      <c r="C67" s="575">
        <v>70</v>
      </c>
      <c r="D67" s="574"/>
    </row>
    <row r="68" spans="1:4" ht="25">
      <c r="A68" s="573" t="s">
        <v>644</v>
      </c>
      <c r="B68" s="574" t="s">
        <v>645</v>
      </c>
      <c r="C68" s="575">
        <v>300</v>
      </c>
      <c r="D68" s="574" t="s">
        <v>646</v>
      </c>
    </row>
    <row r="69" spans="1:4" ht="25">
      <c r="A69" s="573" t="s">
        <v>647</v>
      </c>
      <c r="B69" s="574" t="s">
        <v>648</v>
      </c>
      <c r="C69" s="575">
        <v>150</v>
      </c>
      <c r="D69" s="574"/>
    </row>
    <row r="70" spans="1:4" ht="25">
      <c r="A70" s="573" t="s">
        <v>649</v>
      </c>
      <c r="B70" s="574" t="s">
        <v>650</v>
      </c>
      <c r="C70" s="575">
        <v>350</v>
      </c>
      <c r="D70" s="574" t="s">
        <v>651</v>
      </c>
    </row>
    <row r="71" spans="1:4">
      <c r="A71" s="573" t="s">
        <v>427</v>
      </c>
      <c r="B71" s="574" t="s">
        <v>652</v>
      </c>
      <c r="C71" s="575">
        <v>170</v>
      </c>
      <c r="D71" s="574"/>
    </row>
    <row r="72" spans="1:4">
      <c r="A72" s="573" t="s">
        <v>443</v>
      </c>
      <c r="B72" s="574" t="s">
        <v>653</v>
      </c>
      <c r="C72" s="575">
        <v>75</v>
      </c>
      <c r="D72" s="574"/>
    </row>
    <row r="73" spans="1:4" ht="25">
      <c r="A73" s="573" t="s">
        <v>654</v>
      </c>
      <c r="B73" s="574" t="s">
        <v>655</v>
      </c>
      <c r="C73" s="575">
        <v>300</v>
      </c>
      <c r="D73" s="574"/>
    </row>
    <row r="74" spans="1:4">
      <c r="A74" s="573" t="s">
        <v>656</v>
      </c>
      <c r="B74" s="574" t="s">
        <v>657</v>
      </c>
      <c r="C74" s="575">
        <v>200</v>
      </c>
      <c r="D74" s="574"/>
    </row>
    <row r="75" spans="1:4">
      <c r="A75" s="551" t="s">
        <v>658</v>
      </c>
      <c r="B75" s="551"/>
      <c r="C75" s="576">
        <v>6915</v>
      </c>
      <c r="D75" s="577"/>
    </row>
  </sheetData>
  <mergeCells count="24">
    <mergeCell ref="A59:D59"/>
    <mergeCell ref="A60:D60"/>
    <mergeCell ref="A75:B75"/>
    <mergeCell ref="A24:E24"/>
    <mergeCell ref="A23:E23"/>
    <mergeCell ref="A2:K2"/>
    <mergeCell ref="A1:K1"/>
    <mergeCell ref="G26:K26"/>
    <mergeCell ref="A22:K22"/>
    <mergeCell ref="A26:E26"/>
    <mergeCell ref="G24:K24"/>
    <mergeCell ref="A25:E25"/>
    <mergeCell ref="G25:K25"/>
    <mergeCell ref="G23:K23"/>
    <mergeCell ref="A27:D27"/>
    <mergeCell ref="A28:D28"/>
    <mergeCell ref="A30:D30"/>
    <mergeCell ref="A39:B39"/>
    <mergeCell ref="A41:D41"/>
    <mergeCell ref="A52:B52"/>
    <mergeCell ref="A54:D54"/>
    <mergeCell ref="A55:B55"/>
    <mergeCell ref="A56:B56"/>
    <mergeCell ref="A57:B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CB9DB-A463-4D06-86A2-6BE2CAADB417}">
  <dimension ref="A1:AY68"/>
  <sheetViews>
    <sheetView topLeftCell="A2" zoomScale="47" zoomScaleNormal="85" workbookViewId="0">
      <selection activeCell="C63" sqref="C63"/>
    </sheetView>
  </sheetViews>
  <sheetFormatPr defaultRowHeight="14.5"/>
  <cols>
    <col min="2" max="2" width="10.36328125" customWidth="1"/>
    <col min="3" max="3" width="45.08984375" customWidth="1"/>
    <col min="4" max="4" width="23.6328125" style="11" customWidth="1"/>
    <col min="5" max="5" width="12" bestFit="1" customWidth="1"/>
    <col min="6" max="6" width="11.6328125" customWidth="1"/>
    <col min="7" max="7" width="13.90625" customWidth="1"/>
    <col min="8" max="8" width="11.6328125" bestFit="1" customWidth="1"/>
    <col min="9" max="9" width="14.08984375" customWidth="1"/>
    <col min="10" max="10" width="11" customWidth="1"/>
    <col min="11" max="11" width="10" customWidth="1"/>
    <col min="12" max="13" width="8.81640625" bestFit="1" customWidth="1"/>
    <col min="14" max="14" width="9.6328125" customWidth="1"/>
    <col min="15" max="15" width="8.81640625" bestFit="1" customWidth="1"/>
    <col min="16" max="16" width="13.36328125" customWidth="1"/>
    <col min="17" max="18" width="8.81640625" bestFit="1" customWidth="1"/>
    <col min="19" max="19" width="14.81640625" customWidth="1"/>
    <col min="20" max="20" width="13.1796875" customWidth="1"/>
    <col min="21" max="21" width="27.453125" customWidth="1"/>
    <col min="24" max="24" width="12.36328125" customWidth="1"/>
    <col min="28" max="28" width="31" customWidth="1"/>
    <col min="29" max="29" width="14.90625" customWidth="1"/>
    <col min="30" max="30" width="16.08984375" customWidth="1"/>
    <col min="31" max="31" width="16.54296875" customWidth="1"/>
    <col min="32" max="32" width="16.08984375" customWidth="1"/>
    <col min="33" max="33" width="15.54296875" customWidth="1"/>
    <col min="34" max="34" width="14.6328125" customWidth="1"/>
    <col min="35" max="35" width="15.36328125" customWidth="1"/>
    <col min="36" max="36" width="15" customWidth="1"/>
    <col min="37" max="37" width="14.26953125" customWidth="1"/>
    <col min="38" max="38" width="17.26953125" customWidth="1"/>
    <col min="40" max="40" width="32" customWidth="1"/>
    <col min="41" max="41" width="14.90625" customWidth="1"/>
    <col min="42" max="42" width="14.6328125" customWidth="1"/>
    <col min="43" max="43" width="16.453125" customWidth="1"/>
    <col min="44" max="44" width="18.90625" customWidth="1"/>
    <col min="45" max="45" width="18.54296875" customWidth="1"/>
    <col min="46" max="46" width="18.453125" customWidth="1"/>
    <col min="47" max="47" width="18.81640625" customWidth="1"/>
    <col min="48" max="49" width="18.26953125" customWidth="1"/>
    <col min="50" max="50" width="17.08984375" customWidth="1"/>
  </cols>
  <sheetData>
    <row r="1" spans="1:50">
      <c r="A1" s="591"/>
      <c r="B1" s="589"/>
      <c r="C1" s="587"/>
      <c r="D1" s="586"/>
      <c r="E1" s="586"/>
      <c r="F1" s="578"/>
      <c r="G1" s="5"/>
    </row>
    <row r="2" spans="1:50">
      <c r="A2" s="596"/>
      <c r="B2" s="598"/>
      <c r="C2" s="593"/>
      <c r="D2" s="593"/>
      <c r="E2" s="594"/>
      <c r="F2" s="579"/>
      <c r="G2" s="5"/>
    </row>
    <row r="3" spans="1:50">
      <c r="A3" s="595"/>
      <c r="B3" s="597"/>
      <c r="C3" s="588"/>
      <c r="D3" s="593"/>
      <c r="E3" s="588"/>
      <c r="F3" s="580"/>
      <c r="G3" s="5"/>
    </row>
    <row r="4" spans="1:50">
      <c r="A4" s="592"/>
      <c r="B4" s="590"/>
      <c r="C4" s="588"/>
      <c r="D4" s="593"/>
      <c r="E4" s="588"/>
      <c r="F4" s="581"/>
      <c r="G4" s="5"/>
    </row>
    <row r="5" spans="1:50">
      <c r="C5" s="583"/>
      <c r="D5" s="584"/>
      <c r="E5" s="585"/>
    </row>
    <row r="6" spans="1:50" ht="15" thickBot="1"/>
    <row r="7" spans="1:50">
      <c r="C7" s="12" t="s">
        <v>272</v>
      </c>
      <c r="D7" s="13">
        <f>12*(30 - 8) - 10</f>
        <v>254</v>
      </c>
      <c r="F7" s="12"/>
      <c r="G7" s="13"/>
    </row>
    <row r="8" spans="1:50">
      <c r="C8" s="14" t="s">
        <v>280</v>
      </c>
      <c r="D8" s="15"/>
      <c r="F8" s="14" t="s">
        <v>13</v>
      </c>
      <c r="G8" s="15"/>
    </row>
    <row r="9" spans="1:50">
      <c r="C9" s="14" t="s">
        <v>274</v>
      </c>
      <c r="D9" s="16">
        <v>0.06</v>
      </c>
      <c r="F9" s="14" t="s">
        <v>14</v>
      </c>
      <c r="G9" s="17">
        <f>5000*12</f>
        <v>60000</v>
      </c>
      <c r="I9" t="s">
        <v>336</v>
      </c>
      <c r="J9" s="233"/>
    </row>
    <row r="10" spans="1:50">
      <c r="C10" s="14" t="s">
        <v>384</v>
      </c>
      <c r="D10" s="16">
        <v>0.15</v>
      </c>
      <c r="F10" s="14" t="s">
        <v>15</v>
      </c>
      <c r="G10" s="17">
        <f>1000*12</f>
        <v>12000</v>
      </c>
      <c r="I10" t="s">
        <v>334</v>
      </c>
      <c r="J10" s="233">
        <v>0.11</v>
      </c>
    </row>
    <row r="11" spans="1:50">
      <c r="C11" s="14" t="s">
        <v>16</v>
      </c>
      <c r="D11" s="16">
        <v>0.03</v>
      </c>
      <c r="F11" s="14" t="s">
        <v>17</v>
      </c>
      <c r="G11" s="17">
        <f>100*12</f>
        <v>1200</v>
      </c>
      <c r="I11" t="s">
        <v>335</v>
      </c>
      <c r="J11" s="233">
        <v>0.1</v>
      </c>
    </row>
    <row r="12" spans="1:50">
      <c r="C12" s="14" t="s">
        <v>18</v>
      </c>
      <c r="D12" s="480">
        <v>0.35</v>
      </c>
      <c r="F12" s="14" t="s">
        <v>19</v>
      </c>
      <c r="G12" s="17">
        <f>1000*12</f>
        <v>12000</v>
      </c>
    </row>
    <row r="13" spans="1:50" ht="15" thickBot="1">
      <c r="C13" s="14" t="s">
        <v>404</v>
      </c>
      <c r="D13" s="503">
        <v>0.85</v>
      </c>
      <c r="F13" s="14" t="s">
        <v>20</v>
      </c>
      <c r="G13" s="17">
        <f>500*12</f>
        <v>6000</v>
      </c>
      <c r="I13" s="425" t="s">
        <v>376</v>
      </c>
      <c r="J13" s="426" t="s">
        <v>248</v>
      </c>
      <c r="K13" s="427"/>
      <c r="L13" s="427"/>
      <c r="M13" s="427"/>
      <c r="N13" s="427"/>
      <c r="O13" s="427"/>
      <c r="P13" s="427"/>
      <c r="Q13" s="427"/>
      <c r="R13" s="427"/>
      <c r="S13" s="427"/>
      <c r="U13" s="425" t="s">
        <v>411</v>
      </c>
      <c r="V13" s="426" t="s">
        <v>453</v>
      </c>
      <c r="X13" s="425" t="s">
        <v>385</v>
      </c>
      <c r="Y13" s="426" t="s">
        <v>18</v>
      </c>
      <c r="AB13" s="425" t="s">
        <v>398</v>
      </c>
      <c r="AC13" s="426" t="s">
        <v>300</v>
      </c>
      <c r="AD13" s="478" t="s">
        <v>305</v>
      </c>
      <c r="AE13" s="478" t="s">
        <v>303</v>
      </c>
      <c r="AF13" s="478" t="s">
        <v>375</v>
      </c>
      <c r="AG13" s="478" t="s">
        <v>308</v>
      </c>
      <c r="AH13" s="478" t="s">
        <v>307</v>
      </c>
      <c r="AI13" s="478" t="s">
        <v>306</v>
      </c>
      <c r="AJ13" s="478" t="s">
        <v>304</v>
      </c>
      <c r="AK13" s="478" t="s">
        <v>301</v>
      </c>
      <c r="AL13" s="478" t="s">
        <v>302</v>
      </c>
      <c r="AN13" s="425" t="s">
        <v>402</v>
      </c>
      <c r="AO13" s="426" t="s">
        <v>300</v>
      </c>
      <c r="AP13" s="478" t="s">
        <v>305</v>
      </c>
      <c r="AQ13" s="478" t="s">
        <v>303</v>
      </c>
      <c r="AR13" s="478" t="s">
        <v>375</v>
      </c>
      <c r="AS13" s="478" t="s">
        <v>308</v>
      </c>
      <c r="AT13" s="478" t="s">
        <v>307</v>
      </c>
      <c r="AU13" s="478" t="s">
        <v>306</v>
      </c>
      <c r="AV13" s="478" t="s">
        <v>304</v>
      </c>
      <c r="AW13" s="478" t="s">
        <v>301</v>
      </c>
      <c r="AX13" s="478" t="s">
        <v>302</v>
      </c>
    </row>
    <row r="14" spans="1:50" ht="15" thickTop="1">
      <c r="C14" s="14" t="s">
        <v>21</v>
      </c>
      <c r="D14" s="16">
        <v>0.15</v>
      </c>
      <c r="F14" s="14" t="s">
        <v>22</v>
      </c>
      <c r="G14" s="17">
        <f>500*12</f>
        <v>6000</v>
      </c>
      <c r="I14" s="422"/>
      <c r="J14" s="423">
        <v>1</v>
      </c>
      <c r="K14" s="424">
        <v>2</v>
      </c>
      <c r="L14" s="424">
        <v>3</v>
      </c>
      <c r="M14" s="424">
        <v>4</v>
      </c>
      <c r="N14" s="424">
        <v>5</v>
      </c>
      <c r="O14" s="424">
        <v>6</v>
      </c>
      <c r="P14" s="424">
        <v>7</v>
      </c>
      <c r="Q14" s="424">
        <v>8</v>
      </c>
      <c r="R14" s="424">
        <v>9</v>
      </c>
      <c r="S14" s="424">
        <v>10</v>
      </c>
      <c r="U14" s="422"/>
      <c r="V14" s="423"/>
      <c r="W14" s="75"/>
      <c r="X14" s="422"/>
      <c r="Y14" s="423"/>
      <c r="Z14" s="75"/>
      <c r="AA14" s="75"/>
      <c r="AB14" s="422"/>
      <c r="AC14" s="423"/>
      <c r="AD14" s="424"/>
      <c r="AE14" s="424"/>
      <c r="AF14" s="424"/>
      <c r="AG14" s="424"/>
      <c r="AH14" s="424"/>
      <c r="AI14" s="424"/>
      <c r="AJ14" s="424"/>
      <c r="AK14" s="424"/>
      <c r="AL14" s="424"/>
      <c r="AN14" s="422"/>
      <c r="AO14" s="423"/>
      <c r="AP14" s="424"/>
      <c r="AQ14" s="424"/>
      <c r="AR14" s="424"/>
      <c r="AS14" s="424"/>
      <c r="AT14" s="424"/>
      <c r="AU14" s="424"/>
      <c r="AV14" s="424"/>
      <c r="AW14" s="424"/>
      <c r="AX14" s="424"/>
    </row>
    <row r="15" spans="1:50">
      <c r="C15" s="14" t="s">
        <v>23</v>
      </c>
      <c r="D15" s="15">
        <v>10</v>
      </c>
      <c r="E15" t="s">
        <v>24</v>
      </c>
      <c r="F15" s="14" t="s">
        <v>25</v>
      </c>
      <c r="G15" s="17">
        <v>1000</v>
      </c>
      <c r="I15" s="404" t="s">
        <v>300</v>
      </c>
      <c r="J15" s="529">
        <v>4.5999999999999999E-2</v>
      </c>
      <c r="K15" s="530">
        <v>4.5999999999999999E-2</v>
      </c>
      <c r="L15" s="530">
        <v>4.5999999999999999E-2</v>
      </c>
      <c r="M15" s="530">
        <v>4.5999999999999999E-2</v>
      </c>
      <c r="N15" s="530">
        <v>4.5999999999999999E-2</v>
      </c>
      <c r="O15" s="530">
        <v>4.5999999999999999E-2</v>
      </c>
      <c r="P15" s="530">
        <v>4.5999999999999999E-2</v>
      </c>
      <c r="Q15" s="530">
        <v>4.5999999999999999E-2</v>
      </c>
      <c r="R15" s="530">
        <v>4.5999999999999999E-2</v>
      </c>
      <c r="S15" s="530">
        <v>4.5999999999999999E-2</v>
      </c>
      <c r="U15" s="404" t="s">
        <v>300</v>
      </c>
      <c r="V15" s="529">
        <v>0.15</v>
      </c>
      <c r="X15" s="404" t="s">
        <v>300</v>
      </c>
      <c r="Y15" s="529">
        <v>0.3</v>
      </c>
      <c r="AB15" s="408" t="s">
        <v>14</v>
      </c>
      <c r="AC15" s="533">
        <v>6000</v>
      </c>
      <c r="AD15" s="533">
        <v>0</v>
      </c>
      <c r="AE15" s="533">
        <v>0</v>
      </c>
      <c r="AF15" s="533">
        <v>0</v>
      </c>
      <c r="AG15" s="533">
        <v>0</v>
      </c>
      <c r="AH15" s="533">
        <v>0</v>
      </c>
      <c r="AI15" s="533">
        <v>0</v>
      </c>
      <c r="AJ15" s="533">
        <v>0</v>
      </c>
      <c r="AK15" s="533">
        <v>0</v>
      </c>
      <c r="AL15" s="533">
        <v>0</v>
      </c>
      <c r="AN15" s="408" t="s">
        <v>37</v>
      </c>
      <c r="AO15" s="533">
        <v>5000</v>
      </c>
      <c r="AP15" s="533">
        <v>5000</v>
      </c>
      <c r="AQ15" s="533">
        <v>5000</v>
      </c>
      <c r="AR15" s="533">
        <v>5000</v>
      </c>
      <c r="AS15" s="533">
        <v>5000</v>
      </c>
      <c r="AT15" s="533">
        <v>5000</v>
      </c>
      <c r="AU15" s="533">
        <v>5000</v>
      </c>
      <c r="AV15" s="533">
        <v>5000</v>
      </c>
      <c r="AW15" s="533">
        <v>5000</v>
      </c>
      <c r="AX15" s="533">
        <v>5000</v>
      </c>
    </row>
    <row r="16" spans="1:50">
      <c r="C16" s="14" t="s">
        <v>26</v>
      </c>
      <c r="D16" s="15">
        <v>10</v>
      </c>
      <c r="E16" t="s">
        <v>24</v>
      </c>
      <c r="F16" s="14" t="s">
        <v>27</v>
      </c>
      <c r="G16" s="17">
        <v>1000</v>
      </c>
      <c r="I16" s="404" t="s">
        <v>305</v>
      </c>
      <c r="J16" s="531">
        <v>0.02</v>
      </c>
      <c r="K16" s="532">
        <v>0.02</v>
      </c>
      <c r="L16" s="532">
        <v>0.02</v>
      </c>
      <c r="M16" s="532">
        <v>0.02</v>
      </c>
      <c r="N16" s="532">
        <v>0.02</v>
      </c>
      <c r="O16" s="532">
        <v>0.02</v>
      </c>
      <c r="P16" s="532">
        <v>0.02</v>
      </c>
      <c r="Q16" s="532">
        <v>0.02</v>
      </c>
      <c r="R16" s="532">
        <v>0.02</v>
      </c>
      <c r="S16" s="532">
        <v>0.02</v>
      </c>
      <c r="U16" s="404" t="s">
        <v>305</v>
      </c>
      <c r="V16" s="529">
        <v>0.12</v>
      </c>
      <c r="X16" s="404" t="s">
        <v>305</v>
      </c>
      <c r="Y16" s="529">
        <v>0.37</v>
      </c>
      <c r="AB16" s="408" t="s">
        <v>15</v>
      </c>
      <c r="AC16" s="533">
        <v>12000</v>
      </c>
      <c r="AD16" s="533">
        <v>0</v>
      </c>
      <c r="AE16" s="533">
        <v>0</v>
      </c>
      <c r="AF16" s="533">
        <v>0</v>
      </c>
      <c r="AG16" s="533">
        <v>0</v>
      </c>
      <c r="AH16" s="533">
        <v>0</v>
      </c>
      <c r="AI16" s="533">
        <v>0</v>
      </c>
      <c r="AJ16" s="533">
        <v>0</v>
      </c>
      <c r="AK16" s="533">
        <v>0</v>
      </c>
      <c r="AL16" s="533">
        <v>0</v>
      </c>
      <c r="AN16" s="408" t="s">
        <v>309</v>
      </c>
      <c r="AO16" s="533">
        <v>15000</v>
      </c>
      <c r="AP16" s="533">
        <v>15000</v>
      </c>
      <c r="AQ16" s="533">
        <v>15000</v>
      </c>
      <c r="AR16" s="533">
        <v>15000</v>
      </c>
      <c r="AS16" s="533">
        <v>15000</v>
      </c>
      <c r="AT16" s="533">
        <v>15000</v>
      </c>
      <c r="AU16" s="533">
        <v>15000</v>
      </c>
      <c r="AV16" s="533">
        <v>15000</v>
      </c>
      <c r="AW16" s="533">
        <v>15000</v>
      </c>
      <c r="AX16" s="533">
        <v>15000</v>
      </c>
    </row>
    <row r="17" spans="3:51">
      <c r="C17" s="14"/>
      <c r="D17" s="15"/>
      <c r="F17" s="14" t="s">
        <v>278</v>
      </c>
      <c r="G17" s="17">
        <f>500*12</f>
        <v>6000</v>
      </c>
      <c r="I17" s="404" t="s">
        <v>375</v>
      </c>
      <c r="J17" s="531">
        <v>0.04</v>
      </c>
      <c r="K17" s="532">
        <v>0.04</v>
      </c>
      <c r="L17" s="532">
        <v>0.04</v>
      </c>
      <c r="M17" s="532">
        <v>0.04</v>
      </c>
      <c r="N17" s="532">
        <v>0.04</v>
      </c>
      <c r="O17" s="532">
        <v>0.04</v>
      </c>
      <c r="P17" s="532">
        <v>0.04</v>
      </c>
      <c r="Q17" s="532">
        <v>0.04</v>
      </c>
      <c r="R17" s="532">
        <v>0.04</v>
      </c>
      <c r="S17" s="532">
        <v>0.04</v>
      </c>
      <c r="U17" s="404" t="s">
        <v>375</v>
      </c>
      <c r="V17" s="529">
        <v>0.14000000000000001</v>
      </c>
      <c r="X17" s="404" t="s">
        <v>375</v>
      </c>
      <c r="Y17" s="529">
        <v>0.33</v>
      </c>
      <c r="Z17" t="s">
        <v>386</v>
      </c>
      <c r="AB17" s="408" t="s">
        <v>17</v>
      </c>
      <c r="AC17" s="533">
        <v>1200</v>
      </c>
      <c r="AD17" s="533">
        <v>0</v>
      </c>
      <c r="AE17" s="533">
        <v>0</v>
      </c>
      <c r="AF17" s="533">
        <v>0</v>
      </c>
      <c r="AG17" s="533">
        <v>0</v>
      </c>
      <c r="AH17" s="533">
        <v>0</v>
      </c>
      <c r="AI17" s="533">
        <v>0</v>
      </c>
      <c r="AJ17" s="533">
        <v>0</v>
      </c>
      <c r="AK17" s="533">
        <v>0</v>
      </c>
      <c r="AL17" s="533">
        <v>0</v>
      </c>
      <c r="AN17" s="408" t="s">
        <v>40</v>
      </c>
      <c r="AO17" s="533">
        <v>1000</v>
      </c>
      <c r="AP17" s="533">
        <v>1000</v>
      </c>
      <c r="AQ17" s="533">
        <v>1000</v>
      </c>
      <c r="AR17" s="533">
        <v>1000</v>
      </c>
      <c r="AS17" s="533">
        <v>1000</v>
      </c>
      <c r="AT17" s="533">
        <v>1000</v>
      </c>
      <c r="AU17" s="533">
        <v>1000</v>
      </c>
      <c r="AV17" s="533">
        <v>1000</v>
      </c>
      <c r="AW17" s="533">
        <v>1000</v>
      </c>
      <c r="AX17" s="533">
        <v>1000</v>
      </c>
    </row>
    <row r="18" spans="3:51">
      <c r="C18" s="14" t="s">
        <v>28</v>
      </c>
      <c r="D18" s="15"/>
      <c r="F18" s="14" t="s">
        <v>29</v>
      </c>
      <c r="G18" s="17">
        <f>G28*G29*G30</f>
        <v>31200</v>
      </c>
      <c r="I18" s="404" t="s">
        <v>308</v>
      </c>
      <c r="J18" s="529">
        <v>3.2000000000000001E-2</v>
      </c>
      <c r="K18" s="530">
        <v>3.2000000000000001E-2</v>
      </c>
      <c r="L18" s="530">
        <v>3.2000000000000001E-2</v>
      </c>
      <c r="M18" s="530">
        <v>3.2000000000000001E-2</v>
      </c>
      <c r="N18" s="530">
        <v>3.2000000000000001E-2</v>
      </c>
      <c r="O18" s="530">
        <v>3.2000000000000001E-2</v>
      </c>
      <c r="P18" s="530">
        <v>3.2000000000000001E-2</v>
      </c>
      <c r="Q18" s="530">
        <v>3.2000000000000001E-2</v>
      </c>
      <c r="R18" s="530">
        <v>3.2000000000000001E-2</v>
      </c>
      <c r="S18" s="530">
        <v>3.2000000000000001E-2</v>
      </c>
      <c r="U18" s="404" t="s">
        <v>308</v>
      </c>
      <c r="V18" s="529">
        <v>0.12</v>
      </c>
      <c r="X18" s="404" t="s">
        <v>308</v>
      </c>
      <c r="Y18" s="529">
        <v>0.26</v>
      </c>
      <c r="Z18" t="s">
        <v>386</v>
      </c>
      <c r="AB18" s="408" t="s">
        <v>449</v>
      </c>
      <c r="AC18" s="533">
        <v>12</v>
      </c>
      <c r="AD18" s="533">
        <v>100</v>
      </c>
      <c r="AE18" s="533">
        <v>100</v>
      </c>
      <c r="AF18" s="533">
        <v>85</v>
      </c>
      <c r="AG18" s="533">
        <v>100</v>
      </c>
      <c r="AH18" s="533">
        <v>110</v>
      </c>
      <c r="AI18" s="533">
        <v>110</v>
      </c>
      <c r="AJ18" s="533">
        <v>75</v>
      </c>
      <c r="AK18" s="533">
        <v>45</v>
      </c>
      <c r="AL18" s="533">
        <v>45</v>
      </c>
      <c r="AN18" s="408" t="s">
        <v>41</v>
      </c>
      <c r="AO18" s="533">
        <v>5000</v>
      </c>
      <c r="AP18" s="533">
        <v>5000</v>
      </c>
      <c r="AQ18" s="533">
        <v>5000</v>
      </c>
      <c r="AR18" s="533">
        <v>5000</v>
      </c>
      <c r="AS18" s="533">
        <v>5000</v>
      </c>
      <c r="AT18" s="533">
        <v>5000</v>
      </c>
      <c r="AU18" s="533">
        <v>5000</v>
      </c>
      <c r="AV18" s="533">
        <v>5000</v>
      </c>
      <c r="AW18" s="533">
        <v>5000</v>
      </c>
      <c r="AX18" s="533">
        <v>5000</v>
      </c>
    </row>
    <row r="19" spans="3:51">
      <c r="C19" s="14" t="s">
        <v>30</v>
      </c>
      <c r="D19" s="17">
        <v>120000</v>
      </c>
      <c r="F19" s="14" t="s">
        <v>279</v>
      </c>
      <c r="G19" s="17">
        <v>120000</v>
      </c>
      <c r="I19" s="404" t="s">
        <v>303</v>
      </c>
      <c r="J19" s="529">
        <v>3.15E-2</v>
      </c>
      <c r="K19" s="530">
        <v>3.15E-2</v>
      </c>
      <c r="L19" s="530">
        <v>3.15E-2</v>
      </c>
      <c r="M19" s="530">
        <v>3.15E-2</v>
      </c>
      <c r="N19" s="530">
        <v>3.15E-2</v>
      </c>
      <c r="O19" s="530">
        <v>3.15E-2</v>
      </c>
      <c r="P19" s="530">
        <v>3.15E-2</v>
      </c>
      <c r="Q19" s="530">
        <v>3.15E-2</v>
      </c>
      <c r="R19" s="530">
        <v>3.15E-2</v>
      </c>
      <c r="S19" s="530">
        <v>3.15E-2</v>
      </c>
      <c r="U19" s="404" t="s">
        <v>303</v>
      </c>
      <c r="V19" s="529">
        <v>0.13</v>
      </c>
      <c r="X19" s="404" t="s">
        <v>303</v>
      </c>
      <c r="Y19" s="529">
        <v>0.19</v>
      </c>
      <c r="AB19" s="408" t="s">
        <v>448</v>
      </c>
      <c r="AC19" s="539">
        <v>0.22</v>
      </c>
      <c r="AD19" s="539">
        <v>0.22</v>
      </c>
      <c r="AE19" s="539">
        <v>0.22</v>
      </c>
      <c r="AF19" s="539">
        <v>0.22</v>
      </c>
      <c r="AG19" s="539">
        <v>0.22</v>
      </c>
      <c r="AH19" s="539">
        <v>0.22</v>
      </c>
      <c r="AI19" s="539">
        <v>0.22</v>
      </c>
      <c r="AJ19" s="539">
        <v>0.22</v>
      </c>
      <c r="AK19" s="539">
        <v>0.22</v>
      </c>
      <c r="AL19" s="539">
        <v>0.22</v>
      </c>
      <c r="AN19" s="408" t="s">
        <v>43</v>
      </c>
      <c r="AO19" s="533">
        <v>1000</v>
      </c>
      <c r="AP19" s="533">
        <v>1000</v>
      </c>
      <c r="AQ19" s="533">
        <v>1000</v>
      </c>
      <c r="AR19" s="533">
        <v>1000</v>
      </c>
      <c r="AS19" s="533">
        <v>1000</v>
      </c>
      <c r="AT19" s="533">
        <v>1000</v>
      </c>
      <c r="AU19" s="533">
        <v>1000</v>
      </c>
      <c r="AV19" s="533">
        <v>1000</v>
      </c>
      <c r="AW19" s="533">
        <v>1000</v>
      </c>
      <c r="AX19" s="533">
        <v>1000</v>
      </c>
    </row>
    <row r="20" spans="3:51">
      <c r="C20" s="14" t="s">
        <v>275</v>
      </c>
      <c r="D20" s="17">
        <v>75000</v>
      </c>
      <c r="F20" s="14" t="s">
        <v>31</v>
      </c>
      <c r="G20" s="17">
        <f>100*12</f>
        <v>1200</v>
      </c>
      <c r="I20" s="404" t="s">
        <v>307</v>
      </c>
      <c r="J20" s="531">
        <v>0.1</v>
      </c>
      <c r="K20" s="532">
        <v>0.1</v>
      </c>
      <c r="L20" s="532">
        <v>0.1</v>
      </c>
      <c r="M20" s="532">
        <v>0.1</v>
      </c>
      <c r="N20" s="532">
        <v>0.1</v>
      </c>
      <c r="O20" s="532">
        <v>0.1</v>
      </c>
      <c r="P20" s="532">
        <v>0.1</v>
      </c>
      <c r="Q20" s="532">
        <v>0.1</v>
      </c>
      <c r="R20" s="532">
        <v>0.1</v>
      </c>
      <c r="S20" s="532">
        <v>0.1</v>
      </c>
      <c r="U20" s="404" t="s">
        <v>307</v>
      </c>
      <c r="V20" s="529">
        <v>0.11</v>
      </c>
      <c r="X20" s="404" t="s">
        <v>307</v>
      </c>
      <c r="Y20" s="529">
        <v>0.2838</v>
      </c>
      <c r="AB20" s="408" t="s">
        <v>22</v>
      </c>
      <c r="AC20" s="533">
        <v>6000</v>
      </c>
      <c r="AD20" s="533">
        <v>0</v>
      </c>
      <c r="AE20" s="533">
        <v>0</v>
      </c>
      <c r="AF20" s="533">
        <v>0</v>
      </c>
      <c r="AG20" s="533">
        <v>0</v>
      </c>
      <c r="AH20" s="533">
        <v>0</v>
      </c>
      <c r="AI20" s="533">
        <v>0</v>
      </c>
      <c r="AJ20" s="533">
        <v>0</v>
      </c>
      <c r="AK20" s="533">
        <v>0</v>
      </c>
      <c r="AL20" s="533">
        <v>0</v>
      </c>
      <c r="AN20" s="408" t="s">
        <v>45</v>
      </c>
      <c r="AO20" s="533">
        <v>3000</v>
      </c>
      <c r="AP20" s="533">
        <v>3000</v>
      </c>
      <c r="AQ20" s="533">
        <v>3000</v>
      </c>
      <c r="AR20" s="533">
        <v>3000</v>
      </c>
      <c r="AS20" s="533">
        <v>3000</v>
      </c>
      <c r="AT20" s="533">
        <v>3000</v>
      </c>
      <c r="AU20" s="533">
        <v>3000</v>
      </c>
      <c r="AV20" s="533">
        <v>3000</v>
      </c>
      <c r="AW20" s="533">
        <v>3000</v>
      </c>
      <c r="AX20" s="533">
        <v>3000</v>
      </c>
    </row>
    <row r="21" spans="3:51">
      <c r="C21" s="14" t="s">
        <v>32</v>
      </c>
      <c r="D21" s="17">
        <v>5000</v>
      </c>
      <c r="F21" s="14" t="s">
        <v>33</v>
      </c>
      <c r="G21" s="17">
        <v>1000</v>
      </c>
      <c r="I21" s="404" t="s">
        <v>301</v>
      </c>
      <c r="J21" s="529">
        <v>2.3E-2</v>
      </c>
      <c r="K21" s="530">
        <v>2.3E-2</v>
      </c>
      <c r="L21" s="530">
        <v>2.3E-2</v>
      </c>
      <c r="M21" s="530">
        <v>2.3E-2</v>
      </c>
      <c r="N21" s="530">
        <v>2.3E-2</v>
      </c>
      <c r="O21" s="530">
        <v>2.3E-2</v>
      </c>
      <c r="P21" s="530">
        <v>2.3E-2</v>
      </c>
      <c r="Q21" s="530">
        <v>2.3E-2</v>
      </c>
      <c r="R21" s="530">
        <v>2.3E-2</v>
      </c>
      <c r="S21" s="530">
        <v>2.3E-2</v>
      </c>
      <c r="U21" s="404" t="s">
        <v>301</v>
      </c>
      <c r="V21" s="529">
        <v>0.13</v>
      </c>
      <c r="X21" s="404" t="s">
        <v>301</v>
      </c>
      <c r="Y21" s="529">
        <v>0.15</v>
      </c>
      <c r="AB21" s="408" t="s">
        <v>25</v>
      </c>
      <c r="AC21" s="533">
        <v>1000</v>
      </c>
      <c r="AD21" s="533">
        <v>1000</v>
      </c>
      <c r="AE21" s="533">
        <v>1000</v>
      </c>
      <c r="AF21" s="533">
        <v>1000</v>
      </c>
      <c r="AG21" s="533">
        <v>1000</v>
      </c>
      <c r="AH21" s="533">
        <v>1000</v>
      </c>
      <c r="AI21" s="533">
        <v>1000</v>
      </c>
      <c r="AJ21" s="533">
        <v>1000</v>
      </c>
      <c r="AK21" s="533">
        <v>1000</v>
      </c>
      <c r="AL21" s="533">
        <v>1000</v>
      </c>
      <c r="AN21" s="408" t="s">
        <v>35</v>
      </c>
      <c r="AO21" s="533">
        <v>5000</v>
      </c>
      <c r="AP21" s="533">
        <v>5000</v>
      </c>
      <c r="AQ21" s="533">
        <v>5000</v>
      </c>
      <c r="AR21" s="533">
        <v>5000</v>
      </c>
      <c r="AS21" s="533">
        <v>5000</v>
      </c>
      <c r="AT21" s="533">
        <v>5000</v>
      </c>
      <c r="AU21" s="533">
        <v>5000</v>
      </c>
      <c r="AV21" s="533">
        <v>5000</v>
      </c>
      <c r="AW21" s="533">
        <v>5000</v>
      </c>
      <c r="AX21" s="533">
        <v>5000</v>
      </c>
    </row>
    <row r="22" spans="3:51">
      <c r="C22" s="14" t="s">
        <v>34</v>
      </c>
      <c r="D22" s="17">
        <v>5000</v>
      </c>
      <c r="F22" s="14" t="s">
        <v>35</v>
      </c>
      <c r="G22" s="17">
        <v>5000</v>
      </c>
      <c r="I22" s="404" t="s">
        <v>302</v>
      </c>
      <c r="J22" s="529">
        <v>2.1000000000000001E-2</v>
      </c>
      <c r="K22" s="530">
        <v>2.1000000000000001E-2</v>
      </c>
      <c r="L22" s="530">
        <v>2.1000000000000001E-2</v>
      </c>
      <c r="M22" s="530">
        <v>2.1000000000000001E-2</v>
      </c>
      <c r="N22" s="530">
        <v>2.1000000000000001E-2</v>
      </c>
      <c r="O22" s="530">
        <v>2.1000000000000001E-2</v>
      </c>
      <c r="P22" s="530">
        <v>2.1000000000000001E-2</v>
      </c>
      <c r="Q22" s="530">
        <v>2.1000000000000001E-2</v>
      </c>
      <c r="R22" s="530">
        <v>2.1000000000000001E-2</v>
      </c>
      <c r="S22" s="530">
        <v>2.1000000000000001E-2</v>
      </c>
      <c r="U22" s="404" t="s">
        <v>302</v>
      </c>
      <c r="V22" s="529">
        <v>0.15</v>
      </c>
      <c r="X22" s="404" t="s">
        <v>302</v>
      </c>
      <c r="Y22" s="529">
        <v>0.23</v>
      </c>
      <c r="AB22" s="408" t="s">
        <v>27</v>
      </c>
      <c r="AC22" s="533">
        <v>1000</v>
      </c>
      <c r="AD22" s="533">
        <v>1000</v>
      </c>
      <c r="AE22" s="533">
        <v>1000</v>
      </c>
      <c r="AF22" s="533">
        <v>1000</v>
      </c>
      <c r="AG22" s="533">
        <v>1000</v>
      </c>
      <c r="AH22" s="533">
        <v>1000</v>
      </c>
      <c r="AI22" s="533">
        <v>1000</v>
      </c>
      <c r="AJ22" s="533">
        <v>1000</v>
      </c>
      <c r="AK22" s="533">
        <v>1000</v>
      </c>
      <c r="AL22" s="533">
        <v>1000</v>
      </c>
      <c r="AN22" s="408" t="s">
        <v>38</v>
      </c>
      <c r="AO22" s="533">
        <v>5000</v>
      </c>
      <c r="AP22" s="533">
        <v>5000</v>
      </c>
      <c r="AQ22" s="533">
        <v>5000</v>
      </c>
      <c r="AR22" s="533">
        <v>5000</v>
      </c>
      <c r="AS22" s="533">
        <v>5000</v>
      </c>
      <c r="AT22" s="533">
        <v>5000</v>
      </c>
      <c r="AU22" s="533">
        <v>5000</v>
      </c>
      <c r="AV22" s="533">
        <v>5000</v>
      </c>
      <c r="AW22" s="533">
        <v>5000</v>
      </c>
      <c r="AX22" s="533">
        <v>5000</v>
      </c>
    </row>
    <row r="23" spans="3:51">
      <c r="C23" s="14" t="s">
        <v>276</v>
      </c>
      <c r="D23" s="17">
        <v>5000</v>
      </c>
      <c r="F23" s="14"/>
      <c r="G23" s="15"/>
      <c r="I23" s="404" t="s">
        <v>304</v>
      </c>
      <c r="J23" s="531">
        <v>0.05</v>
      </c>
      <c r="K23" s="532">
        <v>0.05</v>
      </c>
      <c r="L23" s="532">
        <v>0.05</v>
      </c>
      <c r="M23" s="532">
        <v>0.05</v>
      </c>
      <c r="N23" s="532">
        <v>0.05</v>
      </c>
      <c r="O23" s="532">
        <v>0.05</v>
      </c>
      <c r="P23" s="532">
        <v>0.05</v>
      </c>
      <c r="Q23" s="532">
        <v>0.05</v>
      </c>
      <c r="R23" s="532">
        <v>0.05</v>
      </c>
      <c r="S23" s="532">
        <v>0.05</v>
      </c>
      <c r="U23" s="404" t="s">
        <v>304</v>
      </c>
      <c r="V23" s="529">
        <v>0.1</v>
      </c>
      <c r="X23" s="404" t="s">
        <v>304</v>
      </c>
      <c r="Y23" s="529">
        <v>0.27</v>
      </c>
      <c r="AB23" s="408" t="s">
        <v>451</v>
      </c>
      <c r="AC23" s="533">
        <v>600</v>
      </c>
      <c r="AD23" s="533">
        <v>600</v>
      </c>
      <c r="AE23" s="533">
        <v>6000</v>
      </c>
      <c r="AF23" s="533">
        <v>6000</v>
      </c>
      <c r="AG23" s="533">
        <v>6000</v>
      </c>
      <c r="AH23" s="533">
        <v>6000</v>
      </c>
      <c r="AI23" s="533">
        <v>6000</v>
      </c>
      <c r="AJ23" s="533">
        <v>6000</v>
      </c>
      <c r="AK23" s="533">
        <v>6000</v>
      </c>
      <c r="AL23" s="533">
        <v>6000</v>
      </c>
      <c r="AN23" s="408" t="s">
        <v>39</v>
      </c>
      <c r="AO23" s="533">
        <v>500</v>
      </c>
      <c r="AP23" s="533">
        <v>500</v>
      </c>
      <c r="AQ23" s="533">
        <v>500</v>
      </c>
      <c r="AR23" s="533">
        <v>500</v>
      </c>
      <c r="AS23" s="533">
        <v>500</v>
      </c>
      <c r="AT23" s="533">
        <v>500</v>
      </c>
      <c r="AU23" s="533">
        <v>500</v>
      </c>
      <c r="AV23" s="533">
        <v>500</v>
      </c>
      <c r="AW23" s="533">
        <v>500</v>
      </c>
      <c r="AX23" s="533">
        <v>500</v>
      </c>
    </row>
    <row r="24" spans="3:51" ht="15.5">
      <c r="C24" s="14"/>
      <c r="D24" s="17"/>
      <c r="F24" s="18" t="s">
        <v>36</v>
      </c>
      <c r="G24" s="15"/>
      <c r="I24" s="404" t="s">
        <v>306</v>
      </c>
      <c r="J24" s="529">
        <v>4.4999999999999998E-2</v>
      </c>
      <c r="K24" s="530">
        <v>4.4999999999999998E-2</v>
      </c>
      <c r="L24" s="530">
        <v>4.4999999999999998E-2</v>
      </c>
      <c r="M24" s="530">
        <v>4.4999999999999998E-2</v>
      </c>
      <c r="N24" s="530">
        <v>4.4999999999999998E-2</v>
      </c>
      <c r="O24" s="530">
        <v>4.4999999999999998E-2</v>
      </c>
      <c r="P24" s="530">
        <v>4.4999999999999998E-2</v>
      </c>
      <c r="Q24" s="530">
        <v>4.4999999999999998E-2</v>
      </c>
      <c r="R24" s="530">
        <v>4.4999999999999998E-2</v>
      </c>
      <c r="S24" s="530">
        <v>4.4999999999999998E-2</v>
      </c>
      <c r="U24" s="404" t="s">
        <v>306</v>
      </c>
      <c r="V24" s="529">
        <v>0.17</v>
      </c>
      <c r="X24" s="404" t="s">
        <v>306</v>
      </c>
      <c r="Y24" s="529">
        <v>0.3</v>
      </c>
      <c r="AB24" s="540" t="s">
        <v>450</v>
      </c>
      <c r="AC24" s="541">
        <v>5</v>
      </c>
      <c r="AD24" s="541">
        <v>5</v>
      </c>
      <c r="AE24" s="541">
        <v>5</v>
      </c>
      <c r="AF24" s="541">
        <v>5</v>
      </c>
      <c r="AG24" s="541">
        <v>5</v>
      </c>
      <c r="AH24" s="541">
        <v>5</v>
      </c>
      <c r="AI24" s="541">
        <v>5</v>
      </c>
      <c r="AJ24" s="541">
        <v>5</v>
      </c>
      <c r="AK24" s="541">
        <v>5</v>
      </c>
      <c r="AL24" s="541">
        <v>5</v>
      </c>
      <c r="AM24" s="482"/>
      <c r="AN24" s="483"/>
      <c r="AO24" s="481"/>
      <c r="AP24" s="481"/>
      <c r="AQ24" s="481"/>
      <c r="AR24" s="481"/>
      <c r="AS24" s="481"/>
      <c r="AT24" s="481"/>
      <c r="AU24" s="481"/>
      <c r="AV24" s="481"/>
      <c r="AW24" s="481"/>
      <c r="AX24" s="481"/>
    </row>
    <row r="25" spans="3:51">
      <c r="C25" s="14" t="s">
        <v>37</v>
      </c>
      <c r="D25" s="17">
        <v>5000</v>
      </c>
      <c r="F25" s="14" t="s">
        <v>38</v>
      </c>
      <c r="G25" s="17">
        <v>5000</v>
      </c>
      <c r="U25" s="467"/>
      <c r="AB25" s="408" t="s">
        <v>29</v>
      </c>
      <c r="AC25" s="533">
        <v>31200</v>
      </c>
      <c r="AD25" s="533">
        <v>0</v>
      </c>
      <c r="AE25" s="533">
        <v>0</v>
      </c>
      <c r="AF25" s="533">
        <v>0</v>
      </c>
      <c r="AG25" s="533">
        <v>0</v>
      </c>
      <c r="AH25" s="533">
        <v>0</v>
      </c>
      <c r="AI25" s="533">
        <v>0</v>
      </c>
      <c r="AJ25" s="533">
        <v>0</v>
      </c>
      <c r="AK25" s="533">
        <v>0</v>
      </c>
      <c r="AL25" s="533">
        <v>0</v>
      </c>
      <c r="AM25" s="482"/>
      <c r="AN25" s="467"/>
      <c r="AO25" s="465"/>
      <c r="AP25" s="465"/>
      <c r="AQ25" s="465"/>
      <c r="AR25" s="465"/>
      <c r="AS25" s="465"/>
      <c r="AT25" s="465"/>
      <c r="AU25" s="465"/>
      <c r="AV25" s="465"/>
      <c r="AW25" s="465"/>
      <c r="AX25" s="465"/>
      <c r="AY25" s="467"/>
    </row>
    <row r="26" spans="3:51">
      <c r="C26" s="14" t="s">
        <v>277</v>
      </c>
      <c r="D26" s="17">
        <f>G9/12*3</f>
        <v>15000</v>
      </c>
      <c r="F26" s="19" t="s">
        <v>39</v>
      </c>
      <c r="G26" s="20">
        <v>500</v>
      </c>
      <c r="AB26" s="138" t="s">
        <v>279</v>
      </c>
      <c r="AC26" s="534">
        <v>120000</v>
      </c>
      <c r="AD26" s="533">
        <v>0</v>
      </c>
      <c r="AE26" s="533">
        <v>0</v>
      </c>
      <c r="AF26" s="533">
        <v>0</v>
      </c>
      <c r="AG26" s="533">
        <v>0</v>
      </c>
      <c r="AH26" s="533">
        <v>0</v>
      </c>
      <c r="AI26" s="533">
        <v>0</v>
      </c>
      <c r="AJ26" s="533">
        <v>0</v>
      </c>
      <c r="AK26" s="533">
        <v>0</v>
      </c>
      <c r="AL26" s="533">
        <v>0</v>
      </c>
      <c r="AN26" s="467"/>
      <c r="AO26" s="465"/>
      <c r="AP26" s="465"/>
      <c r="AQ26" s="465"/>
      <c r="AR26" s="465"/>
      <c r="AS26" s="465"/>
      <c r="AT26" s="465"/>
      <c r="AU26" s="465"/>
      <c r="AV26" s="465"/>
      <c r="AW26" s="465"/>
      <c r="AX26" s="465"/>
    </row>
    <row r="27" spans="3:51">
      <c r="C27" s="14" t="s">
        <v>40</v>
      </c>
      <c r="D27" s="17">
        <v>1000</v>
      </c>
      <c r="F27" s="340" t="s">
        <v>338</v>
      </c>
      <c r="G27" s="341">
        <v>75</v>
      </c>
      <c r="AB27" s="138" t="s">
        <v>31</v>
      </c>
      <c r="AC27" s="534">
        <v>1200</v>
      </c>
      <c r="AD27" s="533">
        <v>1200</v>
      </c>
      <c r="AE27" s="533">
        <v>1200</v>
      </c>
      <c r="AF27" s="533">
        <v>1200</v>
      </c>
      <c r="AG27" s="533">
        <v>1200</v>
      </c>
      <c r="AH27" s="533">
        <v>1200</v>
      </c>
      <c r="AI27" s="533">
        <v>1200</v>
      </c>
      <c r="AJ27" s="533">
        <v>1200</v>
      </c>
      <c r="AK27" s="533">
        <v>1200</v>
      </c>
      <c r="AL27" s="533">
        <v>1200</v>
      </c>
      <c r="AN27" s="467"/>
      <c r="AO27" s="465"/>
      <c r="AP27" s="465"/>
      <c r="AQ27" s="465"/>
      <c r="AR27" s="465"/>
      <c r="AS27" s="465"/>
      <c r="AT27" s="465"/>
      <c r="AU27" s="465"/>
      <c r="AV27" s="465"/>
      <c r="AW27" s="465"/>
      <c r="AX27" s="465"/>
      <c r="AY27" s="467"/>
    </row>
    <row r="28" spans="3:51">
      <c r="C28" s="19" t="s">
        <v>41</v>
      </c>
      <c r="D28" s="17">
        <v>5000</v>
      </c>
      <c r="F28" s="14" t="s">
        <v>42</v>
      </c>
      <c r="G28" s="22">
        <v>15</v>
      </c>
      <c r="AB28" s="138" t="s">
        <v>33</v>
      </c>
      <c r="AC28" s="534">
        <v>1000</v>
      </c>
      <c r="AD28" s="533">
        <v>1000</v>
      </c>
      <c r="AE28" s="533">
        <v>1000</v>
      </c>
      <c r="AF28" s="533">
        <v>1000</v>
      </c>
      <c r="AG28" s="533">
        <v>1000</v>
      </c>
      <c r="AH28" s="533">
        <v>1000</v>
      </c>
      <c r="AI28" s="533">
        <v>1000</v>
      </c>
      <c r="AJ28" s="533">
        <v>1000</v>
      </c>
      <c r="AK28" s="533">
        <v>1000</v>
      </c>
      <c r="AL28" s="533">
        <v>1000</v>
      </c>
      <c r="AN28" s="467"/>
      <c r="AO28" s="465"/>
      <c r="AP28" s="465"/>
      <c r="AQ28" s="465"/>
      <c r="AR28" s="465"/>
      <c r="AS28" s="465"/>
      <c r="AT28" s="465"/>
      <c r="AU28" s="465"/>
      <c r="AV28" s="465"/>
      <c r="AW28" s="465"/>
      <c r="AX28" s="465"/>
      <c r="AY28" s="467"/>
    </row>
    <row r="29" spans="3:51">
      <c r="C29" s="473" t="s">
        <v>43</v>
      </c>
      <c r="D29" s="17">
        <v>1000</v>
      </c>
      <c r="F29" s="14" t="s">
        <v>44</v>
      </c>
      <c r="G29" s="21">
        <v>40</v>
      </c>
      <c r="AB29" s="138" t="s">
        <v>35</v>
      </c>
      <c r="AC29" s="534">
        <v>5000</v>
      </c>
      <c r="AD29" s="533">
        <v>5000</v>
      </c>
      <c r="AE29" s="533">
        <v>5000</v>
      </c>
      <c r="AF29" s="533">
        <v>5000</v>
      </c>
      <c r="AG29" s="533">
        <v>5000</v>
      </c>
      <c r="AH29" s="533">
        <v>5000</v>
      </c>
      <c r="AI29" s="533">
        <v>5000</v>
      </c>
      <c r="AJ29" s="533">
        <v>5000</v>
      </c>
      <c r="AK29" s="533">
        <v>5000</v>
      </c>
      <c r="AL29" s="533">
        <v>5000</v>
      </c>
      <c r="AN29" s="467"/>
      <c r="AO29" s="467"/>
      <c r="AP29" s="467"/>
      <c r="AQ29" s="467"/>
    </row>
    <row r="30" spans="3:51">
      <c r="C30" s="473" t="s">
        <v>45</v>
      </c>
      <c r="D30" s="17">
        <v>3000</v>
      </c>
      <c r="F30" s="14" t="s">
        <v>46</v>
      </c>
      <c r="G30" s="21">
        <v>52</v>
      </c>
    </row>
    <row r="31" spans="3:51">
      <c r="C31" s="473" t="s">
        <v>35</v>
      </c>
      <c r="D31" s="472">
        <v>5000</v>
      </c>
      <c r="F31" s="352" t="s">
        <v>337</v>
      </c>
      <c r="G31" s="352">
        <v>50</v>
      </c>
    </row>
    <row r="32" spans="3:51" ht="14" customHeight="1">
      <c r="C32" s="474" t="s">
        <v>397</v>
      </c>
      <c r="D32" s="475">
        <v>95.42</v>
      </c>
      <c r="E32" s="354"/>
      <c r="F32" s="353" t="s">
        <v>340</v>
      </c>
      <c r="G32" s="351">
        <v>55</v>
      </c>
    </row>
    <row r="33" spans="3:23" ht="15" hidden="1" thickBot="1">
      <c r="C33" s="470" t="s">
        <v>281</v>
      </c>
      <c r="D33" s="471" t="s">
        <v>47</v>
      </c>
      <c r="E33" s="350" t="s">
        <v>48</v>
      </c>
      <c r="F33" s="350" t="s">
        <v>49</v>
      </c>
      <c r="G33" s="350" t="s">
        <v>50</v>
      </c>
      <c r="H33" s="26" t="s">
        <v>51</v>
      </c>
      <c r="I33" s="27" t="s">
        <v>52</v>
      </c>
    </row>
    <row r="34" spans="3:23" hidden="1">
      <c r="C34" s="28" t="s">
        <v>53</v>
      </c>
      <c r="D34" s="29">
        <v>1</v>
      </c>
      <c r="E34" s="30">
        <v>120</v>
      </c>
      <c r="F34" s="30">
        <f t="shared" ref="F34:F39" si="0">2/3*E34</f>
        <v>80</v>
      </c>
      <c r="G34" s="31">
        <v>0.8</v>
      </c>
      <c r="H34" s="31">
        <f t="shared" ref="H34:H39" si="1">1-G34</f>
        <v>0.19999999999999996</v>
      </c>
      <c r="I34" s="32">
        <f t="shared" ref="I34:I39" si="2">SUMPRODUCT(E34:F34,G34:H34)</f>
        <v>112</v>
      </c>
    </row>
    <row r="35" spans="3:23" hidden="1">
      <c r="C35" s="14" t="s">
        <v>54</v>
      </c>
      <c r="D35" s="33">
        <v>0.2</v>
      </c>
      <c r="E35" s="34">
        <v>200</v>
      </c>
      <c r="F35" s="34">
        <f t="shared" si="0"/>
        <v>133.33333333333331</v>
      </c>
      <c r="G35" s="35">
        <v>0.8</v>
      </c>
      <c r="H35" s="35">
        <f t="shared" si="1"/>
        <v>0.19999999999999996</v>
      </c>
      <c r="I35" s="36">
        <f t="shared" si="2"/>
        <v>186.66666666666666</v>
      </c>
    </row>
    <row r="36" spans="3:23" hidden="1">
      <c r="C36" s="14" t="s">
        <v>55</v>
      </c>
      <c r="D36" s="33">
        <v>0.2</v>
      </c>
      <c r="E36" s="34">
        <v>200</v>
      </c>
      <c r="F36" s="34">
        <f t="shared" si="0"/>
        <v>133.33333333333331</v>
      </c>
      <c r="G36" s="35">
        <v>0.8</v>
      </c>
      <c r="H36" s="35">
        <f t="shared" si="1"/>
        <v>0.19999999999999996</v>
      </c>
      <c r="I36" s="36">
        <f t="shared" si="2"/>
        <v>186.66666666666666</v>
      </c>
    </row>
    <row r="37" spans="3:23" hidden="1">
      <c r="C37" s="14" t="s">
        <v>56</v>
      </c>
      <c r="D37" s="33">
        <v>0.1</v>
      </c>
      <c r="E37" s="34">
        <v>300</v>
      </c>
      <c r="F37" s="34">
        <f t="shared" si="0"/>
        <v>200</v>
      </c>
      <c r="G37" s="35">
        <v>0.8</v>
      </c>
      <c r="H37" s="35">
        <f t="shared" si="1"/>
        <v>0.19999999999999996</v>
      </c>
      <c r="I37" s="36">
        <f t="shared" si="2"/>
        <v>280</v>
      </c>
    </row>
    <row r="38" spans="3:23" ht="11.5" hidden="1">
      <c r="C38" s="14" t="s">
        <v>57</v>
      </c>
      <c r="D38" s="33">
        <v>0.3</v>
      </c>
      <c r="E38" s="34">
        <v>120</v>
      </c>
      <c r="F38" s="34">
        <f t="shared" si="0"/>
        <v>80</v>
      </c>
      <c r="G38" s="35">
        <v>0.8</v>
      </c>
      <c r="H38" s="35">
        <f t="shared" si="1"/>
        <v>0.19999999999999996</v>
      </c>
      <c r="I38" s="36">
        <f t="shared" si="2"/>
        <v>112</v>
      </c>
    </row>
    <row r="39" spans="3:23" ht="15" hidden="1">
      <c r="C39" s="19" t="s">
        <v>58</v>
      </c>
      <c r="D39" s="342">
        <v>0.05</v>
      </c>
      <c r="E39" s="343">
        <v>300</v>
      </c>
      <c r="F39" s="34">
        <f t="shared" si="0"/>
        <v>200</v>
      </c>
      <c r="G39" s="35">
        <v>0.8</v>
      </c>
      <c r="H39" s="344">
        <f t="shared" si="1"/>
        <v>0.19999999999999996</v>
      </c>
      <c r="I39" s="345">
        <f t="shared" si="2"/>
        <v>280</v>
      </c>
    </row>
    <row r="40" spans="3:23" ht="14.5" customHeight="1">
      <c r="D40" s="346"/>
      <c r="E40" s="347"/>
      <c r="F40" s="356"/>
      <c r="G40" s="357"/>
      <c r="H40" s="348"/>
      <c r="I40" s="349"/>
    </row>
    <row r="41" spans="3:23" ht="13" customHeight="1">
      <c r="D41" s="346"/>
      <c r="E41" s="347"/>
      <c r="F41" s="347"/>
      <c r="G41" s="348"/>
      <c r="H41" s="348"/>
      <c r="I41" s="349"/>
    </row>
    <row r="42" spans="3:23" ht="27" customHeight="1">
      <c r="D42" s="346"/>
      <c r="E42" s="347"/>
      <c r="F42" s="347"/>
      <c r="G42" s="348"/>
      <c r="H42" s="348"/>
      <c r="I42" s="349"/>
    </row>
    <row r="43" spans="3:23" ht="28.5" customHeight="1" thickBot="1">
      <c r="F43" t="s">
        <v>452</v>
      </c>
    </row>
    <row r="44" spans="3:23" ht="29.5" thickBot="1">
      <c r="C44" s="24" t="s">
        <v>59</v>
      </c>
      <c r="D44" s="38" t="s">
        <v>292</v>
      </c>
      <c r="E44" s="38" t="s">
        <v>291</v>
      </c>
      <c r="F44" s="426" t="s">
        <v>300</v>
      </c>
      <c r="G44" s="478" t="s">
        <v>305</v>
      </c>
      <c r="H44" s="478" t="s">
        <v>303</v>
      </c>
      <c r="I44" s="478" t="s">
        <v>375</v>
      </c>
      <c r="J44" s="478" t="s">
        <v>308</v>
      </c>
      <c r="K44" s="478" t="s">
        <v>307</v>
      </c>
      <c r="L44" s="478" t="s">
        <v>306</v>
      </c>
      <c r="M44" s="478" t="s">
        <v>304</v>
      </c>
      <c r="N44" s="478" t="s">
        <v>301</v>
      </c>
      <c r="O44" s="478" t="s">
        <v>302</v>
      </c>
      <c r="P44" s="26" t="s">
        <v>60</v>
      </c>
      <c r="Q44" s="26" t="s">
        <v>61</v>
      </c>
      <c r="R44" s="26" t="s">
        <v>62</v>
      </c>
      <c r="S44" s="27" t="s">
        <v>63</v>
      </c>
    </row>
    <row r="45" spans="3:23">
      <c r="C45" s="487" t="s">
        <v>408</v>
      </c>
      <c r="D45" s="513">
        <f>1540</f>
        <v>1540</v>
      </c>
      <c r="E45" s="514">
        <v>0.15</v>
      </c>
      <c r="F45" s="506">
        <v>1</v>
      </c>
      <c r="G45" s="506">
        <v>4</v>
      </c>
      <c r="H45" s="506">
        <v>4</v>
      </c>
      <c r="I45" s="506">
        <v>4</v>
      </c>
      <c r="J45" s="506">
        <v>4</v>
      </c>
      <c r="K45" s="506">
        <v>4</v>
      </c>
      <c r="L45" s="506">
        <v>4</v>
      </c>
      <c r="M45" s="506">
        <v>4</v>
      </c>
      <c r="N45" s="506">
        <v>4</v>
      </c>
      <c r="O45" s="506">
        <v>4</v>
      </c>
      <c r="P45" s="515">
        <v>5000</v>
      </c>
      <c r="Q45" s="516">
        <v>0.35</v>
      </c>
      <c r="R45" s="516">
        <v>0</v>
      </c>
      <c r="S45" s="517">
        <f>T45</f>
        <v>269500</v>
      </c>
      <c r="T45" s="336">
        <f>Q45*P45*D45/10</f>
        <v>269500</v>
      </c>
      <c r="W45" s="122">
        <f>SUM(S45:S49)</f>
        <v>933600</v>
      </c>
    </row>
    <row r="46" spans="3:23">
      <c r="C46" s="473" t="s">
        <v>409</v>
      </c>
      <c r="D46" s="518">
        <v>1000</v>
      </c>
      <c r="E46" s="514">
        <v>0.15</v>
      </c>
      <c r="F46" s="335">
        <v>1</v>
      </c>
      <c r="G46" s="335">
        <v>4</v>
      </c>
      <c r="H46" s="335">
        <v>4</v>
      </c>
      <c r="I46" s="335">
        <v>4</v>
      </c>
      <c r="J46" s="335">
        <v>4</v>
      </c>
      <c r="K46" s="335">
        <v>4</v>
      </c>
      <c r="L46" s="335">
        <v>4</v>
      </c>
      <c r="M46" s="335">
        <v>4</v>
      </c>
      <c r="N46" s="335">
        <v>4</v>
      </c>
      <c r="O46" s="335">
        <v>4</v>
      </c>
      <c r="P46" s="515">
        <v>7000</v>
      </c>
      <c r="Q46" s="516">
        <v>0.35</v>
      </c>
      <c r="R46" s="516">
        <v>0</v>
      </c>
      <c r="S46" s="517">
        <f>T46</f>
        <v>245000</v>
      </c>
      <c r="T46" s="336">
        <f>Q46*P46*D46/10</f>
        <v>245000</v>
      </c>
    </row>
    <row r="47" spans="3:23">
      <c r="C47" s="28" t="s">
        <v>282</v>
      </c>
      <c r="D47" s="332">
        <v>1270</v>
      </c>
      <c r="E47" s="39">
        <v>0.15</v>
      </c>
      <c r="F47" s="335">
        <v>1</v>
      </c>
      <c r="G47" s="335">
        <v>4</v>
      </c>
      <c r="H47" s="335">
        <v>4</v>
      </c>
      <c r="I47" s="335">
        <v>4</v>
      </c>
      <c r="J47" s="335">
        <v>4</v>
      </c>
      <c r="K47" s="335">
        <v>4</v>
      </c>
      <c r="L47" s="335">
        <v>4</v>
      </c>
      <c r="M47" s="335">
        <v>4</v>
      </c>
      <c r="N47" s="335">
        <v>4</v>
      </c>
      <c r="O47" s="335">
        <v>4</v>
      </c>
      <c r="P47" s="508">
        <v>4000</v>
      </c>
      <c r="Q47" s="31">
        <v>0.35</v>
      </c>
      <c r="R47" s="31">
        <v>0</v>
      </c>
      <c r="S47" s="512">
        <f>T47</f>
        <v>177800</v>
      </c>
      <c r="T47" s="336">
        <f>Q47*P47*D47/10</f>
        <v>177800</v>
      </c>
    </row>
    <row r="48" spans="3:23">
      <c r="C48" s="14" t="s">
        <v>283</v>
      </c>
      <c r="D48" s="332">
        <v>635</v>
      </c>
      <c r="E48" s="39">
        <v>0.1</v>
      </c>
      <c r="F48" s="335">
        <v>2</v>
      </c>
      <c r="G48" s="335">
        <v>5</v>
      </c>
      <c r="H48" s="335">
        <v>5</v>
      </c>
      <c r="I48" s="335">
        <v>5</v>
      </c>
      <c r="J48" s="335">
        <v>5</v>
      </c>
      <c r="K48" s="335">
        <v>5</v>
      </c>
      <c r="L48" s="335">
        <v>5</v>
      </c>
      <c r="M48" s="335">
        <v>5</v>
      </c>
      <c r="N48" s="335">
        <v>5</v>
      </c>
      <c r="O48" s="335">
        <v>5</v>
      </c>
      <c r="P48" s="509">
        <v>9500</v>
      </c>
      <c r="Q48" s="35">
        <v>0.4</v>
      </c>
      <c r="R48" s="35">
        <v>0</v>
      </c>
      <c r="S48" s="512">
        <f>T48</f>
        <v>241300</v>
      </c>
      <c r="T48" s="336">
        <f>Q48*P48*D48/10</f>
        <v>241300</v>
      </c>
    </row>
    <row r="49" spans="3:20">
      <c r="C49" s="14" t="s">
        <v>290</v>
      </c>
      <c r="D49" s="332">
        <v>318</v>
      </c>
      <c r="E49" s="39">
        <v>0.1</v>
      </c>
      <c r="F49" s="335">
        <v>3</v>
      </c>
      <c r="G49" s="335">
        <v>6</v>
      </c>
      <c r="H49" s="335">
        <v>6</v>
      </c>
      <c r="I49" s="335">
        <v>6</v>
      </c>
      <c r="J49" s="335">
        <v>6</v>
      </c>
      <c r="K49" s="335">
        <v>6</v>
      </c>
      <c r="L49" s="335">
        <v>6</v>
      </c>
      <c r="M49" s="335">
        <v>6</v>
      </c>
      <c r="N49" s="335">
        <v>6</v>
      </c>
      <c r="O49" s="335">
        <v>6</v>
      </c>
      <c r="P49" s="509">
        <v>10000</v>
      </c>
      <c r="Q49" s="35">
        <v>0.4</v>
      </c>
      <c r="R49" s="35">
        <v>0</v>
      </c>
      <c r="S49" s="512">
        <f>0</f>
        <v>0</v>
      </c>
      <c r="T49" s="336"/>
    </row>
    <row r="50" spans="3:20">
      <c r="C50" s="14" t="s">
        <v>407</v>
      </c>
      <c r="D50" s="333">
        <v>1900</v>
      </c>
      <c r="E50" s="39">
        <v>0.1</v>
      </c>
      <c r="F50" s="506">
        <v>1</v>
      </c>
      <c r="G50" s="506">
        <v>4</v>
      </c>
      <c r="H50" s="506">
        <v>4</v>
      </c>
      <c r="I50" s="506">
        <v>4</v>
      </c>
      <c r="J50" s="506">
        <v>4</v>
      </c>
      <c r="K50" s="506">
        <v>4</v>
      </c>
      <c r="L50" s="506">
        <v>4</v>
      </c>
      <c r="M50" s="506">
        <v>4</v>
      </c>
      <c r="N50" s="506">
        <v>4</v>
      </c>
      <c r="O50" s="506">
        <v>4</v>
      </c>
      <c r="P50" s="510">
        <v>1900</v>
      </c>
      <c r="Q50" s="35">
        <v>0.35</v>
      </c>
      <c r="R50" s="35">
        <v>0</v>
      </c>
      <c r="S50" s="512">
        <f>T49</f>
        <v>0</v>
      </c>
      <c r="T50" s="336"/>
    </row>
    <row r="51" spans="3:20">
      <c r="C51" s="469" t="s">
        <v>410</v>
      </c>
      <c r="D51" s="333">
        <v>400</v>
      </c>
      <c r="E51" s="505">
        <v>0.1</v>
      </c>
      <c r="F51" s="507">
        <v>2</v>
      </c>
      <c r="G51" s="507">
        <v>5</v>
      </c>
      <c r="H51" s="507">
        <v>5</v>
      </c>
      <c r="I51" s="507">
        <v>5</v>
      </c>
      <c r="J51" s="507">
        <v>5</v>
      </c>
      <c r="K51" s="507">
        <v>5</v>
      </c>
      <c r="L51" s="507">
        <v>5</v>
      </c>
      <c r="M51" s="507">
        <v>5</v>
      </c>
      <c r="N51" s="507">
        <v>5</v>
      </c>
      <c r="O51" s="507">
        <v>5</v>
      </c>
      <c r="P51" s="510">
        <v>500</v>
      </c>
      <c r="Q51" s="35">
        <v>0.35</v>
      </c>
      <c r="R51" s="35">
        <v>0</v>
      </c>
      <c r="S51" s="512">
        <f>T50</f>
        <v>0</v>
      </c>
      <c r="T51" s="336"/>
    </row>
    <row r="52" spans="3:20">
      <c r="C52" s="14" t="s">
        <v>377</v>
      </c>
      <c r="D52" s="333">
        <v>300</v>
      </c>
      <c r="E52" s="39">
        <v>0.1</v>
      </c>
      <c r="F52" s="335">
        <v>2</v>
      </c>
      <c r="G52" s="507">
        <v>5</v>
      </c>
      <c r="H52" s="507">
        <v>5</v>
      </c>
      <c r="I52" s="507">
        <v>5</v>
      </c>
      <c r="J52" s="507">
        <v>5</v>
      </c>
      <c r="K52" s="507">
        <v>5</v>
      </c>
      <c r="L52" s="507">
        <v>5</v>
      </c>
      <c r="M52" s="507">
        <v>5</v>
      </c>
      <c r="N52" s="507">
        <v>5</v>
      </c>
      <c r="O52" s="507">
        <v>5</v>
      </c>
      <c r="P52" s="510">
        <v>500</v>
      </c>
      <c r="Q52" s="35">
        <v>0.35</v>
      </c>
      <c r="R52" s="35">
        <v>0</v>
      </c>
      <c r="S52" s="512">
        <f>T51</f>
        <v>0</v>
      </c>
      <c r="T52" s="336"/>
    </row>
    <row r="53" spans="3:20">
      <c r="C53" s="14" t="s">
        <v>378</v>
      </c>
      <c r="D53" s="333">
        <v>1500</v>
      </c>
      <c r="E53" s="39">
        <v>0.1</v>
      </c>
      <c r="F53" s="335">
        <v>2</v>
      </c>
      <c r="G53" s="507">
        <v>5</v>
      </c>
      <c r="H53" s="507">
        <v>5</v>
      </c>
      <c r="I53" s="507">
        <v>5</v>
      </c>
      <c r="J53" s="507">
        <v>5</v>
      </c>
      <c r="K53" s="507">
        <v>5</v>
      </c>
      <c r="L53" s="507">
        <v>5</v>
      </c>
      <c r="M53" s="507">
        <v>5</v>
      </c>
      <c r="N53" s="507">
        <v>5</v>
      </c>
      <c r="O53" s="507">
        <v>5</v>
      </c>
      <c r="P53" s="510">
        <v>300</v>
      </c>
      <c r="Q53" s="35">
        <v>0.35</v>
      </c>
      <c r="R53" s="35">
        <v>0</v>
      </c>
      <c r="S53" s="512">
        <f>T52</f>
        <v>0</v>
      </c>
      <c r="T53" s="336"/>
    </row>
    <row r="54" spans="3:20" ht="15" thickBot="1">
      <c r="C54" s="14" t="s">
        <v>379</v>
      </c>
      <c r="D54" s="334">
        <v>700</v>
      </c>
      <c r="E54" s="39">
        <v>0.1</v>
      </c>
      <c r="F54" s="335">
        <v>2</v>
      </c>
      <c r="G54" s="507">
        <v>5</v>
      </c>
      <c r="H54" s="507">
        <v>5</v>
      </c>
      <c r="I54" s="507">
        <v>5</v>
      </c>
      <c r="J54" s="507">
        <v>5</v>
      </c>
      <c r="K54" s="507">
        <v>5</v>
      </c>
      <c r="L54" s="507">
        <v>5</v>
      </c>
      <c r="M54" s="507">
        <v>5</v>
      </c>
      <c r="N54" s="507">
        <v>5</v>
      </c>
      <c r="O54" s="507">
        <v>5</v>
      </c>
      <c r="P54" s="511">
        <v>700</v>
      </c>
      <c r="Q54" s="37">
        <v>0.35</v>
      </c>
      <c r="R54" s="37">
        <v>0</v>
      </c>
      <c r="S54" s="512">
        <f>T53</f>
        <v>0</v>
      </c>
    </row>
    <row r="56" spans="3:20">
      <c r="D56"/>
    </row>
    <row r="62" spans="3:20">
      <c r="D62"/>
    </row>
    <row r="63" spans="3:20">
      <c r="D63"/>
    </row>
    <row r="64" spans="3:20">
      <c r="D64"/>
    </row>
    <row r="65" spans="4:5">
      <c r="D65"/>
    </row>
    <row r="66" spans="4:5">
      <c r="D66"/>
      <c r="E66" s="40"/>
    </row>
    <row r="67" spans="4:5">
      <c r="D67"/>
    </row>
    <row r="68" spans="4:5">
      <c r="D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9BF38-A213-4278-BCA3-FD3CB1C2E49B}">
  <dimension ref="B1:BM151"/>
  <sheetViews>
    <sheetView zoomScale="38" zoomScaleNormal="110" workbookViewId="0">
      <selection activeCell="Q70" sqref="Q70"/>
    </sheetView>
  </sheetViews>
  <sheetFormatPr defaultRowHeight="14.5"/>
  <cols>
    <col min="2" max="2" width="25.54296875" customWidth="1"/>
    <col min="3" max="4" width="11.1796875" bestFit="1" customWidth="1"/>
    <col min="5" max="7" width="11.81640625" bestFit="1" customWidth="1"/>
    <col min="8" max="8" width="14.7265625" customWidth="1"/>
    <col min="9" max="10" width="11.81640625" bestFit="1" customWidth="1"/>
    <col min="11" max="11" width="14.81640625" customWidth="1"/>
    <col min="12" max="12" width="11.81640625" bestFit="1" customWidth="1"/>
    <col min="16" max="16" width="25.453125" customWidth="1"/>
    <col min="17" max="17" width="19.36328125" customWidth="1"/>
    <col min="18" max="18" width="18.54296875" customWidth="1"/>
    <col min="19" max="19" width="16.90625" customWidth="1"/>
    <col min="20" max="20" width="16.6328125" customWidth="1"/>
    <col min="21" max="21" width="18.7265625" customWidth="1"/>
    <col min="22" max="22" width="20.7265625" customWidth="1"/>
    <col min="23" max="23" width="19.1796875" customWidth="1"/>
    <col min="24" max="24" width="20" customWidth="1"/>
    <col min="25" max="25" width="19.81640625" customWidth="1"/>
    <col min="26" max="26" width="20" customWidth="1"/>
    <col min="28" max="28" width="18.81640625" customWidth="1"/>
    <col min="29" max="30" width="13.54296875" customWidth="1"/>
    <col min="31" max="31" width="13.6328125" customWidth="1"/>
    <col min="32" max="32" width="14.81640625" customWidth="1"/>
    <col min="33" max="33" width="15.54296875" customWidth="1"/>
    <col min="34" max="34" width="15.1796875" customWidth="1"/>
    <col min="35" max="35" width="15.453125" customWidth="1"/>
    <col min="36" max="36" width="14.81640625" customWidth="1"/>
    <col min="37" max="38" width="15.453125" customWidth="1"/>
    <col min="42" max="42" width="22.6328125" customWidth="1"/>
    <col min="43" max="43" width="17.36328125" customWidth="1"/>
    <col min="44" max="44" width="18.36328125" customWidth="1"/>
    <col min="45" max="45" width="18.7265625" customWidth="1"/>
    <col min="46" max="46" width="17.54296875" customWidth="1"/>
    <col min="47" max="47" width="18.54296875" customWidth="1"/>
    <col min="48" max="48" width="18.36328125" customWidth="1"/>
    <col min="49" max="49" width="19.1796875" customWidth="1"/>
    <col min="50" max="50" width="18.90625" customWidth="1"/>
    <col min="51" max="52" width="18.36328125" customWidth="1"/>
    <col min="55" max="55" width="26.1796875" customWidth="1"/>
    <col min="56" max="56" width="17.453125" customWidth="1"/>
    <col min="57" max="57" width="17.7265625" customWidth="1"/>
    <col min="58" max="58" width="18.1796875" customWidth="1"/>
    <col min="59" max="59" width="23.7265625" customWidth="1"/>
    <col min="60" max="60" width="22.08984375" customWidth="1"/>
    <col min="61" max="61" width="23.7265625" bestFit="1" customWidth="1"/>
    <col min="62" max="62" width="27.7265625" customWidth="1"/>
    <col min="63" max="63" width="31.453125" customWidth="1"/>
    <col min="64" max="64" width="33.1796875" customWidth="1"/>
    <col min="65" max="65" width="36.36328125" customWidth="1"/>
  </cols>
  <sheetData>
    <row r="1" spans="2:65">
      <c r="C1" s="362" t="s">
        <v>349</v>
      </c>
      <c r="D1" s="367" t="s">
        <v>305</v>
      </c>
      <c r="E1" s="368" t="s">
        <v>350</v>
      </c>
      <c r="F1" s="376" t="s">
        <v>351</v>
      </c>
      <c r="G1" s="382" t="s">
        <v>352</v>
      </c>
      <c r="H1" s="476" t="s">
        <v>353</v>
      </c>
      <c r="I1" s="434" t="s">
        <v>380</v>
      </c>
      <c r="J1" s="435" t="s">
        <v>381</v>
      </c>
      <c r="K1" s="477" t="s">
        <v>382</v>
      </c>
      <c r="L1" s="442" t="s">
        <v>383</v>
      </c>
    </row>
    <row r="3" spans="2:65">
      <c r="B3" s="358" t="s">
        <v>345</v>
      </c>
      <c r="C3" s="359">
        <f>Assumptions!J15</f>
        <v>4.5999999999999999E-2</v>
      </c>
      <c r="D3" s="359">
        <f>Assumptions!K15</f>
        <v>4.5999999999999999E-2</v>
      </c>
      <c r="E3" s="359">
        <f>Assumptions!L15</f>
        <v>4.5999999999999999E-2</v>
      </c>
      <c r="F3" s="359">
        <f>Assumptions!M15</f>
        <v>4.5999999999999999E-2</v>
      </c>
      <c r="G3" s="359">
        <f>Assumptions!N15</f>
        <v>4.5999999999999999E-2</v>
      </c>
      <c r="H3" s="359">
        <f>Assumptions!O15</f>
        <v>4.5999999999999999E-2</v>
      </c>
      <c r="I3" s="359">
        <f>Assumptions!P15</f>
        <v>4.5999999999999999E-2</v>
      </c>
      <c r="J3" s="359">
        <f>Assumptions!Q15</f>
        <v>4.5999999999999999E-2</v>
      </c>
      <c r="K3" s="359">
        <f>Assumptions!R15</f>
        <v>4.5999999999999999E-2</v>
      </c>
      <c r="L3" s="359">
        <f>Assumptions!S15</f>
        <v>4.5999999999999999E-2</v>
      </c>
      <c r="M3" s="358"/>
      <c r="N3" s="358"/>
      <c r="O3" s="358"/>
      <c r="P3" s="358"/>
      <c r="Q3" s="358"/>
      <c r="R3" s="358"/>
      <c r="S3" s="358"/>
      <c r="T3" s="358"/>
      <c r="U3" s="358"/>
      <c r="V3" s="358"/>
      <c r="W3" s="358"/>
      <c r="X3" s="358"/>
      <c r="Y3" s="358"/>
      <c r="Z3" s="358"/>
      <c r="AA3" s="402"/>
      <c r="AB3" s="369" t="s">
        <v>345</v>
      </c>
      <c r="AC3" s="370">
        <f>Assumptions!J17</f>
        <v>0.04</v>
      </c>
      <c r="AD3" s="370">
        <f>Assumptions!K17</f>
        <v>0.04</v>
      </c>
      <c r="AE3" s="370">
        <f>Assumptions!L17</f>
        <v>0.04</v>
      </c>
      <c r="AF3" s="370">
        <f>Assumptions!M17</f>
        <v>0.04</v>
      </c>
      <c r="AG3" s="370">
        <f>Assumptions!N17</f>
        <v>0.04</v>
      </c>
      <c r="AH3" s="370">
        <f>Assumptions!O17</f>
        <v>0.04</v>
      </c>
      <c r="AI3" s="370">
        <f>Assumptions!P17</f>
        <v>0.04</v>
      </c>
      <c r="AJ3" s="370">
        <f>Assumptions!Q17</f>
        <v>0.04</v>
      </c>
      <c r="AK3" s="370">
        <f>Assumptions!R17</f>
        <v>0.04</v>
      </c>
      <c r="AL3" s="370">
        <f>Assumptions!S17</f>
        <v>0.04</v>
      </c>
      <c r="AM3" s="369"/>
      <c r="AN3" s="369"/>
      <c r="AO3" s="369"/>
      <c r="AP3" s="369"/>
      <c r="AQ3" s="369"/>
      <c r="AR3" s="369"/>
      <c r="AS3" s="369"/>
      <c r="AT3" s="369"/>
      <c r="AU3" s="369"/>
      <c r="AV3" s="369"/>
      <c r="AW3" s="369"/>
      <c r="AX3" s="369"/>
      <c r="AY3" s="369"/>
      <c r="AZ3" s="369"/>
      <c r="BC3" s="467"/>
      <c r="BD3" s="467"/>
      <c r="BE3" s="467"/>
      <c r="BF3" s="467"/>
      <c r="BG3" s="467"/>
      <c r="BH3" s="467"/>
      <c r="BI3" s="467"/>
      <c r="BJ3" s="467"/>
    </row>
    <row r="4" spans="2:65">
      <c r="B4" s="358"/>
      <c r="C4" s="358"/>
      <c r="D4" s="358"/>
      <c r="E4" s="358"/>
      <c r="F4" s="358"/>
      <c r="G4" s="358"/>
      <c r="H4" s="358"/>
      <c r="I4" s="358"/>
      <c r="J4" s="358"/>
      <c r="K4" s="358"/>
      <c r="L4" s="358"/>
      <c r="M4" s="358"/>
      <c r="N4" s="358"/>
      <c r="O4" s="358"/>
      <c r="P4" s="358"/>
      <c r="Q4" s="358"/>
      <c r="R4" s="358"/>
      <c r="S4" s="358"/>
      <c r="T4" s="358"/>
      <c r="U4" s="358"/>
      <c r="V4" s="358"/>
      <c r="W4" s="358"/>
      <c r="X4" s="358"/>
      <c r="Y4" s="358"/>
      <c r="Z4" s="358"/>
      <c r="AA4" s="402"/>
      <c r="AB4" s="369"/>
      <c r="AC4" s="369"/>
      <c r="AD4" s="369"/>
      <c r="AE4" s="369"/>
      <c r="AF4" s="369"/>
      <c r="AG4" s="369"/>
      <c r="AH4" s="369"/>
      <c r="AI4" s="369"/>
      <c r="AJ4" s="369"/>
      <c r="AK4" s="369"/>
      <c r="AL4" s="369"/>
      <c r="AM4" s="369"/>
      <c r="AN4" s="369"/>
      <c r="AO4" s="369"/>
      <c r="AP4" s="369"/>
      <c r="AQ4" s="369"/>
      <c r="AR4" s="369"/>
      <c r="AS4" s="369"/>
      <c r="AT4" s="369"/>
      <c r="AU4" s="369"/>
      <c r="AV4" s="369"/>
      <c r="AW4" s="369"/>
      <c r="AX4" s="369"/>
      <c r="AY4" s="369"/>
      <c r="AZ4" s="369"/>
      <c r="BC4" s="467"/>
      <c r="BD4" s="467"/>
      <c r="BE4" s="467"/>
      <c r="BF4" s="467"/>
      <c r="BG4" s="467"/>
      <c r="BH4" s="467"/>
      <c r="BI4" s="467"/>
      <c r="BJ4" s="467"/>
    </row>
    <row r="5" spans="2:65">
      <c r="B5" s="358"/>
      <c r="C5" s="358"/>
      <c r="D5" s="358"/>
      <c r="E5" s="358"/>
      <c r="F5" s="358"/>
      <c r="G5" s="358"/>
      <c r="H5" s="358"/>
      <c r="I5" s="358"/>
      <c r="J5" s="358"/>
      <c r="K5" s="358"/>
      <c r="L5" s="358"/>
      <c r="M5" s="358"/>
      <c r="N5" s="358"/>
      <c r="O5" s="358"/>
      <c r="P5" s="358"/>
      <c r="Q5" s="358"/>
      <c r="R5" s="358"/>
      <c r="S5" s="358"/>
      <c r="T5" s="358"/>
      <c r="U5" s="358"/>
      <c r="V5" s="358"/>
      <c r="W5" s="358"/>
      <c r="X5" s="358"/>
      <c r="Y5" s="358"/>
      <c r="Z5" s="358"/>
      <c r="AA5" s="402"/>
      <c r="AB5" s="369"/>
      <c r="AC5" s="369"/>
      <c r="AD5" s="369"/>
      <c r="AE5" s="369"/>
      <c r="AF5" s="369"/>
      <c r="AG5" s="369"/>
      <c r="AH5" s="369"/>
      <c r="AI5" s="369"/>
      <c r="AJ5" s="369"/>
      <c r="AK5" s="369"/>
      <c r="AL5" s="369"/>
      <c r="AM5" s="369"/>
      <c r="AN5" s="369"/>
      <c r="AO5" s="369"/>
      <c r="AP5" s="369"/>
      <c r="AQ5" s="369"/>
      <c r="AR5" s="369"/>
      <c r="AS5" s="369"/>
      <c r="AT5" s="369"/>
      <c r="AU5" s="369"/>
      <c r="AV5" s="369"/>
      <c r="AW5" s="369"/>
      <c r="AX5" s="369"/>
      <c r="AY5" s="369"/>
      <c r="AZ5" s="369"/>
      <c r="BC5" s="467"/>
      <c r="BD5" s="467"/>
      <c r="BE5" s="467"/>
      <c r="BF5" s="467"/>
      <c r="BG5" s="467"/>
      <c r="BH5" s="467"/>
      <c r="BI5" s="467"/>
      <c r="BJ5" s="467"/>
    </row>
    <row r="6" spans="2:65">
      <c r="B6" s="358"/>
      <c r="C6" s="358" t="s">
        <v>248</v>
      </c>
      <c r="D6" s="358"/>
      <c r="E6" s="358"/>
      <c r="F6" s="358"/>
      <c r="G6" s="358"/>
      <c r="H6" s="358"/>
      <c r="I6" s="358"/>
      <c r="J6" s="358"/>
      <c r="K6" s="358"/>
      <c r="L6" s="358"/>
      <c r="M6" s="358"/>
      <c r="N6" s="358"/>
      <c r="O6" s="358"/>
      <c r="P6" s="358"/>
      <c r="Q6" s="358" t="s">
        <v>248</v>
      </c>
      <c r="R6" s="358"/>
      <c r="S6" s="358"/>
      <c r="T6" s="358"/>
      <c r="U6" s="358"/>
      <c r="V6" s="358"/>
      <c r="W6" s="358"/>
      <c r="X6" s="358"/>
      <c r="Y6" s="358"/>
      <c r="Z6" s="358"/>
      <c r="AA6" s="402"/>
      <c r="AB6" s="369"/>
      <c r="AC6" s="397" t="s">
        <v>248</v>
      </c>
      <c r="AD6" s="397"/>
      <c r="AE6" s="397"/>
      <c r="AF6" s="397"/>
      <c r="AG6" s="397"/>
      <c r="AH6" s="397"/>
      <c r="AI6" s="397"/>
      <c r="AJ6" s="397"/>
      <c r="AK6" s="397"/>
      <c r="AL6" s="397"/>
      <c r="AM6" s="369"/>
      <c r="AN6" s="369"/>
      <c r="AO6" s="369"/>
      <c r="AP6" s="369"/>
      <c r="AQ6" s="369" t="s">
        <v>248</v>
      </c>
      <c r="AR6" s="369"/>
      <c r="AS6" s="369"/>
      <c r="AT6" s="369"/>
      <c r="AU6" s="369"/>
      <c r="AV6" s="369"/>
      <c r="AW6" s="369"/>
      <c r="AX6" s="369"/>
      <c r="AY6" s="369"/>
      <c r="AZ6" s="369"/>
      <c r="BC6" s="538"/>
      <c r="BD6" s="538"/>
      <c r="BE6" s="538"/>
      <c r="BF6" s="538"/>
      <c r="BG6" s="538"/>
      <c r="BH6" s="538"/>
      <c r="BI6" s="538"/>
      <c r="BJ6" s="538"/>
      <c r="BK6" s="535"/>
      <c r="BL6" s="535"/>
      <c r="BM6" s="535"/>
    </row>
    <row r="7" spans="2:65">
      <c r="B7" s="358" t="s">
        <v>346</v>
      </c>
      <c r="C7" s="358">
        <v>1</v>
      </c>
      <c r="D7" s="358">
        <v>2</v>
      </c>
      <c r="E7" s="358">
        <v>3</v>
      </c>
      <c r="F7" s="358">
        <v>4</v>
      </c>
      <c r="G7" s="358">
        <v>5</v>
      </c>
      <c r="H7" s="358">
        <v>6</v>
      </c>
      <c r="I7" s="358">
        <v>7</v>
      </c>
      <c r="J7" s="358">
        <v>8</v>
      </c>
      <c r="K7" s="358">
        <v>9</v>
      </c>
      <c r="L7" s="358">
        <v>10</v>
      </c>
      <c r="M7" s="358"/>
      <c r="N7" s="358"/>
      <c r="O7" s="358"/>
      <c r="P7" s="358" t="s">
        <v>347</v>
      </c>
      <c r="Q7" s="358">
        <v>1</v>
      </c>
      <c r="R7" s="358">
        <v>2</v>
      </c>
      <c r="S7" s="358">
        <v>3</v>
      </c>
      <c r="T7" s="358">
        <v>4</v>
      </c>
      <c r="U7" s="358">
        <v>5</v>
      </c>
      <c r="V7" s="358">
        <v>6</v>
      </c>
      <c r="W7" s="358">
        <v>7</v>
      </c>
      <c r="X7" s="358">
        <v>8</v>
      </c>
      <c r="Y7" s="358">
        <v>9</v>
      </c>
      <c r="Z7" s="358">
        <v>10</v>
      </c>
      <c r="AA7" s="402"/>
      <c r="AB7" s="369" t="s">
        <v>346</v>
      </c>
      <c r="AC7" s="397">
        <v>1</v>
      </c>
      <c r="AD7" s="397">
        <v>2</v>
      </c>
      <c r="AE7" s="397">
        <v>3</v>
      </c>
      <c r="AF7" s="397">
        <v>4</v>
      </c>
      <c r="AG7" s="397">
        <v>5</v>
      </c>
      <c r="AH7" s="397">
        <v>6</v>
      </c>
      <c r="AI7" s="397">
        <v>7</v>
      </c>
      <c r="AJ7" s="397">
        <v>8</v>
      </c>
      <c r="AK7" s="397">
        <v>9</v>
      </c>
      <c r="AL7" s="397">
        <v>10</v>
      </c>
      <c r="AM7" s="369"/>
      <c r="AN7" s="369"/>
      <c r="AO7" s="369"/>
      <c r="AP7" s="369" t="s">
        <v>347</v>
      </c>
      <c r="AQ7" s="369">
        <v>1</v>
      </c>
      <c r="AR7" s="369">
        <v>2</v>
      </c>
      <c r="AS7" s="369">
        <v>3</v>
      </c>
      <c r="AT7" s="369">
        <v>4</v>
      </c>
      <c r="AU7" s="369">
        <v>5</v>
      </c>
      <c r="AV7" s="369">
        <v>6</v>
      </c>
      <c r="AW7" s="369">
        <v>7</v>
      </c>
      <c r="AX7" s="369">
        <v>8</v>
      </c>
      <c r="AY7" s="369">
        <v>9</v>
      </c>
      <c r="AZ7" s="369">
        <v>10</v>
      </c>
      <c r="BC7" s="535"/>
      <c r="BD7" s="535"/>
      <c r="BE7" s="535"/>
      <c r="BF7" s="535"/>
      <c r="BG7" s="535"/>
      <c r="BH7" s="535"/>
      <c r="BI7" s="535"/>
      <c r="BJ7" s="535"/>
      <c r="BK7" s="535"/>
      <c r="BL7" s="535"/>
      <c r="BM7" s="535"/>
    </row>
    <row r="8" spans="2:65">
      <c r="B8" s="358" t="s">
        <v>331</v>
      </c>
      <c r="C8" s="360">
        <f>IF(C7=Assumptions!$F$45, Assumptions!$P$45, 0)</f>
        <v>5000</v>
      </c>
      <c r="D8" s="360">
        <f>IF(D7&gt;Assumptions!$F$45, C8*(1+C3), IF(D7=Assumptions!$F$45, Assumptions!$P$45, 0))</f>
        <v>5230</v>
      </c>
      <c r="E8" s="360">
        <f>IF(E7&gt;Assumptions!$F$45, D8*(1+D3), IF(E7=Assumptions!$F$45, Assumptions!$P$45, 0))</f>
        <v>5470.58</v>
      </c>
      <c r="F8" s="360">
        <f>IF(F7&gt;Assumptions!$F$45, E8*(1+E3), IF(F7=Assumptions!$F$45, Assumptions!$P$45, 0))</f>
        <v>5722.2266799999998</v>
      </c>
      <c r="G8" s="360">
        <f>IF(G7&gt;Assumptions!$F$45, F8*(1+F3), IF(G7=Assumptions!$F$45, Assumptions!$P$45, 0))</f>
        <v>5985.4491072800001</v>
      </c>
      <c r="H8" s="360">
        <f>IF(H7&gt;Assumptions!$F$45, G8*(1+G3), IF(H7=Assumptions!$F$45, Assumptions!$P$45, 0))</f>
        <v>6260.7797662148805</v>
      </c>
      <c r="I8" s="360">
        <f>IF(I7&gt;Assumptions!$F$45, H8*(1+H3), IF(I7=Assumptions!$F$45, Assumptions!$P$45, 0))</f>
        <v>6548.7756354607654</v>
      </c>
      <c r="J8" s="360">
        <f>IF(J7&gt;Assumptions!$F$45, I8*(1+I3), IF(J7=Assumptions!$F$45, Assumptions!$P$45, 0))</f>
        <v>6850.019314691961</v>
      </c>
      <c r="K8" s="360">
        <f>IF(K7&gt;Assumptions!$F$45, J8*(1+J3), IF(K7=Assumptions!$F$45, Assumptions!$P$45, 0))</f>
        <v>7165.1202031677913</v>
      </c>
      <c r="L8" s="360">
        <f>IF(L7&gt;Assumptions!$F$45, K8*(1+K3), IF(L7=Assumptions!$F$45, Assumptions!$P$45, 0))</f>
        <v>7494.7157325135104</v>
      </c>
      <c r="M8" s="358"/>
      <c r="N8" s="358"/>
      <c r="O8" s="358"/>
      <c r="P8" s="358" t="s">
        <v>331</v>
      </c>
      <c r="Q8" s="374">
        <f>IF(Q7=Assumptions!$F$45, Assumptions!$D$45, 0)</f>
        <v>1540</v>
      </c>
      <c r="R8" s="374">
        <f>IF(R7&gt;Assumptions!$F$45, Q8*(1+C22), IF(R7=Assumptions!$F$45, Assumptions!$D$45, 0))</f>
        <v>1617</v>
      </c>
      <c r="S8" s="374">
        <f ca="1">IF(S7&gt;Assumptions!$F$45, R8*(1+D22), IF(S7=Assumptions!$F$45, Assumptions!$D$45, 0))</f>
        <v>1702.065434627817</v>
      </c>
      <c r="T8" s="374">
        <f ca="1">IF(T7&gt;Assumptions!$F$45, S8*(1+E22), IF(T7=Assumptions!$F$45, Assumptions!$D$45, 0))</f>
        <v>1797.0459291381205</v>
      </c>
      <c r="U8" s="374">
        <f ca="1">IF(U7&gt;Assumptions!$F$45, T8*(1+F22), IF(U7=Assumptions!$F$45, Assumptions!$D$45, 0))</f>
        <v>1902.2921862433916</v>
      </c>
      <c r="V8" s="374">
        <f ca="1">IF(V7&gt;Assumptions!$F$45, U8*(1+G22), IF(V7=Assumptions!$F$45, Assumptions!$D$45, 0))</f>
        <v>2018.6230383621678</v>
      </c>
      <c r="W8" s="374">
        <f ca="1">IF(W7&gt;Assumptions!$F$45, V8*(1+H22), IF(W7=Assumptions!$F$45, Assumptions!$D$45, 0))</f>
        <v>2150.0654781279313</v>
      </c>
      <c r="X8" s="374">
        <f ca="1">IF(X7&gt;Assumptions!$F$45, W8*(1+I22), IF(X7=Assumptions!$F$45, Assumptions!$D$45, 0))</f>
        <v>2297.7602126450038</v>
      </c>
      <c r="Y8" s="374">
        <f ca="1">IF(Y7&gt;Assumptions!$F$45, X8*(1+J22), IF(Y7=Assumptions!$F$45, Assumptions!$D$45, 0))</f>
        <v>2464.5299324093085</v>
      </c>
      <c r="Z8" s="374">
        <f ca="1">IF(Z7&gt;Assumptions!$F$45, Y8*(1+K22), IF(Z7=Assumptions!$F$45, Assumptions!$D$45, 0))</f>
        <v>2653.2324305893717</v>
      </c>
      <c r="AA8" s="402"/>
      <c r="AB8" s="397" t="s">
        <v>331</v>
      </c>
      <c r="AC8" s="396">
        <f>IF(AC$67=Assumptions!$I$45, Assumptions!$P$45, 0)</f>
        <v>0</v>
      </c>
      <c r="AD8" s="396">
        <f>IF(AD7&gt;Assumptions!$I$45, AC8*(1+AC3), IF(AD7=Assumptions!$I$45, Assumptions!$P$45, 0))</f>
        <v>0</v>
      </c>
      <c r="AE8" s="396">
        <f>IF(AE7&gt;Assumptions!$I$45, AD8*(1+AD3), IF(AE7=Assumptions!$I$45, Assumptions!$P$45, 0))</f>
        <v>0</v>
      </c>
      <c r="AF8" s="396">
        <f>IF(AF7&gt;Assumptions!$I$45, AE8*(1+AE3), IF(AF7=Assumptions!$I$45, Assumptions!$P$45, 0))</f>
        <v>5000</v>
      </c>
      <c r="AG8" s="396">
        <f>IF(AG7&gt;Assumptions!$I$45, AF8*(1+AF3), IF(AG7=Assumptions!$I$45, Assumptions!$P$45, 0))</f>
        <v>5200</v>
      </c>
      <c r="AH8" s="396">
        <f>IF(AH7&gt;Assumptions!$I$45, AG8*(1+AG3), IF(AH7=Assumptions!$I$45, Assumptions!$P$45, 0))</f>
        <v>5408</v>
      </c>
      <c r="AI8" s="396">
        <f>IF(AI7&gt;Assumptions!$I$45, AH8*(1+AH3), IF(AI7=Assumptions!$I$45, Assumptions!$P$45, 0))</f>
        <v>5624.3200000000006</v>
      </c>
      <c r="AJ8" s="396">
        <f>IF(AJ7&gt;Assumptions!$I$45, AI8*(1+AI3), IF(AJ7=Assumptions!$I$45, Assumptions!$P$45, 0))</f>
        <v>5849.2928000000011</v>
      </c>
      <c r="AK8" s="396">
        <f>IF(AK7&gt;Assumptions!$I$45, AJ8*(1+AJ3), IF(AK7=Assumptions!$I$45, Assumptions!$P$45, 0))</f>
        <v>6083.2645120000016</v>
      </c>
      <c r="AL8" s="396">
        <f>IF(AL7&gt;Assumptions!$I$45, AK8*(1+AK3), IF(AL7=Assumptions!$I$45, Assumptions!$P$45, 0))</f>
        <v>6326.5950924800018</v>
      </c>
      <c r="AM8" s="369"/>
      <c r="AN8" s="369"/>
      <c r="AO8" s="369"/>
      <c r="AP8" s="369" t="s">
        <v>331</v>
      </c>
      <c r="AQ8" s="373">
        <f>IF(AQ7=Assumptions!$I$45, Assumptions!$D$45, 0)</f>
        <v>0</v>
      </c>
      <c r="AR8" s="373">
        <f>IF(AR7&gt;Assumptions!$I$45, AQ8*(1+AC22), IF(AR7=Assumptions!$I$45, Assumptions!$D$45, 0))</f>
        <v>0</v>
      </c>
      <c r="AS8" s="373">
        <f>IF(AS7&gt;Assumptions!$I$45, AR8*(1+AD22), IF(AS7=Assumptions!$I$45, Assumptions!$D$45, 0))</f>
        <v>0</v>
      </c>
      <c r="AT8" s="373">
        <f>IF(AT7&gt;Assumptions!$I$45, AS8*(1+AE22), IF(AT7=Assumptions!$I$45, Assumptions!$D$45, 0))</f>
        <v>1540</v>
      </c>
      <c r="AU8" s="373">
        <f ca="1">IF(AU7&gt;Assumptions!$I$45, AT8*(1+AF22), IF(AU7=Assumptions!$I$45, Assumptions!$D$45, 0))</f>
        <v>1586.5130374791033</v>
      </c>
      <c r="AV8" s="373">
        <f ca="1">IF(AV7&gt;Assumptions!$I$45, AU8*(1+AG22), IF(AV7=Assumptions!$I$45, Assumptions!$D$45, 0))</f>
        <v>1638.5198998762371</v>
      </c>
      <c r="AW8" s="373">
        <f ca="1">IF(AW7&gt;Assumptions!$I$45, AV8*(1+AH22), IF(AW7=Assumptions!$I$45, Assumptions!$D$45, 0))</f>
        <v>1697.5538890688401</v>
      </c>
      <c r="AX8" s="373">
        <f ca="1">IF(AX7&gt;Assumptions!$I$45, AW8*(1+AI22), IF(AX7=Assumptions!$I$45, Assumptions!$D$45, 0))</f>
        <v>1763.2845752835804</v>
      </c>
      <c r="AY8" s="373">
        <f ca="1">IF(AY7&gt;Assumptions!$I$45, AX8*(1+AJ22), IF(AY7=Assumptions!$I$45, Assumptions!$D$45, 0))</f>
        <v>1838.5711564271814</v>
      </c>
      <c r="AZ8" s="373">
        <f ca="1">IF(AZ7&gt;Assumptions!$I$45, AY8*(1+AK22), IF(AZ7=Assumptions!$I$45, Assumptions!$D$45, 0))</f>
        <v>1921.6894283459778</v>
      </c>
      <c r="BC8" s="535"/>
      <c r="BD8" s="536"/>
      <c r="BE8" s="536"/>
      <c r="BF8" s="536"/>
      <c r="BG8" s="536"/>
      <c r="BH8" s="536"/>
      <c r="BI8" s="536"/>
      <c r="BJ8" s="536"/>
      <c r="BK8" s="536"/>
      <c r="BL8" s="536"/>
      <c r="BM8" s="536"/>
    </row>
    <row r="9" spans="2:65">
      <c r="B9" s="358" t="s">
        <v>332</v>
      </c>
      <c r="C9" s="360">
        <f>IF(C7=Assumptions!$F$46, Assumptions!$P$46, 0)</f>
        <v>7000</v>
      </c>
      <c r="D9" s="360">
        <f>IF(D7&gt;Assumptions!$F$46, C9*(1+C3), IF(D7=Assumptions!$F$46, Assumptions!$P$46, 0))</f>
        <v>7322</v>
      </c>
      <c r="E9" s="360">
        <f>IF(E7&gt;Assumptions!$F$46, D9*(1+D3), IF(E7=Assumptions!$F$46, Assumptions!$P$46, 0))</f>
        <v>7658.8119999999999</v>
      </c>
      <c r="F9" s="360">
        <f>IF(F7&gt;Assumptions!$F$46, E9*(1+E3), IF(F7=Assumptions!$F$46, Assumptions!$P$46, 0))</f>
        <v>8011.1173520000002</v>
      </c>
      <c r="G9" s="360">
        <f>IF(G7&gt;Assumptions!$F$46, F9*(1+F3), IF(G7=Assumptions!$F$46, Assumptions!$P$46, 0))</f>
        <v>8379.6287501919996</v>
      </c>
      <c r="H9" s="360">
        <f>IF(H7&gt;Assumptions!$F$46, G9*(1+G3), IF(H7=Assumptions!$F$46, Assumptions!$P$46, 0))</f>
        <v>8765.0916727008316</v>
      </c>
      <c r="I9" s="360">
        <f>IF(I7&gt;Assumptions!$F$46, H9*(1+H3), IF(I7=Assumptions!$F$46, Assumptions!$P$46, 0))</f>
        <v>9168.2858896450707</v>
      </c>
      <c r="J9" s="360">
        <f>IF(J7&gt;Assumptions!$F$46, I9*(1+I3), IF(J7=Assumptions!$F$46, Assumptions!$P$46, 0))</f>
        <v>9590.0270405687443</v>
      </c>
      <c r="K9" s="360">
        <f>IF(K7&gt;Assumptions!$F$46, J9*(1+J3), IF(K7=Assumptions!$F$46, Assumptions!$P$46, 0))</f>
        <v>10031.168284434907</v>
      </c>
      <c r="L9" s="360">
        <f>IF(L7&gt;Assumptions!$F$46, K9*(1+K3), IF(L7=Assumptions!$F$46, Assumptions!$P$46, 0))</f>
        <v>10492.602025518912</v>
      </c>
      <c r="M9" s="358"/>
      <c r="N9" s="358"/>
      <c r="O9" s="358"/>
      <c r="P9" s="358" t="s">
        <v>332</v>
      </c>
      <c r="Q9" s="374">
        <f>IF(Q7=Assumptions!$F$46, Assumptions!$D$46, 0)</f>
        <v>1000</v>
      </c>
      <c r="R9" s="374">
        <f>IF(R7&gt;Assumptions!$F$46, Q9*(1+C23), IF(R7=Assumptions!$F$46, Assumptions!$D$46, 0))</f>
        <v>1090</v>
      </c>
      <c r="S9" s="374">
        <f ca="1">IF(S7&gt;Assumptions!$F$46, R9*(1+D23), IF(S7=Assumptions!$F$46, Assumptions!$D$46, 0))</f>
        <v>1191.131147415326</v>
      </c>
      <c r="T9" s="374">
        <f ca="1">IF(T7&gt;Assumptions!$F$46, S9*(1+E23), IF(T7=Assumptions!$F$46, Assumptions!$D$46, 0))</f>
        <v>1305.6989866329343</v>
      </c>
      <c r="U9" s="374">
        <f ca="1">IF(U7&gt;Assumptions!$F$46, T9*(1+F23), IF(U7=Assumptions!$F$46, Assumptions!$D$46, 0))</f>
        <v>1434.6547672600404</v>
      </c>
      <c r="V9" s="374">
        <f ca="1">IF(V7&gt;Assumptions!$F$46, U9*(1+G23), IF(V7=Assumptions!$F$46, Assumptions!$D$46, 0))</f>
        <v>1581.3161609828687</v>
      </c>
      <c r="W9" s="374">
        <f ca="1">IF(W7&gt;Assumptions!$F$46, V9*(1+H23), IF(W7=Assumptions!$F$46, Assumptions!$D$46, 0))</f>
        <v>1749.1918489894795</v>
      </c>
      <c r="X9" s="374">
        <f ca="1">IF(X7&gt;Assumptions!$F$46, W9*(1+I23), IF(X7=Assumptions!$F$46, Assumptions!$D$46, 0))</f>
        <v>1941.7914309682849</v>
      </c>
      <c r="Y9" s="374">
        <f ca="1">IF(Y7&gt;Assumptions!$F$46, X9*(1+J23), IF(Y7=Assumptions!$F$46, Assumptions!$D$46, 0))</f>
        <v>2161.34309012827</v>
      </c>
      <c r="Z9" s="374">
        <f ca="1">IF(Z7&gt;Assumptions!$F$46, Y9*(1+K23), IF(Z7=Assumptions!$F$46, Assumptions!$D$46, 0))</f>
        <v>2414.0286180207199</v>
      </c>
      <c r="AA9" s="402"/>
      <c r="AB9" s="397" t="s">
        <v>332</v>
      </c>
      <c r="AC9" s="396">
        <f>IF(AC$67=Assumptions!$I$46, Assumptions!$P$46, 0)</f>
        <v>0</v>
      </c>
      <c r="AD9" s="396">
        <f>IF(AD7&gt;Assumptions!$I$46, AC9*(1+AC3), IF(AD7=Assumptions!$I$46, Assumptions!$P$46, 0))</f>
        <v>0</v>
      </c>
      <c r="AE9" s="396">
        <f>IF(AE7&gt;Assumptions!$I$46, AD9*(1+AD3), IF(AE7=Assumptions!$I$46, Assumptions!$P$46, 0))</f>
        <v>0</v>
      </c>
      <c r="AF9" s="396">
        <f>IF(AF7&gt;Assumptions!$I$46, AE9*(1+AE3), IF(AF7=Assumptions!$I$46, Assumptions!$P$46, 0))</f>
        <v>7000</v>
      </c>
      <c r="AG9" s="396">
        <f>IF(AG7&gt;Assumptions!$I$46, AF9*(1+AF3), IF(AG7=Assumptions!$I$46, Assumptions!$P$46, 0))</f>
        <v>7280</v>
      </c>
      <c r="AH9" s="396">
        <f>IF(AH7&gt;Assumptions!$I$46, AG9*(1+AG3), IF(AH7=Assumptions!$I$46, Assumptions!$P$46, 0))</f>
        <v>7571.2</v>
      </c>
      <c r="AI9" s="396">
        <f>IF(AI7&gt;Assumptions!$I$46, AH9*(1+AH3), IF(AI7=Assumptions!$I$46, Assumptions!$P$46, 0))</f>
        <v>7874.0479999999998</v>
      </c>
      <c r="AJ9" s="396">
        <f>IF(AJ7&gt;Assumptions!$I$46, AI9*(1+AI3), IF(AJ7=Assumptions!$I$46, Assumptions!$P$46, 0))</f>
        <v>8189.0099200000004</v>
      </c>
      <c r="AK9" s="396">
        <f>IF(AK7&gt;Assumptions!$I$46, AJ9*(1+AJ3), IF(AK7=Assumptions!$I$46, Assumptions!$P$46, 0))</f>
        <v>8516.5703168</v>
      </c>
      <c r="AL9" s="396">
        <f>IF(AL7&gt;Assumptions!$I$46, AK9*(1+AK3), IF(AL7=Assumptions!$I$46, Assumptions!$P$46, 0))</f>
        <v>8857.2331294720007</v>
      </c>
      <c r="AM9" s="369"/>
      <c r="AN9" s="369"/>
      <c r="AO9" s="369"/>
      <c r="AP9" s="369" t="s">
        <v>332</v>
      </c>
      <c r="AQ9" s="373">
        <f>IF(AQ7=Assumptions!$I$45, Assumptions!$D$46, 0)</f>
        <v>0</v>
      </c>
      <c r="AR9" s="373">
        <f>IF(AR7&gt;Assumptions!$I$45, AQ9*(1+AC23), IF(AR7=Assumptions!$I$45, Assumptions!$D$46, 0))</f>
        <v>0</v>
      </c>
      <c r="AS9" s="373">
        <f>IF(AS7&gt;Assumptions!$I$45, AR9*(1+AD23), IF(AS7=Assumptions!$I$45, Assumptions!$D$46, 0))</f>
        <v>0</v>
      </c>
      <c r="AT9" s="373">
        <f>IF(AT7&gt;Assumptions!$I$45, AS9*(1+AE23), IF(AT7=Assumptions!$I$45, Assumptions!$D$46, 0))</f>
        <v>1000</v>
      </c>
      <c r="AU9" s="373">
        <f ca="1">IF(AU7&gt;Assumptions!$I$45, AT9*(1+AF23), IF(AU7=Assumptions!$I$45, Assumptions!$D$46, 0))</f>
        <v>1059.8638231047019</v>
      </c>
      <c r="AV9" s="373">
        <f ca="1">IF(AV7&gt;Assumptions!$I$45, AU9*(1+AG23), IF(AV7=Assumptions!$I$45, Assumptions!$D$46, 0))</f>
        <v>1126.776706294296</v>
      </c>
      <c r="AW9" s="373">
        <f ca="1">IF(AW7&gt;Assumptions!$I$45, AV9*(1+AH23), IF(AW7=Assumptions!$I$45, Assumptions!$D$46, 0))</f>
        <v>1201.2485146336396</v>
      </c>
      <c r="AX9" s="373">
        <f ca="1">IF(AX7&gt;Assumptions!$I$45, AW9*(1+AI23), IF(AX7=Assumptions!$I$45, Assumptions!$D$46, 0))</f>
        <v>1284.6964739601522</v>
      </c>
      <c r="AY9" s="373">
        <f ca="1">IF(AY7&gt;Assumptions!$I$45, AX9*(1+AJ23), IF(AY7=Assumptions!$I$45, Assumptions!$D$46, 0))</f>
        <v>1378.1671475762942</v>
      </c>
      <c r="AZ9" s="373">
        <f ca="1">IF(AZ7&gt;Assumptions!$I$45, AY9*(1+AK23), IF(AZ7=Assumptions!$I$45, Assumptions!$D$46, 0))</f>
        <v>1483.5935134161516</v>
      </c>
      <c r="BC9" s="535"/>
      <c r="BD9" s="536"/>
      <c r="BE9" s="536"/>
      <c r="BF9" s="536"/>
      <c r="BG9" s="536"/>
      <c r="BH9" s="536"/>
      <c r="BI9" s="536"/>
      <c r="BJ9" s="536"/>
      <c r="BK9" s="536"/>
      <c r="BL9" s="536"/>
      <c r="BM9" s="536"/>
    </row>
    <row r="10" spans="2:65">
      <c r="B10" s="358" t="s">
        <v>282</v>
      </c>
      <c r="C10" s="360">
        <f>IF(C7=Assumptions!$F$47, Assumptions!$P$47, 0)</f>
        <v>4000</v>
      </c>
      <c r="D10" s="360">
        <f>IF(D7&gt;Assumptions!$F$47, C10*(1+C3), IF(D7=Assumptions!$F$47, Assumptions!$P$45, 0))</f>
        <v>4184</v>
      </c>
      <c r="E10" s="360">
        <f>IF(E7&gt;Assumptions!$F$47, D10*(1+D3), IF(E7=Assumptions!$F$47, Assumptions!$P$45, 0))</f>
        <v>4376.4639999999999</v>
      </c>
      <c r="F10" s="360">
        <f>IF(F7&gt;Assumptions!$F$47, E10*(1+E3), IF(F7=Assumptions!$F$47, Assumptions!$P$45, 0))</f>
        <v>4577.781344</v>
      </c>
      <c r="G10" s="360">
        <f>IF(G7&gt;Assumptions!$F$47, F10*(1+F3), IF(G7=Assumptions!$F$47, Assumptions!$P$45, 0))</f>
        <v>4788.3592858239999</v>
      </c>
      <c r="H10" s="360">
        <f>IF(H7&gt;Assumptions!$F$47, G10*(1+G3), IF(H7=Assumptions!$F$47, Assumptions!$P$45, 0))</f>
        <v>5008.623812971904</v>
      </c>
      <c r="I10" s="360">
        <f>IF(I7&gt;Assumptions!$F$47, H10*(1+H3), IF(I7=Assumptions!$F$47, Assumptions!$P$45, 0))</f>
        <v>5239.0205083686114</v>
      </c>
      <c r="J10" s="360">
        <f>IF(J7&gt;Assumptions!$F$47, I10*(1+I3), IF(J7=Assumptions!$F$47, Assumptions!$P$45, 0))</f>
        <v>5480.0154517535675</v>
      </c>
      <c r="K10" s="360">
        <f>IF(K7&gt;Assumptions!$F$47, J10*(1+J3), IF(K7=Assumptions!$F$47, Assumptions!$P$45, 0))</f>
        <v>5732.0961625342316</v>
      </c>
      <c r="L10" s="360">
        <f>IF(L7&gt;Assumptions!$F$47, K10*(1+K3), IF(L7=Assumptions!$F$47, Assumptions!$P$45, 0))</f>
        <v>5995.7725860108067</v>
      </c>
      <c r="M10" s="358"/>
      <c r="N10" s="358"/>
      <c r="O10" s="358"/>
      <c r="P10" s="358" t="s">
        <v>282</v>
      </c>
      <c r="Q10" s="374">
        <f>IF(Q7=Assumptions!$F$47, Assumptions!$D$47, 0)</f>
        <v>1270</v>
      </c>
      <c r="R10" s="374">
        <f>IF(R7&gt;Assumptions!$F$47, Q10*(1+C24), IF(R7=Assumptions!$F$47, Assumptions!$D$47, 0))</f>
        <v>1295.4000000000001</v>
      </c>
      <c r="S10" s="374">
        <f ca="1">IF(S7&gt;Assumptions!$F$47, R10*(1+D24), IF(S7=Assumptions!$F$47, Assumptions!$D$47, 0))</f>
        <v>1324.8782303152132</v>
      </c>
      <c r="T10" s="374">
        <f ca="1">IF(T7&gt;Assumptions!$F$47, S10*(1+E24), IF(T7=Assumptions!$F$47, Assumptions!$D$47, 0))</f>
        <v>1359.299051788817</v>
      </c>
      <c r="U10" s="374">
        <f ca="1">IF(U7&gt;Assumptions!$F$47, T10*(1+F24), IF(U7=Assumptions!$F$47, Assumptions!$D$47, 0))</f>
        <v>1398.875309447832</v>
      </c>
      <c r="V10" s="374">
        <f ca="1">IF(V7&gt;Assumptions!$F$47, U10*(1+G24), IF(V7=Assumptions!$F$47, Assumptions!$D$47, 0))</f>
        <v>1445.045272910826</v>
      </c>
      <c r="W10" s="374">
        <f ca="1">IF(W7&gt;Assumptions!$F$47, V10*(1+H24), IF(W7=Assumptions!$F$47, Assumptions!$D$47, 0))</f>
        <v>1498.1249427487705</v>
      </c>
      <c r="X10" s="374">
        <f ca="1">IF(X7&gt;Assumptions!$F$47, W10*(1+I24), IF(X7=Assumptions!$F$47, Assumptions!$D$47, 0))</f>
        <v>1559.0779579156692</v>
      </c>
      <c r="Y10" s="374">
        <f ca="1">IF(Y7&gt;Assumptions!$F$47, X10*(1+J24), IF(Y7=Assumptions!$F$47, Assumptions!$D$47, 0))</f>
        <v>1627.7145419602341</v>
      </c>
      <c r="Z10" s="374">
        <f ca="1">IF(Z7&gt;Assumptions!$F$47, Y10*(1+K24), IF(Z7=Assumptions!$F$47, Assumptions!$D$47, 0))</f>
        <v>1705.7959579020765</v>
      </c>
      <c r="AA10" s="402"/>
      <c r="AB10" s="397" t="s">
        <v>282</v>
      </c>
      <c r="AC10" s="396">
        <f>IF(AC$67=Assumptions!$I$47, Assumptions!$P$47, 0)</f>
        <v>0</v>
      </c>
      <c r="AD10" s="396">
        <f>IF(AD7&gt;Assumptions!$I$47, AC10*(1+AC3), IF(AD7=Assumptions!$I$47, Assumptions!$P$47, 0))</f>
        <v>0</v>
      </c>
      <c r="AE10" s="396">
        <f>IF(AE7&gt;Assumptions!$I$47, AD10*(1+AD3), IF(AE7=Assumptions!$I$47, Assumptions!$P$47, 0))</f>
        <v>0</v>
      </c>
      <c r="AF10" s="396">
        <f>IF(AF7&gt;Assumptions!$I$47, AE10*(1+AE3), IF(AF7=Assumptions!$I$47, Assumptions!$P$47, 0))</f>
        <v>4000</v>
      </c>
      <c r="AG10" s="396">
        <f>IF(AG7&gt;Assumptions!$I$47, AF10*(1+AF3), IF(AG7=Assumptions!$I$47, Assumptions!$P$47, 0))</f>
        <v>4160</v>
      </c>
      <c r="AH10" s="396">
        <f>IF(AH7&gt;Assumptions!$I$47, AG10*(1+AG3), IF(AH7=Assumptions!$I$47, Assumptions!$P$47, 0))</f>
        <v>4326.4000000000005</v>
      </c>
      <c r="AI10" s="396">
        <f>IF(AI7&gt;Assumptions!$I$47, AH10*(1+AH3), IF(AI7=Assumptions!$I$47, Assumptions!$P$47, 0))</f>
        <v>4499.456000000001</v>
      </c>
      <c r="AJ10" s="396">
        <f>IF(AJ7&gt;Assumptions!$I$47, AI10*(1+AI3), IF(AJ7=Assumptions!$I$47, Assumptions!$P$47, 0))</f>
        <v>4679.4342400000014</v>
      </c>
      <c r="AK10" s="396">
        <f>IF(AK7&gt;Assumptions!$I$47, AJ10*(1+AJ3), IF(AK7=Assumptions!$I$47, Assumptions!$P$47, 0))</f>
        <v>4866.6116096000014</v>
      </c>
      <c r="AL10" s="396">
        <f>IF(AL7&gt;Assumptions!$I$47, AK10*(1+AK3), IF(AL7=Assumptions!$I$47, Assumptions!$P$47, 0))</f>
        <v>5061.2760739840014</v>
      </c>
      <c r="AM10" s="369"/>
      <c r="AN10" s="369"/>
      <c r="AO10" s="369"/>
      <c r="AP10" s="369" t="s">
        <v>282</v>
      </c>
      <c r="AQ10" s="373">
        <f>IF(AQ7=Assumptions!$I$47, Assumptions!$D$47, 0)</f>
        <v>0</v>
      </c>
      <c r="AR10" s="373">
        <f>IF(AR7&gt;Assumptions!$I$47, AQ10*(1+AC24), IF(AR7=Assumptions!$I$47, Assumptions!$D$47, 0))</f>
        <v>0</v>
      </c>
      <c r="AS10" s="373">
        <f>IF(AS7&gt;Assumptions!$I$47, AR10*(1+AD24), IF(AS7=Assumptions!$I$47, Assumptions!$D$47, 0))</f>
        <v>0</v>
      </c>
      <c r="AT10" s="373">
        <f>IF(AT7&gt;Assumptions!$I$47, AS10*(1+AE24), IF(AT7=Assumptions!$I$47, Assumptions!$D$47, 0))</f>
        <v>1270</v>
      </c>
      <c r="AU10" s="373">
        <f ca="1">IF(AU7&gt;Assumptions!$I$47, AT10*(1+AF24), IF(AU7=Assumptions!$I$47, Assumptions!$D$47, 0))</f>
        <v>1320.9412512309136</v>
      </c>
      <c r="AV10" s="373">
        <f ca="1">IF(AV7&gt;Assumptions!$I$47, AU10*(1+AG24), IF(AV7=Assumptions!$I$47, Assumptions!$D$47, 0))</f>
        <v>1378.679945474752</v>
      </c>
      <c r="AW10" s="373">
        <f ca="1">IF(AW7&gt;Assumptions!$I$47, AV10*(1+AH24), IF(AW7=Assumptions!$I$47, Assumptions!$D$47, 0))</f>
        <v>1444.3893056136369</v>
      </c>
      <c r="AX10" s="373">
        <f ca="1">IF(AX7&gt;Assumptions!$I$47, AW10*(1+AI24), IF(AX7=Assumptions!$I$47, Assumptions!$D$47, 0))</f>
        <v>1518.9926345992828</v>
      </c>
      <c r="AY10" s="373">
        <f ca="1">IF(AY7&gt;Assumptions!$I$47, AX10*(1+AJ24), IF(AY7=Assumptions!$I$47, Assumptions!$D$47, 0))</f>
        <v>1602.5892935947099</v>
      </c>
      <c r="AZ10" s="373">
        <f ca="1">IF(AZ7&gt;Assumptions!$I$47, AY10*(1+AK24), IF(AZ7=Assumptions!$I$47, Assumptions!$D$47, 0))</f>
        <v>1696.1657925317277</v>
      </c>
      <c r="BC10" s="535"/>
      <c r="BD10" s="536"/>
      <c r="BE10" s="536"/>
      <c r="BF10" s="536"/>
      <c r="BG10" s="536"/>
      <c r="BH10" s="536"/>
      <c r="BI10" s="536"/>
      <c r="BJ10" s="536"/>
      <c r="BK10" s="536"/>
      <c r="BL10" s="536"/>
      <c r="BM10" s="536"/>
    </row>
    <row r="11" spans="2:65">
      <c r="B11" s="358" t="s">
        <v>333</v>
      </c>
      <c r="C11" s="360">
        <f>IF(C7=Assumptions!$F$48, Assumptions!$P$48, 0)</f>
        <v>0</v>
      </c>
      <c r="D11" s="360">
        <f>IF(D7&gt;Assumptions!$F$48, C11*(1+C3), IF(D7=Assumptions!$F$48, Assumptions!$P$48, 0))</f>
        <v>9500</v>
      </c>
      <c r="E11" s="360">
        <f>IF(E7&gt;Assumptions!$F$48, D11*(1+D3), IF(E7=Assumptions!$F$48, Assumptions!$P$48, 0))</f>
        <v>9937</v>
      </c>
      <c r="F11" s="360">
        <f>IF(F7&gt;Assumptions!$F$48, E11*(1+E3), IF(F7=Assumptions!$F$48, Assumptions!$P$48, 0))</f>
        <v>10394.102000000001</v>
      </c>
      <c r="G11" s="360">
        <f>IF(G7&gt;Assumptions!$F$48, F11*(1+F3), IF(G7=Assumptions!$F$48, Assumptions!$P$48, 0))</f>
        <v>10872.230692000001</v>
      </c>
      <c r="H11" s="360">
        <f>IF(H7&gt;Assumptions!$F$48, G11*(1+G3), IF(H7=Assumptions!$F$48, Assumptions!$P$48, 0))</f>
        <v>11372.353303832002</v>
      </c>
      <c r="I11" s="360">
        <f>IF(I7&gt;Assumptions!$F$48, H11*(1+H3), IF(I7=Assumptions!$F$48, Assumptions!$P$48, 0))</f>
        <v>11895.481555808274</v>
      </c>
      <c r="J11" s="360">
        <f>IF(J7&gt;Assumptions!$F$48, I11*(1+I3), IF(J7=Assumptions!$F$48, Assumptions!$P$48, 0))</f>
        <v>12442.673707375454</v>
      </c>
      <c r="K11" s="360">
        <f>IF(K7&gt;Assumptions!$F$48, J11*(1+J3), IF(K7=Assumptions!$F$48, Assumptions!$P$48, 0))</f>
        <v>13015.036697914726</v>
      </c>
      <c r="L11" s="360">
        <f>IF(L7&gt;Assumptions!$F$48, K11*(1+K3), IF(L7=Assumptions!$F$48, Assumptions!$P$48, 0))</f>
        <v>13613.728386018804</v>
      </c>
      <c r="M11" s="358"/>
      <c r="N11" s="358"/>
      <c r="O11" s="358"/>
      <c r="P11" s="358" t="s">
        <v>333</v>
      </c>
      <c r="Q11" s="374">
        <f>IF(Q7=Assumptions!$F$48, Assumptions!$D$48, 0)</f>
        <v>0</v>
      </c>
      <c r="R11" s="374">
        <f>IF(R7&gt;Assumptions!$F$48, Q11*(1+C25), IF(R7=Assumptions!$F$48, Assumptions!$D$48, 0))</f>
        <v>635</v>
      </c>
      <c r="S11" s="374">
        <f ca="1">IF(S7&gt;Assumptions!$F$48, R11*(1+D25), IF(S7=Assumptions!$F$48, Assumptions!$D$48, 0))</f>
        <v>661.97591586681756</v>
      </c>
      <c r="T11" s="374">
        <f ca="1">IF(T7&gt;Assumptions!$F$48, S11*(1+E25), IF(T7=Assumptions!$F$48, Assumptions!$D$48, 0))</f>
        <v>692.69999635378997</v>
      </c>
      <c r="U11" s="374">
        <f ca="1">IF(U7&gt;Assumptions!$F$48, T11*(1+F25), IF(U7=Assumptions!$F$48, Assumptions!$D$48, 0))</f>
        <v>726.8009516704509</v>
      </c>
      <c r="V11" s="374">
        <f ca="1">IF(V7&gt;Assumptions!$F$48, U11*(1+G25), IF(V7=Assumptions!$F$48, Assumptions!$D$48, 0))</f>
        <v>764.38274989454214</v>
      </c>
      <c r="W11" s="374">
        <f ca="1">IF(W7&gt;Assumptions!$F$48, V11*(1+H25), IF(W7=Assumptions!$F$48, Assumptions!$D$48, 0))</f>
        <v>806.5493438164641</v>
      </c>
      <c r="X11" s="374">
        <f ca="1">IF(X7&gt;Assumptions!$F$48, W11*(1+I25), IF(X7=Assumptions!$F$48, Assumptions!$D$48, 0))</f>
        <v>853.65642953465942</v>
      </c>
      <c r="Y11" s="374">
        <f ca="1">IF(Y7&gt;Assumptions!$F$48, X11*(1+J25), IF(Y7=Assumptions!$F$48, Assumptions!$D$48, 0))</f>
        <v>906.17048677439436</v>
      </c>
      <c r="Z11" s="374">
        <f ca="1">IF(Z7&gt;Assumptions!$F$48, Y11*(1+K25), IF(Z7=Assumptions!$F$48, Assumptions!$D$48, 0))</f>
        <v>964.92939808724577</v>
      </c>
      <c r="AA11" s="402"/>
      <c r="AB11" s="397" t="s">
        <v>333</v>
      </c>
      <c r="AC11" s="396">
        <f>IF(AC$67=Assumptions!$I$48, Assumptions!$P$48, 0)</f>
        <v>0</v>
      </c>
      <c r="AD11" s="396">
        <f>IF(AD7&gt;Assumptions!$I$48, AC11*(1+AC3), IF(AD7=Assumptions!$I$48, Assumptions!$P$48, 0))</f>
        <v>0</v>
      </c>
      <c r="AE11" s="396">
        <f>IF(AE7&gt;Assumptions!$I$48, AD11*(1+AD3), IF(AE7=Assumptions!$I$48, Assumptions!$P$48, 0))</f>
        <v>0</v>
      </c>
      <c r="AF11" s="396">
        <f>IF(AF7&gt;Assumptions!$I$48, AE11*(1+AE3), IF(AF7=Assumptions!$I$48, Assumptions!$P$48, 0))</f>
        <v>0</v>
      </c>
      <c r="AG11" s="396">
        <f>IF(AG7&gt;Assumptions!$I$48, AF11*(1+AF3), IF(AG7=Assumptions!$I$48, Assumptions!$P$48, 0))</f>
        <v>9500</v>
      </c>
      <c r="AH11" s="396">
        <f>IF(AH7&gt;Assumptions!$I$48, AG11*(1+AG3), IF(AH7=Assumptions!$I$48, Assumptions!$P$48, 0))</f>
        <v>9880</v>
      </c>
      <c r="AI11" s="396">
        <f>IF(AI7&gt;Assumptions!$I$48, AH11*(1+AH3), IF(AI7=Assumptions!$I$48, Assumptions!$P$48, 0))</f>
        <v>10275.200000000001</v>
      </c>
      <c r="AJ11" s="396">
        <f>IF(AJ7&gt;Assumptions!$I$48, AI11*(1+AI3), IF(AJ7=Assumptions!$I$48, Assumptions!$P$48, 0))</f>
        <v>10686.208000000001</v>
      </c>
      <c r="AK11" s="396">
        <f>IF(AK7&gt;Assumptions!$I$48, AJ11*(1+AJ3), IF(AK7=Assumptions!$I$48, Assumptions!$P$48, 0))</f>
        <v>11113.65632</v>
      </c>
      <c r="AL11" s="396">
        <f>IF(AL7&gt;Assumptions!$I$48, AK11*(1+AK3), IF(AL7=Assumptions!$I$48, Assumptions!$P$48, 0))</f>
        <v>11558.202572800001</v>
      </c>
      <c r="AM11" s="369"/>
      <c r="AN11" s="369"/>
      <c r="AO11" s="369"/>
      <c r="AP11" s="369" t="s">
        <v>333</v>
      </c>
      <c r="AQ11" s="373">
        <f>IF(AQ7=Assumptions!$I$48, Assumptions!$D$48, 0)</f>
        <v>0</v>
      </c>
      <c r="AR11" s="373">
        <f>IF(AR7&gt;Assumptions!$I$48, AQ11*(1+AC25), IF(AR7=Assumptions!$I$48, Assumptions!$D$48, 0))</f>
        <v>0</v>
      </c>
      <c r="AS11" s="373">
        <f>IF(AS7&gt;Assumptions!$I$48, AR11*(1+AD25), IF(AS7=Assumptions!$I$48, Assumptions!$D$48, 0))</f>
        <v>0</v>
      </c>
      <c r="AT11" s="373">
        <f>IF(AT7&gt;Assumptions!$I$48, AS11*(1+AE25), IF(AT7=Assumptions!$I$48, Assumptions!$D$48, 0))</f>
        <v>0</v>
      </c>
      <c r="AU11" s="373">
        <f>IF(AU7&gt;Assumptions!$I$48, AT11*(1+AF25), IF(AU7=Assumptions!$I$48, Assumptions!$D$48, 0))</f>
        <v>635</v>
      </c>
      <c r="AV11" s="373">
        <f ca="1">IF(AV7&gt;Assumptions!$I$48, AU11*(1+AG25), IF(AV7=Assumptions!$I$48, Assumptions!$D$48, 0))</f>
        <v>668.72619837160528</v>
      </c>
      <c r="AW11" s="373">
        <f ca="1">IF(AW7&gt;Assumptions!$I$48, AV11*(1+AH25), IF(AW7=Assumptions!$I$48, Assumptions!$D$48, 0))</f>
        <v>706.48755480756574</v>
      </c>
      <c r="AX11" s="373">
        <f ca="1">IF(AX7&gt;Assumptions!$I$48, AW11*(1+AI25), IF(AX7=Assumptions!$I$48, Assumptions!$D$48, 0))</f>
        <v>748.48107713221953</v>
      </c>
      <c r="AY11" s="373">
        <f ca="1">IF(AY7&gt;Assumptions!$I$48, AX11*(1+AJ25), IF(AY7=Assumptions!$I$48, Assumptions!$D$48, 0))</f>
        <v>795.49194158101147</v>
      </c>
      <c r="AZ11" s="373">
        <f ca="1">IF(AZ7&gt;Assumptions!$I$48, AY11*(1+AK25), IF(AZ7=Assumptions!$I$48, Assumptions!$D$48, 0))</f>
        <v>847.57291066372488</v>
      </c>
      <c r="BC11" s="535"/>
      <c r="BD11" s="536"/>
      <c r="BE11" s="536"/>
      <c r="BF11" s="536"/>
      <c r="BG11" s="536"/>
      <c r="BH11" s="536"/>
      <c r="BI11" s="536"/>
      <c r="BJ11" s="536"/>
      <c r="BK11" s="536"/>
      <c r="BL11" s="536"/>
      <c r="BM11" s="536"/>
    </row>
    <row r="12" spans="2:65">
      <c r="B12" s="358" t="s">
        <v>290</v>
      </c>
      <c r="C12" s="360">
        <f>IF(C7=Assumptions!$F$49, Assumptions!$P$49, 0)</f>
        <v>0</v>
      </c>
      <c r="D12" s="360">
        <f>IF(D7&gt;Assumptions!$F$49, C12*(1+C3), IF(D7=Assumptions!$F$49, Assumptions!$P$49, 0))</f>
        <v>0</v>
      </c>
      <c r="E12" s="360">
        <f>IF(E7&gt;Assumptions!$F$49, D12*(1+D3), IF(E7=Assumptions!$F$49, Assumptions!$P$49, 0))</f>
        <v>10000</v>
      </c>
      <c r="F12" s="360">
        <f>IF(F7&gt;Assumptions!$F$49, E12*(1+E3), IF(F7=Assumptions!$F$49, Assumptions!$P$49, 0))</f>
        <v>10460</v>
      </c>
      <c r="G12" s="360">
        <f>IF(G7&gt;Assumptions!$F$49, F12*(1+F3), IF(G7=Assumptions!$F$49, Assumptions!$P$49, 0))</f>
        <v>10941.16</v>
      </c>
      <c r="H12" s="360">
        <f>IF(H7&gt;Assumptions!$F$49, G12*(1+G3), IF(H7=Assumptions!$F$49, Assumptions!$P$49, 0))</f>
        <v>11444.45336</v>
      </c>
      <c r="I12" s="360">
        <f>IF(I7&gt;Assumptions!$F$49, H12*(1+H3), IF(I7=Assumptions!$F$49, Assumptions!$P$49, 0))</f>
        <v>11970.89821456</v>
      </c>
      <c r="J12" s="360">
        <f>IF(J7&gt;Assumptions!$F$49, I12*(1+I3), IF(J7=Assumptions!$F$49, Assumptions!$P$49, 0))</f>
        <v>12521.559532429761</v>
      </c>
      <c r="K12" s="360">
        <f>IF(K7&gt;Assumptions!$F$49, J12*(1+J3), IF(K7=Assumptions!$F$49, Assumptions!$P$49, 0))</f>
        <v>13097.551270921531</v>
      </c>
      <c r="L12" s="360">
        <f>IF(L7&gt;Assumptions!$F$49, K12*(1+K3), IF(L7=Assumptions!$F$49, Assumptions!$P$49, 0))</f>
        <v>13700.038629383922</v>
      </c>
      <c r="M12" s="360"/>
      <c r="N12" s="358"/>
      <c r="O12" s="358"/>
      <c r="P12" s="358" t="s">
        <v>290</v>
      </c>
      <c r="Q12" s="374">
        <f>IF(Q7=Assumptions!$F$49, Assumptions!$D$49, 0)</f>
        <v>0</v>
      </c>
      <c r="R12" s="374">
        <f>IF(R7&gt;Assumptions!$F$49, Q12*(1+C26), IF(R7=Assumptions!$F$49, Assumptions!$D$49, 0))</f>
        <v>0</v>
      </c>
      <c r="S12" s="374">
        <f>IF(S7&gt;Assumptions!$F$49, R12*(1+D26), IF(S7=Assumptions!$F$49, Assumptions!$D$49, 0))</f>
        <v>318</v>
      </c>
      <c r="T12" s="374">
        <f ca="1">IF(T7&gt;Assumptions!$F$49, S12*(1+E26), IF(T7=Assumptions!$F$49, Assumptions!$D$49, 0))</f>
        <v>332.9379066227595</v>
      </c>
      <c r="U12" s="374">
        <f ca="1">IF(U7&gt;Assumptions!$F$49, T12*(1+F26), IF(U7=Assumptions!$F$49, Assumptions!$D$49, 0))</f>
        <v>349.53121283318501</v>
      </c>
      <c r="V12" s="374">
        <f ca="1">IF(V7&gt;Assumptions!$F$49, U12*(1+G26), IF(V7=Assumptions!$F$49, Assumptions!$D$49, 0))</f>
        <v>367.85597514175265</v>
      </c>
      <c r="W12" s="374">
        <f ca="1">IF(W7&gt;Assumptions!$F$49, V12*(1+H26), IF(W7=Assumptions!$F$49, Assumptions!$D$49, 0))</f>
        <v>388.16850390541219</v>
      </c>
      <c r="X12" s="374">
        <f ca="1">IF(X7&gt;Assumptions!$F$49, W12*(1+I26), IF(X7=Assumptions!$F$49, Assumptions!$D$49, 0))</f>
        <v>411.015003151305</v>
      </c>
      <c r="Y12" s="374">
        <f ca="1">IF(Y7&gt;Assumptions!$F$49, X12*(1+J26), IF(Y7=Assumptions!$F$49, Assumptions!$D$49, 0))</f>
        <v>436.35246282630555</v>
      </c>
      <c r="Z12" s="374">
        <f ca="1">IF(Z7&gt;Assumptions!$F$49, Y12*(1+K26), IF(Z7=Assumptions!$F$49, Assumptions!$D$49, 0))</f>
        <v>464.93706054385768</v>
      </c>
      <c r="AA12" s="402"/>
      <c r="AB12" s="397" t="s">
        <v>290</v>
      </c>
      <c r="AC12" s="396">
        <f>IF(AC$67=Assumptions!$I$49, Assumptions!$P$49, 0)</f>
        <v>0</v>
      </c>
      <c r="AD12" s="396">
        <f>IF(AD7&gt;Assumptions!$I$49, AC12*(1+AC3), IF(AD7=Assumptions!$I$49, Assumptions!$P$49, 0))</f>
        <v>0</v>
      </c>
      <c r="AE12" s="396">
        <f>IF(AE7&gt;Assumptions!$I$49, AD12*(1+AD3), IF(AE7=Assumptions!$I$49, Assumptions!$P$49, 0))</f>
        <v>0</v>
      </c>
      <c r="AF12" s="396">
        <f>IF(AF7&gt;Assumptions!$I$49, AE12*(1+AE3), IF(AF7=Assumptions!$I$49, Assumptions!$P$49, 0))</f>
        <v>0</v>
      </c>
      <c r="AG12" s="396">
        <f>IF(AG7&gt;Assumptions!$I$49, AF12*(1+AF3), IF(AG7=Assumptions!$I$49, Assumptions!$P$49, 0))</f>
        <v>0</v>
      </c>
      <c r="AH12" s="396">
        <f>IF(AH7&gt;Assumptions!$I$49, AG12*(1+AG3), IF(AH7=Assumptions!$I$49, Assumptions!$P$49, 0))</f>
        <v>10000</v>
      </c>
      <c r="AI12" s="396">
        <f>IF(AI7&gt;Assumptions!$I$49, AH12*(1+AH3), IF(AI7=Assumptions!$I$49, Assumptions!$P$49, 0))</f>
        <v>10400</v>
      </c>
      <c r="AJ12" s="396">
        <f>IF(AJ7&gt;Assumptions!$I$49, AI12*(1+AI3), IF(AJ7=Assumptions!$I$49, Assumptions!$P$49, 0))</f>
        <v>10816</v>
      </c>
      <c r="AK12" s="396">
        <f>IF(AK7&gt;Assumptions!$I$49, AJ12*(1+AJ3), IF(AK7=Assumptions!$I$49, Assumptions!$P$49, 0))</f>
        <v>11248.640000000001</v>
      </c>
      <c r="AL12" s="396">
        <f>IF(AL7&gt;Assumptions!$I$49, AK12*(1+AK3), IF(AL7=Assumptions!$I$49, Assumptions!$P$49, 0))</f>
        <v>11698.585600000002</v>
      </c>
      <c r="AM12" s="369"/>
      <c r="AN12" s="369"/>
      <c r="AO12" s="369"/>
      <c r="AP12" s="369" t="s">
        <v>290</v>
      </c>
      <c r="AQ12" s="373">
        <f>IF(AQ7=Assumptions!$I$49, Assumptions!$D$49, 0)</f>
        <v>0</v>
      </c>
      <c r="AR12" s="373">
        <f>IF(AR7&gt;Assumptions!$I$49, AQ12*(1+AC26), IF(AR7=Assumptions!$I$49, Assumptions!$D$49, 0))</f>
        <v>0</v>
      </c>
      <c r="AS12" s="373">
        <f>IF(AS7&gt;Assumptions!$I$49, AR12*(1+AD26), IF(AS7=Assumptions!$I$49, Assumptions!$D$49, 0))</f>
        <v>0</v>
      </c>
      <c r="AT12" s="373">
        <f>IF(AT7&gt;Assumptions!$I$49, AS12*(1+AE26), IF(AT7=Assumptions!$I$49, Assumptions!$D$49, 0))</f>
        <v>0</v>
      </c>
      <c r="AU12" s="373">
        <f>IF(AU7&gt;Assumptions!$I$49, AT12*(1+AF26), IF(AU7=Assumptions!$I$49, Assumptions!$D$49, 0))</f>
        <v>0</v>
      </c>
      <c r="AV12" s="373">
        <f>IF(AV7&gt;Assumptions!$I$49, AU12*(1+AG26), IF(AV7=Assumptions!$I$49, Assumptions!$D$49, 0))</f>
        <v>318</v>
      </c>
      <c r="AW12" s="373">
        <f ca="1">IF(AW7&gt;Assumptions!$I$49, AV12*(1+AH26), IF(AW7=Assumptions!$I$49, Assumptions!$D$49, 0))</f>
        <v>345.54318492936812</v>
      </c>
      <c r="AX12" s="373">
        <f ca="1">IF(AX7&gt;Assumptions!$I$49, AW12*(1+AI26), IF(AX7=Assumptions!$I$49, Assumptions!$D$49, 0))</f>
        <v>376.84304802161233</v>
      </c>
      <c r="AY12" s="373">
        <f ca="1">IF(AY7&gt;Assumptions!$I$49, AX12*(1+AJ26), IF(AY7=Assumptions!$I$49, Assumptions!$D$49, 0))</f>
        <v>412.47138540201587</v>
      </c>
      <c r="AZ12" s="373">
        <f ca="1">IF(AZ7&gt;Assumptions!$I$49, AY12*(1+AK26), IF(AZ7=Assumptions!$I$49, Assumptions!$D$49, 0))</f>
        <v>452.94247864214606</v>
      </c>
      <c r="BC12" s="535"/>
      <c r="BD12" s="536"/>
      <c r="BE12" s="536"/>
      <c r="BF12" s="536"/>
      <c r="BG12" s="536"/>
      <c r="BH12" s="536"/>
      <c r="BI12" s="536"/>
      <c r="BJ12" s="536"/>
      <c r="BK12" s="536"/>
      <c r="BL12" s="536"/>
      <c r="BM12" s="536"/>
    </row>
    <row r="13" spans="2:65">
      <c r="B13" s="358" t="s">
        <v>405</v>
      </c>
      <c r="C13" s="360">
        <f>IF(C7=Assumptions!$F$50, Assumptions!$P$50, 0)</f>
        <v>1900</v>
      </c>
      <c r="D13" s="360">
        <f>IF(D7&gt;Assumptions!$F$50, C13*(1+C3), IF(D7=Assumptions!$F$50, Assumptions!$P$50, 0))</f>
        <v>1987.4</v>
      </c>
      <c r="E13" s="360">
        <f>IF(E7&gt;Assumptions!$F$50, D13*(1+D3), IF(E7=Assumptions!$F$50, Assumptions!$P$50, 0))</f>
        <v>2078.8204000000001</v>
      </c>
      <c r="F13" s="360">
        <f>IF(F7&gt;Assumptions!$F$50, E13*(1+E3), IF(F7=Assumptions!$F$50, Assumptions!$P$50, 0))</f>
        <v>2174.4461384000001</v>
      </c>
      <c r="G13" s="360">
        <f>IF(G7&gt;Assumptions!$F$50, F13*(1+F3), IF(G7=Assumptions!$F$50, Assumptions!$P$50, 0))</f>
        <v>2274.4706607664002</v>
      </c>
      <c r="H13" s="360">
        <f>IF(H7&gt;Assumptions!$F$50, G13*(1+G3), IF(H7=Assumptions!$F$50, Assumptions!$P$50, 0))</f>
        <v>2379.0963111616547</v>
      </c>
      <c r="I13" s="360">
        <f>IF(I7&gt;Assumptions!$F$50, H13*(1+H3), IF(I7=Assumptions!$F$50, Assumptions!$P$50, 0))</f>
        <v>2488.5347414750909</v>
      </c>
      <c r="J13" s="360">
        <f>IF(J7&gt;Assumptions!$F$50, I13*(1+I3), IF(J7=Assumptions!$F$50, Assumptions!$P$50, 0))</f>
        <v>2603.007339582945</v>
      </c>
      <c r="K13" s="360">
        <f>IF(K7&gt;Assumptions!$F$50, J13*(1+J3), IF(K7=Assumptions!$F$50, Assumptions!$P$50, 0))</f>
        <v>2722.7456772037604</v>
      </c>
      <c r="L13" s="360">
        <f>IF(L7&gt;Assumptions!$F$50, K13*(1+K3), IF(L7=Assumptions!$F$50, Assumptions!$P$50, 0))</f>
        <v>2847.9919783551336</v>
      </c>
      <c r="M13" s="358"/>
      <c r="N13" s="358"/>
      <c r="O13" s="358"/>
      <c r="P13" s="358" t="s">
        <v>405</v>
      </c>
      <c r="Q13" s="374">
        <f>IF(Q7=Assumptions!$F$50, Assumptions!$D$50, 0)</f>
        <v>1900</v>
      </c>
      <c r="R13" s="374">
        <f>IF(R7&gt;Assumptions!$F$50, Q13*(1+C27), IF(R7=Assumptions!$F$50, Assumptions!$D$50, 0))</f>
        <v>1900</v>
      </c>
      <c r="S13" s="374">
        <f ca="1">IF(S7&gt;Assumptions!$F$50, R13*(1+D27), IF(S7=Assumptions!$F$50, Assumptions!$D$50, 0))</f>
        <v>1904.5976786050896</v>
      </c>
      <c r="T13" s="374">
        <f ca="1">IF(T7&gt;Assumptions!$F$50, S13*(1+E27), IF(T7=Assumptions!$F$50, Assumptions!$D$50, 0))</f>
        <v>1916.1631488703702</v>
      </c>
      <c r="U13" s="374">
        <f ca="1">IF(U7&gt;Assumptions!$F$50, T13*(1+F27), IF(U7=Assumptions!$F$50, Assumptions!$D$50, 0))</f>
        <v>1934.3376596886028</v>
      </c>
      <c r="V13" s="374">
        <f ca="1">IF(V7&gt;Assumptions!$F$50, U13*(1+G27), IF(V7=Assumptions!$F$50, Assumptions!$D$50, 0))</f>
        <v>1958.9943305045249</v>
      </c>
      <c r="W13" s="374">
        <f ca="1">IF(W7&gt;Assumptions!$F$50, V13*(1+H27), IF(W7=Assumptions!$F$50, Assumptions!$D$50, 0))</f>
        <v>1991.7705169709561</v>
      </c>
      <c r="X13" s="374">
        <f ca="1">IF(X7&gt;Assumptions!$F$50, W13*(1+I27), IF(X7=Assumptions!$F$50, Assumptions!$D$50, 0))</f>
        <v>2032.92092755507</v>
      </c>
      <c r="Y13" s="374">
        <f ca="1">IF(Y7&gt;Assumptions!$F$50, X13*(1+J27), IF(Y7=Assumptions!$F$50, Assumptions!$D$50, 0))</f>
        <v>2079.9933541900546</v>
      </c>
      <c r="Z13" s="374">
        <f ca="1">IF(Z7&gt;Assumptions!$F$50, Y13*(1+K27), IF(Z7=Assumptions!$F$50, Assumptions!$D$50, 0))</f>
        <v>2135.5770055908611</v>
      </c>
      <c r="AA13" s="402"/>
      <c r="AB13" s="397" t="s">
        <v>405</v>
      </c>
      <c r="AC13" s="396">
        <f>IF(AC$67=Assumptions!$I$50, Assumptions!$P$50, 0)</f>
        <v>0</v>
      </c>
      <c r="AD13" s="396">
        <f>IF(AD7&gt;Assumptions!$I$50, AC13*(1+AC3), IF(AD7=Assumptions!$I$50, Assumptions!$P$50, 0))</f>
        <v>0</v>
      </c>
      <c r="AE13" s="396">
        <f>IF(AE7&gt;Assumptions!$I$50, AD13*(1+AD3), IF(AE7=Assumptions!$I$50, Assumptions!$P$50, 0))</f>
        <v>0</v>
      </c>
      <c r="AF13" s="396">
        <f>IF(AF7&gt;Assumptions!$I$50, AE13*(1+AE3), IF(AF7=Assumptions!$I$50, Assumptions!$P$50, 0))</f>
        <v>1900</v>
      </c>
      <c r="AG13" s="396">
        <f>IF(AG7&gt;Assumptions!$I$50, AF13*(1+AF3), IF(AG7=Assumptions!$I$50, Assumptions!$P$50, 0))</f>
        <v>1976</v>
      </c>
      <c r="AH13" s="396">
        <f>IF(AH7&gt;Assumptions!$I$50, AG13*(1+AG3), IF(AH7=Assumptions!$I$50, Assumptions!$P$50, 0))</f>
        <v>2055.04</v>
      </c>
      <c r="AI13" s="396">
        <f>IF(AI7&gt;Assumptions!$I$50, AH13*(1+AH3), IF(AI7=Assumptions!$I$50, Assumptions!$P$50, 0))</f>
        <v>2137.2415999999998</v>
      </c>
      <c r="AJ13" s="396">
        <f>IF(AJ7&gt;Assumptions!$I$50, AI13*(1+AI3), IF(AJ7=Assumptions!$I$50, Assumptions!$P$50, 0))</f>
        <v>2222.731264</v>
      </c>
      <c r="AK13" s="396">
        <f>IF(AK7&gt;Assumptions!$I$50, AJ13*(1+AJ3), IF(AK7=Assumptions!$I$50, Assumptions!$P$50, 0))</f>
        <v>2311.6405145600002</v>
      </c>
      <c r="AL13" s="396">
        <f>IF(AL7&gt;Assumptions!$I$50, AK13*(1+AK3), IF(AL7=Assumptions!$I$50, Assumptions!$P$50, 0))</f>
        <v>2404.1061351424</v>
      </c>
      <c r="AM13" s="369"/>
      <c r="AN13" s="369"/>
      <c r="AO13" s="369"/>
      <c r="AP13" s="369" t="s">
        <v>405</v>
      </c>
      <c r="AQ13" s="373">
        <f>IF(AQ7=Assumptions!$I$50, Assumptions!$D$50, 0)</f>
        <v>0</v>
      </c>
      <c r="AR13" s="373">
        <f>IF(AR7&gt;Assumptions!$I$50, AQ13*(1+AC27), IF(AR7=Assumptions!$I$50, Assumptions!$D$50, 0))</f>
        <v>0</v>
      </c>
      <c r="AS13" s="373">
        <f>IF(AS7&gt;Assumptions!$I$50, AR13*(1+AD27), IF(AS7=Assumptions!$I$50, Assumptions!$D$50, 0))</f>
        <v>0</v>
      </c>
      <c r="AT13" s="373">
        <f>IF(AT7&gt;Assumptions!$I$50, AS13*(1+AE27), IF(AT7=Assumptions!$I$50, Assumptions!$D$50, 0))</f>
        <v>1900</v>
      </c>
      <c r="AU13" s="373">
        <f ca="1">IF(AU7&gt;Assumptions!$I$50, AT13*(1+AF27), IF(AU7=Assumptions!$I$50, Assumptions!$D$50, 0))</f>
        <v>1922.1615986353638</v>
      </c>
      <c r="AV13" s="373">
        <f ca="1">IF(AV7&gt;Assumptions!$I$50, AU13*(1+AG27), IF(AV7=Assumptions!$I$50, Assumptions!$D$50, 0))</f>
        <v>1949.3125253972817</v>
      </c>
      <c r="AW13" s="373">
        <f ca="1">IF(AW7&gt;Assumptions!$I$50, AV13*(1+AH27), IF(AW7=Assumptions!$I$50, Assumptions!$D$50, 0))</f>
        <v>1983.0224009753049</v>
      </c>
      <c r="AX13" s="373">
        <f ca="1">IF(AX7&gt;Assumptions!$I$50, AW13*(1+AI27), IF(AX7=Assumptions!$I$50, Assumptions!$D$50, 0))</f>
        <v>2025.0283451845471</v>
      </c>
      <c r="AY13" s="373">
        <f ca="1">IF(AY7&gt;Assumptions!$I$50, AX13*(1+AJ27), IF(AY7=Assumptions!$I$50, Assumptions!$D$50, 0))</f>
        <v>2074.5840085601385</v>
      </c>
      <c r="AZ13" s="373">
        <f ca="1">IF(AZ7&gt;Assumptions!$I$50, AY13*(1+AK27), IF(AZ7=Assumptions!$I$50, Assumptions!$D$50, 0))</f>
        <v>2133.5234257730067</v>
      </c>
      <c r="BC13" s="535"/>
      <c r="BD13" s="536"/>
      <c r="BE13" s="536"/>
      <c r="BF13" s="536"/>
      <c r="BG13" s="536"/>
      <c r="BH13" s="536"/>
      <c r="BI13" s="536"/>
      <c r="BJ13" s="536"/>
      <c r="BK13" s="536"/>
      <c r="BL13" s="536"/>
      <c r="BM13" s="536"/>
    </row>
    <row r="14" spans="2:65">
      <c r="B14" s="504" t="s">
        <v>406</v>
      </c>
      <c r="C14" s="360">
        <f>IF(C8=Assumptions!$F$50, Assumptions!$P$51, 0)</f>
        <v>0</v>
      </c>
      <c r="D14" s="360">
        <f>IF(D7&gt;Assumptions!$F$51, C14, IF(D7=Assumptions!$F$51, Assumptions!$P$51, 0))</f>
        <v>500</v>
      </c>
      <c r="E14" s="360">
        <f>IF(E7&gt;Assumptions!$F$51, D14, IF(E7=Assumptions!$F$51, Assumptions!$P$51, 0))</f>
        <v>500</v>
      </c>
      <c r="F14" s="360">
        <f>IF(F7&gt;Assumptions!$F$51, E14, IF(F7=Assumptions!$F$51, Assumptions!$P$51, 0))</f>
        <v>500</v>
      </c>
      <c r="G14" s="360">
        <f>IF(G7&gt;Assumptions!$F$51, F14, IF(G7=Assumptions!$F$51, Assumptions!$P$51, 0))</f>
        <v>500</v>
      </c>
      <c r="H14" s="360">
        <f>IF(H7&gt;Assumptions!$F$51, G14, IF(H7=Assumptions!$F$51, Assumptions!$P$51, 0))</f>
        <v>500</v>
      </c>
      <c r="I14" s="360">
        <f>IF(I7&gt;Assumptions!$F$51, H14, IF(I7=Assumptions!$F$51, Assumptions!$P$51, 0))</f>
        <v>500</v>
      </c>
      <c r="J14" s="360">
        <f>IF(J7&gt;Assumptions!$F$51, I14, IF(J7=Assumptions!$F$51, Assumptions!$P$51, 0))</f>
        <v>500</v>
      </c>
      <c r="K14" s="360">
        <f>IF(K7&gt;Assumptions!$F$51, J14, IF(K7=Assumptions!$F$51, Assumptions!$P$51, 0))</f>
        <v>500</v>
      </c>
      <c r="L14" s="360">
        <f>IF(L7&gt;Assumptions!$F$51, K14, IF(L7=Assumptions!$F$51, Assumptions!$P$51, 0))</f>
        <v>500</v>
      </c>
      <c r="M14" s="358"/>
      <c r="N14" s="358"/>
      <c r="O14" s="358"/>
      <c r="P14" s="504" t="s">
        <v>406</v>
      </c>
      <c r="Q14" s="374">
        <f>IF(Q7=Assumptions!$F$51, Assumptions!$D$51, 0)</f>
        <v>0</v>
      </c>
      <c r="R14" s="374">
        <f>IF(R7&gt;Assumptions!$F$51, Q14*(1-Assumptions!$V$15) + Assumptions!$D$51*(1+C27), IF(R7=Assumptions!$F$51, Assumptions!$D$51, 0))</f>
        <v>400</v>
      </c>
      <c r="S14" s="374">
        <f ca="1">IF(S7&gt;Assumptions!$F$51, R14*(1-Assumptions!$V$15) + Assumptions!$D$51*(1+D27), IF(S7=Assumptions!$F$51, Assumptions!$D$51, 0))</f>
        <v>740.96793233791368</v>
      </c>
      <c r="T14" s="374">
        <f ca="1">IF(T7&gt;Assumptions!$F$51, S14*(1-Assumptions!$V$15) + Assumptions!$D$51*(1+E27), IF(T7=Assumptions!$F$51, Assumptions!$D$51, 0))</f>
        <v>1032.2517006646303</v>
      </c>
      <c r="U14" s="374">
        <f ca="1">IF(U7&gt;Assumptions!$F$51, T14*(1-Assumptions!$V$15) + Assumptions!$D$51*(1+F27), IF(U7=Assumptions!$F$51, Assumptions!$D$51, 0))</f>
        <v>1281.2078836393521</v>
      </c>
      <c r="V14" s="374">
        <f ca="1">IF(V7&gt;Assumptions!$F$51, U14*(1-Assumptions!$V$15) + Assumptions!$D$51*(1+G27), IF(V7=Assumptions!$F$51, Assumptions!$D$51, 0))</f>
        <v>1494.1254325775669</v>
      </c>
      <c r="W14" s="374">
        <f ca="1">IF(W7&gt;Assumptions!$F$51, V14*(1-Assumptions!$V$15) + Assumptions!$D$51*(1+H27), IF(W7=Assumptions!$F$51, Assumptions!$D$51, 0))</f>
        <v>1676.6990692118079</v>
      </c>
      <c r="X14" s="374">
        <f ca="1">IF(X7&gt;Assumptions!$F$51, W14*(1-Assumptions!$V$15) + Assumptions!$D$51*(1+I27), IF(X7=Assumptions!$F$51, Assumptions!$D$51, 0))</f>
        <v>1833.458295527473</v>
      </c>
      <c r="Y14" s="374">
        <f ca="1">IF(Y7&gt;Assumptions!$F$51, X14*(1-Assumptions!$V$15) + Assumptions!$D$51*(1+J27), IF(Y7=Assumptions!$F$51, Assumptions!$D$51, 0))</f>
        <v>1967.7015792481288</v>
      </c>
      <c r="Z14" s="374">
        <f ca="1">IF(Z7&gt;Assumptions!$F$51, Y14*(1-Assumptions!$V$15) + Assumptions!$D$51*(1+K27), IF(Z7=Assumptions!$F$51, Assumptions!$D$51, 0))</f>
        <v>2083.2355402448998</v>
      </c>
      <c r="AA14" s="402"/>
      <c r="AB14" s="527" t="s">
        <v>406</v>
      </c>
      <c r="AC14" s="396">
        <f>IF(AC$67=Assumptions!$I$51, Assumptions!$P$51, 0)</f>
        <v>0</v>
      </c>
      <c r="AD14" s="396">
        <f>IF(AD7&gt;Assumptions!$I$51, AC14, IF(AD7=Assumptions!$I$51, Assumptions!$P$51, 0))</f>
        <v>0</v>
      </c>
      <c r="AE14" s="396">
        <f>IF(AE7&gt;Assumptions!$I$51, AD14, IF(AE7=Assumptions!$I$51, Assumptions!$P$51, 0))</f>
        <v>0</v>
      </c>
      <c r="AF14" s="396">
        <f>IF(AF7&gt;Assumptions!$I$51, AE14, IF(AF7=Assumptions!$I$51, Assumptions!$P$51, 0))</f>
        <v>0</v>
      </c>
      <c r="AG14" s="396">
        <f>IF(AG7&gt;Assumptions!$I$51, AF14, IF(AG7=Assumptions!$I$51, Assumptions!$P$51, 0))</f>
        <v>500</v>
      </c>
      <c r="AH14" s="396">
        <f>IF(AH7&gt;Assumptions!$I$51, AG14, IF(AH7=Assumptions!$I$51, Assumptions!$P$51, 0))</f>
        <v>500</v>
      </c>
      <c r="AI14" s="396">
        <f>IF(AI7&gt;Assumptions!$I$51, AH14, IF(AI7=Assumptions!$I$51, Assumptions!$P$51, 0))</f>
        <v>500</v>
      </c>
      <c r="AJ14" s="396">
        <f>IF(AJ7&gt;Assumptions!$I$51, AI14, IF(AJ7=Assumptions!$I$51, Assumptions!$P$51, 0))</f>
        <v>500</v>
      </c>
      <c r="AK14" s="396">
        <f>IF(AK7&gt;Assumptions!$I$51, AJ14, IF(AK7=Assumptions!$I$51, Assumptions!$P$51, 0))</f>
        <v>500</v>
      </c>
      <c r="AL14" s="396">
        <f>IF(AL7&gt;Assumptions!$I$51, AK14, IF(AL7=Assumptions!$I$51, Assumptions!$P$51, 0))</f>
        <v>500</v>
      </c>
      <c r="AM14" s="369"/>
      <c r="AN14" s="369"/>
      <c r="AO14" s="369"/>
      <c r="AP14" s="528" t="s">
        <v>406</v>
      </c>
      <c r="AQ14" s="373">
        <f>IF(AQ7=Assumptions!$I$51, Assumptions!$D$51, 0)</f>
        <v>0</v>
      </c>
      <c r="AR14" s="373">
        <f>IF(AR7&gt;Assumptions!$I$51, AQ14*(1-Assumptions!$V$17) + Assumptions!$D$51*(1+AC27), IF(AR7=Assumptions!$I$51, Assumptions!$D$51, 0))</f>
        <v>0</v>
      </c>
      <c r="AS14" s="373">
        <f>IF(AS7&gt;Assumptions!$I$51, AR14*(1-Assumptions!$V$17) + Assumptions!$D$51*(1+AD27), IF(AS7=Assumptions!$I$51, Assumptions!$D$51, 0))</f>
        <v>0</v>
      </c>
      <c r="AT14" s="373">
        <f>IF(AT7&gt;Assumptions!$I$51, AS14*(1-Assumptions!$V$17) + Assumptions!$D$51*(1+AE27), IF(AT7=Assumptions!$I$51, Assumptions!$D$51, 0))</f>
        <v>0</v>
      </c>
      <c r="AU14" s="373">
        <f>IF(AU7&gt;Assumptions!$I$51, AT14*(1-Assumptions!$V$17) + Assumptions!$D$51*(1+AF27), IF(AU7=Assumptions!$I$51, Assumptions!$D$51, 0))</f>
        <v>400</v>
      </c>
      <c r="AV14" s="373">
        <f ca="1">IF(AV7&gt;Assumptions!$I$51, AU14*(1-Assumptions!$V$17) + Assumptions!$D$51*(1+AG27), IF(AV7=Assumptions!$I$51, Assumptions!$D$51, 0))</f>
        <v>749.65008202873128</v>
      </c>
      <c r="AW14" s="373">
        <f ca="1">IF(AW7&gt;Assumptions!$I$51, AV14*(1-Assumptions!$V$17) + Assumptions!$D$51*(1+AH27), IF(AW7=Assumptions!$I$51, Assumptions!$D$51, 0))</f>
        <v>1051.6163555133987</v>
      </c>
      <c r="AX14" s="373">
        <f ca="1">IF(AX7&gt;Assumptions!$I$51, AW14*(1-Assumptions!$V$17) + Assumptions!$D$51*(1+AI27), IF(AX7=Assumptions!$I$51, Assumptions!$D$51, 0))</f>
        <v>1312.8631811614159</v>
      </c>
      <c r="AY14" s="373">
        <f ca="1">IF(AY7&gt;Assumptions!$I$51, AX14*(1-Assumptions!$V$17) + Assumptions!$D$51*(1+AJ27), IF(AY7=Assumptions!$I$51, Assumptions!$D$51, 0))</f>
        <v>1538.8509717936536</v>
      </c>
      <c r="AZ14" s="373">
        <f ca="1">IF(AZ7&gt;Assumptions!$I$51, AY14*(1-Assumptions!$V$17) + Assumptions!$D$51*(1+AK27), IF(AZ7=Assumptions!$I$51, Assumptions!$D$51, 0))</f>
        <v>1734.7759293573918</v>
      </c>
      <c r="BC14" s="537"/>
      <c r="BD14" s="536"/>
      <c r="BE14" s="536"/>
      <c r="BF14" s="536"/>
      <c r="BG14" s="536"/>
      <c r="BH14" s="536"/>
      <c r="BI14" s="536"/>
      <c r="BJ14" s="536"/>
      <c r="BK14" s="536"/>
      <c r="BL14" s="536"/>
      <c r="BM14" s="536"/>
    </row>
    <row r="15" spans="2:65">
      <c r="B15" s="358" t="s">
        <v>342</v>
      </c>
      <c r="C15" s="360">
        <f>IF(C7=Assumptions!$F$52, Assumptions!$P$52, 0)</f>
        <v>0</v>
      </c>
      <c r="D15" s="360">
        <f>IF(D7&gt;Assumptions!$F$52, C15*(1+C3), IF(D7=Assumptions!$F$52, Assumptions!$P$52, 0))</f>
        <v>500</v>
      </c>
      <c r="E15" s="360">
        <f>IF(E7&gt;Assumptions!$F$52, D15*(1+D3), IF(E7=Assumptions!$F$52, Assumptions!$P$52, 0))</f>
        <v>523</v>
      </c>
      <c r="F15" s="360">
        <f>IF(F7&gt;Assumptions!$F$52, E15*(1+E3), IF(F7=Assumptions!$F$52, Assumptions!$P$52, 0))</f>
        <v>547.05799999999999</v>
      </c>
      <c r="G15" s="360">
        <f>IF(G7&gt;Assumptions!$F$52, F15*(1+F3), IF(G7=Assumptions!$F$52, Assumptions!$P$52, 0))</f>
        <v>572.222668</v>
      </c>
      <c r="H15" s="360">
        <f>IF(H7&gt;Assumptions!$F$52, G15*(1+G3), IF(H7=Assumptions!$F$52, Assumptions!$P$52, 0))</f>
        <v>598.54491072799999</v>
      </c>
      <c r="I15" s="360">
        <f>IF(I7&gt;Assumptions!$F$52, H15*(1+H3), IF(I7=Assumptions!$F$52, Assumptions!$P$52, 0))</f>
        <v>626.07797662148801</v>
      </c>
      <c r="J15" s="360">
        <f>IF(J7&gt;Assumptions!$F$52, I15*(1+I3), IF(J7=Assumptions!$F$52, Assumptions!$P$52, 0))</f>
        <v>654.87756354607643</v>
      </c>
      <c r="K15" s="360">
        <f>IF(K7&gt;Assumptions!$F$52, J15*(1+J3), IF(K7=Assumptions!$F$52, Assumptions!$P$52, 0))</f>
        <v>685.00193146919594</v>
      </c>
      <c r="L15" s="360">
        <f>IF(L7&gt;Assumptions!$F$52, K15*(1+K3), IF(L7=Assumptions!$F$52, Assumptions!$P$52, 0))</f>
        <v>716.51202031677894</v>
      </c>
      <c r="M15" s="358"/>
      <c r="N15" s="358"/>
      <c r="O15" s="358"/>
      <c r="P15" s="358" t="s">
        <v>342</v>
      </c>
      <c r="Q15" s="374">
        <f>IF(Q7=Assumptions!$F$52, Assumptions!$D$52, 0)</f>
        <v>0</v>
      </c>
      <c r="R15" s="374">
        <f>IF(R7&gt;Assumptions!$F$52, Q15*(1+C28), IF(R7=Assumptions!$F$52, Assumptions!$D$52, 0))</f>
        <v>300</v>
      </c>
      <c r="S15" s="374">
        <f ca="1">IF(S7&gt;Assumptions!$F$52, R15*(1+D28), IF(S7=Assumptions!$F$52, Assumptions!$D$52, 0))</f>
        <v>301.11277676803013</v>
      </c>
      <c r="T15" s="374">
        <f ca="1">IF(T7&gt;Assumptions!$F$52, S15*(1+E28), IF(T7=Assumptions!$F$52, Assumptions!$D$52, 0))</f>
        <v>303.20057605817976</v>
      </c>
      <c r="U15" s="374">
        <f ca="1">IF(U7&gt;Assumptions!$F$52, T15*(1+F28), IF(U7=Assumptions!$F$52, Assumptions!$D$52, 0))</f>
        <v>306.22802074107932</v>
      </c>
      <c r="V15" s="374">
        <f ca="1">IF(V7&gt;Assumptions!$F$52, U15*(1+G28), IF(V7=Assumptions!$F$52, Assumptions!$D$52, 0))</f>
        <v>310.47046268128281</v>
      </c>
      <c r="W15" s="374">
        <f ca="1">IF(W7&gt;Assumptions!$F$52, V15*(1+H28), IF(W7=Assumptions!$F$52, Assumptions!$D$52, 0))</f>
        <v>315.55677085327437</v>
      </c>
      <c r="X15" s="374">
        <f ca="1">IF(X7&gt;Assumptions!$F$52, W15*(1+I28), IF(X7=Assumptions!$F$52, Assumptions!$D$52, 0))</f>
        <v>321.87588100527364</v>
      </c>
      <c r="Y15" s="374">
        <f ca="1">IF(Y7&gt;Assumptions!$F$52, X15*(1+J28), IF(Y7=Assumptions!$F$52, Assumptions!$D$52, 0))</f>
        <v>329.15906661554277</v>
      </c>
      <c r="Z15" s="374">
        <f ca="1">IF(Z7&gt;Assumptions!$F$52, Y15*(1+K28), IF(Z7=Assumptions!$F$52, Assumptions!$D$52, 0))</f>
        <v>337.79284309919763</v>
      </c>
      <c r="AA15" s="402"/>
      <c r="AB15" s="397" t="s">
        <v>342</v>
      </c>
      <c r="AC15" s="396">
        <f>IF(AC$67=Assumptions!$I$52, Assumptions!$P$52, 0)</f>
        <v>0</v>
      </c>
      <c r="AD15" s="396">
        <f>IF(AD7&gt;Assumptions!$I$52, AC15*(1+AC3), IF(AD7=Assumptions!$I$52, Assumptions!$P$52, 0))</f>
        <v>0</v>
      </c>
      <c r="AE15" s="396">
        <f>IF(AE7&gt;Assumptions!$I$52, AD15*(1+AD3), IF(AE7=Assumptions!$I$52, Assumptions!$P$52, 0))</f>
        <v>0</v>
      </c>
      <c r="AF15" s="396">
        <f>IF(AF7&gt;Assumptions!$I$52, AE15*(1+AE3), IF(AF7=Assumptions!$I$52, Assumptions!$P$52, 0))</f>
        <v>0</v>
      </c>
      <c r="AG15" s="396">
        <f>IF(AG7&gt;Assumptions!$I$52, AF15*(1+AF3), IF(AG7=Assumptions!$I$52, Assumptions!$P$52, 0))</f>
        <v>500</v>
      </c>
      <c r="AH15" s="396">
        <f>IF(AH7&gt;Assumptions!$I$52, AG15*(1+AG3), IF(AH7=Assumptions!$I$52, Assumptions!$P$52, 0))</f>
        <v>520</v>
      </c>
      <c r="AI15" s="396">
        <f>IF(AI7&gt;Assumptions!$I$52, AH15*(1+AH3), IF(AI7=Assumptions!$I$52, Assumptions!$P$52, 0))</f>
        <v>540.80000000000007</v>
      </c>
      <c r="AJ15" s="396">
        <f>IF(AJ7&gt;Assumptions!$I$52, AI15*(1+AI3), IF(AJ7=Assumptions!$I$52, Assumptions!$P$52, 0))</f>
        <v>562.43200000000013</v>
      </c>
      <c r="AK15" s="396">
        <f>IF(AK7&gt;Assumptions!$I$52, AJ15*(1+AJ3), IF(AK7=Assumptions!$I$52, Assumptions!$P$52, 0))</f>
        <v>584.92928000000018</v>
      </c>
      <c r="AL15" s="396">
        <f>IF(AL7&gt;Assumptions!$I$52, AK15*(1+AK3), IF(AL7=Assumptions!$I$52, Assumptions!$P$52, 0))</f>
        <v>608.32645120000018</v>
      </c>
      <c r="AM15" s="369"/>
      <c r="AN15" s="369"/>
      <c r="AO15" s="369"/>
      <c r="AP15" s="369" t="s">
        <v>342</v>
      </c>
      <c r="AQ15" s="373">
        <f>IF(AQ7=Assumptions!$I$52, Assumptions!$D$52, 0)</f>
        <v>0</v>
      </c>
      <c r="AR15" s="373">
        <f>IF(AR7&gt;Assumptions!$F$52, AQ15*(1+AC28), IF(AR7=Assumptions!$I$52, Assumptions!$D$52, 0))</f>
        <v>0</v>
      </c>
      <c r="AS15" s="373">
        <f ca="1">IF(AS7&gt;Assumptions!$F$52, AR15*(1+AD28), IF(AS7=Assumptions!$I$52, Assumptions!$D$52, 0))</f>
        <v>0</v>
      </c>
      <c r="AT15" s="373">
        <f ca="1">IF(AT7&gt;Assumptions!$F$52, AS15*(1+AE28), IF(AT7=Assumptions!$I$52, Assumptions!$D$52, 0))</f>
        <v>0</v>
      </c>
      <c r="AU15" s="373">
        <f ca="1">IF(AU7&gt;Assumptions!$F$52, AT15*(1+AF28), IF(AU7=Assumptions!$I$52, Assumptions!$D$52, 0))</f>
        <v>0</v>
      </c>
      <c r="AV15" s="373">
        <f ca="1">IF(AV7&gt;Assumptions!$F$52, AU15*(1+AG28), IF(AV7=Assumptions!$I$52, Assumptions!$D$52, 0))</f>
        <v>0</v>
      </c>
      <c r="AW15" s="373">
        <f ca="1">IF(AW7&gt;Assumptions!$F$52, AV15*(1+AH28), IF(AW7=Assumptions!$I$52, Assumptions!$D$52, 0))</f>
        <v>0</v>
      </c>
      <c r="AX15" s="373">
        <f ca="1">IF(AX7&gt;Assumptions!$F$52, AW15*(1+AI28), IF(AX7=Assumptions!$I$52, Assumptions!$D$52, 0))</f>
        <v>0</v>
      </c>
      <c r="AY15" s="373">
        <f ca="1">IF(AY7&gt;Assumptions!$F$52, AX15*(1+AJ28), IF(AY7=Assumptions!$I$52, Assumptions!$D$52, 0))</f>
        <v>0</v>
      </c>
      <c r="AZ15" s="373">
        <f ca="1">IF(AZ7&gt;Assumptions!$F$52, AY15*(1+AK28), IF(AZ7=Assumptions!$I$52, Assumptions!$D$52, 0))</f>
        <v>0</v>
      </c>
      <c r="BC15" s="535"/>
      <c r="BD15" s="536"/>
      <c r="BE15" s="536"/>
      <c r="BF15" s="536"/>
      <c r="BG15" s="536"/>
      <c r="BH15" s="536"/>
      <c r="BI15" s="536"/>
      <c r="BJ15" s="536"/>
      <c r="BK15" s="536"/>
      <c r="BL15" s="536"/>
      <c r="BM15" s="536"/>
    </row>
    <row r="16" spans="2:65">
      <c r="B16" s="358" t="s">
        <v>343</v>
      </c>
      <c r="C16" s="360">
        <f>IF(C7=Assumptions!$F$53, Assumptions!$P$53, 0)</f>
        <v>0</v>
      </c>
      <c r="D16" s="360">
        <f>IF(D7&gt;Assumptions!$F$53, C16*(1+C3), IF(D7=Assumptions!$F$53, Assumptions!$P$53, 0))</f>
        <v>300</v>
      </c>
      <c r="E16" s="360">
        <f>IF(E7&gt;Assumptions!$F$53, D16*(1+D3), IF(E7=Assumptions!$F$53, Assumptions!$P$53, 0))</f>
        <v>313.8</v>
      </c>
      <c r="F16" s="360">
        <f>IF(F7&gt;Assumptions!$F$53, E16*(1+E3), IF(F7=Assumptions!$F$53, Assumptions!$P$53, 0))</f>
        <v>328.23480000000001</v>
      </c>
      <c r="G16" s="360">
        <f>IF(G7&gt;Assumptions!$F$53, F16*(1+F3), IF(G7=Assumptions!$F$53, Assumptions!$P$53, 0))</f>
        <v>343.3336008</v>
      </c>
      <c r="H16" s="360">
        <f>IF(H7&gt;Assumptions!$F$53, G16*(1+G3), IF(H7=Assumptions!$F$53, Assumptions!$P$53, 0))</f>
        <v>359.12694643680004</v>
      </c>
      <c r="I16" s="360">
        <f>IF(I7&gt;Assumptions!$F$53, H16*(1+H3), IF(I7=Assumptions!$F$53, Assumptions!$P$53, 0))</f>
        <v>375.64678597289287</v>
      </c>
      <c r="J16" s="360">
        <f>IF(J7&gt;Assumptions!$F$53, I16*(1+I3), IF(J7=Assumptions!$F$53, Assumptions!$P$53, 0))</f>
        <v>392.92653812764598</v>
      </c>
      <c r="K16" s="360">
        <f>IF(K7&gt;Assumptions!$F$53, J16*(1+J3), IF(K7=Assumptions!$F$53, Assumptions!$P$53, 0))</f>
        <v>411.00115888151771</v>
      </c>
      <c r="L16" s="360">
        <f>IF(L7&gt;Assumptions!$F$53, K16*(1+K3), IF(L7=Assumptions!$F$53, Assumptions!$P$53, 0))</f>
        <v>429.90721219006753</v>
      </c>
      <c r="M16" s="358"/>
      <c r="N16" s="358"/>
      <c r="O16" s="358"/>
      <c r="P16" s="358" t="s">
        <v>343</v>
      </c>
      <c r="Q16" s="374">
        <f>IF(Q7=Assumptions!$F$53, Assumptions!$D$53, 0)</f>
        <v>0</v>
      </c>
      <c r="R16" s="374">
        <f>IF(R7&gt;Assumptions!$F$53, Q16*(1+C29), IF(R7=Assumptions!$F$53, Assumptions!$D$53, 0))</f>
        <v>1500</v>
      </c>
      <c r="S16" s="374">
        <f ca="1">IF(S7&gt;Assumptions!$F$53, R16*(1+D29), IF(S7=Assumptions!$F$53, Assumptions!$D$53, 0))</f>
        <v>1505.3138275405563</v>
      </c>
      <c r="T16" s="374">
        <f ca="1">IF(T7&gt;Assumptions!$F$53, S16*(1+E29), IF(T7=Assumptions!$F$53, Assumptions!$D$53, 0))</f>
        <v>1514.5466968647304</v>
      </c>
      <c r="U16" s="374">
        <f ca="1">IF(U7&gt;Assumptions!$F$53, T16*(1+F29), IF(U7=Assumptions!$F$53, Assumptions!$D$53, 0))</f>
        <v>1529.6970939151583</v>
      </c>
      <c r="V16" s="374">
        <f ca="1">IF(V7&gt;Assumptions!$F$53, U16*(1+G29), IF(V7=Assumptions!$F$53, Assumptions!$D$53, 0))</f>
        <v>1550.8970809506304</v>
      </c>
      <c r="W16" s="374">
        <f ca="1">IF(W7&gt;Assumptions!$F$53, V16*(1+H29), IF(W7=Assumptions!$F$53, Assumptions!$D$53, 0))</f>
        <v>1578.5656712522593</v>
      </c>
      <c r="X16" s="374">
        <f ca="1">IF(X7&gt;Assumptions!$F$53, W16*(1+I29), IF(X7=Assumptions!$F$53, Assumptions!$D$53, 0))</f>
        <v>1612.4646137182972</v>
      </c>
      <c r="Y16" s="374">
        <f ca="1">IF(Y7&gt;Assumptions!$F$53, X16*(1+J29), IF(Y7=Assumptions!$F$53, Assumptions!$D$53, 0))</f>
        <v>1653.0737429193464</v>
      </c>
      <c r="Z16" s="374">
        <f ca="1">IF(Z7&gt;Assumptions!$F$53, Y16*(1+K29), IF(Z7=Assumptions!$F$53, Assumptions!$D$53, 0))</f>
        <v>1700.0830440409957</v>
      </c>
      <c r="AA16" s="402"/>
      <c r="AB16" s="397" t="s">
        <v>343</v>
      </c>
      <c r="AC16" s="396">
        <f>IF(AC$67=Assumptions!$I$53, Assumptions!$P$53, 0)</f>
        <v>0</v>
      </c>
      <c r="AD16" s="396">
        <f>IF(AD7&gt;Assumptions!$I$53, AC16*(1+AC3), IF(AD7=Assumptions!$I$53, Assumptions!$P$53, 0))</f>
        <v>0</v>
      </c>
      <c r="AE16" s="396">
        <f>IF(AE7&gt;Assumptions!$I$53, AD16*(1+AD3), IF(AE7=Assumptions!$I$53, Assumptions!$P$53, 0))</f>
        <v>0</v>
      </c>
      <c r="AF16" s="396">
        <f>IF(AF7&gt;Assumptions!$I$53, AE16*(1+AE3), IF(AF7=Assumptions!$I$53, Assumptions!$P$53, 0))</f>
        <v>0</v>
      </c>
      <c r="AG16" s="396">
        <f>IF(AG7&gt;Assumptions!$I$53, AF16*(1+AF3), IF(AG7=Assumptions!$I$53, Assumptions!$P$53, 0))</f>
        <v>300</v>
      </c>
      <c r="AH16" s="396">
        <f>IF(AH7&gt;Assumptions!$I$53, AG16*(1+AG3), IF(AH7=Assumptions!$I$53, Assumptions!$P$53, 0))</f>
        <v>312</v>
      </c>
      <c r="AI16" s="396">
        <f>IF(AI7&gt;Assumptions!$I$53, AH16*(1+AH3), IF(AI7=Assumptions!$I$53, Assumptions!$P$53, 0))</f>
        <v>324.48</v>
      </c>
      <c r="AJ16" s="396">
        <f>IF(AJ7&gt;Assumptions!$I$53, AI16*(1+AI3), IF(AJ7=Assumptions!$I$53, Assumptions!$P$53, 0))</f>
        <v>337.45920000000001</v>
      </c>
      <c r="AK16" s="396">
        <f>IF(AK7&gt;Assumptions!$I$53, AJ16*(1+AJ3), IF(AK7=Assumptions!$I$53, Assumptions!$P$53, 0))</f>
        <v>350.95756800000004</v>
      </c>
      <c r="AL16" s="396">
        <f>IF(AL7&gt;Assumptions!$I$53, AK16*(1+AK3), IF(AL7=Assumptions!$I$53, Assumptions!$P$53, 0))</f>
        <v>364.99587072000003</v>
      </c>
      <c r="AM16" s="369"/>
      <c r="AN16" s="369"/>
      <c r="AO16" s="369"/>
      <c r="AP16" s="369" t="s">
        <v>343</v>
      </c>
      <c r="AQ16" s="373">
        <f>IF(AQ7=Assumptions!$I$53, Assumptions!$D$53, 0)</f>
        <v>0</v>
      </c>
      <c r="AR16" s="373">
        <f>IF(AR7&gt;Assumptions!$I$53, AQ16*(1+AC29), IF(AR7=Assumptions!$I$53, Assumptions!$D$53, 0))</f>
        <v>0</v>
      </c>
      <c r="AS16" s="373">
        <f>IF(AS7&gt;Assumptions!$I$53, AR16*(1+AD29), IF(AS7=Assumptions!$I$53, Assumptions!$D$53, 0))</f>
        <v>0</v>
      </c>
      <c r="AT16" s="373">
        <f>IF(AT7&gt;Assumptions!$I$53, AS16*(1+AE29), IF(AT7=Assumptions!$I$53, Assumptions!$D$53, 0))</f>
        <v>0</v>
      </c>
      <c r="AU16" s="373">
        <f>IF(AU7&gt;Assumptions!$I$53, AT16*(1+AF29), IF(AU7=Assumptions!$I$53, Assumptions!$D$53, 0))</f>
        <v>1500</v>
      </c>
      <c r="AV16" s="373">
        <f ca="1">IF(AV7&gt;Assumptions!$I$53, AU16*(1+AG29), IF(AV7=Assumptions!$I$53, Assumptions!$D$53, 0))</f>
        <v>1521.7306280984353</v>
      </c>
      <c r="AW16" s="373">
        <f ca="1">IF(AW7&gt;Assumptions!$I$53, AV16*(1+AH29), IF(AW7=Assumptions!$I$53, Assumptions!$D$53, 0))</f>
        <v>1548.9369528779616</v>
      </c>
      <c r="AX16" s="373">
        <f ca="1">IF(AX7&gt;Assumptions!$I$53, AW16*(1+AI29), IF(AX7=Assumptions!$I$53, Assumptions!$D$53, 0))</f>
        <v>1582.6627766165923</v>
      </c>
      <c r="AY16" s="373">
        <f ca="1">IF(AY7&gt;Assumptions!$I$53, AX16*(1+AJ29), IF(AY7=Assumptions!$I$53, Assumptions!$D$53, 0))</f>
        <v>1621.7023774317759</v>
      </c>
      <c r="AZ16" s="373">
        <f ca="1">IF(AZ7&gt;Assumptions!$I$53, AY16*(1+AK29), IF(AZ7=Assumptions!$I$53, Assumptions!$D$53, 0))</f>
        <v>1667.4294466710155</v>
      </c>
      <c r="BC16" s="535"/>
      <c r="BD16" s="536"/>
      <c r="BE16" s="536"/>
      <c r="BF16" s="536"/>
      <c r="BG16" s="536"/>
      <c r="BH16" s="536"/>
      <c r="BI16" s="536"/>
      <c r="BJ16" s="536"/>
      <c r="BK16" s="536"/>
      <c r="BL16" s="536"/>
      <c r="BM16" s="536"/>
    </row>
    <row r="17" spans="2:65">
      <c r="B17" s="358" t="s">
        <v>344</v>
      </c>
      <c r="C17" s="360">
        <f>IF(C7=Assumptions!$F$54, Assumptions!$P$54, 0)</f>
        <v>0</v>
      </c>
      <c r="D17" s="360">
        <f>IF(D7&gt;Assumptions!$F$54, C17*(1+C3), IF(D7=Assumptions!$F$54, Assumptions!$P$54, 0))</f>
        <v>700</v>
      </c>
      <c r="E17" s="360">
        <f>IF(E7&gt;Assumptions!$F$54, D17*(1+D3), IF(E7=Assumptions!$F$54, Assumptions!$P$54, 0))</f>
        <v>732.2</v>
      </c>
      <c r="F17" s="360">
        <f>IF(F7&gt;Assumptions!$F$54, E17*(1+E3), IF(F7=Assumptions!$F$54, Assumptions!$P$54, 0))</f>
        <v>765.88120000000004</v>
      </c>
      <c r="G17" s="360">
        <f>IF(G7&gt;Assumptions!$F$54, F17*(1+F3), IF(G7=Assumptions!$F$54, Assumptions!$P$54, 0))</f>
        <v>801.11173520000011</v>
      </c>
      <c r="H17" s="360">
        <f>IF(H7&gt;Assumptions!$F$54, G17*(1+G3), IF(H7=Assumptions!$F$54, Assumptions!$P$54, 0))</f>
        <v>837.96287501920017</v>
      </c>
      <c r="I17" s="360">
        <f>IF(I7&gt;Assumptions!$F$54, H17*(1+H3), IF(I7=Assumptions!$F$54, Assumptions!$P$54, 0))</f>
        <v>876.50916727008337</v>
      </c>
      <c r="J17" s="360">
        <f>IF(J7&gt;Assumptions!$F$54, I17*(1+I3), IF(J7=Assumptions!$F$54, Assumptions!$P$54, 0))</f>
        <v>916.82858896450728</v>
      </c>
      <c r="K17" s="360">
        <f>IF(K7&gt;Assumptions!$F$54, J17*(1+J3), IF(K7=Assumptions!$F$54, Assumptions!$P$54, 0))</f>
        <v>959.00270405687468</v>
      </c>
      <c r="L17" s="360">
        <f>IF(L7&gt;Assumptions!$F$54, K17*(1+K3), IF(L7=Assumptions!$F$54, Assumptions!$P$54, 0))</f>
        <v>1003.1168284434909</v>
      </c>
      <c r="M17" s="358"/>
      <c r="N17" s="358"/>
      <c r="O17" s="358"/>
      <c r="P17" s="358" t="s">
        <v>344</v>
      </c>
      <c r="Q17" s="374">
        <f>IF(Q7=Assumptions!$F$53, Assumptions!$D$54, 0)</f>
        <v>0</v>
      </c>
      <c r="R17" s="374">
        <f>IF(R7&gt;Assumptions!$F$54, Q17*(1+C30), IF(R7=Assumptions!$F$54, Assumptions!$D$54, 0))</f>
        <v>700</v>
      </c>
      <c r="S17" s="374">
        <f ca="1">IF(S7&gt;Assumptions!$F$54, R17*(1+D30), IF(S7=Assumptions!$F$54, Assumptions!$D$54, 0))</f>
        <v>702.53078209146599</v>
      </c>
      <c r="T17" s="374">
        <f ca="1">IF(T7&gt;Assumptions!$F$54, S17*(1+E30), IF(T7=Assumptions!$F$54, Assumptions!$D$54, 0))</f>
        <v>707.83707715854007</v>
      </c>
      <c r="U17" s="374">
        <f ca="1">IF(U7&gt;Assumptions!$F$54, T17*(1+F30), IF(U7=Assumptions!$F$54, Assumptions!$D$54, 0))</f>
        <v>715.58259405629792</v>
      </c>
      <c r="V17" s="374">
        <f ca="1">IF(V7&gt;Assumptions!$F$54, U17*(1+G30), IF(V7=Assumptions!$F$54, Assumptions!$D$54, 0))</f>
        <v>725.98916921224338</v>
      </c>
      <c r="W17" s="374">
        <f ca="1">IF(W7&gt;Assumptions!$F$54, V17*(1+H30), IF(W7=Assumptions!$F$54, Assumptions!$D$54, 0))</f>
        <v>738.65898529022991</v>
      </c>
      <c r="X17" s="374">
        <f ca="1">IF(X7&gt;Assumptions!$F$54, W17*(1+I30), IF(X7=Assumptions!$F$54, Assumptions!$D$54, 0))</f>
        <v>754.49558861611206</v>
      </c>
      <c r="Y17" s="374">
        <f ca="1">IF(Y7&gt;Assumptions!$F$54, X17*(1+J30), IF(Y7=Assumptions!$F$54, Assumptions!$D$54, 0))</f>
        <v>773.53003457352258</v>
      </c>
      <c r="Z17" s="374">
        <f ca="1">IF(Z7&gt;Assumptions!$F$54, Y17*(1+K30), IF(Z7=Assumptions!$F$54, Assumptions!$D$54, 0))</f>
        <v>795.71830461311492</v>
      </c>
      <c r="AA17" s="402"/>
      <c r="AB17" s="397" t="s">
        <v>344</v>
      </c>
      <c r="AC17" s="396">
        <f>IF(AC$67=Assumptions!$I$54, Assumptions!$P$54, 0)</f>
        <v>0</v>
      </c>
      <c r="AD17" s="396">
        <f>IF(AD7&gt;Assumptions!$I$54, AC17*(1+AC3), IF(AD7=Assumptions!$I$54, Assumptions!$P$54, 0))</f>
        <v>0</v>
      </c>
      <c r="AE17" s="396">
        <f>IF(AE7&gt;Assumptions!$I$54, AD17*(1+AD3), IF(AE7=Assumptions!$I$54, Assumptions!$P$54, 0))</f>
        <v>0</v>
      </c>
      <c r="AF17" s="396">
        <f>IF(AF7&gt;Assumptions!$I$54, AE17*(1+AE3), IF(AF7=Assumptions!$I$54, Assumptions!$P$54, 0))</f>
        <v>0</v>
      </c>
      <c r="AG17" s="396">
        <f>IF(AG7&gt;Assumptions!$I$54, AF17*(1+AF3), IF(AG7=Assumptions!$I$54, Assumptions!$P$54, 0))</f>
        <v>700</v>
      </c>
      <c r="AH17" s="396">
        <f>IF(AH7&gt;Assumptions!$I$54, AG17*(1+AG3), IF(AH7=Assumptions!$I$54, Assumptions!$P$54, 0))</f>
        <v>728</v>
      </c>
      <c r="AI17" s="396">
        <f>IF(AI7&gt;Assumptions!$I$54, AH17*(1+AH3), IF(AI7=Assumptions!$I$54, Assumptions!$P$54, 0))</f>
        <v>757.12</v>
      </c>
      <c r="AJ17" s="396">
        <f>IF(AJ7&gt;Assumptions!$I$54, AI17*(1+AI3), IF(AJ7=Assumptions!$I$54, Assumptions!$P$54, 0))</f>
        <v>787.40480000000002</v>
      </c>
      <c r="AK17" s="396">
        <f>IF(AK7&gt;Assumptions!$I$54, AJ17*(1+AJ3), IF(AK7=Assumptions!$I$54, Assumptions!$P$54, 0))</f>
        <v>818.90099200000009</v>
      </c>
      <c r="AL17" s="396">
        <f>IF(AL7&gt;Assumptions!$I$54, AK17*(1+AK3), IF(AL7=Assumptions!$I$54, Assumptions!$P$54, 0))</f>
        <v>851.65703168000016</v>
      </c>
      <c r="AM17" s="369"/>
      <c r="AN17" s="369"/>
      <c r="AO17" s="369"/>
      <c r="AP17" s="369" t="s">
        <v>344</v>
      </c>
      <c r="AQ17" s="373">
        <f>IF(AQ7=Assumptions!$I$53, Assumptions!$D$54, 0)</f>
        <v>0</v>
      </c>
      <c r="AR17" s="373">
        <f>IF(AR7&gt;Assumptions!$F$54, AQ17*(1+AC30), IF(AR7=Assumptions!$I$54, Assumptions!$D$54, 0))</f>
        <v>0</v>
      </c>
      <c r="AS17" s="373">
        <f ca="1">IF(AS7&gt;Assumptions!$F$54, AR17*(1+AD30), IF(AS7=Assumptions!$I$54, Assumptions!$D$54, 0))</f>
        <v>0</v>
      </c>
      <c r="AT17" s="373">
        <f ca="1">IF(AT7&gt;Assumptions!$F$54, AS17*(1+AE30), IF(AT7=Assumptions!$I$54, Assumptions!$D$54, 0))</f>
        <v>0</v>
      </c>
      <c r="AU17" s="373">
        <f ca="1">IF(AU7&gt;Assumptions!$F$54, AT17*(1+AF30), IF(AU7=Assumptions!$I$54, Assumptions!$D$54, 0))</f>
        <v>0</v>
      </c>
      <c r="AV17" s="373">
        <f ca="1">IF(AV7&gt;Assumptions!$F$54, AU17*(1+AG30), IF(AV7=Assumptions!$I$54, Assumptions!$D$54, 0))</f>
        <v>0</v>
      </c>
      <c r="AW17" s="373">
        <f ca="1">IF(AW7&gt;Assumptions!$F$54, AV17*(1+AH30), IF(AW7=Assumptions!$I$54, Assumptions!$D$54, 0))</f>
        <v>0</v>
      </c>
      <c r="AX17" s="373">
        <f ca="1">IF(AX7&gt;Assumptions!$F$54, AW17*(1+AI30), IF(AX7=Assumptions!$I$54, Assumptions!$D$54, 0))</f>
        <v>0</v>
      </c>
      <c r="AY17" s="373">
        <f ca="1">IF(AY7&gt;Assumptions!$F$54, AX17*(1+AJ30), IF(AY7=Assumptions!$I$54, Assumptions!$D$54, 0))</f>
        <v>0</v>
      </c>
      <c r="AZ17" s="373">
        <f ca="1">IF(AZ7&gt;Assumptions!$F$54, AY17*(1+AK30), IF(AZ7=Assumptions!$I$54, Assumptions!$D$54, 0))</f>
        <v>0</v>
      </c>
      <c r="BC17" s="535"/>
      <c r="BD17" s="536"/>
      <c r="BE17" s="536"/>
      <c r="BF17" s="536"/>
      <c r="BG17" s="536"/>
      <c r="BH17" s="536"/>
      <c r="BI17" s="536"/>
      <c r="BJ17" s="536"/>
      <c r="BK17" s="536"/>
      <c r="BL17" s="536"/>
      <c r="BM17" s="536"/>
    </row>
    <row r="18" spans="2:65">
      <c r="B18" s="358"/>
      <c r="C18" s="358"/>
      <c r="D18" s="358"/>
      <c r="E18" s="358"/>
      <c r="F18" s="358"/>
      <c r="G18" s="358"/>
      <c r="H18" s="358"/>
      <c r="I18" s="358"/>
      <c r="J18" s="358"/>
      <c r="K18" s="358"/>
      <c r="L18" s="358"/>
      <c r="M18" s="358"/>
      <c r="N18" s="358"/>
      <c r="O18" s="358"/>
      <c r="P18" s="358"/>
      <c r="Q18" s="358"/>
      <c r="R18" s="358"/>
      <c r="S18" s="358"/>
      <c r="T18" s="358"/>
      <c r="U18" s="358"/>
      <c r="V18" s="358"/>
      <c r="W18" s="358"/>
      <c r="X18" s="358"/>
      <c r="Y18" s="358"/>
      <c r="Z18" s="358"/>
      <c r="AA18" s="402"/>
      <c r="AB18" s="369"/>
      <c r="AC18" s="369"/>
      <c r="AD18" s="369"/>
      <c r="AE18" s="369"/>
      <c r="AF18" s="369"/>
      <c r="AG18" s="369"/>
      <c r="AH18" s="369"/>
      <c r="AI18" s="369"/>
      <c r="AJ18" s="369"/>
      <c r="AK18" s="369"/>
      <c r="AL18" s="369"/>
      <c r="AM18" s="369"/>
      <c r="AN18" s="369"/>
      <c r="AO18" s="369"/>
      <c r="AP18" s="369"/>
      <c r="AQ18" s="369"/>
      <c r="AR18" s="369"/>
      <c r="AS18" s="369"/>
      <c r="AT18" s="369"/>
      <c r="AU18" s="369"/>
      <c r="AV18" s="369"/>
      <c r="AW18" s="369"/>
      <c r="AX18" s="369"/>
      <c r="AY18" s="369"/>
      <c r="AZ18" s="369"/>
      <c r="BC18" s="402"/>
      <c r="BD18" s="402"/>
      <c r="BE18" s="402"/>
      <c r="BF18" s="402"/>
      <c r="BG18" s="402"/>
      <c r="BH18" s="402"/>
      <c r="BI18" s="402"/>
      <c r="BJ18" s="402"/>
      <c r="BK18" s="402"/>
      <c r="BL18" s="402"/>
      <c r="BM18" s="402"/>
    </row>
    <row r="19" spans="2:65">
      <c r="B19" s="358"/>
      <c r="C19" s="358"/>
      <c r="D19" s="358"/>
      <c r="E19" s="358"/>
      <c r="F19" s="358"/>
      <c r="G19" s="358"/>
      <c r="H19" s="358"/>
      <c r="I19" s="358"/>
      <c r="J19" s="358"/>
      <c r="K19" s="358"/>
      <c r="L19" s="358"/>
      <c r="M19" s="358"/>
      <c r="N19" s="358"/>
      <c r="O19" s="358"/>
      <c r="P19" s="358"/>
      <c r="Q19" s="358"/>
      <c r="R19" s="358"/>
      <c r="S19" s="358"/>
      <c r="T19" s="358"/>
      <c r="U19" s="358"/>
      <c r="V19" s="358"/>
      <c r="W19" s="358"/>
      <c r="X19" s="358"/>
      <c r="Y19" s="358"/>
      <c r="Z19" s="358"/>
      <c r="AA19" s="402"/>
      <c r="AB19" s="369"/>
      <c r="AC19" s="369"/>
      <c r="AD19" s="369"/>
      <c r="AE19" s="369"/>
      <c r="AF19" s="369"/>
      <c r="AG19" s="369"/>
      <c r="AH19" s="369"/>
      <c r="AI19" s="369"/>
      <c r="AJ19" s="369"/>
      <c r="AK19" s="369"/>
      <c r="AL19" s="369"/>
      <c r="AM19" s="369"/>
      <c r="AN19" s="369"/>
      <c r="AO19" s="369"/>
      <c r="AP19" s="369"/>
      <c r="AQ19" s="369"/>
      <c r="AR19" s="369"/>
      <c r="AS19" s="369"/>
      <c r="AT19" s="369"/>
      <c r="AU19" s="369"/>
      <c r="AV19" s="369"/>
      <c r="AW19" s="369"/>
      <c r="AX19" s="369"/>
      <c r="AY19" s="369"/>
      <c r="AZ19" s="369"/>
    </row>
    <row r="20" spans="2:65">
      <c r="B20" s="358"/>
      <c r="C20" s="358" t="s">
        <v>248</v>
      </c>
      <c r="D20" s="358"/>
      <c r="E20" s="358"/>
      <c r="F20" s="358"/>
      <c r="G20" s="358"/>
      <c r="H20" s="358"/>
      <c r="I20" s="358"/>
      <c r="J20" s="358"/>
      <c r="K20" s="358"/>
      <c r="L20" s="358"/>
      <c r="M20" s="358"/>
      <c r="N20" s="358"/>
      <c r="O20" s="358"/>
      <c r="P20" s="358"/>
      <c r="Q20" s="358" t="s">
        <v>248</v>
      </c>
      <c r="R20" s="358"/>
      <c r="S20" s="358"/>
      <c r="T20" s="358"/>
      <c r="U20" s="358"/>
      <c r="V20" s="358"/>
      <c r="W20" s="358"/>
      <c r="X20" s="358"/>
      <c r="Y20" s="358"/>
      <c r="Z20" s="358"/>
      <c r="AA20" s="402"/>
      <c r="AB20" s="369"/>
      <c r="AC20" s="397" t="s">
        <v>248</v>
      </c>
      <c r="AD20" s="397"/>
      <c r="AE20" s="397"/>
      <c r="AF20" s="397"/>
      <c r="AG20" s="397"/>
      <c r="AH20" s="397"/>
      <c r="AI20" s="397"/>
      <c r="AJ20" s="397"/>
      <c r="AK20" s="397"/>
      <c r="AL20" s="397"/>
      <c r="AM20" s="369"/>
      <c r="AN20" s="369"/>
      <c r="AO20" s="369"/>
      <c r="AP20" s="369"/>
      <c r="AQ20" s="397" t="s">
        <v>248</v>
      </c>
      <c r="AR20" s="397"/>
      <c r="AS20" s="397"/>
      <c r="AT20" s="397"/>
      <c r="AU20" s="397"/>
      <c r="AV20" s="397"/>
      <c r="AW20" s="397"/>
      <c r="AX20" s="397"/>
      <c r="AY20" s="397"/>
      <c r="AZ20" s="397"/>
    </row>
    <row r="21" spans="2:65">
      <c r="B21" s="358"/>
      <c r="C21" s="358">
        <v>1</v>
      </c>
      <c r="D21" s="358">
        <v>2</v>
      </c>
      <c r="E21" s="358">
        <v>3</v>
      </c>
      <c r="F21" s="358">
        <v>4</v>
      </c>
      <c r="G21" s="358">
        <v>5</v>
      </c>
      <c r="H21" s="358">
        <v>6</v>
      </c>
      <c r="I21" s="358">
        <v>7</v>
      </c>
      <c r="J21" s="358">
        <v>8</v>
      </c>
      <c r="K21" s="358">
        <v>9</v>
      </c>
      <c r="L21" s="358">
        <v>10</v>
      </c>
      <c r="M21" s="358"/>
      <c r="N21" s="358"/>
      <c r="O21" s="358"/>
      <c r="P21" s="358" t="s">
        <v>348</v>
      </c>
      <c r="Q21" s="358">
        <v>1</v>
      </c>
      <c r="R21" s="358">
        <v>2</v>
      </c>
      <c r="S21" s="358">
        <v>3</v>
      </c>
      <c r="T21" s="358">
        <v>4</v>
      </c>
      <c r="U21" s="358">
        <v>5</v>
      </c>
      <c r="V21" s="358">
        <v>6</v>
      </c>
      <c r="W21" s="358">
        <v>7</v>
      </c>
      <c r="X21" s="358">
        <v>8</v>
      </c>
      <c r="Y21" s="358">
        <v>9</v>
      </c>
      <c r="Z21" s="358">
        <v>10</v>
      </c>
      <c r="AA21" s="402"/>
      <c r="AB21" s="369"/>
      <c r="AC21" s="397">
        <v>1</v>
      </c>
      <c r="AD21" s="397">
        <v>2</v>
      </c>
      <c r="AE21" s="397">
        <v>3</v>
      </c>
      <c r="AF21" s="397">
        <v>4</v>
      </c>
      <c r="AG21" s="397">
        <v>5</v>
      </c>
      <c r="AH21" s="397">
        <v>6</v>
      </c>
      <c r="AI21" s="397">
        <v>7</v>
      </c>
      <c r="AJ21" s="397">
        <v>8</v>
      </c>
      <c r="AK21" s="397">
        <v>9</v>
      </c>
      <c r="AL21" s="397">
        <v>10</v>
      </c>
      <c r="AM21" s="369"/>
      <c r="AN21" s="369"/>
      <c r="AO21" s="369"/>
      <c r="AP21" s="369" t="s">
        <v>348</v>
      </c>
      <c r="AQ21" s="397">
        <v>1</v>
      </c>
      <c r="AR21" s="397">
        <v>2</v>
      </c>
      <c r="AS21" s="397">
        <v>3</v>
      </c>
      <c r="AT21" s="397">
        <v>4</v>
      </c>
      <c r="AU21" s="397">
        <v>5</v>
      </c>
      <c r="AV21" s="397">
        <v>6</v>
      </c>
      <c r="AW21" s="397">
        <v>7</v>
      </c>
      <c r="AX21" s="397">
        <v>8</v>
      </c>
      <c r="AY21" s="397">
        <v>9</v>
      </c>
      <c r="AZ21" s="397">
        <v>10</v>
      </c>
    </row>
    <row r="22" spans="2:65">
      <c r="B22" s="358" t="s">
        <v>331</v>
      </c>
      <c r="C22" s="361">
        <v>0.05</v>
      </c>
      <c r="D22" s="361">
        <f ca="1">C22+_xlfn.NORM.DIST(RAND(), 0, 1, FALSE)%</f>
        <v>5.2606947821779229E-2</v>
      </c>
      <c r="E22" s="361">
        <f t="shared" ref="E22:E30" ca="1" si="0">D22+_xlfn.NORM.DIST(RAND(), 0, 1, FALSE)%</f>
        <v>5.5803080526732218E-2</v>
      </c>
      <c r="F22" s="361">
        <f t="shared" ref="F22:F30" ca="1" si="1">E22+_xlfn.NORM.DIST(RAND(), 0, 1, FALSE)%</f>
        <v>5.8566258880065523E-2</v>
      </c>
      <c r="G22" s="361">
        <f t="shared" ref="G22:G30" ca="1" si="2">F22+_xlfn.NORM.DIST(RAND(), 0, 1, FALSE)%</f>
        <v>6.1152988463094228E-2</v>
      </c>
      <c r="H22" s="361">
        <f t="shared" ref="H22" ca="1" si="3">G22+_xlfn.NORM.DIST(RAND(), 0, 1, FALSE)%</f>
        <v>6.5114901231094091E-2</v>
      </c>
      <c r="I22" s="361">
        <f t="shared" ref="I22:I30" ca="1" si="4">H22+_xlfn.NORM.DIST(RAND(), 0, 1, FALSE)%</f>
        <v>6.8693133311303028E-2</v>
      </c>
      <c r="J22" s="361">
        <f t="shared" ref="J22:L30" ca="1" si="5">I22+_xlfn.NORM.DIST(RAND(), 0, 1, FALSE)%</f>
        <v>7.2579252981464115E-2</v>
      </c>
      <c r="K22" s="361">
        <f t="shared" ref="K22:K25" ca="1" si="6">J22+_xlfn.NORM.DIST(RAND(), 0, 1, FALSE)%</f>
        <v>7.6567338744223987E-2</v>
      </c>
      <c r="L22" s="361">
        <f t="shared" ref="L22:L25" ca="1" si="7">K22+_xlfn.NORM.DIST(RAND(), 0, 1, FALSE)%</f>
        <v>8.0556375447782644E-2</v>
      </c>
      <c r="M22" s="358"/>
      <c r="N22" s="358"/>
      <c r="O22" s="358"/>
      <c r="P22" s="358" t="s">
        <v>331</v>
      </c>
      <c r="Q22" s="360">
        <f>C8*Q8</f>
        <v>7700000</v>
      </c>
      <c r="R22" s="360">
        <f t="shared" ref="R22:Z22" si="8">D8*R8</f>
        <v>8456910</v>
      </c>
      <c r="S22" s="360">
        <f t="shared" ca="1" si="8"/>
        <v>9311285.1253662426</v>
      </c>
      <c r="T22" s="360">
        <f t="shared" ca="1" si="8"/>
        <v>10283104.160899542</v>
      </c>
      <c r="U22" s="360">
        <f t="shared" ca="1" si="8"/>
        <v>11386073.067936229</v>
      </c>
      <c r="V22" s="360">
        <f t="shared" ca="1" si="8"/>
        <v>12638154.274193065</v>
      </c>
      <c r="W22" s="360">
        <f t="shared" ca="1" si="8"/>
        <v>14080296.417809498</v>
      </c>
      <c r="X22" s="360">
        <f t="shared" ca="1" si="8"/>
        <v>15739701.837148983</v>
      </c>
      <c r="Y22" s="360">
        <f t="shared" ca="1" si="8"/>
        <v>17658653.210017689</v>
      </c>
      <c r="Z22" s="360">
        <f t="shared" ca="1" si="8"/>
        <v>19885222.839553226</v>
      </c>
      <c r="AA22" s="402"/>
      <c r="AB22" s="369" t="s">
        <v>331</v>
      </c>
      <c r="AC22" s="372">
        <v>0.02</v>
      </c>
      <c r="AD22" s="372">
        <f ca="1">AC22+_xlfn.NORM.DIST(RAND(), 0, 1, FALSE)%</f>
        <v>2.284700434371861E-2</v>
      </c>
      <c r="AE22" s="372">
        <f t="shared" ref="AE22:AL22" ca="1" si="9">AD22+_xlfn.NORM.DIST(RAND(), 0, 1, FALSE)%</f>
        <v>2.6216455646826869E-2</v>
      </c>
      <c r="AF22" s="372">
        <f t="shared" ca="1" si="9"/>
        <v>3.0203271090326854E-2</v>
      </c>
      <c r="AG22" s="372">
        <f t="shared" ca="1" si="9"/>
        <v>3.2780608270178646E-2</v>
      </c>
      <c r="AH22" s="372">
        <f t="shared" ca="1" si="9"/>
        <v>3.6028850914207523E-2</v>
      </c>
      <c r="AI22" s="372">
        <f t="shared" ca="1" si="9"/>
        <v>3.8720824498122731E-2</v>
      </c>
      <c r="AJ22" s="372">
        <f t="shared" ca="1" si="9"/>
        <v>4.269678428480158E-2</v>
      </c>
      <c r="AK22" s="372">
        <f t="shared" ca="1" si="9"/>
        <v>4.5208079996379658E-2</v>
      </c>
      <c r="AL22" s="372">
        <f t="shared" ca="1" si="9"/>
        <v>4.8000252947865717E-2</v>
      </c>
      <c r="AM22" s="369"/>
      <c r="AN22" s="369"/>
      <c r="AO22" s="369"/>
      <c r="AP22" s="369" t="s">
        <v>331</v>
      </c>
      <c r="AQ22" s="371">
        <f>AC8*AQ8</f>
        <v>0</v>
      </c>
      <c r="AR22" s="371">
        <f t="shared" ref="AR22:AR24" si="10">AD8*AR8</f>
        <v>0</v>
      </c>
      <c r="AS22" s="371">
        <f t="shared" ref="AS22:AS25" si="11">AE8*AS8</f>
        <v>0</v>
      </c>
      <c r="AT22" s="371">
        <f t="shared" ref="AT22:AT26" si="12">AF8*AT8</f>
        <v>7700000</v>
      </c>
      <c r="AU22" s="371">
        <f t="shared" ref="AU22:AU26" ca="1" si="13">AG8*AU8</f>
        <v>8249867.7948913369</v>
      </c>
      <c r="AV22" s="371">
        <f t="shared" ref="AV22:AV26" ca="1" si="14">AH8*AV8</f>
        <v>8861115.6185306907</v>
      </c>
      <c r="AW22" s="371">
        <f t="shared" ref="AW22:AW26" ca="1" si="15">AI8*AW8</f>
        <v>9547586.2893676609</v>
      </c>
      <c r="AX22" s="371">
        <f t="shared" ref="AX22:AX26" ca="1" si="16">AJ8*AX8</f>
        <v>10313967.770557307</v>
      </c>
      <c r="AY22" s="371">
        <f t="shared" ref="AY22:AY26" ca="1" si="17">AK8*AY8</f>
        <v>11184514.668680277</v>
      </c>
      <c r="AZ22" s="371">
        <f t="shared" ref="AZ22:AZ26" ca="1" si="18">AL8*AZ8</f>
        <v>12157750.906644363</v>
      </c>
    </row>
    <row r="23" spans="2:65">
      <c r="B23" s="358" t="s">
        <v>332</v>
      </c>
      <c r="C23" s="361">
        <v>0.09</v>
      </c>
      <c r="D23" s="361">
        <f t="shared" ref="D23:D30" ca="1" si="19">C23+_xlfn.NORM.DIST(RAND(), 0, 1, FALSE)%</f>
        <v>9.2780869188372375E-2</v>
      </c>
      <c r="E23" s="361">
        <f t="shared" ca="1" si="0"/>
        <v>9.6184067947692284E-2</v>
      </c>
      <c r="F23" s="361">
        <f t="shared" ca="1" si="1"/>
        <v>9.8763790082774347E-2</v>
      </c>
      <c r="G23" s="361">
        <f t="shared" ca="1" si="2"/>
        <v>0.10222765578852663</v>
      </c>
      <c r="H23" s="361">
        <f ca="1">G23+_xlfn.NORM.DIST(RAND(), 0, 1, FALSE)%</f>
        <v>0.10616200109045067</v>
      </c>
      <c r="I23" s="361">
        <f t="shared" ca="1" si="4"/>
        <v>0.11010775181125594</v>
      </c>
      <c r="J23" s="361">
        <f t="shared" ca="1" si="5"/>
        <v>0.11306655063901724</v>
      </c>
      <c r="K23" s="361">
        <f t="shared" ca="1" si="6"/>
        <v>0.11691134510137094</v>
      </c>
      <c r="L23" s="361">
        <f t="shared" ca="1" si="7"/>
        <v>0.12015507860119667</v>
      </c>
      <c r="M23" s="358"/>
      <c r="N23" s="358"/>
      <c r="O23" s="358"/>
      <c r="P23" s="358" t="s">
        <v>332</v>
      </c>
      <c r="Q23" s="360">
        <f>C9*Q9</f>
        <v>7000000</v>
      </c>
      <c r="R23" s="360">
        <f t="shared" ref="R23:Z23" si="20">D9*R9</f>
        <v>7980980</v>
      </c>
      <c r="S23" s="360">
        <f t="shared" ca="1" si="20"/>
        <v>9122649.5253982674</v>
      </c>
      <c r="T23" s="360">
        <f t="shared" ca="1" si="20"/>
        <v>10460107.808303917</v>
      </c>
      <c r="U23" s="360">
        <f t="shared" ca="1" si="20"/>
        <v>12021874.334332246</v>
      </c>
      <c r="V23" s="360">
        <f t="shared" ca="1" si="20"/>
        <v>13860381.114538191</v>
      </c>
      <c r="W23" s="360">
        <f t="shared" ca="1" si="20"/>
        <v>16037090.947372416</v>
      </c>
      <c r="X23" s="360">
        <f t="shared" ca="1" si="20"/>
        <v>18621832.330130529</v>
      </c>
      <c r="Y23" s="360">
        <f t="shared" ca="1" si="20"/>
        <v>21680796.257477239</v>
      </c>
      <c r="Z23" s="360">
        <f t="shared" ca="1" si="20"/>
        <v>25329441.567104828</v>
      </c>
      <c r="AA23" s="402"/>
      <c r="AB23" s="369" t="s">
        <v>332</v>
      </c>
      <c r="AC23" s="372">
        <v>0.05</v>
      </c>
      <c r="AD23" s="372">
        <f t="shared" ref="AD23:AG23" ca="1" si="21">AC23+_xlfn.NORM.DIST(RAND(), 0, 1, FALSE)%</f>
        <v>5.3511261832315721E-2</v>
      </c>
      <c r="AE23" s="372">
        <f t="shared" ca="1" si="21"/>
        <v>5.7437970916856956E-2</v>
      </c>
      <c r="AF23" s="372">
        <f t="shared" ca="1" si="21"/>
        <v>5.9863823104701931E-2</v>
      </c>
      <c r="AG23" s="372">
        <f t="shared" ca="1" si="21"/>
        <v>6.3133472179080191E-2</v>
      </c>
      <c r="AH23" s="372">
        <f ca="1">AG23+_xlfn.NORM.DIST(RAND(), 0, 1, FALSE)%</f>
        <v>6.6092783000692421E-2</v>
      </c>
      <c r="AI23" s="372">
        <f t="shared" ref="AI23:AL23" ca="1" si="22">AH23+_xlfn.NORM.DIST(RAND(), 0, 1, FALSE)%</f>
        <v>6.9467689915906058E-2</v>
      </c>
      <c r="AJ23" s="372">
        <f t="shared" ca="1" si="22"/>
        <v>7.2757009543283832E-2</v>
      </c>
      <c r="AK23" s="372">
        <f t="shared" ca="1" si="22"/>
        <v>7.6497517754116395E-2</v>
      </c>
      <c r="AL23" s="372">
        <f t="shared" ca="1" si="22"/>
        <v>8.0364664360499327E-2</v>
      </c>
      <c r="AM23" s="369"/>
      <c r="AN23" s="369"/>
      <c r="AO23" s="369"/>
      <c r="AP23" s="369" t="s">
        <v>332</v>
      </c>
      <c r="AQ23" s="371">
        <f>AC9*AQ9</f>
        <v>0</v>
      </c>
      <c r="AR23" s="371">
        <f t="shared" si="10"/>
        <v>0</v>
      </c>
      <c r="AS23" s="371">
        <f t="shared" si="11"/>
        <v>0</v>
      </c>
      <c r="AT23" s="371">
        <f t="shared" si="12"/>
        <v>7000000</v>
      </c>
      <c r="AU23" s="371">
        <f t="shared" ca="1" si="13"/>
        <v>7715808.6322022295</v>
      </c>
      <c r="AV23" s="371">
        <f t="shared" ca="1" si="14"/>
        <v>8531051.7986953743</v>
      </c>
      <c r="AW23" s="371">
        <f t="shared" ca="1" si="15"/>
        <v>9458688.4641539808</v>
      </c>
      <c r="AX23" s="371">
        <f t="shared" ca="1" si="16"/>
        <v>10520392.169448709</v>
      </c>
      <c r="AY23" s="371">
        <f t="shared" ca="1" si="17"/>
        <v>11737257.420637192</v>
      </c>
      <c r="AZ23" s="371">
        <f t="shared" ca="1" si="18"/>
        <v>13140533.617699301</v>
      </c>
    </row>
    <row r="24" spans="2:65">
      <c r="B24" s="358" t="s">
        <v>282</v>
      </c>
      <c r="C24" s="361">
        <v>0.02</v>
      </c>
      <c r="D24" s="361">
        <f t="shared" ca="1" si="19"/>
        <v>2.2756083306479071E-2</v>
      </c>
      <c r="E24" s="361">
        <f t="shared" ca="1" si="0"/>
        <v>2.5980366109128687E-2</v>
      </c>
      <c r="F24" s="361">
        <f t="shared" ca="1" si="1"/>
        <v>2.9115195517081673E-2</v>
      </c>
      <c r="G24" s="361">
        <f t="shared" ca="1" si="2"/>
        <v>3.3005059958645139E-2</v>
      </c>
      <c r="H24" s="361">
        <f t="shared" ref="H24:H30" ca="1" si="23">G24+_xlfn.NORM.DIST(RAND(), 0, 1, FALSE)%</f>
        <v>3.6732184681676848E-2</v>
      </c>
      <c r="I24" s="361">
        <f t="shared" ca="1" si="4"/>
        <v>4.068620275092788E-2</v>
      </c>
      <c r="J24" s="361">
        <f t="shared" ca="1" si="5"/>
        <v>4.4023830685365431E-2</v>
      </c>
      <c r="K24" s="361">
        <f t="shared" ca="1" si="6"/>
        <v>4.7969968891357295E-2</v>
      </c>
      <c r="L24" s="361">
        <f t="shared" ca="1" si="7"/>
        <v>5.0898614755810992E-2</v>
      </c>
      <c r="M24" s="358"/>
      <c r="N24" s="358"/>
      <c r="O24" s="358"/>
      <c r="P24" s="358" t="s">
        <v>282</v>
      </c>
      <c r="Q24" s="360">
        <f>C10*Q10</f>
        <v>5080000</v>
      </c>
      <c r="R24" s="360">
        <f t="shared" ref="R24:Z24" si="24">D10*R10</f>
        <v>5419953.6000000006</v>
      </c>
      <c r="S24" s="360">
        <f t="shared" ca="1" si="24"/>
        <v>5798281.8793582385</v>
      </c>
      <c r="T24" s="360">
        <f t="shared" ca="1" si="24"/>
        <v>6222573.8401957359</v>
      </c>
      <c r="U24" s="360">
        <f t="shared" ca="1" si="24"/>
        <v>6698317.5777044483</v>
      </c>
      <c r="V24" s="360">
        <f t="shared" ca="1" si="24"/>
        <v>7237688.1647236468</v>
      </c>
      <c r="W24" s="360">
        <f t="shared" ca="1" si="24"/>
        <v>7848707.299159361</v>
      </c>
      <c r="X24" s="360">
        <f t="shared" ca="1" si="24"/>
        <v>8543771.2998662665</v>
      </c>
      <c r="Y24" s="360">
        <f t="shared" ca="1" si="24"/>
        <v>9330216.2796714231</v>
      </c>
      <c r="Z24" s="360">
        <f t="shared" ca="1" si="24"/>
        <v>10227564.641717315</v>
      </c>
      <c r="AA24" s="402"/>
      <c r="AB24" s="369" t="s">
        <v>282</v>
      </c>
      <c r="AC24" s="372">
        <v>0.03</v>
      </c>
      <c r="AD24" s="372">
        <f t="shared" ref="AD24:AL24" ca="1" si="25">AC24+_xlfn.NORM.DIST(RAND(), 0, 1, FALSE)%</f>
        <v>3.2714503676080385E-2</v>
      </c>
      <c r="AE24" s="372">
        <f t="shared" ca="1" si="25"/>
        <v>3.6506928325184873E-2</v>
      </c>
      <c r="AF24" s="372">
        <f t="shared" ca="1" si="25"/>
        <v>4.0111221441664437E-2</v>
      </c>
      <c r="AG24" s="372">
        <f t="shared" ca="1" si="25"/>
        <v>4.3710266592125027E-2</v>
      </c>
      <c r="AH24" s="372">
        <f t="shared" ca="1" si="25"/>
        <v>4.7661069093347601E-2</v>
      </c>
      <c r="AI24" s="372">
        <f t="shared" ca="1" si="25"/>
        <v>5.1650430182291707E-2</v>
      </c>
      <c r="AJ24" s="372">
        <f t="shared" ca="1" si="25"/>
        <v>5.5034275408109602E-2</v>
      </c>
      <c r="AK24" s="372">
        <f t="shared" ca="1" si="25"/>
        <v>5.839081747957995E-2</v>
      </c>
      <c r="AL24" s="372">
        <f t="shared" ca="1" si="25"/>
        <v>6.2026005325201451E-2</v>
      </c>
      <c r="AM24" s="369"/>
      <c r="AN24" s="369"/>
      <c r="AO24" s="369"/>
      <c r="AP24" s="369" t="s">
        <v>282</v>
      </c>
      <c r="AQ24" s="371">
        <f>AC10*AQ10</f>
        <v>0</v>
      </c>
      <c r="AR24" s="371">
        <f t="shared" si="10"/>
        <v>0</v>
      </c>
      <c r="AS24" s="371">
        <f t="shared" si="11"/>
        <v>0</v>
      </c>
      <c r="AT24" s="371">
        <f t="shared" si="12"/>
        <v>5080000</v>
      </c>
      <c r="AU24" s="371">
        <f t="shared" ca="1" si="13"/>
        <v>5495115.6051206011</v>
      </c>
      <c r="AV24" s="371">
        <f t="shared" ca="1" si="14"/>
        <v>5964720.9161019679</v>
      </c>
      <c r="AW24" s="371">
        <f t="shared" ca="1" si="15"/>
        <v>6498966.1274791136</v>
      </c>
      <c r="AX24" s="371">
        <f t="shared" ca="1" si="16"/>
        <v>7108026.1446516952</v>
      </c>
      <c r="AY24" s="371">
        <f t="shared" ca="1" si="17"/>
        <v>7799179.6616286803</v>
      </c>
      <c r="AZ24" s="371">
        <f t="shared" ca="1" si="18"/>
        <v>8584763.3432509452</v>
      </c>
    </row>
    <row r="25" spans="2:65">
      <c r="B25" s="358" t="s">
        <v>333</v>
      </c>
      <c r="C25" s="361">
        <v>0.04</v>
      </c>
      <c r="D25" s="361">
        <f t="shared" ca="1" si="19"/>
        <v>4.2481757270579006E-2</v>
      </c>
      <c r="E25" s="361">
        <f t="shared" ca="1" si="0"/>
        <v>4.6412686248171256E-2</v>
      </c>
      <c r="F25" s="361">
        <f t="shared" ca="1" si="1"/>
        <v>4.922903926109469E-2</v>
      </c>
      <c r="G25" s="361">
        <f t="shared" ca="1" si="2"/>
        <v>5.1708515430139143E-2</v>
      </c>
      <c r="H25" s="361">
        <f t="shared" ca="1" si="23"/>
        <v>5.5164240595093936E-2</v>
      </c>
      <c r="I25" s="361">
        <f t="shared" ca="1" si="4"/>
        <v>5.8405708316979131E-2</v>
      </c>
      <c r="J25" s="361">
        <f t="shared" ca="1" si="5"/>
        <v>6.1516618891233665E-2</v>
      </c>
      <c r="K25" s="361">
        <f t="shared" ca="1" si="6"/>
        <v>6.4843108631808991E-2</v>
      </c>
      <c r="L25" s="361">
        <f t="shared" ca="1" si="7"/>
        <v>6.7475038569271756E-2</v>
      </c>
      <c r="M25" s="358"/>
      <c r="N25" s="358"/>
      <c r="O25" s="358"/>
      <c r="P25" s="358" t="s">
        <v>333</v>
      </c>
      <c r="Q25" s="358"/>
      <c r="R25" s="360">
        <f>D11*R11</f>
        <v>6032500</v>
      </c>
      <c r="S25" s="360">
        <f t="shared" ref="S25:Z25" ca="1" si="26">E11*S11</f>
        <v>6578054.675968566</v>
      </c>
      <c r="T25" s="360">
        <f t="shared" ca="1" si="26"/>
        <v>7199994.4175009215</v>
      </c>
      <c r="U25" s="360">
        <f t="shared" ca="1" si="26"/>
        <v>7901947.6137262853</v>
      </c>
      <c r="V25" s="360">
        <f t="shared" ca="1" si="26"/>
        <v>8692830.6911553871</v>
      </c>
      <c r="W25" s="360">
        <f t="shared" ca="1" si="26"/>
        <v>9594292.8432180155</v>
      </c>
      <c r="X25" s="360">
        <f t="shared" ca="1" si="26"/>
        <v>10621768.410902914</v>
      </c>
      <c r="Y25" s="360">
        <f t="shared" ca="1" si="26"/>
        <v>11793842.139935993</v>
      </c>
      <c r="Z25" s="360">
        <f t="shared" ca="1" si="26"/>
        <v>13136286.737244377</v>
      </c>
      <c r="AA25" s="402"/>
      <c r="AB25" s="369" t="s">
        <v>333</v>
      </c>
      <c r="AC25" s="372">
        <v>0.04</v>
      </c>
      <c r="AD25" s="372">
        <f t="shared" ref="AD25:AL25" ca="1" si="27">AC25+_xlfn.NORM.DIST(RAND(), 0, 1, FALSE)%</f>
        <v>4.2671590883892066E-2</v>
      </c>
      <c r="AE25" s="372">
        <f t="shared" ca="1" si="27"/>
        <v>4.600878172103269E-2</v>
      </c>
      <c r="AF25" s="372">
        <f t="shared" ca="1" si="27"/>
        <v>4.9997498483998773E-2</v>
      </c>
      <c r="AG25" s="372">
        <f t="shared" ca="1" si="27"/>
        <v>5.3112123419850832E-2</v>
      </c>
      <c r="AH25" s="372">
        <f t="shared" ca="1" si="27"/>
        <v>5.6467589467725281E-2</v>
      </c>
      <c r="AI25" s="372">
        <f t="shared" ca="1" si="27"/>
        <v>5.9439861380278666E-2</v>
      </c>
      <c r="AJ25" s="372">
        <f t="shared" ca="1" si="27"/>
        <v>6.2808353991943983E-2</v>
      </c>
      <c r="AK25" s="372">
        <f t="shared" ca="1" si="27"/>
        <v>6.5470140375280705E-2</v>
      </c>
      <c r="AL25" s="372">
        <f t="shared" ca="1" si="27"/>
        <v>6.9337542558100929E-2</v>
      </c>
      <c r="AM25" s="369"/>
      <c r="AN25" s="369"/>
      <c r="AO25" s="369"/>
      <c r="AP25" s="369" t="s">
        <v>333</v>
      </c>
      <c r="AQ25" s="369"/>
      <c r="AR25" s="371">
        <f>AD11*AR11</f>
        <v>0</v>
      </c>
      <c r="AS25" s="371">
        <f t="shared" si="11"/>
        <v>0</v>
      </c>
      <c r="AT25" s="371">
        <f t="shared" si="12"/>
        <v>0</v>
      </c>
      <c r="AU25" s="371">
        <f t="shared" si="13"/>
        <v>6032500</v>
      </c>
      <c r="AV25" s="371">
        <f t="shared" ca="1" si="14"/>
        <v>6607014.8399114599</v>
      </c>
      <c r="AW25" s="371">
        <f t="shared" ca="1" si="15"/>
        <v>7259300.9231586996</v>
      </c>
      <c r="AX25" s="371">
        <f t="shared" ca="1" si="16"/>
        <v>7998424.4742989419</v>
      </c>
      <c r="AY25" s="371">
        <f t="shared" ca="1" si="17"/>
        <v>8840824.0440608785</v>
      </c>
      <c r="AZ25" s="371">
        <f t="shared" ca="1" si="18"/>
        <v>9796419.3966690507</v>
      </c>
    </row>
    <row r="26" spans="2:65">
      <c r="B26" s="358" t="s">
        <v>290</v>
      </c>
      <c r="C26" s="361">
        <v>0.04</v>
      </c>
      <c r="D26" s="361">
        <f t="shared" ca="1" si="19"/>
        <v>4.34273694666472E-2</v>
      </c>
      <c r="E26" s="361">
        <f t="shared" ca="1" si="0"/>
        <v>4.6974549128174489E-2</v>
      </c>
      <c r="F26" s="361">
        <f t="shared" ca="1" si="1"/>
        <v>4.9839041696224828E-2</v>
      </c>
      <c r="G26" s="361">
        <f t="shared" ca="1" si="2"/>
        <v>5.2426683614413529E-2</v>
      </c>
      <c r="H26" s="361">
        <f t="shared" ca="1" si="23"/>
        <v>5.5218700079106064E-2</v>
      </c>
      <c r="I26" s="361">
        <f t="shared" ca="1" si="4"/>
        <v>5.8857169028479296E-2</v>
      </c>
      <c r="J26" s="361">
        <f t="shared" ca="1" si="5"/>
        <v>6.1646070047893568E-2</v>
      </c>
      <c r="K26" s="361">
        <f t="shared" ca="1" si="5"/>
        <v>6.5508047169956063E-2</v>
      </c>
      <c r="L26" s="361">
        <f t="shared" ca="1" si="5"/>
        <v>6.9062542800134241E-2</v>
      </c>
      <c r="M26" s="358"/>
      <c r="N26" s="358"/>
      <c r="O26" s="358"/>
      <c r="P26" s="358" t="s">
        <v>290</v>
      </c>
      <c r="Q26" s="358"/>
      <c r="R26" s="358"/>
      <c r="S26" s="360">
        <f>E12*S12</f>
        <v>3180000</v>
      </c>
      <c r="T26" s="360">
        <f t="shared" ref="T26:Z26" ca="1" si="28">F12*T12</f>
        <v>3482530.5032740645</v>
      </c>
      <c r="U26" s="360">
        <f t="shared" ca="1" si="28"/>
        <v>3824276.9246019307</v>
      </c>
      <c r="V26" s="360">
        <f t="shared" ca="1" si="28"/>
        <v>4209910.5507071074</v>
      </c>
      <c r="W26" s="360">
        <f t="shared" ca="1" si="28"/>
        <v>4646725.650349725</v>
      </c>
      <c r="X26" s="360">
        <f t="shared" ca="1" si="28"/>
        <v>5146548.8306808714</v>
      </c>
      <c r="Y26" s="360">
        <f t="shared" ca="1" si="28"/>
        <v>5715148.7540604183</v>
      </c>
      <c r="Z26" s="360">
        <f t="shared" ca="1" si="28"/>
        <v>6369655.6896830611</v>
      </c>
      <c r="AA26" s="402"/>
      <c r="AB26" s="369" t="s">
        <v>290</v>
      </c>
      <c r="AC26" s="372">
        <v>7.0000000000000007E-2</v>
      </c>
      <c r="AD26" s="372">
        <f t="shared" ref="AD26:AJ26" ca="1" si="29">AC26+_xlfn.NORM.DIST(RAND(), 0, 1, FALSE)%</f>
        <v>7.2740120089079527E-2</v>
      </c>
      <c r="AE26" s="372">
        <f t="shared" ca="1" si="29"/>
        <v>7.6253079782209923E-2</v>
      </c>
      <c r="AF26" s="372">
        <f t="shared" ca="1" si="29"/>
        <v>8.0200413500079462E-2</v>
      </c>
      <c r="AG26" s="372">
        <f t="shared" ca="1" si="29"/>
        <v>8.4097819958848935E-2</v>
      </c>
      <c r="AH26" s="372">
        <f t="shared" ca="1" si="29"/>
        <v>8.6613789086063112E-2</v>
      </c>
      <c r="AI26" s="372">
        <f t="shared" ca="1" si="29"/>
        <v>9.0581624692271448E-2</v>
      </c>
      <c r="AJ26" s="372">
        <f t="shared" ca="1" si="29"/>
        <v>9.454423417772656E-2</v>
      </c>
      <c r="AK26" s="372">
        <f t="shared" ref="AK26:AL30" ca="1" si="30">AJ26+_xlfn.NORM.DIST(RAND(), 0, 1, FALSE)%</f>
        <v>9.8118547546480042E-2</v>
      </c>
      <c r="AL26" s="372">
        <f t="shared" ca="1" si="30"/>
        <v>0.10065132404048056</v>
      </c>
      <c r="AM26" s="369"/>
      <c r="AN26" s="369"/>
      <c r="AO26" s="369"/>
      <c r="AP26" s="369" t="s">
        <v>290</v>
      </c>
      <c r="AQ26" s="369"/>
      <c r="AR26" s="369"/>
      <c r="AS26" s="371">
        <f>AE12*AS12</f>
        <v>0</v>
      </c>
      <c r="AT26" s="371">
        <f t="shared" si="12"/>
        <v>0</v>
      </c>
      <c r="AU26" s="371">
        <f t="shared" si="13"/>
        <v>0</v>
      </c>
      <c r="AV26" s="371">
        <f t="shared" si="14"/>
        <v>3180000</v>
      </c>
      <c r="AW26" s="371">
        <f t="shared" ca="1" si="15"/>
        <v>3593649.1232654285</v>
      </c>
      <c r="AX26" s="371">
        <f t="shared" ca="1" si="16"/>
        <v>4075934.4074017592</v>
      </c>
      <c r="AY26" s="371">
        <f t="shared" ca="1" si="17"/>
        <v>4639742.1246885322</v>
      </c>
      <c r="AZ26" s="371">
        <f t="shared" ca="1" si="18"/>
        <v>5298786.3582713185</v>
      </c>
    </row>
    <row r="27" spans="2:65">
      <c r="B27" s="358" t="s">
        <v>341</v>
      </c>
      <c r="C27" s="361">
        <v>0</v>
      </c>
      <c r="D27" s="393">
        <f t="shared" ca="1" si="19"/>
        <v>2.4198308447839338E-3</v>
      </c>
      <c r="E27" s="393">
        <f t="shared" ca="1" si="0"/>
        <v>6.072395443509666E-3</v>
      </c>
      <c r="F27" s="393">
        <f t="shared" ca="1" si="1"/>
        <v>9.4848451860412748E-3</v>
      </c>
      <c r="G27" s="393">
        <f t="shared" ca="1" si="2"/>
        <v>1.2746828710294363E-2</v>
      </c>
      <c r="H27" s="393">
        <f t="shared" ca="1" si="23"/>
        <v>1.6731128802190142E-2</v>
      </c>
      <c r="I27" s="393">
        <f t="shared" ca="1" si="4"/>
        <v>2.0660216743590767E-2</v>
      </c>
      <c r="J27" s="393">
        <f t="shared" ca="1" si="5"/>
        <v>2.3155070124442758E-2</v>
      </c>
      <c r="K27" s="393">
        <f t="shared" ca="1" si="5"/>
        <v>2.6722994709976376E-2</v>
      </c>
      <c r="L27" s="393">
        <f t="shared" ca="1" si="5"/>
        <v>2.9294816474364146E-2</v>
      </c>
      <c r="M27" s="358"/>
      <c r="N27" s="358"/>
      <c r="O27" s="358"/>
      <c r="P27" s="358" t="s">
        <v>341</v>
      </c>
      <c r="Q27" s="360">
        <f>C13*Q13 + C14*Q14</f>
        <v>3610000</v>
      </c>
      <c r="R27" s="360">
        <f t="shared" ref="R27:Z27" si="31">D13*R13 + D14*R14</f>
        <v>3976060</v>
      </c>
      <c r="S27" s="360">
        <f t="shared" ca="1" si="31"/>
        <v>4329800.4742458612</v>
      </c>
      <c r="T27" s="360">
        <f t="shared" ca="1" si="31"/>
        <v>4682719.4099378763</v>
      </c>
      <c r="U27" s="360">
        <f t="shared" ca="1" si="31"/>
        <v>5040198.1967969444</v>
      </c>
      <c r="V27" s="360">
        <f t="shared" ca="1" si="31"/>
        <v>5407698.9015786946</v>
      </c>
      <c r="W27" s="360">
        <f t="shared" ca="1" si="31"/>
        <v>5794939.6631339295</v>
      </c>
      <c r="X27" s="360">
        <f t="shared" ca="1" si="31"/>
        <v>6208437.2429813519</v>
      </c>
      <c r="Y27" s="360">
        <f t="shared" ca="1" si="31"/>
        <v>6647143.7033575857</v>
      </c>
      <c r="Z27" s="360">
        <f t="shared" ca="1" si="31"/>
        <v>7123723.9512048988</v>
      </c>
      <c r="AA27" s="402"/>
      <c r="AB27" s="397" t="s">
        <v>341</v>
      </c>
      <c r="AC27" s="398">
        <v>0</v>
      </c>
      <c r="AD27" s="399">
        <f t="shared" ref="AD27:AJ27" ca="1" si="32">AC27+_xlfn.NORM.DIST(RAND(), 0, 1, FALSE)%</f>
        <v>3.9872818407518827E-3</v>
      </c>
      <c r="AE27" s="399">
        <f t="shared" ca="1" si="32"/>
        <v>7.7077159824442236E-3</v>
      </c>
      <c r="AF27" s="399">
        <f t="shared" ca="1" si="32"/>
        <v>1.1663999281770393E-2</v>
      </c>
      <c r="AG27" s="399">
        <f t="shared" ca="1" si="32"/>
        <v>1.41252050718283E-2</v>
      </c>
      <c r="AH27" s="399">
        <f t="shared" ca="1" si="32"/>
        <v>1.7293212421724529E-2</v>
      </c>
      <c r="AI27" s="399">
        <f t="shared" ca="1" si="32"/>
        <v>2.1182788549732171E-2</v>
      </c>
      <c r="AJ27" s="399">
        <f t="shared" ca="1" si="32"/>
        <v>2.4471589987090082E-2</v>
      </c>
      <c r="AK27" s="399">
        <f t="shared" ca="1" si="30"/>
        <v>2.8410234037123942E-2</v>
      </c>
      <c r="AL27" s="399">
        <f t="shared" ca="1" si="30"/>
        <v>3.1187319577985245E-2</v>
      </c>
      <c r="AM27" s="369"/>
      <c r="AN27" s="369"/>
      <c r="AO27" s="369"/>
      <c r="AP27" s="369" t="s">
        <v>341</v>
      </c>
      <c r="AQ27" s="371">
        <f>AC13*AQ13 + AC14*AQ14</f>
        <v>0</v>
      </c>
      <c r="AR27" s="371">
        <f t="shared" ref="AR27" si="33">AD13*AR13 + AD14*AR14</f>
        <v>0</v>
      </c>
      <c r="AS27" s="371">
        <f t="shared" ref="AS27" si="34">AE13*AS13 + AE14*AS14</f>
        <v>0</v>
      </c>
      <c r="AT27" s="371">
        <f t="shared" ref="AT27" si="35">AF13*AT13 + AF14*AT14</f>
        <v>3610000</v>
      </c>
      <c r="AU27" s="371">
        <f t="shared" ref="AU27" ca="1" si="36">AG13*AU13 + AG14*AU14</f>
        <v>3998191.3189034788</v>
      </c>
      <c r="AV27" s="371">
        <f t="shared" ref="AV27" ca="1" si="37">AH13*AV13 + AH14*AV14</f>
        <v>4380740.2532067951</v>
      </c>
      <c r="AW27" s="371">
        <f t="shared" ref="AW27" ca="1" si="38">AI13*AW13 + AI14*AW14</f>
        <v>4764006.1468530018</v>
      </c>
      <c r="AX27" s="371">
        <f t="shared" ref="AX27" ca="1" si="39">AJ13*AX13 + AJ14*AX14</f>
        <v>5157525.4039085852</v>
      </c>
      <c r="AY27" s="371">
        <f t="shared" ref="AY27" ca="1" si="40">AK13*AY13 + AK14*AY14</f>
        <v>5565117.9309427328</v>
      </c>
      <c r="AZ27" s="371">
        <f t="shared" ref="AZ27" ca="1" si="41">AL13*AZ13 + AL14*AZ14</f>
        <v>5996604.7220496126</v>
      </c>
    </row>
    <row r="28" spans="2:65">
      <c r="B28" s="358" t="s">
        <v>342</v>
      </c>
      <c r="C28" s="361">
        <v>0</v>
      </c>
      <c r="D28" s="393">
        <f t="shared" ca="1" si="19"/>
        <v>3.7092558934337561E-3</v>
      </c>
      <c r="E28" s="393">
        <f t="shared" ca="1" si="0"/>
        <v>6.9336124244174131E-3</v>
      </c>
      <c r="F28" s="393">
        <f t="shared" ca="1" si="1"/>
        <v>9.9849568963835435E-3</v>
      </c>
      <c r="G28" s="393">
        <f t="shared" ca="1" si="2"/>
        <v>1.385386591970468E-2</v>
      </c>
      <c r="H28" s="393">
        <f t="shared" ca="1" si="23"/>
        <v>1.6382583154820038E-2</v>
      </c>
      <c r="I28" s="393">
        <f t="shared" ca="1" si="4"/>
        <v>2.002527194999567E-2</v>
      </c>
      <c r="J28" s="393">
        <f t="shared" ca="1" si="5"/>
        <v>2.2627310836470408E-2</v>
      </c>
      <c r="K28" s="393">
        <f t="shared" ca="1" si="5"/>
        <v>2.6229799994356859E-2</v>
      </c>
      <c r="L28" s="393">
        <f t="shared" ca="1" si="5"/>
        <v>2.915587004851071E-2</v>
      </c>
      <c r="M28" s="358"/>
      <c r="N28" s="358"/>
      <c r="O28" s="358"/>
      <c r="P28" s="358" t="s">
        <v>342</v>
      </c>
      <c r="Q28" s="360">
        <f>C15*Q15</f>
        <v>0</v>
      </c>
      <c r="R28" s="360">
        <f>D15*R15</f>
        <v>150000</v>
      </c>
      <c r="S28" s="360">
        <f ca="1">E15*S15</f>
        <v>157481.98224967977</v>
      </c>
      <c r="T28" s="360">
        <f ca="1">F15*T15</f>
        <v>165868.3007372357</v>
      </c>
      <c r="U28" s="360">
        <f ca="1">G15*U15</f>
        <v>175230.61504481974</v>
      </c>
      <c r="V28" s="360">
        <f ca="1">H15*V15</f>
        <v>185830.51536924927</v>
      </c>
      <c r="W28" s="360">
        <f ca="1">I15*W15</f>
        <v>197563.14460502856</v>
      </c>
      <c r="X28" s="360">
        <f ca="1">J15*X15</f>
        <v>210789.29271698042</v>
      </c>
      <c r="Y28" s="360">
        <f ca="1">K15*Y15</f>
        <v>225474.59639224454</v>
      </c>
      <c r="Z28" s="360">
        <f ca="1">L15*Z15</f>
        <v>242032.63245755481</v>
      </c>
      <c r="AA28" s="402"/>
      <c r="AB28" s="397" t="s">
        <v>342</v>
      </c>
      <c r="AC28" s="398">
        <v>0</v>
      </c>
      <c r="AD28" s="399">
        <f t="shared" ref="AD28:AJ28" ca="1" si="42">AC28+_xlfn.NORM.DIST(RAND(), 0, 1, FALSE)%</f>
        <v>3.6800014874985871E-3</v>
      </c>
      <c r="AE28" s="399">
        <f t="shared" ca="1" si="42"/>
        <v>7.2110350026869958E-3</v>
      </c>
      <c r="AF28" s="399">
        <f t="shared" ca="1" si="42"/>
        <v>1.0361938006680692E-2</v>
      </c>
      <c r="AG28" s="399">
        <f t="shared" ca="1" si="42"/>
        <v>1.3733779805694934E-2</v>
      </c>
      <c r="AH28" s="399">
        <f t="shared" ca="1" si="42"/>
        <v>1.7714899316271286E-2</v>
      </c>
      <c r="AI28" s="399">
        <f t="shared" ca="1" si="42"/>
        <v>2.0458928962969653E-2</v>
      </c>
      <c r="AJ28" s="399">
        <f t="shared" ca="1" si="42"/>
        <v>2.3382202082911654E-2</v>
      </c>
      <c r="AK28" s="399">
        <f t="shared" ca="1" si="30"/>
        <v>2.6481294165776353E-2</v>
      </c>
      <c r="AL28" s="399">
        <f t="shared" ca="1" si="30"/>
        <v>2.9919850625082248E-2</v>
      </c>
      <c r="AM28" s="369"/>
      <c r="AN28" s="369"/>
      <c r="AO28" s="369"/>
      <c r="AP28" s="369" t="s">
        <v>342</v>
      </c>
      <c r="AQ28" s="371">
        <f>AC15*AQ15</f>
        <v>0</v>
      </c>
      <c r="AR28" s="371">
        <f>AD15*AR15</f>
        <v>0</v>
      </c>
      <c r="AS28" s="371">
        <f ca="1">AE15*AS15</f>
        <v>0</v>
      </c>
      <c r="AT28" s="371">
        <f ca="1">AF15*AT15</f>
        <v>0</v>
      </c>
      <c r="AU28" s="371">
        <f ca="1">AG15*AU15</f>
        <v>0</v>
      </c>
      <c r="AV28" s="371">
        <f ca="1">AH15*AV15</f>
        <v>0</v>
      </c>
      <c r="AW28" s="371">
        <f ca="1">AI15*AW15</f>
        <v>0</v>
      </c>
      <c r="AX28" s="371">
        <f ca="1">AJ15*AX15</f>
        <v>0</v>
      </c>
      <c r="AY28" s="371">
        <f ca="1">AK15*AY15</f>
        <v>0</v>
      </c>
      <c r="AZ28" s="371">
        <f ca="1">AL15*AZ15</f>
        <v>0</v>
      </c>
    </row>
    <row r="29" spans="2:65">
      <c r="B29" s="358" t="s">
        <v>343</v>
      </c>
      <c r="C29" s="361">
        <v>0</v>
      </c>
      <c r="D29" s="393">
        <f t="shared" ca="1" si="19"/>
        <v>3.5425516937041025E-3</v>
      </c>
      <c r="E29" s="393">
        <f t="shared" ca="1" si="0"/>
        <v>6.1335179118490275E-3</v>
      </c>
      <c r="F29" s="393">
        <f t="shared" ca="1" si="1"/>
        <v>1.0003255153367481E-2</v>
      </c>
      <c r="G29" s="393">
        <f t="shared" ca="1" si="2"/>
        <v>1.3858944440570387E-2</v>
      </c>
      <c r="H29" s="393">
        <f t="shared" ca="1" si="23"/>
        <v>1.7840378089221415E-2</v>
      </c>
      <c r="I29" s="393">
        <f t="shared" ca="1" si="4"/>
        <v>2.1474521512396833E-2</v>
      </c>
      <c r="J29" s="393">
        <f t="shared" ca="1" si="5"/>
        <v>2.518450876723783E-2</v>
      </c>
      <c r="K29" s="393">
        <f t="shared" ca="1" si="5"/>
        <v>2.8437510016117221E-2</v>
      </c>
      <c r="L29" s="393">
        <f t="shared" ca="1" si="5"/>
        <v>3.2223296653426353E-2</v>
      </c>
      <c r="M29" s="358"/>
      <c r="N29" s="358"/>
      <c r="O29" s="358"/>
      <c r="P29" s="358" t="s">
        <v>343</v>
      </c>
      <c r="Q29" s="360">
        <f>C16*Q16</f>
        <v>0</v>
      </c>
      <c r="R29" s="360">
        <f>D16*R16</f>
        <v>450000</v>
      </c>
      <c r="S29" s="360">
        <f ca="1">E16*S16</f>
        <v>472367.47908222658</v>
      </c>
      <c r="T29" s="360">
        <f ca="1">F16*T16</f>
        <v>497126.93213605543</v>
      </c>
      <c r="U29" s="360">
        <f ca="1">G16*U16</f>
        <v>525196.41138718708</v>
      </c>
      <c r="V29" s="360">
        <f ca="1">H16*V16</f>
        <v>556968.93291954661</v>
      </c>
      <c r="W29" s="360">
        <f ca="1">I16*W16</f>
        <v>592983.12085305341</v>
      </c>
      <c r="X29" s="360">
        <f ca="1">J16*X16</f>
        <v>633580.13852166245</v>
      </c>
      <c r="Y29" s="360">
        <f ca="1">K16*Y16</f>
        <v>679415.2240564595</v>
      </c>
      <c r="Z29" s="360">
        <f ca="1">L16*Z16</f>
        <v>730877.96195526829</v>
      </c>
      <c r="AA29" s="402"/>
      <c r="AB29" s="397" t="s">
        <v>343</v>
      </c>
      <c r="AC29" s="398">
        <v>0</v>
      </c>
      <c r="AD29" s="399">
        <f t="shared" ref="AD29:AJ29" ca="1" si="43">AC29+_xlfn.NORM.DIST(RAND(), 0, 1, FALSE)%</f>
        <v>3.9742413086657309E-3</v>
      </c>
      <c r="AE29" s="399">
        <f t="shared" ca="1" si="43"/>
        <v>6.8750697825118532E-3</v>
      </c>
      <c r="AF29" s="399">
        <f t="shared" ca="1" si="43"/>
        <v>1.0607381059514111E-2</v>
      </c>
      <c r="AG29" s="399">
        <f t="shared" ca="1" si="43"/>
        <v>1.4487085398956911E-2</v>
      </c>
      <c r="AH29" s="399">
        <f t="shared" ca="1" si="43"/>
        <v>1.7878541889850396E-2</v>
      </c>
      <c r="AI29" s="399">
        <f t="shared" ca="1" si="43"/>
        <v>2.1773529049047165E-2</v>
      </c>
      <c r="AJ29" s="399">
        <f t="shared" ca="1" si="43"/>
        <v>2.4667036713052804E-2</v>
      </c>
      <c r="AK29" s="399">
        <f t="shared" ca="1" si="30"/>
        <v>2.8196955172289897E-2</v>
      </c>
      <c r="AL29" s="399">
        <f t="shared" ca="1" si="30"/>
        <v>3.2179442580924311E-2</v>
      </c>
      <c r="AM29" s="369"/>
      <c r="AN29" s="369"/>
      <c r="AO29" s="369"/>
      <c r="AP29" s="369" t="s">
        <v>343</v>
      </c>
      <c r="AQ29" s="371">
        <f>AC16*AQ16</f>
        <v>0</v>
      </c>
      <c r="AR29" s="371">
        <f>AD16*AR16</f>
        <v>0</v>
      </c>
      <c r="AS29" s="371">
        <f>AE16*AS16</f>
        <v>0</v>
      </c>
      <c r="AT29" s="371">
        <f>AF16*AT16</f>
        <v>0</v>
      </c>
      <c r="AU29" s="371">
        <f>AG16*AU16</f>
        <v>450000</v>
      </c>
      <c r="AV29" s="371">
        <f ca="1">AH16*AV16</f>
        <v>474779.9559667118</v>
      </c>
      <c r="AW29" s="371">
        <f ca="1">AI16*AW16</f>
        <v>502599.06246984104</v>
      </c>
      <c r="AX29" s="371">
        <f ca="1">AJ16*AX16</f>
        <v>534084.11446681398</v>
      </c>
      <c r="AY29" s="371">
        <f ca="1">AK16*AY16</f>
        <v>569148.72240327415</v>
      </c>
      <c r="AZ29" s="371">
        <f ca="1">AL16*AZ16</f>
        <v>608604.86275185517</v>
      </c>
    </row>
    <row r="30" spans="2:65">
      <c r="B30" s="358" t="s">
        <v>344</v>
      </c>
      <c r="C30" s="361">
        <v>0</v>
      </c>
      <c r="D30" s="393">
        <f t="shared" ca="1" si="19"/>
        <v>3.6154029878086758E-3</v>
      </c>
      <c r="E30" s="393">
        <f t="shared" ca="1" si="0"/>
        <v>7.5531139735642901E-3</v>
      </c>
      <c r="F30" s="393">
        <f t="shared" ca="1" si="1"/>
        <v>1.0942513676806157E-2</v>
      </c>
      <c r="G30" s="393">
        <f t="shared" ca="1" si="2"/>
        <v>1.4542800848404633E-2</v>
      </c>
      <c r="H30" s="393">
        <f t="shared" ca="1" si="23"/>
        <v>1.7451797651106011E-2</v>
      </c>
      <c r="I30" s="393">
        <f t="shared" ca="1" si="4"/>
        <v>2.1439667886338158E-2</v>
      </c>
      <c r="J30" s="393">
        <f t="shared" ca="1" si="5"/>
        <v>2.5228041415488428E-2</v>
      </c>
      <c r="K30" s="393">
        <f t="shared" ca="1" si="5"/>
        <v>2.8684432469161546E-2</v>
      </c>
      <c r="L30" s="393">
        <f t="shared" ca="1" si="5"/>
        <v>3.2361687144454768E-2</v>
      </c>
      <c r="M30" s="358"/>
      <c r="N30" s="358"/>
      <c r="O30" s="358"/>
      <c r="P30" s="358" t="s">
        <v>344</v>
      </c>
      <c r="Q30" s="360">
        <f>C17*Q17</f>
        <v>0</v>
      </c>
      <c r="R30" s="360">
        <f>D17*R17</f>
        <v>490000</v>
      </c>
      <c r="S30" s="360">
        <f ca="1">E17*S17</f>
        <v>514393.03864737146</v>
      </c>
      <c r="T30" s="360">
        <f ca="1">F17*T17</f>
        <v>542119.11005867529</v>
      </c>
      <c r="U30" s="360">
        <f ca="1">G17*U17</f>
        <v>573261.61360335816</v>
      </c>
      <c r="V30" s="360">
        <f ca="1">H17*V17</f>
        <v>608351.97146589204</v>
      </c>
      <c r="W30" s="360">
        <f ca="1">I17*W17</f>
        <v>647441.37209330418</v>
      </c>
      <c r="X30" s="360">
        <f ca="1">J17*X17</f>
        <v>691743.12589085533</v>
      </c>
      <c r="Y30" s="360">
        <f ca="1">K17*Y17</f>
        <v>741817.39482521592</v>
      </c>
      <c r="Z30" s="360">
        <f ca="1">L17*Z17</f>
        <v>798198.42205793946</v>
      </c>
      <c r="AA30" s="402"/>
      <c r="AB30" s="397" t="s">
        <v>344</v>
      </c>
      <c r="AC30" s="398">
        <v>0</v>
      </c>
      <c r="AD30" s="399">
        <f t="shared" ref="AD30:AJ30" ca="1" si="44">AC30+_xlfn.NORM.DIST(RAND(), 0, 1, FALSE)%</f>
        <v>2.4973773198728928E-3</v>
      </c>
      <c r="AE30" s="399">
        <f t="shared" ca="1" si="44"/>
        <v>6.3206402820718648E-3</v>
      </c>
      <c r="AF30" s="399">
        <f t="shared" ca="1" si="44"/>
        <v>8.8013906321288138E-3</v>
      </c>
      <c r="AG30" s="399">
        <f t="shared" ca="1" si="44"/>
        <v>1.2134989004957925E-2</v>
      </c>
      <c r="AH30" s="399">
        <f t="shared" ca="1" si="44"/>
        <v>1.4764616896921502E-2</v>
      </c>
      <c r="AI30" s="399">
        <f t="shared" ca="1" si="44"/>
        <v>1.8048963951814143E-2</v>
      </c>
      <c r="AJ30" s="399">
        <f t="shared" ca="1" si="44"/>
        <v>2.0591001619398246E-2</v>
      </c>
      <c r="AK30" s="399">
        <f t="shared" ca="1" si="30"/>
        <v>2.3578774602300956E-2</v>
      </c>
      <c r="AL30" s="399">
        <f t="shared" ca="1" si="30"/>
        <v>2.7530613165744088E-2</v>
      </c>
      <c r="AM30" s="369"/>
      <c r="AN30" s="369"/>
      <c r="AO30" s="369"/>
      <c r="AP30" s="369" t="s">
        <v>344</v>
      </c>
      <c r="AQ30" s="371">
        <f>AC17*AQ17</f>
        <v>0</v>
      </c>
      <c r="AR30" s="371">
        <f>AD17*AR17</f>
        <v>0</v>
      </c>
      <c r="AS30" s="371">
        <f ca="1">AE17*AS17</f>
        <v>0</v>
      </c>
      <c r="AT30" s="371">
        <f ca="1">AF17*AT17</f>
        <v>0</v>
      </c>
      <c r="AU30" s="371">
        <f ca="1">AG17*AU17</f>
        <v>0</v>
      </c>
      <c r="AV30" s="371">
        <f ca="1">AH17*AV17</f>
        <v>0</v>
      </c>
      <c r="AW30" s="371">
        <f ca="1">AI17*AW17</f>
        <v>0</v>
      </c>
      <c r="AX30" s="371">
        <f ca="1">AJ17*AX17</f>
        <v>0</v>
      </c>
      <c r="AY30" s="371">
        <f ca="1">AK17*AY17</f>
        <v>0</v>
      </c>
      <c r="AZ30" s="371">
        <f ca="1">AL17*AZ17</f>
        <v>0</v>
      </c>
    </row>
    <row r="31" spans="2:65">
      <c r="B31" s="358"/>
      <c r="C31" s="358"/>
      <c r="D31" s="358"/>
      <c r="E31" s="358"/>
      <c r="F31" s="358"/>
      <c r="G31" s="358"/>
      <c r="H31" s="358"/>
      <c r="I31" s="358"/>
      <c r="J31" s="358"/>
      <c r="K31" s="358"/>
      <c r="L31" s="358"/>
      <c r="M31" s="358"/>
      <c r="N31" s="358"/>
      <c r="O31" s="358"/>
      <c r="P31" s="358" t="s">
        <v>354</v>
      </c>
      <c r="Q31" s="360">
        <f>SUM(Q22:Q30)</f>
        <v>23390000</v>
      </c>
      <c r="R31" s="360">
        <f t="shared" ref="R31:Z31" si="45">SUM(R22:R30)</f>
        <v>32956403.600000001</v>
      </c>
      <c r="S31" s="360">
        <f t="shared" ca="1" si="45"/>
        <v>39464314.180316448</v>
      </c>
      <c r="T31" s="360">
        <f t="shared" ca="1" si="45"/>
        <v>43536144.483044021</v>
      </c>
      <c r="U31" s="360">
        <f t="shared" ca="1" si="45"/>
        <v>48146376.355133452</v>
      </c>
      <c r="V31" s="360">
        <f t="shared" ca="1" si="45"/>
        <v>53397815.11665079</v>
      </c>
      <c r="W31" s="360">
        <f t="shared" ca="1" si="45"/>
        <v>59440040.45859433</v>
      </c>
      <c r="X31" s="360">
        <f t="shared" ca="1" si="45"/>
        <v>66418172.508840412</v>
      </c>
      <c r="Y31" s="360">
        <f t="shared" ca="1" si="45"/>
        <v>74472507.559794262</v>
      </c>
      <c r="Z31" s="360">
        <f t="shared" ca="1" si="45"/>
        <v>83843004.442978472</v>
      </c>
      <c r="AA31" s="402"/>
      <c r="AB31" s="397"/>
      <c r="AC31" s="397"/>
      <c r="AD31" s="397"/>
      <c r="AE31" s="397"/>
      <c r="AF31" s="397"/>
      <c r="AG31" s="397"/>
      <c r="AH31" s="397"/>
      <c r="AI31" s="397"/>
      <c r="AJ31" s="397"/>
      <c r="AK31" s="397"/>
      <c r="AL31" s="397"/>
      <c r="AM31" s="397"/>
      <c r="AN31" s="397"/>
      <c r="AO31" s="397"/>
      <c r="AP31" s="369" t="s">
        <v>354</v>
      </c>
      <c r="AQ31" s="371">
        <f>SUM(AQ22:AQ30)</f>
        <v>0</v>
      </c>
      <c r="AR31" s="371">
        <f t="shared" ref="AR31:AZ31" si="46">SUM(AR22:AR30)</f>
        <v>0</v>
      </c>
      <c r="AS31" s="371">
        <f t="shared" ca="1" si="46"/>
        <v>0</v>
      </c>
      <c r="AT31" s="371">
        <f t="shared" ca="1" si="46"/>
        <v>23390000</v>
      </c>
      <c r="AU31" s="371">
        <f t="shared" ca="1" si="46"/>
        <v>31941483.351117644</v>
      </c>
      <c r="AV31" s="371">
        <f t="shared" ca="1" si="46"/>
        <v>37999423.382413</v>
      </c>
      <c r="AW31" s="371">
        <f t="shared" ca="1" si="46"/>
        <v>41624796.136747725</v>
      </c>
      <c r="AX31" s="371">
        <f t="shared" ca="1" si="46"/>
        <v>45708354.484733813</v>
      </c>
      <c r="AY31" s="371">
        <f t="shared" ca="1" si="46"/>
        <v>50335784.573041558</v>
      </c>
      <c r="AZ31" s="371">
        <f t="shared" ca="1" si="46"/>
        <v>55583463.207336441</v>
      </c>
    </row>
    <row r="32" spans="2:65">
      <c r="B32" s="402"/>
      <c r="C32" s="402"/>
      <c r="D32" s="402"/>
      <c r="E32" s="402"/>
      <c r="F32" s="402"/>
      <c r="G32" s="402"/>
      <c r="H32" s="402"/>
      <c r="I32" s="402"/>
      <c r="J32" s="402"/>
      <c r="K32" s="402"/>
      <c r="L32" s="402"/>
      <c r="M32" s="402"/>
      <c r="N32" s="402"/>
      <c r="O32" s="402"/>
      <c r="P32" s="402"/>
      <c r="Q32" s="402"/>
      <c r="R32" s="402"/>
      <c r="S32" s="402"/>
      <c r="T32" s="402"/>
      <c r="U32" s="402"/>
      <c r="V32" s="402"/>
      <c r="W32" s="402"/>
      <c r="X32" s="402"/>
      <c r="Y32" s="402"/>
      <c r="Z32" s="402"/>
      <c r="AA32" s="402"/>
      <c r="AB32" s="402"/>
      <c r="AC32" s="402"/>
      <c r="AD32" s="402"/>
      <c r="AE32" s="402"/>
      <c r="AF32" s="402"/>
      <c r="AG32" s="402"/>
      <c r="AH32" s="402"/>
      <c r="AI32" s="402"/>
      <c r="AJ32" s="402"/>
      <c r="AK32" s="402"/>
      <c r="AL32" s="402"/>
      <c r="AM32" s="402"/>
      <c r="AN32" s="402"/>
      <c r="AO32" s="402"/>
      <c r="AP32" s="402"/>
      <c r="AQ32" s="402"/>
      <c r="AR32" s="402"/>
      <c r="AS32" s="402"/>
      <c r="AT32" s="402"/>
      <c r="AU32" s="402"/>
      <c r="AV32" s="402"/>
      <c r="AW32" s="402"/>
      <c r="AX32" s="402"/>
      <c r="AY32" s="402"/>
      <c r="AZ32" s="402"/>
    </row>
    <row r="33" spans="2:52">
      <c r="B33" s="363" t="s">
        <v>345</v>
      </c>
      <c r="C33" s="364">
        <f>Assumptions!J16</f>
        <v>0.02</v>
      </c>
      <c r="D33" s="364">
        <f>Assumptions!K16</f>
        <v>0.02</v>
      </c>
      <c r="E33" s="364">
        <f>Assumptions!L16</f>
        <v>0.02</v>
      </c>
      <c r="F33" s="364">
        <f>Assumptions!M16</f>
        <v>0.02</v>
      </c>
      <c r="G33" s="364">
        <f>Assumptions!N16</f>
        <v>0.02</v>
      </c>
      <c r="H33" s="364">
        <f>Assumptions!O16</f>
        <v>0.02</v>
      </c>
      <c r="I33" s="364">
        <f>Assumptions!P16</f>
        <v>0.02</v>
      </c>
      <c r="J33" s="364">
        <f>Assumptions!Q16</f>
        <v>0.02</v>
      </c>
      <c r="K33" s="364">
        <f>Assumptions!R16</f>
        <v>0.02</v>
      </c>
      <c r="L33" s="364">
        <f>Assumptions!S16</f>
        <v>0.02</v>
      </c>
      <c r="M33" s="363"/>
      <c r="N33" s="363"/>
      <c r="O33" s="363"/>
      <c r="P33" s="363"/>
      <c r="Q33" s="363"/>
      <c r="R33" s="363"/>
      <c r="S33" s="363"/>
      <c r="T33" s="363"/>
      <c r="U33" s="363"/>
      <c r="V33" s="363"/>
      <c r="W33" s="363"/>
      <c r="X33" s="363"/>
      <c r="Y33" s="363"/>
      <c r="Z33" s="363"/>
      <c r="AA33" s="402"/>
      <c r="AB33" s="377" t="s">
        <v>345</v>
      </c>
      <c r="AC33" s="378">
        <f>Assumptions!J18</f>
        <v>3.2000000000000001E-2</v>
      </c>
      <c r="AD33" s="378">
        <f>Assumptions!K18</f>
        <v>3.2000000000000001E-2</v>
      </c>
      <c r="AE33" s="378">
        <f>Assumptions!L18</f>
        <v>3.2000000000000001E-2</v>
      </c>
      <c r="AF33" s="378">
        <f>Assumptions!M18</f>
        <v>3.2000000000000001E-2</v>
      </c>
      <c r="AG33" s="378">
        <f>Assumptions!N18</f>
        <v>3.2000000000000001E-2</v>
      </c>
      <c r="AH33" s="378">
        <f>Assumptions!O18</f>
        <v>3.2000000000000001E-2</v>
      </c>
      <c r="AI33" s="378">
        <f>Assumptions!P18</f>
        <v>3.2000000000000001E-2</v>
      </c>
      <c r="AJ33" s="378">
        <f>Assumptions!Q18</f>
        <v>3.2000000000000001E-2</v>
      </c>
      <c r="AK33" s="378">
        <f>Assumptions!R18</f>
        <v>3.2000000000000001E-2</v>
      </c>
      <c r="AL33" s="378">
        <f>Assumptions!S18</f>
        <v>3.2000000000000001E-2</v>
      </c>
      <c r="AM33" s="377"/>
      <c r="AN33" s="377"/>
      <c r="AO33" s="377"/>
      <c r="AP33" s="377"/>
      <c r="AQ33" s="377"/>
      <c r="AR33" s="377"/>
      <c r="AS33" s="377"/>
      <c r="AT33" s="377"/>
      <c r="AU33" s="377"/>
      <c r="AV33" s="377"/>
      <c r="AW33" s="377"/>
      <c r="AX33" s="377"/>
      <c r="AY33" s="377"/>
      <c r="AZ33" s="377"/>
    </row>
    <row r="34" spans="2:52">
      <c r="B34" s="363"/>
      <c r="C34" s="363"/>
      <c r="D34" s="363"/>
      <c r="E34" s="363"/>
      <c r="F34" s="363"/>
      <c r="G34" s="363"/>
      <c r="H34" s="363"/>
      <c r="I34" s="363"/>
      <c r="J34" s="363"/>
      <c r="K34" s="363"/>
      <c r="L34" s="363"/>
      <c r="M34" s="363"/>
      <c r="N34" s="363"/>
      <c r="O34" s="363"/>
      <c r="P34" s="363"/>
      <c r="Q34" s="363"/>
      <c r="R34" s="363"/>
      <c r="S34" s="363"/>
      <c r="T34" s="363"/>
      <c r="U34" s="363"/>
      <c r="V34" s="363"/>
      <c r="W34" s="363"/>
      <c r="X34" s="363"/>
      <c r="Y34" s="363"/>
      <c r="Z34" s="363"/>
      <c r="AA34" s="402"/>
      <c r="AB34" s="377"/>
      <c r="AC34" s="377"/>
      <c r="AD34" s="377"/>
      <c r="AE34" s="377"/>
      <c r="AF34" s="377"/>
      <c r="AG34" s="377"/>
      <c r="AH34" s="377"/>
      <c r="AI34" s="377"/>
      <c r="AJ34" s="377"/>
      <c r="AK34" s="377"/>
      <c r="AL34" s="377"/>
      <c r="AM34" s="377"/>
      <c r="AN34" s="377"/>
      <c r="AO34" s="377"/>
      <c r="AP34" s="377"/>
      <c r="AQ34" s="377"/>
      <c r="AR34" s="377"/>
      <c r="AS34" s="377"/>
      <c r="AT34" s="377"/>
      <c r="AU34" s="377"/>
      <c r="AV34" s="377"/>
      <c r="AW34" s="377"/>
      <c r="AX34" s="377"/>
      <c r="AY34" s="377"/>
      <c r="AZ34" s="377"/>
    </row>
    <row r="35" spans="2:52">
      <c r="B35" s="363"/>
      <c r="C35" s="363"/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3"/>
      <c r="R35" s="363"/>
      <c r="S35" s="363"/>
      <c r="T35" s="363"/>
      <c r="U35" s="363"/>
      <c r="V35" s="363"/>
      <c r="W35" s="363"/>
      <c r="X35" s="363"/>
      <c r="Y35" s="363"/>
      <c r="Z35" s="363"/>
      <c r="AA35" s="402"/>
      <c r="AB35" s="377"/>
      <c r="AC35" s="377"/>
      <c r="AD35" s="377"/>
      <c r="AE35" s="377"/>
      <c r="AF35" s="377"/>
      <c r="AG35" s="377"/>
      <c r="AH35" s="377"/>
      <c r="AI35" s="377"/>
      <c r="AJ35" s="377"/>
      <c r="AK35" s="377"/>
      <c r="AL35" s="377"/>
      <c r="AM35" s="377"/>
      <c r="AN35" s="377"/>
      <c r="AO35" s="377"/>
      <c r="AP35" s="377"/>
      <c r="AQ35" s="377"/>
      <c r="AR35" s="377"/>
      <c r="AS35" s="377"/>
      <c r="AT35" s="377"/>
      <c r="AU35" s="377"/>
      <c r="AV35" s="377"/>
      <c r="AW35" s="377"/>
      <c r="AX35" s="377"/>
      <c r="AY35" s="377"/>
      <c r="AZ35" s="377"/>
    </row>
    <row r="36" spans="2:52">
      <c r="B36" s="363"/>
      <c r="C36" s="363" t="s">
        <v>248</v>
      </c>
      <c r="D36" s="363"/>
      <c r="E36" s="363"/>
      <c r="F36" s="363"/>
      <c r="G36" s="363"/>
      <c r="H36" s="363"/>
      <c r="I36" s="363"/>
      <c r="J36" s="363"/>
      <c r="K36" s="363"/>
      <c r="L36" s="363"/>
      <c r="M36" s="363"/>
      <c r="N36" s="363"/>
      <c r="O36" s="363"/>
      <c r="P36" s="363"/>
      <c r="Q36" s="363" t="s">
        <v>248</v>
      </c>
      <c r="R36" s="363"/>
      <c r="S36" s="363"/>
      <c r="T36" s="363"/>
      <c r="U36" s="363"/>
      <c r="V36" s="363"/>
      <c r="W36" s="363"/>
      <c r="X36" s="363"/>
      <c r="Y36" s="363"/>
      <c r="Z36" s="363"/>
      <c r="AA36" s="402"/>
      <c r="AB36" s="377"/>
      <c r="AC36" s="377" t="s">
        <v>248</v>
      </c>
      <c r="AD36" s="377"/>
      <c r="AE36" s="377"/>
      <c r="AF36" s="377"/>
      <c r="AG36" s="377"/>
      <c r="AH36" s="377"/>
      <c r="AI36" s="377"/>
      <c r="AJ36" s="377"/>
      <c r="AK36" s="377"/>
      <c r="AL36" s="377"/>
      <c r="AM36" s="377"/>
      <c r="AN36" s="377"/>
      <c r="AO36" s="377"/>
      <c r="AP36" s="377"/>
      <c r="AQ36" s="377" t="s">
        <v>248</v>
      </c>
      <c r="AR36" s="377"/>
      <c r="AS36" s="377"/>
      <c r="AT36" s="377"/>
      <c r="AU36" s="377"/>
      <c r="AV36" s="377"/>
      <c r="AW36" s="377"/>
      <c r="AX36" s="377"/>
      <c r="AY36" s="377"/>
      <c r="AZ36" s="377"/>
    </row>
    <row r="37" spans="2:52">
      <c r="B37" s="363" t="s">
        <v>346</v>
      </c>
      <c r="C37" s="363">
        <v>1</v>
      </c>
      <c r="D37" s="363">
        <v>2</v>
      </c>
      <c r="E37" s="363">
        <v>3</v>
      </c>
      <c r="F37" s="363">
        <v>4</v>
      </c>
      <c r="G37" s="363">
        <v>5</v>
      </c>
      <c r="H37" s="363">
        <v>6</v>
      </c>
      <c r="I37" s="363">
        <v>7</v>
      </c>
      <c r="J37" s="363">
        <v>8</v>
      </c>
      <c r="K37" s="363">
        <v>9</v>
      </c>
      <c r="L37" s="363">
        <v>10</v>
      </c>
      <c r="M37" s="363"/>
      <c r="N37" s="363"/>
      <c r="O37" s="363"/>
      <c r="P37" s="363" t="s">
        <v>347</v>
      </c>
      <c r="Q37" s="363">
        <v>1</v>
      </c>
      <c r="R37" s="363">
        <v>2</v>
      </c>
      <c r="S37" s="363">
        <v>3</v>
      </c>
      <c r="T37" s="363">
        <v>4</v>
      </c>
      <c r="U37" s="363">
        <v>5</v>
      </c>
      <c r="V37" s="363">
        <v>6</v>
      </c>
      <c r="W37" s="363">
        <v>7</v>
      </c>
      <c r="X37" s="363">
        <v>8</v>
      </c>
      <c r="Y37" s="363">
        <v>9</v>
      </c>
      <c r="Z37" s="363">
        <v>10</v>
      </c>
      <c r="AA37" s="402"/>
      <c r="AB37" s="377" t="s">
        <v>346</v>
      </c>
      <c r="AC37" s="377">
        <v>1</v>
      </c>
      <c r="AD37" s="377">
        <v>2</v>
      </c>
      <c r="AE37" s="377">
        <v>3</v>
      </c>
      <c r="AF37" s="377">
        <v>4</v>
      </c>
      <c r="AG37" s="377">
        <v>5</v>
      </c>
      <c r="AH37" s="377">
        <v>6</v>
      </c>
      <c r="AI37" s="377">
        <v>7</v>
      </c>
      <c r="AJ37" s="377">
        <v>8</v>
      </c>
      <c r="AK37" s="377">
        <v>9</v>
      </c>
      <c r="AL37" s="377">
        <v>10</v>
      </c>
      <c r="AM37" s="377"/>
      <c r="AN37" s="377"/>
      <c r="AO37" s="377"/>
      <c r="AP37" s="377" t="s">
        <v>347</v>
      </c>
      <c r="AQ37" s="377">
        <v>1</v>
      </c>
      <c r="AR37" s="377">
        <v>2</v>
      </c>
      <c r="AS37" s="377">
        <v>3</v>
      </c>
      <c r="AT37" s="377">
        <v>4</v>
      </c>
      <c r="AU37" s="377">
        <v>5</v>
      </c>
      <c r="AV37" s="377">
        <v>6</v>
      </c>
      <c r="AW37" s="377">
        <v>7</v>
      </c>
      <c r="AX37" s="377">
        <v>8</v>
      </c>
      <c r="AY37" s="377">
        <v>9</v>
      </c>
      <c r="AZ37" s="377">
        <v>10</v>
      </c>
    </row>
    <row r="38" spans="2:52">
      <c r="B38" s="363" t="s">
        <v>331</v>
      </c>
      <c r="C38" s="365">
        <f>IF(C37=Assumptions!$G$45, Assumptions!$P$45, 0)</f>
        <v>0</v>
      </c>
      <c r="D38" s="365">
        <f>IF(D37&gt;Assumptions!$G$45, C38*(1+C33), IF(D37=Assumptions!$G$45, Assumptions!$P$45, 0))</f>
        <v>0</v>
      </c>
      <c r="E38" s="365">
        <f>IF(E37&gt;Assumptions!$G$45, D38*(1+D33), IF(E37=Assumptions!$G$45, Assumptions!$P$45, 0))</f>
        <v>0</v>
      </c>
      <c r="F38" s="365">
        <f>IF(F37&gt;Assumptions!$G$45, E38*(1+E33), IF(F37=Assumptions!$G$45, Assumptions!$P$45, 0))</f>
        <v>5000</v>
      </c>
      <c r="G38" s="365">
        <f>IF(G37&gt;Assumptions!$G$45, F38*(1+F33), IF(G37=Assumptions!$G$45, Assumptions!$P$45, 0))</f>
        <v>5100</v>
      </c>
      <c r="H38" s="365">
        <f>IF(H37&gt;Assumptions!$G$45, G38*(1+G33), IF(H37=Assumptions!$G$45, Assumptions!$P$45, 0))</f>
        <v>5202</v>
      </c>
      <c r="I38" s="365">
        <f>IF(I37&gt;Assumptions!$G$45, H38*(1+H33), IF(I37=Assumptions!$G$45, Assumptions!$P$45, 0))</f>
        <v>5306.04</v>
      </c>
      <c r="J38" s="365">
        <f>IF(J37&gt;Assumptions!$G$45, I38*(1+I33), IF(J37=Assumptions!$G$45, Assumptions!$P$45, 0))</f>
        <v>5412.1607999999997</v>
      </c>
      <c r="K38" s="365">
        <f>IF(K37&gt;Assumptions!$G$45, J38*(1+J33), IF(K37=Assumptions!$G$45, Assumptions!$P$45, 0))</f>
        <v>5520.4040159999995</v>
      </c>
      <c r="L38" s="365">
        <f>IF(L37&gt;Assumptions!$G$45, K38*(1+K33), IF(L37=Assumptions!$G$45, Assumptions!$P$45, 0))</f>
        <v>5630.8120963199999</v>
      </c>
      <c r="M38" s="363"/>
      <c r="N38" s="363"/>
      <c r="O38" s="363"/>
      <c r="P38" s="363" t="s">
        <v>331</v>
      </c>
      <c r="Q38" s="375">
        <f>IF(Q37=Assumptions!$G$45, Assumptions!$D$45, 0)</f>
        <v>0</v>
      </c>
      <c r="R38" s="375">
        <f>IF(R37&gt;Assumptions!$G$45, Q38*(1+C52), IF(R37=Assumptions!$G$45, Assumptions!$D$45, 0))</f>
        <v>0</v>
      </c>
      <c r="S38" s="375">
        <f>IF(S37&gt;Assumptions!$G$45, R38*(1+D52), IF(S37=Assumptions!$G$45, Assumptions!$D$45, 0))</f>
        <v>0</v>
      </c>
      <c r="T38" s="375">
        <f>IF(T37&gt;Assumptions!$G$45, S38*(1+E52), IF(T37=Assumptions!$G$45, Assumptions!$D$45, 0))</f>
        <v>1540</v>
      </c>
      <c r="U38" s="375">
        <f ca="1">IF(U37&gt;Assumptions!$G$45, T38*(1+F52), IF(U37=Assumptions!$G$45, Assumptions!$D$45, 0))</f>
        <v>1617.3792220513183</v>
      </c>
      <c r="V38" s="375">
        <f ca="1">IF(V37&gt;Assumptions!$G$45, U38*(1+G52), IF(V37=Assumptions!$G$45, Assumptions!$D$45, 0))</f>
        <v>1703.2301999696856</v>
      </c>
      <c r="W38" s="375">
        <f ca="1">IF(W37&gt;Assumptions!$G$45, V38*(1+H52), IF(W37=Assumptions!$G$45, Assumptions!$D$45, 0))</f>
        <v>1798.896134352193</v>
      </c>
      <c r="X38" s="375">
        <f ca="1">IF(X37&gt;Assumptions!$G$45, W38*(1+I52), IF(X37=Assumptions!$G$45, Assumptions!$D$45, 0))</f>
        <v>1907.024276071322</v>
      </c>
      <c r="Y38" s="375">
        <f ca="1">IF(Y37&gt;Assumptions!$G$45, X38*(1+J52), IF(Y37=Assumptions!$G$45, Assumptions!$D$45, 0))</f>
        <v>2028.5331151473042</v>
      </c>
      <c r="Z38" s="375">
        <f ca="1">IF(Z37&gt;Assumptions!$G$45, Y38*(1+K52), IF(Z37=Assumptions!$G$45, Assumptions!$D$45, 0))</f>
        <v>2164.952997288271</v>
      </c>
      <c r="AA38" s="402"/>
      <c r="AB38" s="377" t="s">
        <v>331</v>
      </c>
      <c r="AC38" s="379">
        <f>IF(AC37=Assumptions!$J$45, Assumptions!$P$45, 0)</f>
        <v>0</v>
      </c>
      <c r="AD38" s="379">
        <f>IF(AD37&gt;Assumptions!$J$45, AC38*(1+AC33), IF(AD37=Assumptions!$J$45, Assumptions!$P$45, 0))</f>
        <v>0</v>
      </c>
      <c r="AE38" s="379">
        <f>IF(AE37&gt;Assumptions!$J$45, AD38*(1+AD33), IF(AE37=Assumptions!$J$45, Assumptions!$P$45, 0))</f>
        <v>0</v>
      </c>
      <c r="AF38" s="379">
        <f>IF(AF37&gt;Assumptions!$J$45, AE38*(1+AE33), IF(AF37=Assumptions!$J$45, Assumptions!$P$45, 0))</f>
        <v>5000</v>
      </c>
      <c r="AG38" s="379">
        <f>IF(AG37&gt;Assumptions!$J$45, AF38*(1+AF33), IF(AG37=Assumptions!$J$45, Assumptions!$P$45, 0))</f>
        <v>5160</v>
      </c>
      <c r="AH38" s="379">
        <f>IF(AH37&gt;Assumptions!$J$45, AG38*(1+AG33), IF(AH37=Assumptions!$J$45, Assumptions!$P$45, 0))</f>
        <v>5325.12</v>
      </c>
      <c r="AI38" s="379">
        <f>IF(AI37&gt;Assumptions!$J$45, AH38*(1+AH33), IF(AI37=Assumptions!$J$45, Assumptions!$P$45, 0))</f>
        <v>5495.5238399999998</v>
      </c>
      <c r="AJ38" s="379">
        <f>IF(AJ37&gt;Assumptions!$J$45, AI38*(1+AI33), IF(AJ37=Assumptions!$J$45, Assumptions!$P$45, 0))</f>
        <v>5671.38060288</v>
      </c>
      <c r="AK38" s="379">
        <f>IF(AK37&gt;Assumptions!$J$45, AJ38*(1+AJ33), IF(AK37=Assumptions!$J$45, Assumptions!$P$45, 0))</f>
        <v>5852.8647821721597</v>
      </c>
      <c r="AL38" s="379">
        <f>IF(AL37&gt;Assumptions!$J$45, AK38*(1+AK33), IF(AL37=Assumptions!$J$45, Assumptions!$P$45, 0))</f>
        <v>6040.1564552016689</v>
      </c>
      <c r="AM38" s="377"/>
      <c r="AN38" s="377"/>
      <c r="AO38" s="377"/>
      <c r="AP38" s="377" t="s">
        <v>331</v>
      </c>
      <c r="AQ38" s="380">
        <f>IF(AQ37=Assumptions!$J$45, Assumptions!$D$45, 0)</f>
        <v>0</v>
      </c>
      <c r="AR38" s="380">
        <f>IF(AR37&gt;Assumptions!$J$45, AQ38*(1+AC52), IF(AR37=Assumptions!$J$45, Assumptions!$D$45, 0))</f>
        <v>0</v>
      </c>
      <c r="AS38" s="380">
        <f>IF(AS37&gt;Assumptions!$J$45, AR38*(1+AD52), IF(AS37=Assumptions!$J$45, Assumptions!$D$45, 0))</f>
        <v>0</v>
      </c>
      <c r="AT38" s="380">
        <f>IF(AT37&gt;Assumptions!$J$45, AS38*(1+AE52), IF(AT37=Assumptions!$J$45, Assumptions!$D$45, 0))</f>
        <v>1540</v>
      </c>
      <c r="AU38" s="380">
        <f ca="1">IF(AU37&gt;Assumptions!$J$45, AT38*(1+AF52), IF(AU37=Assumptions!$J$45, Assumptions!$D$45, 0))</f>
        <v>1602.0536940322927</v>
      </c>
      <c r="AV38" s="380">
        <f ca="1">IF(AV37&gt;Assumptions!$J$45, AU38*(1+AG52), IF(AV37=Assumptions!$J$45, Assumptions!$D$45, 0))</f>
        <v>1670.8949690251466</v>
      </c>
      <c r="AW38" s="380">
        <f ca="1">IF(AW37&gt;Assumptions!$J$45, AV38*(1+AH52), IF(AW37=Assumptions!$J$45, Assumptions!$D$45, 0))</f>
        <v>1748.6038576110188</v>
      </c>
      <c r="AX38" s="380">
        <f ca="1">IF(AX37&gt;Assumptions!$J$45, AW38*(1+AI52), IF(AX37=Assumptions!$J$45, Assumptions!$D$45, 0))</f>
        <v>1836.7465442342234</v>
      </c>
      <c r="AY38" s="380">
        <f ca="1">IF(AY37&gt;Assumptions!$J$45, AX38*(1+AJ52), IF(AY37=Assumptions!$J$45, Assumptions!$D$45, 0))</f>
        <v>1935.3658570083983</v>
      </c>
      <c r="AZ38" s="380">
        <f ca="1">IF(AZ37&gt;Assumptions!$J$45, AY38*(1+AK52), IF(AZ37=Assumptions!$J$45, Assumptions!$D$45, 0))</f>
        <v>2044.6520118030369</v>
      </c>
    </row>
    <row r="39" spans="2:52">
      <c r="B39" s="363" t="s">
        <v>332</v>
      </c>
      <c r="C39" s="365">
        <f>IF(C37=Assumptions!$G$46, Assumptions!$P$46, 0)</f>
        <v>0</v>
      </c>
      <c r="D39" s="365">
        <f>IF(D37&gt;Assumptions!$G$46, C39*(1+C33), IF(D37=Assumptions!$G$46, Assumptions!$P$46, 0))</f>
        <v>0</v>
      </c>
      <c r="E39" s="365">
        <f>IF(E37&gt;Assumptions!$G$46, D39*(1+D33), IF(E37=Assumptions!$G$46, Assumptions!$P$46, 0))</f>
        <v>0</v>
      </c>
      <c r="F39" s="365">
        <f>IF(F37&gt;Assumptions!$G$46, E39*(1+E33), IF(F37=Assumptions!$G$46, Assumptions!$P$46, 0))</f>
        <v>7000</v>
      </c>
      <c r="G39" s="365">
        <f>IF(G37&gt;Assumptions!$G$46, F39*(1+F33), IF(G37=Assumptions!$G$46, Assumptions!$P$46, 0))</f>
        <v>7140</v>
      </c>
      <c r="H39" s="365">
        <f>IF(H37&gt;Assumptions!$G$46, G39*(1+G33), IF(H37=Assumptions!$G$46, Assumptions!$P$46, 0))</f>
        <v>7282.8</v>
      </c>
      <c r="I39" s="365">
        <f>IF(I37&gt;Assumptions!$G$46, H39*(1+H33), IF(I37=Assumptions!$G$46, Assumptions!$P$46, 0))</f>
        <v>7428.4560000000001</v>
      </c>
      <c r="J39" s="365">
        <f>IF(J37&gt;Assumptions!$G$46, I39*(1+I33), IF(J37=Assumptions!$G$46, Assumptions!$P$46, 0))</f>
        <v>7577.0251200000002</v>
      </c>
      <c r="K39" s="365">
        <f>IF(K37&gt;Assumptions!$G$46, J39*(1+J33), IF(K37=Assumptions!$G$46, Assumptions!$P$46, 0))</f>
        <v>7728.5656224000004</v>
      </c>
      <c r="L39" s="365">
        <f>IF(L37&gt;Assumptions!$G$46, K39*(1+K33), IF(L37=Assumptions!$G$46, Assumptions!$P$46, 0))</f>
        <v>7883.1369348480002</v>
      </c>
      <c r="M39" s="363"/>
      <c r="N39" s="363"/>
      <c r="O39" s="363"/>
      <c r="P39" s="363" t="s">
        <v>332</v>
      </c>
      <c r="Q39" s="375">
        <f>IF(Q37=Assumptions!$G$46, Assumptions!$D$46, 0)</f>
        <v>0</v>
      </c>
      <c r="R39" s="375">
        <f>IF(R37&gt;Assumptions!$G$46, Q39*(1+C53), IF(R37=Assumptions!$G$46, Assumptions!$D$46, 0))</f>
        <v>0</v>
      </c>
      <c r="S39" s="375">
        <f>IF(S37&gt;Assumptions!$G$46, R39*(1+D53), IF(S37=Assumptions!$G$46, Assumptions!$D$46, 0))</f>
        <v>0</v>
      </c>
      <c r="T39" s="375">
        <f>IF(T37&gt;Assumptions!$G$46, S39*(1+E53), IF(T37=Assumptions!$G$46, Assumptions!$D$46, 0))</f>
        <v>1000</v>
      </c>
      <c r="U39" s="375">
        <f ca="1">IF(U37&gt;Assumptions!$G$46, T39*(1+F53), IF(U37=Assumptions!$G$46, Assumptions!$D$46, 0))</f>
        <v>1041.103651370124</v>
      </c>
      <c r="V39" s="375">
        <f ca="1">IF(V37&gt;Assumptions!$G$46, U39*(1+G53), IF(V37=Assumptions!$G$46, Assumptions!$D$46, 0))</f>
        <v>1087.9864012163141</v>
      </c>
      <c r="W39" s="375">
        <f ca="1">IF(W37&gt;Assumptions!$G$46, V39*(1+H53), IF(W37=Assumptions!$G$46, Assumptions!$D$46, 0))</f>
        <v>1139.9115055215868</v>
      </c>
      <c r="X39" s="375">
        <f ca="1">IF(X37&gt;Assumptions!$G$46, W39*(1+I53), IF(X37=Assumptions!$G$46, Assumptions!$D$46, 0))</f>
        <v>1198.5640950430839</v>
      </c>
      <c r="Y39" s="375">
        <f ca="1">IF(Y37&gt;Assumptions!$G$46, X39*(1+J53), IF(Y37=Assumptions!$G$46, Assumptions!$D$46, 0))</f>
        <v>1264.2584586632001</v>
      </c>
      <c r="Z39" s="375">
        <f ca="1">IF(Z37&gt;Assumptions!$G$46, Y39*(1+K53), IF(Z37=Assumptions!$G$46, Assumptions!$D$46, 0))</f>
        <v>1338.1204537503206</v>
      </c>
      <c r="AA39" s="402"/>
      <c r="AB39" s="377" t="s">
        <v>332</v>
      </c>
      <c r="AC39" s="379">
        <f>IF(AC37=Assumptions!$J$46, Assumptions!$P$46, 0)</f>
        <v>0</v>
      </c>
      <c r="AD39" s="379">
        <f>IF(AD37&gt;Assumptions!$J$46, AC39*(1+AC33), IF(AD37=Assumptions!$J$46, Assumptions!$P$46, 0))</f>
        <v>0</v>
      </c>
      <c r="AE39" s="379">
        <f>IF(AE37&gt;Assumptions!$J$46, AD39*(1+AD33), IF(AE37=Assumptions!$J$46, Assumptions!$P$46, 0))</f>
        <v>0</v>
      </c>
      <c r="AF39" s="379">
        <f>IF(AF37&gt;Assumptions!$J$46, AE39*(1+AE33), IF(AF37=Assumptions!$J$46, Assumptions!$P$46, 0))</f>
        <v>7000</v>
      </c>
      <c r="AG39" s="379">
        <f>IF(AG37&gt;Assumptions!$J$46, AF39*(1+AF33), IF(AG37=Assumptions!$J$46, Assumptions!$P$46, 0))</f>
        <v>7224</v>
      </c>
      <c r="AH39" s="379">
        <f>IF(AH37&gt;Assumptions!$J$46, AG39*(1+AG33), IF(AH37=Assumptions!$J$46, Assumptions!$P$46, 0))</f>
        <v>7455.1680000000006</v>
      </c>
      <c r="AI39" s="379">
        <f>IF(AI37&gt;Assumptions!$J$46, AH39*(1+AH33), IF(AI37=Assumptions!$J$46, Assumptions!$P$46, 0))</f>
        <v>7693.733376000001</v>
      </c>
      <c r="AJ39" s="379">
        <f>IF(AJ37&gt;Assumptions!$J$46, AI39*(1+AI33), IF(AJ37=Assumptions!$J$46, Assumptions!$P$46, 0))</f>
        <v>7939.9328440320014</v>
      </c>
      <c r="AK39" s="379">
        <f>IF(AK37&gt;Assumptions!$J$46, AJ39*(1+AJ33), IF(AK37=Assumptions!$J$46, Assumptions!$P$46, 0))</f>
        <v>8194.0106950410263</v>
      </c>
      <c r="AL39" s="379">
        <f>IF(AL37&gt;Assumptions!$J$46, AK39*(1+AK33), IF(AL37=Assumptions!$J$46, Assumptions!$P$46, 0))</f>
        <v>8456.2190372823388</v>
      </c>
      <c r="AM39" s="377"/>
      <c r="AN39" s="377"/>
      <c r="AO39" s="377"/>
      <c r="AP39" s="377" t="s">
        <v>332</v>
      </c>
      <c r="AQ39" s="380">
        <f>IF(AQ37=Assumptions!$J$46, Assumptions!$D$46, 0)</f>
        <v>0</v>
      </c>
      <c r="AR39" s="380">
        <f>IF(AR37&gt;Assumptions!$J$46, AQ39*(1+AC53), IF(AR37=Assumptions!$J$46, Assumptions!$D$46, 0))</f>
        <v>0</v>
      </c>
      <c r="AS39" s="380">
        <f>IF(AS37&gt;Assumptions!$J$46, AR39*(1+AD53), IF(AS37=Assumptions!$J$46, Assumptions!$D$46, 0))</f>
        <v>0</v>
      </c>
      <c r="AT39" s="380">
        <f>IF(AT37&gt;Assumptions!$J$46, AS39*(1+AE53), IF(AT37=Assumptions!$J$46, Assumptions!$D$46, 0))</f>
        <v>1000</v>
      </c>
      <c r="AU39" s="380">
        <f ca="1">IF(AU37&gt;Assumptions!$J$46, AT39*(1+AF53), IF(AU37=Assumptions!$J$46, Assumptions!$D$46, 0))</f>
        <v>1061.6593547885529</v>
      </c>
      <c r="AV39" s="380">
        <f ca="1">IF(AV37&gt;Assumptions!$J$46, AU39*(1+AG53), IF(AV37=Assumptions!$J$46, Assumptions!$D$46, 0))</f>
        <v>1131.3519651648257</v>
      </c>
      <c r="AW39" s="380">
        <f ca="1">IF(AW37&gt;Assumptions!$J$46, AV39*(1+AH53), IF(AW37=Assumptions!$J$46, Assumptions!$D$46, 0))</f>
        <v>1209.3586595555871</v>
      </c>
      <c r="AX39" s="380">
        <f ca="1">IF(AX37&gt;Assumptions!$J$46, AW39*(1+AI53), IF(AX37=Assumptions!$J$46, Assumptions!$D$46, 0))</f>
        <v>1296.4666349846718</v>
      </c>
      <c r="AY39" s="380">
        <f ca="1">IF(AY37&gt;Assumptions!$J$46, AX39*(1+AJ53), IF(AY37=Assumptions!$J$46, Assumptions!$D$46, 0))</f>
        <v>1394.3736375401586</v>
      </c>
      <c r="AZ39" s="380">
        <f ca="1">IF(AZ37&gt;Assumptions!$J$46, AY39*(1+AK53), IF(AZ37=Assumptions!$J$46, Assumptions!$D$46, 0))</f>
        <v>1505.1874206863092</v>
      </c>
    </row>
    <row r="40" spans="2:52">
      <c r="B40" s="363" t="s">
        <v>282</v>
      </c>
      <c r="C40" s="365">
        <f>IF(C37=Assumptions!$G$47, Assumptions!$P$47, 0)</f>
        <v>0</v>
      </c>
      <c r="D40" s="365">
        <f>IF(D37&gt;Assumptions!$G$47, C40*(1+C33), IF(D37=Assumptions!$G$47, Assumptions!$P$45, 0))</f>
        <v>0</v>
      </c>
      <c r="E40" s="365">
        <f>IF(E37&gt;Assumptions!$G$47, D40*(1+D33), IF(E37=Assumptions!$G$47, Assumptions!$P$45, 0))</f>
        <v>0</v>
      </c>
      <c r="F40" s="365">
        <f>IF(F37&gt;Assumptions!$G$47, E40*(1+E33), IF(F37=Assumptions!$G$47, Assumptions!$P$45, 0))</f>
        <v>5000</v>
      </c>
      <c r="G40" s="365">
        <f>IF(G37&gt;Assumptions!$G$47, F40*(1+F33), IF(G37=Assumptions!$G$47, Assumptions!$P$45, 0))</f>
        <v>5100</v>
      </c>
      <c r="H40" s="365">
        <f>IF(H37&gt;Assumptions!$G$47, G40*(1+G33), IF(H37=Assumptions!$G$47, Assumptions!$P$45, 0))</f>
        <v>5202</v>
      </c>
      <c r="I40" s="365">
        <f>IF(I37&gt;Assumptions!$G$47, H40*(1+H33), IF(I37=Assumptions!$G$47, Assumptions!$P$45, 0))</f>
        <v>5306.04</v>
      </c>
      <c r="J40" s="365">
        <f>IF(J37&gt;Assumptions!$G$47, I40*(1+I33), IF(J37=Assumptions!$G$47, Assumptions!$P$45, 0))</f>
        <v>5412.1607999999997</v>
      </c>
      <c r="K40" s="365">
        <f>IF(K37&gt;Assumptions!$G$47, J40*(1+J33), IF(K37=Assumptions!$G$47, Assumptions!$P$45, 0))</f>
        <v>5520.4040159999995</v>
      </c>
      <c r="L40" s="365">
        <f>IF(L37&gt;Assumptions!$G$47, K40*(1+K33), IF(L37=Assumptions!$G$47, Assumptions!$P$45, 0))</f>
        <v>5630.8120963199999</v>
      </c>
      <c r="M40" s="363"/>
      <c r="N40" s="363"/>
      <c r="O40" s="363"/>
      <c r="P40" s="363" t="s">
        <v>282</v>
      </c>
      <c r="Q40" s="375">
        <f>IF(Q37=Assumptions!$G$47, Assumptions!$D$47, 0)</f>
        <v>0</v>
      </c>
      <c r="R40" s="375">
        <f>IF(R37&gt;Assumptions!$G$47, Q40*(1+C54), IF(R37=Assumptions!$G$47, Assumptions!$D$47, 0))</f>
        <v>0</v>
      </c>
      <c r="S40" s="375">
        <f>IF(S37&gt;Assumptions!$G$47, R40*(1+D54), IF(S37=Assumptions!$G$47, Assumptions!$D$47, 0))</f>
        <v>0</v>
      </c>
      <c r="T40" s="375">
        <f>IF(T37&gt;Assumptions!$G$47, S40*(1+E54), IF(T37=Assumptions!$G$47, Assumptions!$D$47, 0))</f>
        <v>1270</v>
      </c>
      <c r="U40" s="375">
        <f ca="1">IF(U37&gt;Assumptions!$G$47, T40*(1+F54), IF(U37=Assumptions!$G$47, Assumptions!$D$47, 0))</f>
        <v>1347.7153797632241</v>
      </c>
      <c r="V40" s="375">
        <f ca="1">IF(V37&gt;Assumptions!$G$47, U40*(1+G54), IF(V37=Assumptions!$G$47, Assumptions!$D$47, 0))</f>
        <v>1435.1174237279934</v>
      </c>
      <c r="W40" s="375">
        <f ca="1">IF(W37&gt;Assumptions!$G$47, V40*(1+H54), IF(W37=Assumptions!$G$47, Assumptions!$D$47, 0))</f>
        <v>1532.6502532849534</v>
      </c>
      <c r="X40" s="375">
        <f ca="1">IF(X37&gt;Assumptions!$G$47, W40*(1+I54), IF(X37=Assumptions!$G$47, Assumptions!$D$47, 0))</f>
        <v>1642.79651505376</v>
      </c>
      <c r="Y40" s="375">
        <f ca="1">IF(Y37&gt;Assumptions!$G$47, X40*(1+J54), IF(Y37=Assumptions!$G$47, Assumptions!$D$47, 0))</f>
        <v>1766.3292138907707</v>
      </c>
      <c r="Z40" s="375">
        <f ca="1">IF(Z37&gt;Assumptions!$G$47, Y40*(1+K54), IF(Z37=Assumptions!$G$47, Assumptions!$D$47, 0))</f>
        <v>1904.7381331260538</v>
      </c>
      <c r="AA40" s="402"/>
      <c r="AB40" s="377" t="s">
        <v>282</v>
      </c>
      <c r="AC40" s="379">
        <f>IF(AC37=Assumptions!$J$47, Assumptions!$P$47, 0)</f>
        <v>0</v>
      </c>
      <c r="AD40" s="379">
        <f>IF(AD37&gt;Assumptions!$J$47, AC40*(1+AC33), IF(AD37=Assumptions!$J$47, Assumptions!$P$45, 0))</f>
        <v>0</v>
      </c>
      <c r="AE40" s="379">
        <f>IF(AE37&gt;Assumptions!$J$47, AD40*(1+AD33), IF(AE37=Assumptions!$J$47, Assumptions!$P$45, 0))</f>
        <v>0</v>
      </c>
      <c r="AF40" s="379">
        <f>IF(AF37&gt;Assumptions!$J$47, AE40*(1+AE33), IF(AF37=Assumptions!$J$47, Assumptions!$P$45, 0))</f>
        <v>5000</v>
      </c>
      <c r="AG40" s="379">
        <f>IF(AG37&gt;Assumptions!$J$47, AF40*(1+AF33), IF(AG37=Assumptions!$J$47, Assumptions!$P$45, 0))</f>
        <v>5160</v>
      </c>
      <c r="AH40" s="379">
        <f>IF(AH37&gt;Assumptions!$J$47, AG40*(1+AG33), IF(AH37=Assumptions!$J$47, Assumptions!$P$45, 0))</f>
        <v>5325.12</v>
      </c>
      <c r="AI40" s="379">
        <f>IF(AI37&gt;Assumptions!$J$47, AH40*(1+AH33), IF(AI37=Assumptions!$J$47, Assumptions!$P$45, 0))</f>
        <v>5495.5238399999998</v>
      </c>
      <c r="AJ40" s="379">
        <f>IF(AJ37&gt;Assumptions!$J$47, AI40*(1+AI33), IF(AJ37=Assumptions!$J$47, Assumptions!$P$45, 0))</f>
        <v>5671.38060288</v>
      </c>
      <c r="AK40" s="379">
        <f>IF(AK37&gt;Assumptions!$J$47, AJ40*(1+AJ33), IF(AK37=Assumptions!$J$47, Assumptions!$P$45, 0))</f>
        <v>5852.8647821721597</v>
      </c>
      <c r="AL40" s="379">
        <f>IF(AL37&gt;Assumptions!$J$47, AK40*(1+AK33), IF(AL37=Assumptions!$J$47, Assumptions!$P$45, 0))</f>
        <v>6040.1564552016689</v>
      </c>
      <c r="AM40" s="377"/>
      <c r="AN40" s="377"/>
      <c r="AO40" s="377"/>
      <c r="AP40" s="377" t="s">
        <v>282</v>
      </c>
      <c r="AQ40" s="380">
        <f>IF(AQ37=Assumptions!$J$47, Assumptions!$D$47, 0)</f>
        <v>0</v>
      </c>
      <c r="AR40" s="380">
        <f>IF(AR37&gt;Assumptions!$J$47, AQ40*(1+AC54), IF(AR37=Assumptions!$J$47, Assumptions!$D$47, 0))</f>
        <v>0</v>
      </c>
      <c r="AS40" s="380">
        <f>IF(AS37&gt;Assumptions!$J$47, AR40*(1+AD54), IF(AS37=Assumptions!$J$47, Assumptions!$D$47, 0))</f>
        <v>0</v>
      </c>
      <c r="AT40" s="380">
        <f>IF(AT37&gt;Assumptions!$J$47, AS40*(1+AE54), IF(AT37=Assumptions!$J$47, Assumptions!$D$47, 0))</f>
        <v>1270</v>
      </c>
      <c r="AU40" s="380">
        <f ca="1">IF(AU37&gt;Assumptions!$J$47, AT40*(1+AF54), IF(AU37=Assumptions!$J$47, Assumptions!$D$47, 0))</f>
        <v>1320.7384604235151</v>
      </c>
      <c r="AV40" s="380">
        <f ca="1">IF(AV37&gt;Assumptions!$J$47, AU40*(1+AG54), IF(AV37=Assumptions!$J$47, Assumptions!$D$47, 0))</f>
        <v>1377.192675398976</v>
      </c>
      <c r="AW40" s="380">
        <f ca="1">IF(AW37&gt;Assumptions!$J$47, AV40*(1+AH54), IF(AW37=Assumptions!$J$47, Assumptions!$D$47, 0))</f>
        <v>1441.4778825802866</v>
      </c>
      <c r="AX40" s="380">
        <f ca="1">IF(AX37&gt;Assumptions!$J$47, AW40*(1+AI54), IF(AX37=Assumptions!$J$47, Assumptions!$D$47, 0))</f>
        <v>1514.3148047358886</v>
      </c>
      <c r="AY40" s="380">
        <f ca="1">IF(AY37&gt;Assumptions!$J$47, AX40*(1+AJ54), IF(AY37=Assumptions!$J$47, Assumptions!$D$47, 0))</f>
        <v>1596.8526904993116</v>
      </c>
      <c r="AZ40" s="380">
        <f ca="1">IF(AZ37&gt;Assumptions!$J$47, AY40*(1+AK54), IF(AZ37=Assumptions!$J$47, Assumptions!$D$47, 0))</f>
        <v>1690.2570595858208</v>
      </c>
    </row>
    <row r="41" spans="2:52">
      <c r="B41" s="363" t="s">
        <v>333</v>
      </c>
      <c r="C41" s="365">
        <f>IF(C37=Assumptions!$G$48, Assumptions!$P$48, 0)</f>
        <v>0</v>
      </c>
      <c r="D41" s="365">
        <f>IF(D37&gt;Assumptions!$G$48, C41*(1+C33), IF(D37=Assumptions!$G$48, Assumptions!$P$48, 0))</f>
        <v>0</v>
      </c>
      <c r="E41" s="365">
        <f>IF(E37&gt;Assumptions!$G$48, D41*(1+D33), IF(E37=Assumptions!$G$48, Assumptions!$P$48, 0))</f>
        <v>0</v>
      </c>
      <c r="F41" s="365">
        <f>IF(F37&gt;Assumptions!$G$48, E41*(1+E33), IF(F37=Assumptions!$G$48, Assumptions!$P$48, 0))</f>
        <v>0</v>
      </c>
      <c r="G41" s="365">
        <f>IF(G37&gt;Assumptions!$G$48, F41*(1+F33), IF(G37=Assumptions!$G$48, Assumptions!$P$48, 0))</f>
        <v>9500</v>
      </c>
      <c r="H41" s="365">
        <f>IF(H37&gt;Assumptions!$G$48, G41*(1+G33), IF(H37=Assumptions!$G$48, Assumptions!$P$48, 0))</f>
        <v>9690</v>
      </c>
      <c r="I41" s="365">
        <f>IF(I37&gt;Assumptions!$G$48, H41*(1+H33), IF(I37=Assumptions!$G$48, Assumptions!$P$48, 0))</f>
        <v>9883.7999999999993</v>
      </c>
      <c r="J41" s="365">
        <f>IF(J37&gt;Assumptions!$G$48, I41*(1+I33), IF(J37=Assumptions!$G$48, Assumptions!$P$48, 0))</f>
        <v>10081.475999999999</v>
      </c>
      <c r="K41" s="365">
        <f>IF(K37&gt;Assumptions!$G$48, J41*(1+J33), IF(K37=Assumptions!$G$48, Assumptions!$P$48, 0))</f>
        <v>10283.105519999999</v>
      </c>
      <c r="L41" s="365">
        <f>IF(L37&gt;Assumptions!$G$48, K41*(1+K33), IF(L37=Assumptions!$G$48, Assumptions!$P$48, 0))</f>
        <v>10488.7676304</v>
      </c>
      <c r="M41" s="363"/>
      <c r="N41" s="363"/>
      <c r="O41" s="363"/>
      <c r="P41" s="363" t="s">
        <v>333</v>
      </c>
      <c r="Q41" s="375">
        <f>IF(Q37=Assumptions!$G$48, Assumptions!$D$48, 0)</f>
        <v>0</v>
      </c>
      <c r="R41" s="375">
        <f>IF(R37&gt;Assumptions!$G$48, Q41*(1+C55), IF(R37=Assumptions!$G$48, Assumptions!$D$48, 0))</f>
        <v>0</v>
      </c>
      <c r="S41" s="375">
        <f>IF(S37&gt;Assumptions!$G$48, R41*(1+D55), IF(S37=Assumptions!$G$48, Assumptions!$D$48, 0))</f>
        <v>0</v>
      </c>
      <c r="T41" s="375">
        <f>IF(T37&gt;Assumptions!$G$48, S41*(1+E55), IF(T37=Assumptions!$G$48, Assumptions!$D$48, 0))</f>
        <v>0</v>
      </c>
      <c r="U41" s="375">
        <f>IF(U37&gt;Assumptions!$G$48, T41*(1+F55), IF(U37=Assumptions!$G$48, Assumptions!$D$48, 0))</f>
        <v>635</v>
      </c>
      <c r="V41" s="375">
        <f ca="1">IF(V37&gt;Assumptions!$G$48, U41*(1+G55), IF(V37=Assumptions!$G$48, Assumptions!$D$48, 0))</f>
        <v>674.82605771415069</v>
      </c>
      <c r="W41" s="375">
        <f ca="1">IF(W37&gt;Assumptions!$G$48, V41*(1+H55), IF(W37=Assumptions!$G$48, Assumptions!$D$48, 0))</f>
        <v>719.77277739400836</v>
      </c>
      <c r="X41" s="375">
        <f ca="1">IF(X37&gt;Assumptions!$G$48, W41*(1+I55), IF(X37=Assumptions!$G$48, Assumptions!$D$48, 0))</f>
        <v>769.96231417560398</v>
      </c>
      <c r="Y41" s="375">
        <f ca="1">IF(Y37&gt;Assumptions!$G$48, X41*(1+J55), IF(Y37=Assumptions!$G$48, Assumptions!$D$48, 0))</f>
        <v>826.1177650850824</v>
      </c>
      <c r="Z41" s="375">
        <f ca="1">IF(Z37&gt;Assumptions!$G$48, Y41*(1+K55), IF(Z37=Assumptions!$G$48, Assumptions!$D$48, 0))</f>
        <v>889.02565259272455</v>
      </c>
      <c r="AA41" s="402"/>
      <c r="AB41" s="377" t="s">
        <v>333</v>
      </c>
      <c r="AC41" s="379">
        <f>IF(AC37=Assumptions!$J$48, Assumptions!$P$48, 0)</f>
        <v>0</v>
      </c>
      <c r="AD41" s="379">
        <f>IF(AD37&gt;Assumptions!$J$48, AC41*(1+AC33), IF(AD37=Assumptions!$J$48, Assumptions!$P$48, 0))</f>
        <v>0</v>
      </c>
      <c r="AE41" s="379">
        <f>IF(AE37&gt;Assumptions!$J$48, AD41*(1+AD33), IF(AE37=Assumptions!$J$48, Assumptions!$P$48, 0))</f>
        <v>0</v>
      </c>
      <c r="AF41" s="379">
        <f>IF(AF37&gt;Assumptions!$J$48, AE41*(1+AE33), IF(AF37=Assumptions!$J$48, Assumptions!$P$48, 0))</f>
        <v>0</v>
      </c>
      <c r="AG41" s="379">
        <f>IF(AG37&gt;Assumptions!$J$48, AF41*(1+AF33), IF(AG37=Assumptions!$J$48, Assumptions!$P$48, 0))</f>
        <v>9500</v>
      </c>
      <c r="AH41" s="379">
        <f>IF(AH37&gt;Assumptions!$J$48, AG41*(1+AG33), IF(AH37=Assumptions!$J$48, Assumptions!$P$48, 0))</f>
        <v>9804</v>
      </c>
      <c r="AI41" s="379">
        <f>IF(AI37&gt;Assumptions!$J$48, AH41*(1+AH33), IF(AI37=Assumptions!$J$48, Assumptions!$P$48, 0))</f>
        <v>10117.728000000001</v>
      </c>
      <c r="AJ41" s="379">
        <f>IF(AJ37&gt;Assumptions!$J$48, AI41*(1+AI33), IF(AJ37=Assumptions!$J$48, Assumptions!$P$48, 0))</f>
        <v>10441.495296000001</v>
      </c>
      <c r="AK41" s="379">
        <f>IF(AK37&gt;Assumptions!$J$48, AJ41*(1+AJ33), IF(AK37=Assumptions!$J$48, Assumptions!$P$48, 0))</f>
        <v>10775.623145472002</v>
      </c>
      <c r="AL41" s="379">
        <f>IF(AL37&gt;Assumptions!$J$48, AK41*(1+AK33), IF(AL37=Assumptions!$J$48, Assumptions!$P$48, 0))</f>
        <v>11120.443086127107</v>
      </c>
      <c r="AM41" s="377"/>
      <c r="AN41" s="377"/>
      <c r="AO41" s="377"/>
      <c r="AP41" s="377" t="s">
        <v>333</v>
      </c>
      <c r="AQ41" s="380">
        <f>IF(AQ37=Assumptions!$J$48, Assumptions!$D$48, 0)</f>
        <v>0</v>
      </c>
      <c r="AR41" s="380">
        <f>IF(AR37&gt;Assumptions!$J$48, AQ41*(1+AC55), IF(AR37=Assumptions!$J$48, Assumptions!$D$48, 0))</f>
        <v>0</v>
      </c>
      <c r="AS41" s="380">
        <f>IF(AS37&gt;Assumptions!$J$48, AR41*(1+AD55), IF(AS37=Assumptions!$J$48, Assumptions!$D$48, 0))</f>
        <v>0</v>
      </c>
      <c r="AT41" s="380">
        <f>IF(AT37&gt;Assumptions!$J$48, AS41*(1+AE55), IF(AT37=Assumptions!$J$48, Assumptions!$D$48, 0))</f>
        <v>0</v>
      </c>
      <c r="AU41" s="380">
        <f>IF(AU37&gt;Assumptions!$J$48, AT41*(1+AF55), IF(AU37=Assumptions!$J$48, Assumptions!$D$48, 0))</f>
        <v>635</v>
      </c>
      <c r="AV41" s="380">
        <f ca="1">IF(AV37&gt;Assumptions!$J$48, AU41*(1+AG55), IF(AV37=Assumptions!$J$48, Assumptions!$D$48, 0))</f>
        <v>668.93156337245978</v>
      </c>
      <c r="AW41" s="380">
        <f ca="1">IF(AW37&gt;Assumptions!$J$48, AV41*(1+AH55), IF(AW37=Assumptions!$J$48, Assumptions!$D$48, 0))</f>
        <v>707.32804161806746</v>
      </c>
      <c r="AX41" s="380">
        <f ca="1">IF(AX37&gt;Assumptions!$J$48, AW41*(1+AI55), IF(AX37=Assumptions!$J$48, Assumptions!$D$48, 0))</f>
        <v>750.70570308293804</v>
      </c>
      <c r="AY41" s="380">
        <f ca="1">IF(AY37&gt;Assumptions!$J$48, AX41*(1+AJ55), IF(AY37=Assumptions!$J$48, Assumptions!$D$48, 0))</f>
        <v>798.70594997075182</v>
      </c>
      <c r="AZ41" s="380">
        <f ca="1">IF(AZ37&gt;Assumptions!$J$48, AY41*(1+AK55), IF(AZ37=Assumptions!$J$48, Assumptions!$D$48, 0))</f>
        <v>852.73247978755649</v>
      </c>
    </row>
    <row r="42" spans="2:52">
      <c r="B42" s="363" t="s">
        <v>290</v>
      </c>
      <c r="C42" s="365">
        <f>IF(C37=Assumptions!$G$49, Assumptions!$P$49, 0)</f>
        <v>0</v>
      </c>
      <c r="D42" s="365">
        <f>IF(D37&gt;Assumptions!$G$49, C42*(1+C33), IF(D37=Assumptions!$G$49, Assumptions!$P$49, 0))</f>
        <v>0</v>
      </c>
      <c r="E42" s="365">
        <f>IF(E37&gt;Assumptions!$G$49, D42*(1+D33), IF(E37=Assumptions!$G$49, Assumptions!$P$49, 0))</f>
        <v>0</v>
      </c>
      <c r="F42" s="365">
        <f>IF(F37&gt;Assumptions!$G$49, E42*(1+E33), IF(F37=Assumptions!$G$49, Assumptions!$P$49, 0))</f>
        <v>0</v>
      </c>
      <c r="G42" s="365">
        <f>IF(G37&gt;Assumptions!$G$49, F42*(1+F33), IF(G37=Assumptions!$G$49, Assumptions!$P$49, 0))</f>
        <v>0</v>
      </c>
      <c r="H42" s="365">
        <f>IF(H37&gt;Assumptions!$G$49, G42*(1+G33), IF(H37=Assumptions!$G$49, Assumptions!$P$49, 0))</f>
        <v>10000</v>
      </c>
      <c r="I42" s="365">
        <f>IF(I37&gt;Assumptions!$G$49, H42*(1+H33), IF(I37=Assumptions!$G$49, Assumptions!$P$49, 0))</f>
        <v>10200</v>
      </c>
      <c r="J42" s="365">
        <f>IF(J37&gt;Assumptions!$G$49, I42*(1+I33), IF(J37=Assumptions!$G$49, Assumptions!$P$49, 0))</f>
        <v>10404</v>
      </c>
      <c r="K42" s="365">
        <f>IF(K37&gt;Assumptions!$G$49, J42*(1+J33), IF(K37=Assumptions!$G$49, Assumptions!$P$49, 0))</f>
        <v>10612.08</v>
      </c>
      <c r="L42" s="365">
        <f>IF(L37&gt;Assumptions!$G$49, K42*(1+K33), IF(L37=Assumptions!$G$49, Assumptions!$P$49, 0))</f>
        <v>10824.321599999999</v>
      </c>
      <c r="M42" s="363"/>
      <c r="N42" s="363"/>
      <c r="O42" s="363"/>
      <c r="P42" s="363" t="s">
        <v>290</v>
      </c>
      <c r="Q42" s="375">
        <f>IF(Q37=Assumptions!$G$49, Assumptions!$D$49, 0)</f>
        <v>0</v>
      </c>
      <c r="R42" s="375">
        <f>IF(R37&gt;Assumptions!$G$49, Q42*(1+C56), IF(R37=Assumptions!$G$49, Assumptions!$D$49, 0))</f>
        <v>0</v>
      </c>
      <c r="S42" s="375">
        <f>IF(S37&gt;Assumptions!$G$49, R42*(1+D56), IF(S37=Assumptions!$G$49, Assumptions!$D$49, 0))</f>
        <v>0</v>
      </c>
      <c r="T42" s="375">
        <f>IF(T37&gt;Assumptions!$G$49, S42*(1+E56), IF(T37=Assumptions!$G$49, Assumptions!$D$49, 0))</f>
        <v>0</v>
      </c>
      <c r="U42" s="375">
        <f>IF(U37&gt;Assumptions!$G$49, T42*(1+F56), IF(U37=Assumptions!$G$49, Assumptions!$D$49, 0))</f>
        <v>0</v>
      </c>
      <c r="V42" s="375">
        <f>IF(V37&gt;Assumptions!$G$49, U42*(1+G56), IF(V37=Assumptions!$G$49, Assumptions!$D$49, 0))</f>
        <v>318</v>
      </c>
      <c r="W42" s="375">
        <f ca="1">IF(W37&gt;Assumptions!$G$49, V42*(1+H56), IF(W37=Assumptions!$G$49, Assumptions!$D$49, 0))</f>
        <v>336.00793805688903</v>
      </c>
      <c r="X42" s="375">
        <f ca="1">IF(X37&gt;Assumptions!$G$49, W42*(1+I56), IF(X37=Assumptions!$G$49, Assumptions!$D$49, 0))</f>
        <v>356.37471323746365</v>
      </c>
      <c r="Y42" s="375">
        <f ca="1">IF(Y37&gt;Assumptions!$G$49, X42*(1+J56), IF(Y37=Assumptions!$G$49, Assumptions!$D$49, 0))</f>
        <v>379.06359726633508</v>
      </c>
      <c r="Z42" s="375">
        <f ca="1">IF(Z37&gt;Assumptions!$G$49, Y42*(1+K56), IF(Z37=Assumptions!$G$49, Assumptions!$D$49, 0))</f>
        <v>404.70846574934126</v>
      </c>
      <c r="AA42" s="402"/>
      <c r="AB42" s="377" t="s">
        <v>290</v>
      </c>
      <c r="AC42" s="379">
        <f>IF(AC37=Assumptions!$J$49, Assumptions!$P$49, 0)</f>
        <v>0</v>
      </c>
      <c r="AD42" s="379">
        <f>IF(AD37&gt;Assumptions!$J$49, AC42*(1+AC33), IF(AD37=Assumptions!$J$49, Assumptions!$P$49, 0))</f>
        <v>0</v>
      </c>
      <c r="AE42" s="379">
        <f>IF(AE37&gt;Assumptions!$J$49, AD42*(1+AD33), IF(AE37=Assumptions!$J$49, Assumptions!$P$49, 0))</f>
        <v>0</v>
      </c>
      <c r="AF42" s="379">
        <f>IF(AF37&gt;Assumptions!$J$49, AE42*(1+AE33), IF(AF37=Assumptions!$J$49, Assumptions!$P$49, 0))</f>
        <v>0</v>
      </c>
      <c r="AG42" s="379">
        <f>IF(AG37&gt;Assumptions!$J$49, AF42*(1+AF33), IF(AG37=Assumptions!$J$49, Assumptions!$P$49, 0))</f>
        <v>0</v>
      </c>
      <c r="AH42" s="379">
        <f>IF(AH37&gt;Assumptions!$J$49, AG42*(1+AG33), IF(AH37=Assumptions!$J$49, Assumptions!$P$49, 0))</f>
        <v>10000</v>
      </c>
      <c r="AI42" s="379">
        <f>IF(AI37&gt;Assumptions!$J$49, AH42*(1+AH33), IF(AI37=Assumptions!$J$49, Assumptions!$P$49, 0))</f>
        <v>10320</v>
      </c>
      <c r="AJ42" s="379">
        <f>IF(AJ37&gt;Assumptions!$J$49, AI42*(1+AI33), IF(AJ37=Assumptions!$J$49, Assumptions!$P$49, 0))</f>
        <v>10650.24</v>
      </c>
      <c r="AK42" s="379">
        <f>IF(AK37&gt;Assumptions!$J$49, AJ42*(1+AJ33), IF(AK37=Assumptions!$J$49, Assumptions!$P$49, 0))</f>
        <v>10991.04768</v>
      </c>
      <c r="AL42" s="379">
        <f>IF(AL37&gt;Assumptions!$J$49, AK42*(1+AK33), IF(AL37=Assumptions!$J$49, Assumptions!$P$49, 0))</f>
        <v>11342.76120576</v>
      </c>
      <c r="AM42" s="377"/>
      <c r="AN42" s="377"/>
      <c r="AO42" s="377"/>
      <c r="AP42" s="377" t="s">
        <v>290</v>
      </c>
      <c r="AQ42" s="380">
        <f>IF(AQ37=Assumptions!$J$49, Assumptions!$D$49, 0)</f>
        <v>0</v>
      </c>
      <c r="AR42" s="380">
        <f>IF(AR37&gt;Assumptions!$J$49, AQ42*(1+AC56), IF(AR37=Assumptions!$J$49, Assumptions!$D$49, 0))</f>
        <v>0</v>
      </c>
      <c r="AS42" s="380">
        <f>IF(AS37&gt;Assumptions!$J$49, AR42*(1+AD56), IF(AS37=Assumptions!$J$49, Assumptions!$D$49, 0))</f>
        <v>0</v>
      </c>
      <c r="AT42" s="380">
        <f>IF(AT37&gt;Assumptions!$J$49, AS42*(1+AE56), IF(AT37=Assumptions!$J$49, Assumptions!$D$49, 0))</f>
        <v>0</v>
      </c>
      <c r="AU42" s="380">
        <f>IF(AU37&gt;Assumptions!$J$49, AT42*(1+AF56), IF(AU37=Assumptions!$J$49, Assumptions!$D$49, 0))</f>
        <v>0</v>
      </c>
      <c r="AV42" s="380">
        <f>IF(AV37&gt;Assumptions!$J$49, AU42*(1+AG56), IF(AV37=Assumptions!$J$49, Assumptions!$D$49, 0))</f>
        <v>318</v>
      </c>
      <c r="AW42" s="380">
        <f ca="1">IF(AW37&gt;Assumptions!$J$49, AV42*(1+AH56), IF(AW37=Assumptions!$J$49, Assumptions!$D$49, 0))</f>
        <v>346.18272359044704</v>
      </c>
      <c r="AX42" s="380">
        <f ca="1">IF(AX37&gt;Assumptions!$J$49, AW42*(1+AI56), IF(AX37=Assumptions!$J$49, Assumptions!$D$49, 0))</f>
        <v>378.22906701554871</v>
      </c>
      <c r="AY42" s="380">
        <f ca="1">IF(AY37&gt;Assumptions!$J$49, AX42*(1+AJ56), IF(AY37=Assumptions!$J$49, Assumptions!$D$49, 0))</f>
        <v>414.41467492416581</v>
      </c>
      <c r="AZ42" s="380">
        <f ca="1">IF(AZ37&gt;Assumptions!$J$49, AY42*(1+AK56), IF(AZ37=Assumptions!$J$49, Assumptions!$D$49, 0))</f>
        <v>455.55000936322881</v>
      </c>
    </row>
    <row r="43" spans="2:52">
      <c r="B43" s="363" t="s">
        <v>405</v>
      </c>
      <c r="C43" s="365">
        <f>IF(C37=Assumptions!$G$50, Assumptions!$P$50, 0)</f>
        <v>0</v>
      </c>
      <c r="D43" s="365">
        <f>IF(D37&gt;Assumptions!$G$50, C43*(1+C33), IF(D37=Assumptions!$G$50, Assumptions!$P$50, 0))</f>
        <v>0</v>
      </c>
      <c r="E43" s="365">
        <f>IF(E37&gt;Assumptions!$G$50, D43*(1+D33), IF(E37=Assumptions!$G$50, Assumptions!$P$50, 0))</f>
        <v>0</v>
      </c>
      <c r="F43" s="365">
        <f>IF(F37&gt;Assumptions!$G$50, E43*(1+E33), IF(F37=Assumptions!$G$50, Assumptions!$P$50, 0))</f>
        <v>1900</v>
      </c>
      <c r="G43" s="365">
        <f>IF(G37&gt;Assumptions!$G$50, F43*(1+F33), IF(G37=Assumptions!$G$50, Assumptions!$P$50, 0))</f>
        <v>1938</v>
      </c>
      <c r="H43" s="365">
        <f>IF(H37&gt;Assumptions!$G$50, G43*(1+G33), IF(H37=Assumptions!$G$50, Assumptions!$P$50, 0))</f>
        <v>1976.76</v>
      </c>
      <c r="I43" s="365">
        <f>IF(I37&gt;Assumptions!$G$50, H43*(1+H33), IF(I37=Assumptions!$G$50, Assumptions!$P$50, 0))</f>
        <v>2016.2952</v>
      </c>
      <c r="J43" s="365">
        <f>IF(J37&gt;Assumptions!$G$50, I43*(1+I33), IF(J37=Assumptions!$G$50, Assumptions!$P$50, 0))</f>
        <v>2056.6211039999998</v>
      </c>
      <c r="K43" s="365">
        <f>IF(K37&gt;Assumptions!$G$50, J43*(1+J33), IF(K37=Assumptions!$G$50, Assumptions!$P$50, 0))</f>
        <v>2097.75352608</v>
      </c>
      <c r="L43" s="365">
        <f>IF(L37&gt;Assumptions!$G$50, K43*(1+K33), IF(L37=Assumptions!$G$50, Assumptions!$P$50, 0))</f>
        <v>2139.7085966016002</v>
      </c>
      <c r="M43" s="363"/>
      <c r="N43" s="363"/>
      <c r="O43" s="363"/>
      <c r="P43" s="363" t="s">
        <v>405</v>
      </c>
      <c r="Q43" s="375">
        <f>IF(Q37=Assumptions!$G$50, Assumptions!$D$50, 0)</f>
        <v>0</v>
      </c>
      <c r="R43" s="375">
        <f>IF(R37&gt;Assumptions!$G$50, Q43*(1+C57), IF(R37=Assumptions!$G$50, Assumptions!$D$50, 0))</f>
        <v>0</v>
      </c>
      <c r="S43" s="375">
        <f>IF(S37&gt;Assumptions!$G$50, R43*(1+D57), IF(S37=Assumptions!$G$50, Assumptions!$D$50, 0))</f>
        <v>0</v>
      </c>
      <c r="T43" s="375">
        <f>IF(T37&gt;Assumptions!$G$50, S43*(1+E57), IF(T37=Assumptions!$G$50, Assumptions!$D$50, 0))</f>
        <v>1900</v>
      </c>
      <c r="U43" s="375">
        <f ca="1">IF(U37&gt;Assumptions!$G$50, T43*(1+F57), IF(U37=Assumptions!$G$50, Assumptions!$D$50, 0))</f>
        <v>1917.7566253411192</v>
      </c>
      <c r="V43" s="375">
        <f ca="1">IF(V37&gt;Assumptions!$G$50, U43*(1+G57), IF(V37=Assumptions!$G$50, Assumptions!$D$50, 0))</f>
        <v>1942.8402820663841</v>
      </c>
      <c r="W43" s="375">
        <f ca="1">IF(W37&gt;Assumptions!$G$50, V43*(1+H57), IF(W37=Assumptions!$G$50, Assumptions!$D$50, 0))</f>
        <v>1973.0356448999835</v>
      </c>
      <c r="X43" s="375">
        <f ca="1">IF(X37&gt;Assumptions!$G$50, W43*(1+I57), IF(X37=Assumptions!$G$50, Assumptions!$D$50, 0))</f>
        <v>2011.570689100407</v>
      </c>
      <c r="Y43" s="375">
        <f ca="1">IF(Y37&gt;Assumptions!$G$50, X43*(1+J57), IF(Y37=Assumptions!$G$50, Assumptions!$D$50, 0))</f>
        <v>2058.8664956615221</v>
      </c>
      <c r="Z43" s="375">
        <f ca="1">IF(Z37&gt;Assumptions!$G$50, Y43*(1+K57), IF(Z37=Assumptions!$G$50, Assumptions!$D$50, 0))</f>
        <v>2112.3993144654401</v>
      </c>
      <c r="AA43" s="402"/>
      <c r="AB43" s="377" t="s">
        <v>405</v>
      </c>
      <c r="AC43" s="379">
        <f>IF(AC37=Assumptions!$J$50, Assumptions!$P$50, 0)</f>
        <v>0</v>
      </c>
      <c r="AD43" s="379">
        <f>IF(AD37&gt;Assumptions!$J$50, AC43*(1+AC33), IF(AD37=Assumptions!$J$50, Assumptions!$P$50, 0))</f>
        <v>0</v>
      </c>
      <c r="AE43" s="379">
        <f>IF(AE37&gt;Assumptions!$J$50, AD43*(1+AD33), IF(AE37=Assumptions!$J$50, Assumptions!$P$50, 0))</f>
        <v>0</v>
      </c>
      <c r="AF43" s="379">
        <f>IF(AF37&gt;Assumptions!$J$50, AE43*(1+AE33), IF(AF37=Assumptions!$J$50, Assumptions!$P$50, 0))</f>
        <v>1900</v>
      </c>
      <c r="AG43" s="379">
        <f>IF(AG37&gt;Assumptions!$J$50, AF43*(1+AF33), IF(AG37=Assumptions!$J$50, Assumptions!$P$50, 0))</f>
        <v>1960.8</v>
      </c>
      <c r="AH43" s="379">
        <f>IF(AH37&gt;Assumptions!$J$50, AG43*(1+AG33), IF(AH37=Assumptions!$J$50, Assumptions!$P$50, 0))</f>
        <v>2023.5455999999999</v>
      </c>
      <c r="AI43" s="379">
        <f>IF(AI37&gt;Assumptions!$J$50, AH43*(1+AH33), IF(AI37=Assumptions!$J$50, Assumptions!$P$50, 0))</f>
        <v>2088.2990592000001</v>
      </c>
      <c r="AJ43" s="379">
        <f>IF(AJ37&gt;Assumptions!$J$50, AI43*(1+AI33), IF(AJ37=Assumptions!$J$50, Assumptions!$P$50, 0))</f>
        <v>2155.1246290944</v>
      </c>
      <c r="AK43" s="379">
        <f>IF(AK37&gt;Assumptions!$J$50, AJ43*(1+AJ33), IF(AK37=Assumptions!$J$50, Assumptions!$P$50, 0))</f>
        <v>2224.0886172254209</v>
      </c>
      <c r="AL43" s="379">
        <f>IF(AL37&gt;Assumptions!$J$50, AK43*(1+AK33), IF(AL37=Assumptions!$J$50, Assumptions!$P$50, 0))</f>
        <v>2295.2594529766343</v>
      </c>
      <c r="AM43" s="377"/>
      <c r="AN43" s="377"/>
      <c r="AO43" s="377"/>
      <c r="AP43" s="377" t="s">
        <v>405</v>
      </c>
      <c r="AQ43" s="380">
        <f>IF(AQ37=Assumptions!$J$50, Assumptions!$D$50, 0)</f>
        <v>0</v>
      </c>
      <c r="AR43" s="380">
        <f>IF(AR37&gt;Assumptions!$J$50, AQ43*(1+AC57), IF(AR37=Assumptions!$J$50, Assumptions!$D$50, 0))</f>
        <v>0</v>
      </c>
      <c r="AS43" s="380">
        <f>IF(AS37&gt;Assumptions!$J$50, AR43*(1+AD57), IF(AS37=Assumptions!$J$50, Assumptions!$D$50, 0))</f>
        <v>0</v>
      </c>
      <c r="AT43" s="380">
        <f>IF(AT37&gt;Assumptions!$J$50, AS43*(1+AE57), IF(AT37=Assumptions!$J$50, Assumptions!$D$50, 0))</f>
        <v>1900</v>
      </c>
      <c r="AU43" s="380">
        <f ca="1">IF(AU37&gt;Assumptions!$J$50, AT43*(1+AF57), IF(AU37=Assumptions!$J$50, Assumptions!$D$50, 0))</f>
        <v>1921.2113167251491</v>
      </c>
      <c r="AV43" s="380">
        <f ca="1">IF(AV37&gt;Assumptions!$J$50, AU43*(1+AG57), IF(AV37=Assumptions!$J$50, Assumptions!$D$50, 0))</f>
        <v>1949.1385823915318</v>
      </c>
      <c r="AW43" s="380">
        <f ca="1">IF(AW37&gt;Assumptions!$J$50, AV43*(1+AH57), IF(AW37=Assumptions!$J$50, Assumptions!$D$50, 0))</f>
        <v>1982.7152118989688</v>
      </c>
      <c r="AX43" s="380">
        <f ca="1">IF(AX37&gt;Assumptions!$J$50, AW43*(1+AI57), IF(AX37=Assumptions!$J$50, Assumptions!$D$50, 0))</f>
        <v>2023.2268356445422</v>
      </c>
      <c r="AY43" s="380">
        <f ca="1">IF(AY37&gt;Assumptions!$J$50, AX43*(1+AJ57), IF(AY37=Assumptions!$J$50, Assumptions!$D$50, 0))</f>
        <v>2069.7438716234619</v>
      </c>
      <c r="AZ43" s="380">
        <f ca="1">IF(AZ37&gt;Assumptions!$J$50, AY43*(1+AK57), IF(AZ37=Assumptions!$J$50, Assumptions!$D$50, 0))</f>
        <v>2124.8654245882631</v>
      </c>
    </row>
    <row r="44" spans="2:52">
      <c r="B44" s="519" t="s">
        <v>406</v>
      </c>
      <c r="C44" s="365">
        <f>IF(C38=Assumptions!$G$50, Assumptions!$P$51, 0)</f>
        <v>0</v>
      </c>
      <c r="D44" s="365">
        <f>IF(D37&gt;Assumptions!$G$51, C44, IF(D37=Assumptions!$G$51, Assumptions!$P$51, 0))</f>
        <v>0</v>
      </c>
      <c r="E44" s="365">
        <f>IF(E37&gt;Assumptions!$G$51, D44, IF(E37=Assumptions!$G$51, Assumptions!$P$51, 0))</f>
        <v>0</v>
      </c>
      <c r="F44" s="365">
        <f>IF(F37&gt;Assumptions!$G$51, E44, IF(F37=Assumptions!$G$51, Assumptions!$P$51, 0))</f>
        <v>0</v>
      </c>
      <c r="G44" s="365">
        <f>IF(G37&gt;Assumptions!$G$51, F44, IF(G37=Assumptions!$G$51, Assumptions!$P$51, 0))</f>
        <v>500</v>
      </c>
      <c r="H44" s="365">
        <f>IF(H37&gt;Assumptions!$G$51, G44, IF(H37=Assumptions!$G$51, Assumptions!$P$51, 0))</f>
        <v>500</v>
      </c>
      <c r="I44" s="365">
        <f>IF(I37&gt;Assumptions!$G$51, H44, IF(I37=Assumptions!$G$51, Assumptions!$P$51, 0))</f>
        <v>500</v>
      </c>
      <c r="J44" s="365">
        <f>IF(J37&gt;Assumptions!$G$51, I44, IF(J37=Assumptions!$G$51, Assumptions!$P$51, 0))</f>
        <v>500</v>
      </c>
      <c r="K44" s="365">
        <f>IF(K37&gt;Assumptions!$G$51, J44, IF(K37=Assumptions!$G$51, Assumptions!$P$51, 0))</f>
        <v>500</v>
      </c>
      <c r="L44" s="365">
        <f>IF(L37&gt;Assumptions!$G$51, K44, IF(L37=Assumptions!$G$51, Assumptions!$P$51, 0))</f>
        <v>500</v>
      </c>
      <c r="M44" s="363"/>
      <c r="N44" s="363"/>
      <c r="O44" s="363"/>
      <c r="P44" s="519" t="s">
        <v>406</v>
      </c>
      <c r="Q44" s="375">
        <f>IF(Q37=Assumptions!$G$51, Assumptions!$D$51, 0)</f>
        <v>0</v>
      </c>
      <c r="R44" s="375">
        <f>IF(R37&gt;Assumptions!$G$51, Q44*(1-Assumptions!$V$16) + Assumptions!$D$51*(1+C57), IF(R37=Assumptions!$G$51, Assumptions!$D$51, 0))</f>
        <v>0</v>
      </c>
      <c r="S44" s="375">
        <f>IF(S37&gt;Assumptions!$G$51, R44*(1-Assumptions!$V$16) + Assumptions!$D$51*(1+D57), IF(S37=Assumptions!$G$51, Assumptions!$D$51, 0))</f>
        <v>0</v>
      </c>
      <c r="T44" s="375">
        <f>IF(T37&gt;Assumptions!$G$51, S44*(1-Assumptions!$V$16) + Assumptions!$D$51*(1+E57), IF(T37=Assumptions!$G$51, Assumptions!$D$51, 0))</f>
        <v>0</v>
      </c>
      <c r="U44" s="375">
        <f>IF(U37&gt;Assumptions!$G$51, T44*(1-Assumptions!$V$16) + Assumptions!$D$51*(1+F57), IF(U37=Assumptions!$G$51, Assumptions!$D$51, 0))</f>
        <v>400</v>
      </c>
      <c r="V44" s="375">
        <f ca="1">IF(V37&gt;Assumptions!$G$51, U44*(1-Assumptions!$V$16) + Assumptions!$D$51*(1+G57), IF(V37=Assumptions!$G$51, Assumptions!$D$51, 0))</f>
        <v>757.23187486750112</v>
      </c>
      <c r="W44" s="375">
        <f ca="1">IF(W37&gt;Assumptions!$G$51, V44*(1-Assumptions!$V$16) + Assumptions!$D$51*(1+H57), IF(W37=Assumptions!$G$51, Assumptions!$D$51, 0))</f>
        <v>1072.580796182584</v>
      </c>
      <c r="X44" s="375">
        <f ca="1">IF(X37&gt;Assumptions!$G$51, W44*(1-Assumptions!$V$16) + Assumptions!$D$51*(1+I57), IF(X37=Assumptions!$G$51, Assumptions!$D$51, 0))</f>
        <v>1351.6834367837196</v>
      </c>
      <c r="Y44" s="375">
        <f ca="1">IF(Y37&gt;Assumptions!$G$51, X44*(1-Assumptions!$V$16) + Assumptions!$D$51*(1+J57), IF(Y37=Assumptions!$G$51, Assumptions!$D$51, 0))</f>
        <v>1598.8861759535744</v>
      </c>
      <c r="Z44" s="375">
        <f ca="1">IF(Z37&gt;Assumptions!$G$51, Y44*(1-Assumptions!$V$16) + Assumptions!$D$51*(1+K57), IF(Z37=Assumptions!$G$51, Assumptions!$D$51, 0))</f>
        <v>1817.4202797279663</v>
      </c>
      <c r="AA44" s="402"/>
      <c r="AB44" s="526" t="s">
        <v>406</v>
      </c>
      <c r="AC44" s="379">
        <f>IF(AC38=Assumptions!$J$51, Assumptions!$P$51, 0)</f>
        <v>0</v>
      </c>
      <c r="AD44" s="379">
        <f>IF(AD37&gt;Assumptions!$J$51, AC44, IF(AD37=Assumptions!$J$51, Assumptions!$P$51, 0))</f>
        <v>0</v>
      </c>
      <c r="AE44" s="379">
        <f>IF(AE37&gt;Assumptions!$J$51, AD44, IF(AE37=Assumptions!$J$51, Assumptions!$P$51, 0))</f>
        <v>0</v>
      </c>
      <c r="AF44" s="379">
        <f>IF(AF37&gt;Assumptions!$J$51, AE44, IF(AF37=Assumptions!$J$51, Assumptions!$P$51, 0))</f>
        <v>0</v>
      </c>
      <c r="AG44" s="379">
        <f>IF(AG37&gt;Assumptions!$J$51, AF44, IF(AG37=Assumptions!$J$51, Assumptions!$P$51, 0))</f>
        <v>500</v>
      </c>
      <c r="AH44" s="379">
        <f>IF(AH37&gt;Assumptions!$J$51, AG44, IF(AH37=Assumptions!$J$51, Assumptions!$P$51, 0))</f>
        <v>500</v>
      </c>
      <c r="AI44" s="379">
        <f>IF(AI37&gt;Assumptions!$J$51, AH44, IF(AI37=Assumptions!$J$51, Assumptions!$P$51, 0))</f>
        <v>500</v>
      </c>
      <c r="AJ44" s="379">
        <f>IF(AJ37&gt;Assumptions!$J$51, AI44, IF(AJ37=Assumptions!$J$51, Assumptions!$P$51, 0))</f>
        <v>500</v>
      </c>
      <c r="AK44" s="379">
        <f>IF(AK37&gt;Assumptions!$J$51, AJ44, IF(AK37=Assumptions!$J$51, Assumptions!$P$51, 0))</f>
        <v>500</v>
      </c>
      <c r="AL44" s="379">
        <f>IF(AL37&gt;Assumptions!$J$51, AK44, IF(AL37=Assumptions!$J$51, Assumptions!$P$51, 0))</f>
        <v>500</v>
      </c>
      <c r="AM44" s="377"/>
      <c r="AN44" s="377"/>
      <c r="AO44" s="377"/>
      <c r="AP44" s="526" t="s">
        <v>406</v>
      </c>
      <c r="AQ44" s="380">
        <f>IF(AQ37=Assumptions!$J$51, Assumptions!$D$51, 0)</f>
        <v>0</v>
      </c>
      <c r="AR44" s="380">
        <f>IF(AR37&gt;Assumptions!$J$51, AQ44*(1-Assumptions!$V$18) + Assumptions!$D$51*(1+AC57), IF(AR37=Assumptions!$J$51, Assumptions!$D$51, 0))</f>
        <v>0</v>
      </c>
      <c r="AS44" s="380">
        <f>IF(AS37&gt;Assumptions!$J$51, AR44*(1-Assumptions!$V$18) + Assumptions!$D$51*(1+AD57), IF(AS37=Assumptions!$J$51, Assumptions!$D$51, 0))</f>
        <v>0</v>
      </c>
      <c r="AT44" s="380">
        <f>IF(AT37&gt;Assumptions!$J$51, AS44*(1-Assumptions!$V$18) + Assumptions!$D$51*(1+AE57), IF(AT37=Assumptions!$J$51, Assumptions!$D$51, 0))</f>
        <v>0</v>
      </c>
      <c r="AU44" s="380">
        <f>IF(AU37&gt;Assumptions!$J$51, AT44*(1-Assumptions!$V$18) + Assumptions!$D$51*(1+AF57), IF(AU37=Assumptions!$J$51, Assumptions!$D$51, 0))</f>
        <v>400</v>
      </c>
      <c r="AV44" s="380">
        <f ca="1">IF(AV37&gt;Assumptions!$J$51, AU44*(1-Assumptions!$V$18) + Assumptions!$D$51*(1+AG57), IF(AV37=Assumptions!$J$51, Assumptions!$D$51, 0))</f>
        <v>757.81451200568335</v>
      </c>
      <c r="AW44" s="380">
        <f ca="1">IF(AW37&gt;Assumptions!$J$51, AV44*(1-Assumptions!$V$18) + Assumptions!$D$51*(1+AH57), IF(AW37=Assumptions!$J$51, Assumptions!$D$51, 0))</f>
        <v>1073.7673282320175</v>
      </c>
      <c r="AX44" s="380">
        <f ca="1">IF(AX37&gt;Assumptions!$J$51, AW44*(1-Assumptions!$V$18) + Assumptions!$D$51*(1+AI57), IF(AX37=Assumptions!$J$51, Assumptions!$D$51, 0))</f>
        <v>1353.0882075227489</v>
      </c>
      <c r="AY44" s="380">
        <f ca="1">IF(AY37&gt;Assumptions!$J$51, AX44*(1-Assumptions!$V$18) + Assumptions!$D$51*(1+AJ57), IF(AY37=Assumptions!$J$51, Assumptions!$D$51, 0))</f>
        <v>1599.9142258202926</v>
      </c>
      <c r="AZ44" s="380">
        <f ca="1">IF(AZ37&gt;Assumptions!$J$51, AY44*(1-Assumptions!$V$18) + Assumptions!$D$51*(1+AK57), IF(AZ37=Assumptions!$J$51, Assumptions!$D$51, 0))</f>
        <v>1818.5773446527423</v>
      </c>
    </row>
    <row r="45" spans="2:52">
      <c r="B45" s="363" t="s">
        <v>342</v>
      </c>
      <c r="C45" s="365">
        <f>IF(C37=Assumptions!$G$52, Assumptions!$P$52, 0)</f>
        <v>0</v>
      </c>
      <c r="D45" s="365">
        <f>IF(D37&gt;Assumptions!$G$52, C45*(1+C33), IF(D37=Assumptions!$G$52, Assumptions!$P$52, 0))</f>
        <v>0</v>
      </c>
      <c r="E45" s="365">
        <f>IF(E37&gt;Assumptions!$G$52, D45*(1+D33), IF(E37=Assumptions!$G$52, Assumptions!$P$52, 0))</f>
        <v>0</v>
      </c>
      <c r="F45" s="365">
        <f>IF(F37&gt;Assumptions!$G$52, E45*(1+E33), IF(F37=Assumptions!$G$52, Assumptions!$P$52, 0))</f>
        <v>0</v>
      </c>
      <c r="G45" s="365">
        <f>IF(G37&gt;Assumptions!$G$52, F45*(1+F33), IF(G37=Assumptions!$G$52, Assumptions!$P$52, 0))</f>
        <v>500</v>
      </c>
      <c r="H45" s="365">
        <f>IF(H37&gt;Assumptions!$G$52, G45*(1+G33), IF(H37=Assumptions!$G$52, Assumptions!$P$52, 0))</f>
        <v>510</v>
      </c>
      <c r="I45" s="365">
        <f>IF(I37&gt;Assumptions!$G$52, H45*(1+H33), IF(I37=Assumptions!$G$52, Assumptions!$P$52, 0))</f>
        <v>520.20000000000005</v>
      </c>
      <c r="J45" s="365">
        <f>IF(J37&gt;Assumptions!$G$52, I45*(1+I33), IF(J37=Assumptions!$G$52, Assumptions!$P$52, 0))</f>
        <v>530.60400000000004</v>
      </c>
      <c r="K45" s="365">
        <f>IF(K37&gt;Assumptions!$G$52, J45*(1+J33), IF(K37=Assumptions!$G$52, Assumptions!$P$52, 0))</f>
        <v>541.21608000000003</v>
      </c>
      <c r="L45" s="365">
        <f>IF(L37&gt;Assumptions!$G$52, K45*(1+K33), IF(L37=Assumptions!$G$52, Assumptions!$P$52, 0))</f>
        <v>552.0404016</v>
      </c>
      <c r="M45" s="363"/>
      <c r="N45" s="363"/>
      <c r="O45" s="363"/>
      <c r="P45" s="363" t="s">
        <v>342</v>
      </c>
      <c r="Q45" s="375">
        <f>IF(Q37=Assumptions!$G$52, Assumptions!$D$52, 0)</f>
        <v>0</v>
      </c>
      <c r="R45" s="375">
        <f>IF(R37&gt;Assumptions!$G$52, Q45*(1+C58), IF(R37=Assumptions!$G$52, Assumptions!$D$52, 0))</f>
        <v>0</v>
      </c>
      <c r="S45" s="375">
        <f>IF(S37&gt;Assumptions!$G$52, R45*(1+D58), IF(S37=Assumptions!$G$52, Assumptions!$D$52, 0))</f>
        <v>0</v>
      </c>
      <c r="T45" s="375">
        <f>IF(T37&gt;Assumptions!$G$52, S45*(1+E58), IF(T37=Assumptions!$G$52, Assumptions!$D$52, 0))</f>
        <v>0</v>
      </c>
      <c r="U45" s="375">
        <f>IF(U37&gt;Assumptions!$G$52, T45*(1+F58), IF(U37=Assumptions!$G$52, Assumptions!$D$52, 0))</f>
        <v>300</v>
      </c>
      <c r="V45" s="375">
        <f ca="1">IF(V37&gt;Assumptions!$G$52, U45*(1+G58), IF(V37=Assumptions!$G$52, Assumptions!$D$52, 0))</f>
        <v>303.83333578567766</v>
      </c>
      <c r="W45" s="375">
        <f ca="1">IF(W37&gt;Assumptions!$G$52, V45*(1+H58), IF(W37=Assumptions!$G$52, Assumptions!$D$52, 0))</f>
        <v>308.83754968245165</v>
      </c>
      <c r="X45" s="375">
        <f ca="1">IF(X37&gt;Assumptions!$G$52, W45*(1+I58), IF(X37=Assumptions!$G$52, Assumptions!$D$52, 0))</f>
        <v>315.09698912168767</v>
      </c>
      <c r="Y45" s="375">
        <f ca="1">IF(Y37&gt;Assumptions!$G$52, X45*(1+J58), IF(Y37=Assumptions!$G$52, Assumptions!$D$52, 0))</f>
        <v>322.6242129556133</v>
      </c>
      <c r="Z45" s="375">
        <f ca="1">IF(Z37&gt;Assumptions!$G$52, Y45*(1+K58), IF(Z37=Assumptions!$G$52, Assumptions!$D$52, 0))</f>
        <v>331.45916799043778</v>
      </c>
      <c r="AA45" s="402"/>
      <c r="AB45" s="377" t="s">
        <v>342</v>
      </c>
      <c r="AC45" s="379">
        <f>IF(AC37=Assumptions!$J$52, Assumptions!$P$52, 0)</f>
        <v>0</v>
      </c>
      <c r="AD45" s="379">
        <f>IF(AD37&gt;Assumptions!$J$52, AC45*(1+AC33), IF(AD37=Assumptions!$J$52, Assumptions!$P$52, 0))</f>
        <v>0</v>
      </c>
      <c r="AE45" s="379">
        <f>IF(AE37&gt;Assumptions!$J$52, AD45*(1+AD33), IF(AE37=Assumptions!$J$52, Assumptions!$P$52, 0))</f>
        <v>0</v>
      </c>
      <c r="AF45" s="379">
        <f>IF(AF37&gt;Assumptions!$J$52, AE45*(1+AE33), IF(AF37=Assumptions!$J$52, Assumptions!$P$52, 0))</f>
        <v>0</v>
      </c>
      <c r="AG45" s="379">
        <f>IF(AG37&gt;Assumptions!$J$52, AF45*(1+AF33), IF(AG37=Assumptions!$J$52, Assumptions!$P$52, 0))</f>
        <v>500</v>
      </c>
      <c r="AH45" s="379">
        <f>IF(AH37&gt;Assumptions!$J$52, AG45*(1+AG33), IF(AH37=Assumptions!$J$52, Assumptions!$P$52, 0))</f>
        <v>516</v>
      </c>
      <c r="AI45" s="379">
        <f>IF(AI37&gt;Assumptions!$J$52, AH45*(1+AH33), IF(AI37=Assumptions!$J$52, Assumptions!$P$52, 0))</f>
        <v>532.51200000000006</v>
      </c>
      <c r="AJ45" s="379">
        <f>IF(AJ37&gt;Assumptions!$J$52, AI45*(1+AI33), IF(AJ37=Assumptions!$J$52, Assumptions!$P$52, 0))</f>
        <v>549.55238400000007</v>
      </c>
      <c r="AK45" s="379">
        <f>IF(AK37&gt;Assumptions!$J$52, AJ45*(1+AJ33), IF(AK37=Assumptions!$J$52, Assumptions!$P$52, 0))</f>
        <v>567.13806028800013</v>
      </c>
      <c r="AL45" s="379">
        <f>IF(AL37&gt;Assumptions!$J$52, AK45*(1+AK33), IF(AL37=Assumptions!$J$52, Assumptions!$P$52, 0))</f>
        <v>585.2864782172162</v>
      </c>
      <c r="AM45" s="377"/>
      <c r="AN45" s="377"/>
      <c r="AO45" s="377"/>
      <c r="AP45" s="377" t="s">
        <v>342</v>
      </c>
      <c r="AQ45" s="380">
        <f>IF(AQ37=Assumptions!$J$52, Assumptions!$D$52, 0)</f>
        <v>0</v>
      </c>
      <c r="AR45" s="380">
        <f>IF(AR37&gt;Assumptions!$J$52, AQ45*(1+AC58), IF(AR37=Assumptions!$J$52, Assumptions!$D$52, 0))</f>
        <v>0</v>
      </c>
      <c r="AS45" s="380">
        <f>IF(AS37&gt;Assumptions!$J$52, AR45*(1+AD58), IF(AS37=Assumptions!$J$52, Assumptions!$D$52, 0))</f>
        <v>0</v>
      </c>
      <c r="AT45" s="380">
        <f>IF(AT37&gt;Assumptions!$J$52, AS45*(1+AE58), IF(AT37=Assumptions!$J$52, Assumptions!$D$52, 0))</f>
        <v>0</v>
      </c>
      <c r="AU45" s="380">
        <f>IF(AU37&gt;Assumptions!$J$52, AT45*(1+AF58), IF(AU37=Assumptions!$J$52, Assumptions!$D$52, 0))</f>
        <v>300</v>
      </c>
      <c r="AV45" s="380">
        <f ca="1">IF(AV37&gt;Assumptions!$J$52, AU45*(1+AG58), IF(AV37=Assumptions!$J$52, Assumptions!$D$52, 0))</f>
        <v>303.98991345088172</v>
      </c>
      <c r="AW45" s="380">
        <f ca="1">IF(AW37&gt;Assumptions!$J$52, AV45*(1+AH58), IF(AW37=Assumptions!$J$52, Assumptions!$D$52, 0))</f>
        <v>309.1984082580579</v>
      </c>
      <c r="AX45" s="380">
        <f ca="1">IF(AX37&gt;Assumptions!$J$52, AW45*(1+AI58), IF(AX37=Assumptions!$J$52, Assumptions!$D$52, 0))</f>
        <v>315.36755160530817</v>
      </c>
      <c r="AY45" s="380">
        <f ca="1">IF(AY37&gt;Assumptions!$J$52, AX45*(1+AJ58), IF(AY37=Assumptions!$J$52, Assumptions!$D$52, 0))</f>
        <v>322.81356239935377</v>
      </c>
      <c r="AZ45" s="380">
        <f ca="1">IF(AZ37&gt;Assumptions!$J$52, AY45*(1+AK58), IF(AZ37=Assumptions!$J$52, Assumptions!$D$52, 0))</f>
        <v>331.72319641987247</v>
      </c>
    </row>
    <row r="46" spans="2:52">
      <c r="B46" s="363" t="s">
        <v>343</v>
      </c>
      <c r="C46" s="365">
        <f>IF(C37=Assumptions!$G$53, Assumptions!$P$53, 0)</f>
        <v>0</v>
      </c>
      <c r="D46" s="365">
        <f>IF(D37&gt;Assumptions!$G$53, C46*(1+C33), IF(D37=Assumptions!$G$53, Assumptions!$P$53, 0))</f>
        <v>0</v>
      </c>
      <c r="E46" s="365">
        <f>IF(E37&gt;Assumptions!$G$53, D46*(1+D33), IF(E37=Assumptions!$G$53, Assumptions!$P$53, 0))</f>
        <v>0</v>
      </c>
      <c r="F46" s="365">
        <f>IF(F37&gt;Assumptions!$G$53, E46*(1+E33), IF(F37=Assumptions!$G$53, Assumptions!$P$53, 0))</f>
        <v>0</v>
      </c>
      <c r="G46" s="365">
        <f>IF(G37&gt;Assumptions!$G$53, F46*(1+F33), IF(G37=Assumptions!$G$53, Assumptions!$P$53, 0))</f>
        <v>300</v>
      </c>
      <c r="H46" s="365">
        <f>IF(H37&gt;Assumptions!$G$53, G46*(1+G33), IF(H37=Assumptions!$G$53, Assumptions!$P$53, 0))</f>
        <v>306</v>
      </c>
      <c r="I46" s="365">
        <f>IF(I37&gt;Assumptions!$G$53, H46*(1+H33), IF(I37=Assumptions!$G$53, Assumptions!$P$53, 0))</f>
        <v>312.12</v>
      </c>
      <c r="J46" s="365">
        <f>IF(J37&gt;Assumptions!$G$53, I46*(1+I33), IF(J37=Assumptions!$G$53, Assumptions!$P$53, 0))</f>
        <v>318.36240000000004</v>
      </c>
      <c r="K46" s="365">
        <f>IF(K37&gt;Assumptions!$G$53, J46*(1+J33), IF(K37=Assumptions!$G$53, Assumptions!$P$53, 0))</f>
        <v>324.72964800000005</v>
      </c>
      <c r="L46" s="365">
        <f>IF(L37&gt;Assumptions!$G$53, K46*(1+K33), IF(L37=Assumptions!$G$53, Assumptions!$P$53, 0))</f>
        <v>331.22424096000009</v>
      </c>
      <c r="M46" s="363"/>
      <c r="N46" s="363"/>
      <c r="O46" s="363"/>
      <c r="P46" s="363" t="s">
        <v>343</v>
      </c>
      <c r="Q46" s="375">
        <f>IF(Q37=Assumptions!$G$53, Assumptions!$D$53, 0)</f>
        <v>0</v>
      </c>
      <c r="R46" s="375">
        <f>IF(R37&gt;Assumptions!$G$53, Q46*(1+C59), IF(R37=Assumptions!$G$53, Assumptions!$D$53, 0))</f>
        <v>0</v>
      </c>
      <c r="S46" s="375">
        <f>IF(S37&gt;Assumptions!$G$53, R46*(1+D59), IF(S37=Assumptions!$G$53, Assumptions!$D$53, 0))</f>
        <v>0</v>
      </c>
      <c r="T46" s="375">
        <f>IF(T37&gt;Assumptions!$G$53, S46*(1+E59), IF(T37=Assumptions!$G$53, Assumptions!$D$53, 0))</f>
        <v>0</v>
      </c>
      <c r="U46" s="375">
        <f>IF(U37&gt;Assumptions!$G$53, T46*(1+F59), IF(U37=Assumptions!$G$53, Assumptions!$D$53, 0))</f>
        <v>1500</v>
      </c>
      <c r="V46" s="375">
        <f ca="1">IF(V37&gt;Assumptions!$G$53, U46*(1+G59), IF(V37=Assumptions!$G$53, Assumptions!$D$53, 0))</f>
        <v>1519.2837869772859</v>
      </c>
      <c r="W46" s="375">
        <f ca="1">IF(W37&gt;Assumptions!$G$53, V46*(1+H59), IF(W37=Assumptions!$G$53, Assumptions!$D$53, 0))</f>
        <v>1542.8120673141811</v>
      </c>
      <c r="X46" s="375">
        <f ca="1">IF(X37&gt;Assumptions!$G$53, W46*(1+I59), IF(X37=Assumptions!$G$53, Assumptions!$D$53, 0))</f>
        <v>1572.3232621246655</v>
      </c>
      <c r="Y46" s="375">
        <f ca="1">IF(Y37&gt;Assumptions!$G$53, X46*(1+J59), IF(Y37=Assumptions!$G$53, Assumptions!$D$53, 0))</f>
        <v>1606.4348054965112</v>
      </c>
      <c r="Z46" s="375">
        <f ca="1">IF(Z37&gt;Assumptions!$G$53, Y46*(1+K59), IF(Z37=Assumptions!$G$53, Assumptions!$D$53, 0))</f>
        <v>1645.5641581595335</v>
      </c>
      <c r="AA46" s="402"/>
      <c r="AB46" s="377" t="s">
        <v>343</v>
      </c>
      <c r="AC46" s="379">
        <f>IF(AC37=Assumptions!$J$53, Assumptions!$P$53, 0)</f>
        <v>0</v>
      </c>
      <c r="AD46" s="379">
        <f>IF(AD37&gt;Assumptions!$J$53, AC46*(1+AC33), IF(AD37=Assumptions!$J$53, Assumptions!$P$53, 0))</f>
        <v>0</v>
      </c>
      <c r="AE46" s="379">
        <f>IF(AE37&gt;Assumptions!$J$53, AD46*(1+AD33), IF(AE37=Assumptions!$J$53, Assumptions!$P$53, 0))</f>
        <v>0</v>
      </c>
      <c r="AF46" s="379">
        <f>IF(AF37&gt;Assumptions!$J$53, AE46*(1+AE33), IF(AF37=Assumptions!$J$53, Assumptions!$P$53, 0))</f>
        <v>0</v>
      </c>
      <c r="AG46" s="379">
        <f>IF(AG37&gt;Assumptions!$J$53, AF46*(1+AF33), IF(AG37=Assumptions!$J$53, Assumptions!$P$53, 0))</f>
        <v>300</v>
      </c>
      <c r="AH46" s="379">
        <f>IF(AH37&gt;Assumptions!$J$53, AG46*(1+AG33), IF(AH37=Assumptions!$J$53, Assumptions!$P$53, 0))</f>
        <v>309.60000000000002</v>
      </c>
      <c r="AI46" s="379">
        <f>IF(AI37&gt;Assumptions!$J$53, AH46*(1+AH33), IF(AI37=Assumptions!$J$53, Assumptions!$P$53, 0))</f>
        <v>319.50720000000001</v>
      </c>
      <c r="AJ46" s="379">
        <f>IF(AJ37&gt;Assumptions!$J$53, AI46*(1+AI33), IF(AJ37=Assumptions!$J$53, Assumptions!$P$53, 0))</f>
        <v>329.73143040000002</v>
      </c>
      <c r="AK46" s="379">
        <f>IF(AK37&gt;Assumptions!$J$53, AJ46*(1+AJ33), IF(AK37=Assumptions!$J$53, Assumptions!$P$53, 0))</f>
        <v>340.28283617280005</v>
      </c>
      <c r="AL46" s="379">
        <f>IF(AL37&gt;Assumptions!$J$53, AK46*(1+AK33), IF(AL37=Assumptions!$J$53, Assumptions!$P$53, 0))</f>
        <v>351.17188693032966</v>
      </c>
      <c r="AM46" s="377"/>
      <c r="AN46" s="377"/>
      <c r="AO46" s="377"/>
      <c r="AP46" s="377" t="s">
        <v>343</v>
      </c>
      <c r="AQ46" s="380">
        <f>IF(AQ37=Assumptions!$J$53, Assumptions!$D$53, 0)</f>
        <v>0</v>
      </c>
      <c r="AR46" s="380">
        <f>IF(AR37&gt;Assumptions!$J$53, AQ46*(1+AC59), IF(AR37=Assumptions!$J$53, Assumptions!$D$53, 0))</f>
        <v>0</v>
      </c>
      <c r="AS46" s="380">
        <f>IF(AS37&gt;Assumptions!$J$53, AR46*(1+AD59), IF(AS37=Assumptions!$J$53, Assumptions!$D$53, 0))</f>
        <v>0</v>
      </c>
      <c r="AT46" s="380">
        <f>IF(AT37&gt;Assumptions!$J$53, AS46*(1+AE59), IF(AT37=Assumptions!$J$53, Assumptions!$D$53, 0))</f>
        <v>0</v>
      </c>
      <c r="AU46" s="380">
        <f>IF(AU37&gt;Assumptions!$J$53, AT46*(1+AF59), IF(AU37=Assumptions!$J$53, Assumptions!$D$53, 0))</f>
        <v>1500</v>
      </c>
      <c r="AV46" s="380">
        <f ca="1">IF(AV37&gt;Assumptions!$J$53, AU46*(1+AG59), IF(AV37=Assumptions!$J$53, Assumptions!$D$53, 0))</f>
        <v>1522.4006619055974</v>
      </c>
      <c r="AW46" s="380">
        <f ca="1">IF(AW37&gt;Assumptions!$J$53, AV46*(1+AH59), IF(AW37=Assumptions!$J$53, Assumptions!$D$53, 0))</f>
        <v>1549.2206375847686</v>
      </c>
      <c r="AX46" s="380">
        <f ca="1">IF(AX37&gt;Assumptions!$J$53, AW46*(1+AI59), IF(AX37=Assumptions!$J$53, Assumptions!$D$53, 0))</f>
        <v>1582.142801024313</v>
      </c>
      <c r="AY46" s="380">
        <f ca="1">IF(AY37&gt;Assumptions!$J$53, AX46*(1+AJ59), IF(AY37=Assumptions!$J$53, Assumptions!$D$53, 0))</f>
        <v>1620.7751214876741</v>
      </c>
      <c r="AZ46" s="380">
        <f ca="1">IF(AZ37&gt;Assumptions!$J$53, AY46*(1+AK59), IF(AZ37=Assumptions!$J$53, Assumptions!$D$53, 0))</f>
        <v>1666.2652325200295</v>
      </c>
    </row>
    <row r="47" spans="2:52">
      <c r="B47" s="363" t="s">
        <v>344</v>
      </c>
      <c r="C47" s="365">
        <f>IF(C37=Assumptions!$G$54, Assumptions!$P$54, 0)</f>
        <v>0</v>
      </c>
      <c r="D47" s="365">
        <f>IF(D37&gt;Assumptions!$G$54, C47*(1+C33), IF(D37=Assumptions!$G$54, Assumptions!$P$54, 0))</f>
        <v>0</v>
      </c>
      <c r="E47" s="365">
        <f>IF(E37&gt;Assumptions!$G$54, D47*(1+D33), IF(E37=Assumptions!$G$54, Assumptions!$P$54, 0))</f>
        <v>0</v>
      </c>
      <c r="F47" s="365">
        <f>IF(F37&gt;Assumptions!$G$54, E47*(1+E33), IF(F37=Assumptions!$G$54, Assumptions!$P$54, 0))</f>
        <v>0</v>
      </c>
      <c r="G47" s="365">
        <f>IF(G37&gt;Assumptions!$G$54, F47*(1+F33), IF(G37=Assumptions!$G$54, Assumptions!$P$54, 0))</f>
        <v>700</v>
      </c>
      <c r="H47" s="365">
        <f>IF(H37&gt;Assumptions!$G$54, G47*(1+G33), IF(H37=Assumptions!$G$54, Assumptions!$P$54, 0))</f>
        <v>714</v>
      </c>
      <c r="I47" s="365">
        <f>IF(I37&gt;Assumptions!$G$54, H47*(1+H33), IF(I37=Assumptions!$G$54, Assumptions!$P$54, 0))</f>
        <v>728.28</v>
      </c>
      <c r="J47" s="365">
        <f>IF(J37&gt;Assumptions!$G$54, I47*(1+I33), IF(J37=Assumptions!$G$54, Assumptions!$P$54, 0))</f>
        <v>742.84559999999999</v>
      </c>
      <c r="K47" s="365">
        <f>IF(K37&gt;Assumptions!$G$54, J47*(1+J33), IF(K37=Assumptions!$G$54, Assumptions!$P$54, 0))</f>
        <v>757.70251199999996</v>
      </c>
      <c r="L47" s="365">
        <f>IF(L37&gt;Assumptions!$G$54, K47*(1+K33), IF(L37=Assumptions!$G$54, Assumptions!$P$54, 0))</f>
        <v>772.85656224000002</v>
      </c>
      <c r="M47" s="363"/>
      <c r="N47" s="363"/>
      <c r="O47" s="363"/>
      <c r="P47" s="363" t="s">
        <v>344</v>
      </c>
      <c r="Q47" s="375">
        <f>IF(Q37=Assumptions!$G$53, Assumptions!$D$54, 0)</f>
        <v>0</v>
      </c>
      <c r="R47" s="375">
        <f>IF(R37&gt;Assumptions!$G$54, Q47*(1+C60), IF(R37=Assumptions!$G$54, Assumptions!$D$54, 0))</f>
        <v>0</v>
      </c>
      <c r="S47" s="375">
        <f>IF(S37&gt;Assumptions!$G$54, R47*(1+D60), IF(S37=Assumptions!$G$54, Assumptions!$D$54, 0))</f>
        <v>0</v>
      </c>
      <c r="T47" s="375">
        <f>IF(T37&gt;Assumptions!$G$54, S47*(1+E60), IF(T37=Assumptions!$G$54, Assumptions!$D$54, 0))</f>
        <v>0</v>
      </c>
      <c r="U47" s="375">
        <f>IF(U37&gt;Assumptions!$G$54, T47*(1+F60), IF(U37=Assumptions!$G$54, Assumptions!$D$54, 0))</f>
        <v>700</v>
      </c>
      <c r="V47" s="375">
        <f ca="1">IF(V37&gt;Assumptions!$G$54, U47*(1+G60), IF(V37=Assumptions!$G$54, Assumptions!$D$54, 0))</f>
        <v>709.66256856240079</v>
      </c>
      <c r="W47" s="375">
        <f ca="1">IF(W37&gt;Assumptions!$G$54, V47*(1+H60), IF(W37=Assumptions!$G$54, Assumptions!$D$54, 0))</f>
        <v>722.19057050741219</v>
      </c>
      <c r="X47" s="375">
        <f ca="1">IF(X37&gt;Assumptions!$G$54, W47*(1+I60), IF(X37=Assumptions!$G$54, Assumptions!$D$54, 0))</f>
        <v>737.78900935327681</v>
      </c>
      <c r="Y47" s="375">
        <f ca="1">IF(Y37&gt;Assumptions!$G$54, X47*(1+J60), IF(Y37=Assumptions!$G$54, Assumptions!$D$54, 0))</f>
        <v>755.64097185418871</v>
      </c>
      <c r="Z47" s="375">
        <f ca="1">IF(Z37&gt;Assumptions!$G$54, Y47*(1+K60), IF(Z37=Assumptions!$G$54, Assumptions!$D$54, 0))</f>
        <v>776.09988413478436</v>
      </c>
      <c r="AA47" s="402"/>
      <c r="AB47" s="377" t="s">
        <v>344</v>
      </c>
      <c r="AC47" s="379">
        <f>IF(AC37=Assumptions!$J$54, Assumptions!$P$54, 0)</f>
        <v>0</v>
      </c>
      <c r="AD47" s="379">
        <f>IF(AD37&gt;Assumptions!$J$54, AC47*(1+AC33), IF(AD37=Assumptions!$J$54, Assumptions!$P$54, 0))</f>
        <v>0</v>
      </c>
      <c r="AE47" s="379">
        <f>IF(AE37&gt;Assumptions!$J$54, AD47*(1+AD33), IF(AE37=Assumptions!$J$54, Assumptions!$P$54, 0))</f>
        <v>0</v>
      </c>
      <c r="AF47" s="379">
        <f>IF(AF37&gt;Assumptions!$J$54, AE47*(1+AE33), IF(AF37=Assumptions!$J$54, Assumptions!$P$54, 0))</f>
        <v>0</v>
      </c>
      <c r="AG47" s="379">
        <f>IF(AG37&gt;Assumptions!$J$54, AF47*(1+AF33), IF(AG37=Assumptions!$J$54, Assumptions!$P$54, 0))</f>
        <v>700</v>
      </c>
      <c r="AH47" s="379">
        <f>IF(AH37&gt;Assumptions!$J$54, AG47*(1+AG33), IF(AH37=Assumptions!$J$54, Assumptions!$P$54, 0))</f>
        <v>722.4</v>
      </c>
      <c r="AI47" s="379">
        <f>IF(AI37&gt;Assumptions!$J$54, AH47*(1+AH33), IF(AI37=Assumptions!$J$54, Assumptions!$P$54, 0))</f>
        <v>745.51679999999999</v>
      </c>
      <c r="AJ47" s="379">
        <f>IF(AJ37&gt;Assumptions!$J$54, AI47*(1+AI33), IF(AJ37=Assumptions!$J$54, Assumptions!$P$54, 0))</f>
        <v>769.37333760000001</v>
      </c>
      <c r="AK47" s="379">
        <f>IF(AK37&gt;Assumptions!$J$54, AJ47*(1+AJ33), IF(AK37=Assumptions!$J$54, Assumptions!$P$54, 0))</f>
        <v>793.99328440320005</v>
      </c>
      <c r="AL47" s="379">
        <f>IF(AL37&gt;Assumptions!$J$54, AK47*(1+AK33), IF(AL37=Assumptions!$J$54, Assumptions!$P$54, 0))</f>
        <v>819.40106950410245</v>
      </c>
      <c r="AM47" s="377"/>
      <c r="AN47" s="377"/>
      <c r="AO47" s="377"/>
      <c r="AP47" s="377" t="s">
        <v>344</v>
      </c>
      <c r="AQ47" s="380">
        <f>IF(AQ37=Assumptions!$J$53, Assumptions!$D$54, 0)</f>
        <v>0</v>
      </c>
      <c r="AR47" s="380">
        <f>IF(AR37&gt;Assumptions!$J$54, AQ47*(1+AC60), IF(AR37=Assumptions!$J$54, Assumptions!$D$54, 0))</f>
        <v>0</v>
      </c>
      <c r="AS47" s="380">
        <f>IF(AS37&gt;Assumptions!$J$54, AR47*(1+AD60), IF(AS37=Assumptions!$J$54, Assumptions!$D$54, 0))</f>
        <v>0</v>
      </c>
      <c r="AT47" s="380">
        <f>IF(AT37&gt;Assumptions!$J$54, AS47*(1+AE60), IF(AT37=Assumptions!$J$54, Assumptions!$D$54, 0))</f>
        <v>0</v>
      </c>
      <c r="AU47" s="380">
        <f>IF(AU37&gt;Assumptions!$J$54, AT47*(1+AF60), IF(AU37=Assumptions!$J$54, Assumptions!$D$54, 0))</f>
        <v>700</v>
      </c>
      <c r="AV47" s="380">
        <f ca="1">IF(AV37&gt;Assumptions!$J$54, AU47*(1+AG60), IF(AV37=Assumptions!$J$54, Assumptions!$D$54, 0))</f>
        <v>709.60865258638296</v>
      </c>
      <c r="AW47" s="380">
        <f ca="1">IF(AW37&gt;Assumptions!$J$54, AV47*(1+AH60), IF(AW37=Assumptions!$J$54, Assumptions!$D$54, 0))</f>
        <v>721.82085279694991</v>
      </c>
      <c r="AX47" s="380">
        <f ca="1">IF(AX37&gt;Assumptions!$J$54, AW47*(1+AI60), IF(AX37=Assumptions!$J$54, Assumptions!$D$54, 0))</f>
        <v>737.05892869244224</v>
      </c>
      <c r="AY47" s="380">
        <f ca="1">IF(AY37&gt;Assumptions!$J$54, AX47*(1+AJ60), IF(AY37=Assumptions!$J$54, Assumptions!$D$54, 0))</f>
        <v>755.55779544089455</v>
      </c>
      <c r="AZ47" s="380">
        <f ca="1">IF(AZ37&gt;Assumptions!$J$54, AY47*(1+AK60), IF(AZ37=Assumptions!$J$54, Assumptions!$D$54, 0))</f>
        <v>777.10081526269107</v>
      </c>
    </row>
    <row r="48" spans="2:52">
      <c r="B48" s="363"/>
      <c r="C48" s="363"/>
      <c r="D48" s="363"/>
      <c r="E48" s="363"/>
      <c r="F48" s="363"/>
      <c r="G48" s="363"/>
      <c r="H48" s="363"/>
      <c r="I48" s="363"/>
      <c r="J48" s="363"/>
      <c r="K48" s="363"/>
      <c r="L48" s="363"/>
      <c r="M48" s="363"/>
      <c r="N48" s="363"/>
      <c r="O48" s="363"/>
      <c r="P48" s="363"/>
      <c r="Q48" s="363"/>
      <c r="R48" s="363"/>
      <c r="S48" s="363"/>
      <c r="T48" s="363"/>
      <c r="U48" s="363"/>
      <c r="V48" s="363"/>
      <c r="W48" s="363"/>
      <c r="X48" s="363"/>
      <c r="Y48" s="363"/>
      <c r="Z48" s="363"/>
      <c r="AA48" s="402"/>
      <c r="AB48" s="377"/>
      <c r="AC48" s="377"/>
      <c r="AD48" s="377"/>
      <c r="AE48" s="377"/>
      <c r="AF48" s="377"/>
      <c r="AG48" s="377"/>
      <c r="AH48" s="377"/>
      <c r="AI48" s="377"/>
      <c r="AJ48" s="377"/>
      <c r="AK48" s="377"/>
      <c r="AL48" s="377"/>
      <c r="AM48" s="377"/>
      <c r="AN48" s="377"/>
      <c r="AO48" s="377"/>
      <c r="AP48" s="377"/>
      <c r="AQ48" s="377"/>
      <c r="AR48" s="377"/>
      <c r="AS48" s="377"/>
      <c r="AT48" s="377"/>
      <c r="AU48" s="377"/>
      <c r="AV48" s="377"/>
      <c r="AW48" s="377"/>
      <c r="AX48" s="377"/>
      <c r="AY48" s="377"/>
      <c r="AZ48" s="377"/>
    </row>
    <row r="49" spans="2:52">
      <c r="B49" s="363"/>
      <c r="C49" s="363"/>
      <c r="D49" s="363"/>
      <c r="E49" s="363"/>
      <c r="F49" s="363"/>
      <c r="G49" s="363"/>
      <c r="H49" s="363"/>
      <c r="I49" s="363"/>
      <c r="J49" s="363"/>
      <c r="K49" s="363"/>
      <c r="L49" s="363"/>
      <c r="M49" s="363"/>
      <c r="N49" s="363"/>
      <c r="O49" s="363"/>
      <c r="P49" s="363"/>
      <c r="Q49" s="363"/>
      <c r="R49" s="363"/>
      <c r="S49" s="363"/>
      <c r="T49" s="363"/>
      <c r="U49" s="363"/>
      <c r="V49" s="363"/>
      <c r="W49" s="363"/>
      <c r="X49" s="363"/>
      <c r="Y49" s="363"/>
      <c r="Z49" s="363"/>
      <c r="AA49" s="402"/>
      <c r="AB49" s="377"/>
      <c r="AC49" s="377"/>
      <c r="AD49" s="377"/>
      <c r="AE49" s="377"/>
      <c r="AF49" s="377"/>
      <c r="AG49" s="377"/>
      <c r="AH49" s="377"/>
      <c r="AI49" s="377"/>
      <c r="AJ49" s="377"/>
      <c r="AK49" s="377"/>
      <c r="AL49" s="377"/>
      <c r="AM49" s="377"/>
      <c r="AN49" s="377"/>
      <c r="AO49" s="377"/>
      <c r="AP49" s="377"/>
      <c r="AQ49" s="377"/>
      <c r="AR49" s="377"/>
      <c r="AS49" s="377"/>
      <c r="AT49" s="377"/>
      <c r="AU49" s="377"/>
      <c r="AV49" s="377"/>
      <c r="AW49" s="377"/>
      <c r="AX49" s="377"/>
      <c r="AY49" s="377"/>
      <c r="AZ49" s="377"/>
    </row>
    <row r="50" spans="2:52">
      <c r="B50" s="363"/>
      <c r="C50" s="363" t="s">
        <v>248</v>
      </c>
      <c r="D50" s="363"/>
      <c r="E50" s="363"/>
      <c r="F50" s="363"/>
      <c r="G50" s="363"/>
      <c r="H50" s="363"/>
      <c r="I50" s="363"/>
      <c r="J50" s="363"/>
      <c r="K50" s="363"/>
      <c r="L50" s="363"/>
      <c r="M50" s="363"/>
      <c r="N50" s="363"/>
      <c r="O50" s="363"/>
      <c r="P50" s="363"/>
      <c r="Q50" s="363" t="s">
        <v>248</v>
      </c>
      <c r="R50" s="363"/>
      <c r="S50" s="363"/>
      <c r="T50" s="363"/>
      <c r="U50" s="363"/>
      <c r="V50" s="363"/>
      <c r="W50" s="363"/>
      <c r="X50" s="363"/>
      <c r="Y50" s="363"/>
      <c r="Z50" s="363"/>
      <c r="AA50" s="402"/>
      <c r="AB50" s="377"/>
      <c r="AC50" s="377" t="s">
        <v>248</v>
      </c>
      <c r="AD50" s="377"/>
      <c r="AE50" s="377"/>
      <c r="AF50" s="377"/>
      <c r="AG50" s="377"/>
      <c r="AH50" s="377"/>
      <c r="AI50" s="377"/>
      <c r="AJ50" s="377"/>
      <c r="AK50" s="377"/>
      <c r="AL50" s="377"/>
      <c r="AM50" s="377"/>
      <c r="AN50" s="377"/>
      <c r="AO50" s="377"/>
      <c r="AP50" s="377"/>
      <c r="AQ50" s="377" t="s">
        <v>248</v>
      </c>
      <c r="AR50" s="377"/>
      <c r="AS50" s="377"/>
      <c r="AT50" s="377"/>
      <c r="AU50" s="377"/>
      <c r="AV50" s="377"/>
      <c r="AW50" s="377"/>
      <c r="AX50" s="377"/>
      <c r="AY50" s="377"/>
      <c r="AZ50" s="377"/>
    </row>
    <row r="51" spans="2:52">
      <c r="B51" s="363"/>
      <c r="C51" s="363">
        <v>1</v>
      </c>
      <c r="D51" s="363">
        <v>2</v>
      </c>
      <c r="E51" s="363">
        <v>3</v>
      </c>
      <c r="F51" s="363">
        <v>4</v>
      </c>
      <c r="G51" s="363">
        <v>5</v>
      </c>
      <c r="H51" s="363">
        <v>6</v>
      </c>
      <c r="I51" s="363">
        <v>7</v>
      </c>
      <c r="J51" s="363">
        <v>8</v>
      </c>
      <c r="K51" s="363">
        <v>9</v>
      </c>
      <c r="L51" s="363">
        <v>10</v>
      </c>
      <c r="M51" s="363"/>
      <c r="N51" s="363"/>
      <c r="O51" s="363"/>
      <c r="P51" s="363" t="s">
        <v>348</v>
      </c>
      <c r="Q51" s="363">
        <v>1</v>
      </c>
      <c r="R51" s="363">
        <v>2</v>
      </c>
      <c r="S51" s="363">
        <v>3</v>
      </c>
      <c r="T51" s="363">
        <v>4</v>
      </c>
      <c r="U51" s="363">
        <v>5</v>
      </c>
      <c r="V51" s="363">
        <v>6</v>
      </c>
      <c r="W51" s="363">
        <v>7</v>
      </c>
      <c r="X51" s="363">
        <v>8</v>
      </c>
      <c r="Y51" s="363">
        <v>9</v>
      </c>
      <c r="Z51" s="363">
        <v>10</v>
      </c>
      <c r="AA51" s="402"/>
      <c r="AB51" s="377"/>
      <c r="AC51" s="377">
        <v>1</v>
      </c>
      <c r="AD51" s="377">
        <v>2</v>
      </c>
      <c r="AE51" s="377">
        <v>3</v>
      </c>
      <c r="AF51" s="377">
        <v>4</v>
      </c>
      <c r="AG51" s="377">
        <v>5</v>
      </c>
      <c r="AH51" s="377">
        <v>6</v>
      </c>
      <c r="AI51" s="377">
        <v>7</v>
      </c>
      <c r="AJ51" s="377">
        <v>8</v>
      </c>
      <c r="AK51" s="377">
        <v>9</v>
      </c>
      <c r="AL51" s="377">
        <v>10</v>
      </c>
      <c r="AM51" s="377"/>
      <c r="AN51" s="377"/>
      <c r="AO51" s="377"/>
      <c r="AP51" s="377" t="s">
        <v>348</v>
      </c>
      <c r="AQ51" s="377">
        <v>1</v>
      </c>
      <c r="AR51" s="377">
        <v>2</v>
      </c>
      <c r="AS51" s="377">
        <v>3</v>
      </c>
      <c r="AT51" s="377">
        <v>4</v>
      </c>
      <c r="AU51" s="377">
        <v>5</v>
      </c>
      <c r="AV51" s="377">
        <v>6</v>
      </c>
      <c r="AW51" s="377">
        <v>7</v>
      </c>
      <c r="AX51" s="377">
        <v>8</v>
      </c>
      <c r="AY51" s="377">
        <v>9</v>
      </c>
      <c r="AZ51" s="377">
        <v>10</v>
      </c>
    </row>
    <row r="52" spans="2:52">
      <c r="B52" s="363" t="s">
        <v>331</v>
      </c>
      <c r="C52" s="366">
        <v>0.04</v>
      </c>
      <c r="D52" s="366">
        <f ca="1">C52+_xlfn.NORM.DIST(RAND(), 0, 1, FALSE)%</f>
        <v>4.3917315134082362E-2</v>
      </c>
      <c r="E52" s="366">
        <f t="shared" ref="E52:L52" ca="1" si="47">D52+_xlfn.NORM.DIST(RAND(), 0, 1, FALSE)%</f>
        <v>4.6369183397492769E-2</v>
      </c>
      <c r="F52" s="366">
        <f t="shared" ca="1" si="47"/>
        <v>5.0246248085271623E-2</v>
      </c>
      <c r="G52" s="366">
        <f t="shared" ca="1" si="47"/>
        <v>5.3080302224658718E-2</v>
      </c>
      <c r="H52" s="366">
        <f t="shared" ca="1" si="47"/>
        <v>5.6167354468121787E-2</v>
      </c>
      <c r="I52" s="366">
        <f t="shared" ca="1" si="47"/>
        <v>6.0108051629155064E-2</v>
      </c>
      <c r="J52" s="366">
        <f t="shared" ca="1" si="47"/>
        <v>6.371646161018138E-2</v>
      </c>
      <c r="K52" s="366">
        <f t="shared" ca="1" si="47"/>
        <v>6.7250507828688133E-2</v>
      </c>
      <c r="L52" s="366">
        <f t="shared" ca="1" si="47"/>
        <v>7.1214210539130907E-2</v>
      </c>
      <c r="M52" s="363"/>
      <c r="N52" s="363"/>
      <c r="O52" s="363"/>
      <c r="P52" s="363" t="s">
        <v>331</v>
      </c>
      <c r="Q52" s="365">
        <f>C38*Q38</f>
        <v>0</v>
      </c>
      <c r="R52" s="365">
        <f t="shared" ref="R52:R54" si="48">D38*R38</f>
        <v>0</v>
      </c>
      <c r="S52" s="365">
        <f t="shared" ref="S52:S55" si="49">E38*S38</f>
        <v>0</v>
      </c>
      <c r="T52" s="365">
        <f t="shared" ref="T52:T56" si="50">F38*T38</f>
        <v>7700000</v>
      </c>
      <c r="U52" s="365">
        <f t="shared" ref="U52:U56" ca="1" si="51">G38*U38</f>
        <v>8248634.0324617233</v>
      </c>
      <c r="V52" s="365">
        <f t="shared" ref="V52:V56" ca="1" si="52">H38*V38</f>
        <v>8860203.5002423041</v>
      </c>
      <c r="W52" s="365">
        <f t="shared" ref="W52:W56" ca="1" si="53">I38*W38</f>
        <v>9545014.8447181098</v>
      </c>
      <c r="X52" s="365">
        <f t="shared" ref="X52:X56" ca="1" si="54">J38*X38</f>
        <v>10321122.031601585</v>
      </c>
      <c r="Y52" s="365">
        <f t="shared" ref="Y52:Y56" ca="1" si="55">K38*Y38</f>
        <v>11198322.355448168</v>
      </c>
      <c r="Z52" s="365">
        <f t="shared" ref="Z52:Z56" ca="1" si="56">L38*Z38</f>
        <v>12190443.525095036</v>
      </c>
      <c r="AA52" s="402"/>
      <c r="AB52" s="377" t="s">
        <v>331</v>
      </c>
      <c r="AC52" s="381">
        <v>0.03</v>
      </c>
      <c r="AD52" s="381">
        <f ca="1">AC52+_xlfn.NORM.DIST(RAND(), 0, 1, FALSE)%</f>
        <v>3.3150047524863641E-2</v>
      </c>
      <c r="AE52" s="381">
        <f t="shared" ref="AE52:AL52" ca="1" si="57">AD52+_xlfn.NORM.DIST(RAND(), 0, 1, FALSE)%</f>
        <v>3.6692683306160136E-2</v>
      </c>
      <c r="AF52" s="381">
        <f t="shared" ca="1" si="57"/>
        <v>4.0294606514475834E-2</v>
      </c>
      <c r="AG52" s="381">
        <f t="shared" ca="1" si="57"/>
        <v>4.2970641526741758E-2</v>
      </c>
      <c r="AH52" s="381">
        <f t="shared" ca="1" si="57"/>
        <v>4.6507344881892794E-2</v>
      </c>
      <c r="AI52" s="381">
        <f t="shared" ca="1" si="57"/>
        <v>5.0407464354806482E-2</v>
      </c>
      <c r="AJ52" s="381">
        <f t="shared" ca="1" si="57"/>
        <v>5.3692390538995986E-2</v>
      </c>
      <c r="AK52" s="381">
        <f t="shared" ca="1" si="57"/>
        <v>5.6467956380902802E-2</v>
      </c>
      <c r="AL52" s="381">
        <f t="shared" ca="1" si="57"/>
        <v>6.0445804601008096E-2</v>
      </c>
      <c r="AM52" s="377"/>
      <c r="AN52" s="377"/>
      <c r="AO52" s="377"/>
      <c r="AP52" s="377" t="s">
        <v>331</v>
      </c>
      <c r="AQ52" s="379">
        <f>AC38*AQ38</f>
        <v>0</v>
      </c>
      <c r="AR52" s="379">
        <f t="shared" ref="AR52:AR54" si="58">AD38*AR38</f>
        <v>0</v>
      </c>
      <c r="AS52" s="379">
        <f t="shared" ref="AS52:AS55" si="59">AE38*AS38</f>
        <v>0</v>
      </c>
      <c r="AT52" s="379">
        <f t="shared" ref="AT52:AT56" si="60">AF38*AT38</f>
        <v>7700000</v>
      </c>
      <c r="AU52" s="379">
        <f t="shared" ref="AU52:AU56" ca="1" si="61">AG38*AU38</f>
        <v>8266597.0612066304</v>
      </c>
      <c r="AV52" s="379">
        <f t="shared" ref="AV52:AV56" ca="1" si="62">AH38*AV38</f>
        <v>8897716.2174551878</v>
      </c>
      <c r="AW52" s="379">
        <f t="shared" ref="AW52:AW56" ca="1" si="63">AI38*AW38</f>
        <v>9609494.1862173192</v>
      </c>
      <c r="AX52" s="379">
        <f t="shared" ref="AX52:AX56" ca="1" si="64">AJ38*AX38</f>
        <v>10416888.723376846</v>
      </c>
      <c r="AY52" s="379">
        <f t="shared" ref="AY52:AY56" ca="1" si="65">AK38*AY38</f>
        <v>11327434.665102893</v>
      </c>
      <c r="AZ52" s="379">
        <f t="shared" ref="AZ52:AZ56" ca="1" si="66">AL38*AZ38</f>
        <v>12350018.047733191</v>
      </c>
    </row>
    <row r="53" spans="2:52">
      <c r="B53" s="363" t="s">
        <v>332</v>
      </c>
      <c r="C53" s="366">
        <v>0.03</v>
      </c>
      <c r="D53" s="366">
        <f t="shared" ref="D53:G53" ca="1" si="67">C53+_xlfn.NORM.DIST(RAND(), 0, 1, FALSE)%</f>
        <v>3.3396903855524962E-2</v>
      </c>
      <c r="E53" s="366">
        <f t="shared" ca="1" si="67"/>
        <v>3.738233069700974E-2</v>
      </c>
      <c r="F53" s="366">
        <f t="shared" ca="1" si="67"/>
        <v>4.1103651370123902E-2</v>
      </c>
      <c r="G53" s="366">
        <f t="shared" ca="1" si="67"/>
        <v>4.5031779289690384E-2</v>
      </c>
      <c r="H53" s="366">
        <f ca="1">G53+_xlfn.NORM.DIST(RAND(), 0, 1, FALSE)%</f>
        <v>4.7725876212444333E-2</v>
      </c>
      <c r="I53" s="366">
        <f t="shared" ref="I53:L53" ca="1" si="68">H53+_xlfn.NORM.DIST(RAND(), 0, 1, FALSE)%</f>
        <v>5.1453634108780476E-2</v>
      </c>
      <c r="J53" s="366">
        <f t="shared" ca="1" si="68"/>
        <v>5.4810889039484285E-2</v>
      </c>
      <c r="K53" s="366">
        <f t="shared" ca="1" si="68"/>
        <v>5.8423176511882259E-2</v>
      </c>
      <c r="L53" s="366">
        <f t="shared" ca="1" si="68"/>
        <v>6.1213197917370392E-2</v>
      </c>
      <c r="M53" s="363"/>
      <c r="N53" s="363"/>
      <c r="O53" s="363"/>
      <c r="P53" s="363" t="s">
        <v>332</v>
      </c>
      <c r="Q53" s="365">
        <f>C39*Q39</f>
        <v>0</v>
      </c>
      <c r="R53" s="365">
        <f t="shared" si="48"/>
        <v>0</v>
      </c>
      <c r="S53" s="365">
        <f t="shared" si="49"/>
        <v>0</v>
      </c>
      <c r="T53" s="365">
        <f t="shared" si="50"/>
        <v>7000000</v>
      </c>
      <c r="U53" s="365">
        <f t="shared" ca="1" si="51"/>
        <v>7433480.0707826857</v>
      </c>
      <c r="V53" s="365">
        <f t="shared" ca="1" si="52"/>
        <v>7923587.3627781728</v>
      </c>
      <c r="W53" s="365">
        <f t="shared" ca="1" si="53"/>
        <v>8467782.4626608659</v>
      </c>
      <c r="X53" s="365">
        <f t="shared" ca="1" si="54"/>
        <v>9081550.2560715135</v>
      </c>
      <c r="Y53" s="365">
        <f t="shared" ca="1" si="55"/>
        <v>9770904.4614528213</v>
      </c>
      <c r="Z53" s="365">
        <f t="shared" ca="1" si="56"/>
        <v>10548586.772234717</v>
      </c>
      <c r="AA53" s="402"/>
      <c r="AB53" s="377" t="s">
        <v>332</v>
      </c>
      <c r="AC53" s="381">
        <v>0.05</v>
      </c>
      <c r="AD53" s="381">
        <f t="shared" ref="AD53:AG53" ca="1" si="69">AC53+_xlfn.NORM.DIST(RAND(), 0, 1, FALSE)%</f>
        <v>5.3987511846612324E-2</v>
      </c>
      <c r="AE53" s="381">
        <f t="shared" ca="1" si="69"/>
        <v>5.7670195553484162E-2</v>
      </c>
      <c r="AF53" s="381">
        <f t="shared" ca="1" si="69"/>
        <v>6.1659354788553E-2</v>
      </c>
      <c r="AG53" s="381">
        <f t="shared" ca="1" si="69"/>
        <v>6.5644983074776397E-2</v>
      </c>
      <c r="AH53" s="381">
        <f ca="1">AG53+_xlfn.NORM.DIST(RAND(), 0, 1, FALSE)%</f>
        <v>6.8949979133502134E-2</v>
      </c>
      <c r="AI53" s="381">
        <f t="shared" ref="AI53:AL53" ca="1" si="70">AH53+_xlfn.NORM.DIST(RAND(), 0, 1, FALSE)%</f>
        <v>7.2028239712687986E-2</v>
      </c>
      <c r="AJ53" s="381">
        <f t="shared" ca="1" si="70"/>
        <v>7.5518335692953811E-2</v>
      </c>
      <c r="AK53" s="381">
        <f t="shared" ca="1" si="70"/>
        <v>7.9472087081077586E-2</v>
      </c>
      <c r="AL53" s="381">
        <f t="shared" ca="1" si="70"/>
        <v>8.3271567270631452E-2</v>
      </c>
      <c r="AM53" s="377"/>
      <c r="AN53" s="377"/>
      <c r="AO53" s="377"/>
      <c r="AP53" s="377" t="s">
        <v>332</v>
      </c>
      <c r="AQ53" s="379">
        <f>AC39*AQ39</f>
        <v>0</v>
      </c>
      <c r="AR53" s="379">
        <f t="shared" si="58"/>
        <v>0</v>
      </c>
      <c r="AS53" s="379">
        <f t="shared" si="59"/>
        <v>0</v>
      </c>
      <c r="AT53" s="379">
        <f t="shared" si="60"/>
        <v>7000000</v>
      </c>
      <c r="AU53" s="379">
        <f t="shared" ca="1" si="61"/>
        <v>7669427.1789925061</v>
      </c>
      <c r="AV53" s="379">
        <f t="shared" ca="1" si="62"/>
        <v>8434418.9674339239</v>
      </c>
      <c r="AW53" s="379">
        <f t="shared" ca="1" si="63"/>
        <v>9304483.0825774428</v>
      </c>
      <c r="AX53" s="379">
        <f t="shared" ca="1" si="64"/>
        <v>10293858.016306443</v>
      </c>
      <c r="AY53" s="379">
        <f t="shared" ca="1" si="65"/>
        <v>11425512.498887319</v>
      </c>
      <c r="AZ53" s="379">
        <f t="shared" ca="1" si="66"/>
        <v>12728194.521485468</v>
      </c>
    </row>
    <row r="54" spans="2:52">
      <c r="B54" s="363" t="s">
        <v>282</v>
      </c>
      <c r="C54" s="366">
        <v>0.05</v>
      </c>
      <c r="D54" s="366">
        <f t="shared" ref="D54:L54" ca="1" si="71">C54+_xlfn.NORM.DIST(RAND(), 0, 1, FALSE)%</f>
        <v>5.3899283500972499E-2</v>
      </c>
      <c r="E54" s="366">
        <f t="shared" ca="1" si="71"/>
        <v>5.7888705328370878E-2</v>
      </c>
      <c r="F54" s="366">
        <f t="shared" ca="1" si="71"/>
        <v>6.1193212411987309E-2</v>
      </c>
      <c r="G54" s="366">
        <f t="shared" ca="1" si="71"/>
        <v>6.4852004568000637E-2</v>
      </c>
      <c r="H54" s="366">
        <f t="shared" ca="1" si="71"/>
        <v>6.7961567426029545E-2</v>
      </c>
      <c r="I54" s="366">
        <f t="shared" ca="1" si="71"/>
        <v>7.1866534150716019E-2</v>
      </c>
      <c r="J54" s="366">
        <f t="shared" ca="1" si="71"/>
        <v>7.5196591729419504E-2</v>
      </c>
      <c r="K54" s="366">
        <f t="shared" ca="1" si="71"/>
        <v>7.8359638818634253E-2</v>
      </c>
      <c r="L54" s="366">
        <f t="shared" ca="1" si="71"/>
        <v>8.2319580495486572E-2</v>
      </c>
      <c r="M54" s="363"/>
      <c r="N54" s="363"/>
      <c r="O54" s="363"/>
      <c r="P54" s="363" t="s">
        <v>282</v>
      </c>
      <c r="Q54" s="365">
        <f>C40*Q40</f>
        <v>0</v>
      </c>
      <c r="R54" s="365">
        <f t="shared" si="48"/>
        <v>0</v>
      </c>
      <c r="S54" s="365">
        <f t="shared" si="49"/>
        <v>0</v>
      </c>
      <c r="T54" s="365">
        <f t="shared" si="50"/>
        <v>6350000</v>
      </c>
      <c r="U54" s="365">
        <f t="shared" ca="1" si="51"/>
        <v>6873348.4367924426</v>
      </c>
      <c r="V54" s="365">
        <f t="shared" ca="1" si="52"/>
        <v>7465480.8382330211</v>
      </c>
      <c r="W54" s="365">
        <f t="shared" ca="1" si="53"/>
        <v>8132303.5499400934</v>
      </c>
      <c r="X54" s="365">
        <f t="shared" ca="1" si="54"/>
        <v>8891078.9011505693</v>
      </c>
      <c r="Y54" s="365">
        <f t="shared" ca="1" si="55"/>
        <v>9750850.8859407324</v>
      </c>
      <c r="Z54" s="365">
        <f t="shared" ca="1" si="56"/>
        <v>10725222.520328159</v>
      </c>
      <c r="AA54" s="402"/>
      <c r="AB54" s="377" t="s">
        <v>282</v>
      </c>
      <c r="AC54" s="381">
        <v>0.03</v>
      </c>
      <c r="AD54" s="381">
        <f t="shared" ref="AD54:AL54" ca="1" si="72">AC54+_xlfn.NORM.DIST(RAND(), 0, 1, FALSE)%</f>
        <v>3.26975216088028E-2</v>
      </c>
      <c r="AE54" s="381">
        <f t="shared" ca="1" si="72"/>
        <v>3.6110563997662277E-2</v>
      </c>
      <c r="AF54" s="381">
        <f t="shared" ca="1" si="72"/>
        <v>3.9951543640563053E-2</v>
      </c>
      <c r="AG54" s="381">
        <f t="shared" ca="1" si="72"/>
        <v>4.2744431745675146E-2</v>
      </c>
      <c r="AH54" s="381">
        <f t="shared" ca="1" si="72"/>
        <v>4.6678441099526728E-2</v>
      </c>
      <c r="AI54" s="381">
        <f t="shared" ca="1" si="72"/>
        <v>5.0529337311247459E-2</v>
      </c>
      <c r="AJ54" s="381">
        <f t="shared" ca="1" si="72"/>
        <v>5.4505103896028056E-2</v>
      </c>
      <c r="AK54" s="381">
        <f t="shared" ca="1" si="72"/>
        <v>5.849279000012398E-2</v>
      </c>
      <c r="AL54" s="381">
        <f t="shared" ca="1" si="72"/>
        <v>6.2474479361430038E-2</v>
      </c>
      <c r="AM54" s="377"/>
      <c r="AN54" s="377"/>
      <c r="AO54" s="377"/>
      <c r="AP54" s="377" t="s">
        <v>282</v>
      </c>
      <c r="AQ54" s="379">
        <f>AC40*AQ40</f>
        <v>0</v>
      </c>
      <c r="AR54" s="379">
        <f t="shared" si="58"/>
        <v>0</v>
      </c>
      <c r="AS54" s="379">
        <f t="shared" si="59"/>
        <v>0</v>
      </c>
      <c r="AT54" s="379">
        <f t="shared" si="60"/>
        <v>6350000</v>
      </c>
      <c r="AU54" s="379">
        <f t="shared" ca="1" si="61"/>
        <v>6815010.4557853378</v>
      </c>
      <c r="AV54" s="379">
        <f t="shared" ca="1" si="62"/>
        <v>7333716.2596205948</v>
      </c>
      <c r="AW54" s="379">
        <f t="shared" ca="1" si="63"/>
        <v>7921676.0685526859</v>
      </c>
      <c r="AX54" s="379">
        <f t="shared" ca="1" si="64"/>
        <v>8588255.6102331337</v>
      </c>
      <c r="AY54" s="379">
        <f t="shared" ca="1" si="65"/>
        <v>9346162.8745402806</v>
      </c>
      <c r="AZ54" s="379">
        <f t="shared" ca="1" si="66"/>
        <v>10209417.089407487</v>
      </c>
    </row>
    <row r="55" spans="2:52">
      <c r="B55" s="363" t="s">
        <v>333</v>
      </c>
      <c r="C55" s="366">
        <v>0.05</v>
      </c>
      <c r="D55" s="366">
        <f t="shared" ref="D55:L55" ca="1" si="73">C55+_xlfn.NORM.DIST(RAND(), 0, 1, FALSE)%</f>
        <v>5.3284938350859151E-2</v>
      </c>
      <c r="E55" s="366">
        <f t="shared" ca="1" si="73"/>
        <v>5.7162455117481359E-2</v>
      </c>
      <c r="F55" s="366">
        <f t="shared" ca="1" si="73"/>
        <v>6.024117132483222E-2</v>
      </c>
      <c r="G55" s="366">
        <f t="shared" ca="1" si="73"/>
        <v>6.2718201124646836E-2</v>
      </c>
      <c r="H55" s="366">
        <f t="shared" ca="1" si="73"/>
        <v>6.6604896426356822E-2</v>
      </c>
      <c r="I55" s="366">
        <f t="shared" ca="1" si="73"/>
        <v>6.9729695756639468E-2</v>
      </c>
      <c r="J55" s="366">
        <f t="shared" ca="1" si="73"/>
        <v>7.293272654468011E-2</v>
      </c>
      <c r="K55" s="366">
        <f t="shared" ca="1" si="73"/>
        <v>7.6148813360965739E-2</v>
      </c>
      <c r="L55" s="366">
        <f t="shared" ca="1" si="73"/>
        <v>8.0022211265541141E-2</v>
      </c>
      <c r="M55" s="363"/>
      <c r="N55" s="363"/>
      <c r="O55" s="363"/>
      <c r="P55" s="363" t="s">
        <v>333</v>
      </c>
      <c r="Q55" s="363"/>
      <c r="R55" s="365">
        <f>D41*R41</f>
        <v>0</v>
      </c>
      <c r="S55" s="365">
        <f t="shared" si="49"/>
        <v>0</v>
      </c>
      <c r="T55" s="365">
        <f t="shared" si="50"/>
        <v>0</v>
      </c>
      <c r="U55" s="365">
        <f t="shared" si="51"/>
        <v>6032500</v>
      </c>
      <c r="V55" s="365">
        <f t="shared" ca="1" si="52"/>
        <v>6539064.4992501205</v>
      </c>
      <c r="W55" s="365">
        <f t="shared" ca="1" si="53"/>
        <v>7114090.177206899</v>
      </c>
      <c r="X55" s="365">
        <f t="shared" ca="1" si="54"/>
        <v>7762356.5912658107</v>
      </c>
      <c r="Y55" s="365">
        <f t="shared" ca="1" si="55"/>
        <v>8495056.1503164731</v>
      </c>
      <c r="Z55" s="365">
        <f t="shared" ca="1" si="56"/>
        <v>9324783.4875098057</v>
      </c>
      <c r="AA55" s="402"/>
      <c r="AB55" s="377" t="s">
        <v>333</v>
      </c>
      <c r="AC55" s="381">
        <v>0.04</v>
      </c>
      <c r="AD55" s="381">
        <f t="shared" ref="AD55:AL55" ca="1" si="74">AC55+_xlfn.NORM.DIST(RAND(), 0, 1, FALSE)%</f>
        <v>4.2680510129928746E-2</v>
      </c>
      <c r="AE55" s="381">
        <f t="shared" ca="1" si="74"/>
        <v>4.5459647993206065E-2</v>
      </c>
      <c r="AF55" s="381">
        <f t="shared" ca="1" si="74"/>
        <v>4.9446198987347867E-2</v>
      </c>
      <c r="AG55" s="381">
        <f t="shared" ca="1" si="74"/>
        <v>5.3435532870015318E-2</v>
      </c>
      <c r="AH55" s="381">
        <f t="shared" ca="1" si="74"/>
        <v>5.7399710744742559E-2</v>
      </c>
      <c r="AI55" s="381">
        <f t="shared" ca="1" si="74"/>
        <v>6.1326087632042482E-2</v>
      </c>
      <c r="AJ55" s="381">
        <f t="shared" ca="1" si="74"/>
        <v>6.394016548787404E-2</v>
      </c>
      <c r="AK55" s="381">
        <f t="shared" ca="1" si="74"/>
        <v>6.7642578371656048E-2</v>
      </c>
      <c r="AL55" s="381">
        <f t="shared" ca="1" si="74"/>
        <v>7.0199299303439031E-2</v>
      </c>
      <c r="AM55" s="377"/>
      <c r="AN55" s="377"/>
      <c r="AO55" s="377"/>
      <c r="AP55" s="377" t="s">
        <v>333</v>
      </c>
      <c r="AQ55" s="377"/>
      <c r="AR55" s="379">
        <f>AD41*AR41</f>
        <v>0</v>
      </c>
      <c r="AS55" s="379">
        <f t="shared" si="59"/>
        <v>0</v>
      </c>
      <c r="AT55" s="379">
        <f t="shared" si="60"/>
        <v>0</v>
      </c>
      <c r="AU55" s="379">
        <f t="shared" si="61"/>
        <v>6032500</v>
      </c>
      <c r="AV55" s="379">
        <f t="shared" ca="1" si="62"/>
        <v>6558205.0473035956</v>
      </c>
      <c r="AW55" s="379">
        <f t="shared" ca="1" si="63"/>
        <v>7156552.7318642875</v>
      </c>
      <c r="AX55" s="379">
        <f t="shared" ca="1" si="64"/>
        <v>7838490.067420871</v>
      </c>
      <c r="AY55" s="379">
        <f t="shared" ca="1" si="65"/>
        <v>8606554.320931036</v>
      </c>
      <c r="AZ55" s="379">
        <f t="shared" ca="1" si="66"/>
        <v>9482763.0091695543</v>
      </c>
    </row>
    <row r="56" spans="2:52">
      <c r="B56" s="363" t="s">
        <v>290</v>
      </c>
      <c r="C56" s="366">
        <v>0.04</v>
      </c>
      <c r="D56" s="366">
        <f t="shared" ref="D56:J56" ca="1" si="75">C56+_xlfn.NORM.DIST(RAND(), 0, 1, FALSE)%</f>
        <v>4.3737183538534299E-2</v>
      </c>
      <c r="E56" s="366">
        <f t="shared" ca="1" si="75"/>
        <v>4.6313535923677505E-2</v>
      </c>
      <c r="F56" s="366">
        <f t="shared" ca="1" si="75"/>
        <v>4.9081491682354705E-2</v>
      </c>
      <c r="G56" s="366">
        <f t="shared" ca="1" si="75"/>
        <v>5.3051862485847284E-2</v>
      </c>
      <c r="H56" s="366">
        <f t="shared" ca="1" si="75"/>
        <v>5.6628736027952917E-2</v>
      </c>
      <c r="I56" s="366">
        <f t="shared" ca="1" si="75"/>
        <v>6.0613970307827461E-2</v>
      </c>
      <c r="J56" s="366">
        <f t="shared" ca="1" si="75"/>
        <v>6.3665807887309536E-2</v>
      </c>
      <c r="K56" s="366">
        <f t="shared" ref="K56:L60" ca="1" si="76">J56+_xlfn.NORM.DIST(RAND(), 0, 1, FALSE)%</f>
        <v>6.765320824248866E-2</v>
      </c>
      <c r="L56" s="366">
        <f t="shared" ca="1" si="76"/>
        <v>7.1600087871388093E-2</v>
      </c>
      <c r="M56" s="363"/>
      <c r="N56" s="363"/>
      <c r="O56" s="363"/>
      <c r="P56" s="363" t="s">
        <v>290</v>
      </c>
      <c r="Q56" s="363"/>
      <c r="R56" s="363"/>
      <c r="S56" s="365">
        <f>E42*S42</f>
        <v>0</v>
      </c>
      <c r="T56" s="365">
        <f t="shared" si="50"/>
        <v>0</v>
      </c>
      <c r="U56" s="365">
        <f t="shared" si="51"/>
        <v>0</v>
      </c>
      <c r="V56" s="365">
        <f t="shared" si="52"/>
        <v>3180000</v>
      </c>
      <c r="W56" s="365">
        <f t="shared" ca="1" si="53"/>
        <v>3427280.9681802681</v>
      </c>
      <c r="X56" s="365">
        <f t="shared" ca="1" si="54"/>
        <v>3707722.5165225719</v>
      </c>
      <c r="Y56" s="365">
        <f t="shared" ca="1" si="55"/>
        <v>4022653.2192781293</v>
      </c>
      <c r="Z56" s="365">
        <f t="shared" ca="1" si="56"/>
        <v>4380694.5875134543</v>
      </c>
      <c r="AA56" s="402"/>
      <c r="AB56" s="377" t="s">
        <v>290</v>
      </c>
      <c r="AC56" s="381">
        <v>7.0000000000000007E-2</v>
      </c>
      <c r="AD56" s="381">
        <f t="shared" ref="AD56:AJ56" ca="1" si="77">AC56+_xlfn.NORM.DIST(RAND(), 0, 1, FALSE)%</f>
        <v>7.3543748932819272E-2</v>
      </c>
      <c r="AE56" s="381">
        <f t="shared" ca="1" si="77"/>
        <v>7.7349360301029416E-2</v>
      </c>
      <c r="AF56" s="381">
        <f t="shared" ca="1" si="77"/>
        <v>8.0956184150982699E-2</v>
      </c>
      <c r="AG56" s="381">
        <f t="shared" ca="1" si="77"/>
        <v>8.4941500725034189E-2</v>
      </c>
      <c r="AH56" s="381">
        <f t="shared" ca="1" si="77"/>
        <v>8.8624916951091343E-2</v>
      </c>
      <c r="AI56" s="381">
        <f t="shared" ca="1" si="77"/>
        <v>9.2570602867560414E-2</v>
      </c>
      <c r="AJ56" s="381">
        <f t="shared" ca="1" si="77"/>
        <v>9.5671144986668857E-2</v>
      </c>
      <c r="AK56" s="381">
        <f t="shared" ref="AK56:AL60" ca="1" si="78">AJ56+_xlfn.NORM.DIST(RAND(), 0, 1, FALSE)%</f>
        <v>9.9261288096495245E-2</v>
      </c>
      <c r="AL56" s="381">
        <f t="shared" ca="1" si="78"/>
        <v>0.10288409530690192</v>
      </c>
      <c r="AM56" s="377"/>
      <c r="AN56" s="377"/>
      <c r="AO56" s="377"/>
      <c r="AP56" s="377" t="s">
        <v>290</v>
      </c>
      <c r="AQ56" s="377"/>
      <c r="AR56" s="377"/>
      <c r="AS56" s="379">
        <f>AE42*AS42</f>
        <v>0</v>
      </c>
      <c r="AT56" s="379">
        <f t="shared" si="60"/>
        <v>0</v>
      </c>
      <c r="AU56" s="379">
        <f t="shared" si="61"/>
        <v>0</v>
      </c>
      <c r="AV56" s="379">
        <f t="shared" si="62"/>
        <v>3180000</v>
      </c>
      <c r="AW56" s="379">
        <f t="shared" ca="1" si="63"/>
        <v>3572605.7074534134</v>
      </c>
      <c r="AX56" s="379">
        <f t="shared" ca="1" si="64"/>
        <v>4028230.3386916774</v>
      </c>
      <c r="AY56" s="379">
        <f t="shared" ca="1" si="65"/>
        <v>4554851.451383207</v>
      </c>
      <c r="AZ56" s="379">
        <f t="shared" ca="1" si="66"/>
        <v>5167194.9734888365</v>
      </c>
    </row>
    <row r="57" spans="2:52">
      <c r="B57" s="363" t="s">
        <v>341</v>
      </c>
      <c r="C57" s="366">
        <v>0</v>
      </c>
      <c r="D57" s="394">
        <f t="shared" ref="D57:J57" ca="1" si="79">C57+_xlfn.NORM.DIST(RAND(), 0, 1, FALSE)%</f>
        <v>3.9859432301769162E-3</v>
      </c>
      <c r="E57" s="394">
        <f t="shared" ca="1" si="79"/>
        <v>6.9243842780676145E-3</v>
      </c>
      <c r="F57" s="394">
        <f t="shared" ca="1" si="79"/>
        <v>9.3455922847996316E-3</v>
      </c>
      <c r="G57" s="394">
        <f t="shared" ca="1" si="79"/>
        <v>1.3079687168752798E-2</v>
      </c>
      <c r="H57" s="394">
        <f t="shared" ca="1" si="79"/>
        <v>1.5541865747957309E-2</v>
      </c>
      <c r="I57" s="394">
        <f t="shared" ca="1" si="79"/>
        <v>1.9530840357613922E-2</v>
      </c>
      <c r="J57" s="394">
        <f t="shared" ca="1" si="79"/>
        <v>2.3511878959752652E-2</v>
      </c>
      <c r="K57" s="394">
        <f t="shared" ca="1" si="76"/>
        <v>2.6001112222051776E-2</v>
      </c>
      <c r="L57" s="394">
        <f t="shared" ca="1" si="76"/>
        <v>2.8536712288892513E-2</v>
      </c>
      <c r="M57" s="363"/>
      <c r="N57" s="363"/>
      <c r="O57" s="363"/>
      <c r="P57" s="363" t="s">
        <v>341</v>
      </c>
      <c r="Q57" s="365">
        <f>C43*Q43 + C44*Q44</f>
        <v>0</v>
      </c>
      <c r="R57" s="365">
        <f t="shared" ref="R57" si="80">D43*R43 + D44*R44</f>
        <v>0</v>
      </c>
      <c r="S57" s="365">
        <f t="shared" ref="S57" si="81">E43*S43 + E44*S44</f>
        <v>0</v>
      </c>
      <c r="T57" s="365">
        <f t="shared" ref="T57" si="82">F43*T43 + F44*T44</f>
        <v>3610000</v>
      </c>
      <c r="U57" s="365">
        <f t="shared" ref="U57" ca="1" si="83">G43*U43 + G44*U44</f>
        <v>3916612.3399110888</v>
      </c>
      <c r="V57" s="365">
        <f t="shared" ref="V57" ca="1" si="84">H43*V43 + H44*V44</f>
        <v>4219144.8934112964</v>
      </c>
      <c r="W57" s="365">
        <f t="shared" ref="W57" ca="1" si="85">I43*W43 + I44*W44</f>
        <v>4514512.6983320331</v>
      </c>
      <c r="X57" s="365">
        <f t="shared" ref="X57" ca="1" si="86">J43*X43 + J44*X44</f>
        <v>4812880.4497835794</v>
      </c>
      <c r="Y57" s="365">
        <f t="shared" ref="Y57" ca="1" si="87">K43*Y43 + K44*Y44</f>
        <v>5118437.5389787182</v>
      </c>
      <c r="Z57" s="365">
        <f t="shared" ref="Z57" ca="1" si="88">L43*Z43 + L44*Z44</f>
        <v>5428629.112481012</v>
      </c>
      <c r="AA57" s="402"/>
      <c r="AB57" s="377" t="s">
        <v>341</v>
      </c>
      <c r="AC57" s="381">
        <v>0</v>
      </c>
      <c r="AD57" s="400">
        <f t="shared" ref="AD57:AJ57" ca="1" si="89">AC57+_xlfn.NORM.DIST(RAND(), 0, 1, FALSE)%</f>
        <v>3.8457363717451613E-3</v>
      </c>
      <c r="AE57" s="400">
        <f t="shared" ca="1" si="89"/>
        <v>7.3654955462315059E-3</v>
      </c>
      <c r="AF57" s="400">
        <f t="shared" ca="1" si="89"/>
        <v>1.1163850907973203E-2</v>
      </c>
      <c r="AG57" s="400">
        <f t="shared" ca="1" si="89"/>
        <v>1.4536280014208345E-2</v>
      </c>
      <c r="AH57" s="400">
        <f t="shared" ca="1" si="89"/>
        <v>1.722639416754022E-2</v>
      </c>
      <c r="AI57" s="400">
        <f t="shared" ca="1" si="89"/>
        <v>2.0432396696433604E-2</v>
      </c>
      <c r="AJ57" s="400">
        <f t="shared" ca="1" si="89"/>
        <v>2.2991508000683634E-2</v>
      </c>
      <c r="AK57" s="400">
        <f t="shared" ca="1" si="78"/>
        <v>2.6632064827212212E-2</v>
      </c>
      <c r="AL57" s="400">
        <f t="shared" ca="1" si="78"/>
        <v>3.0343703039124034E-2</v>
      </c>
      <c r="AM57" s="377"/>
      <c r="AN57" s="377"/>
      <c r="AO57" s="377"/>
      <c r="AP57" s="377" t="s">
        <v>341</v>
      </c>
      <c r="AQ57" s="379">
        <f>AC43*AQ43 + AC44*AQ44</f>
        <v>0</v>
      </c>
      <c r="AR57" s="379">
        <f t="shared" ref="AR57" si="90">AD43*AR43 + AD44*AR44</f>
        <v>0</v>
      </c>
      <c r="AS57" s="379">
        <f t="shared" ref="AS57" si="91">AE43*AS43 + AE44*AS44</f>
        <v>0</v>
      </c>
      <c r="AT57" s="379">
        <f t="shared" ref="AT57" si="92">AF43*AT43 + AF44*AT44</f>
        <v>3610000</v>
      </c>
      <c r="AU57" s="379">
        <f t="shared" ref="AU57" ca="1" si="93">AG43*AU43 + AG44*AU44</f>
        <v>3967111.1498346725</v>
      </c>
      <c r="AV57" s="379">
        <f t="shared" ref="AV57" ca="1" si="94">AH43*AV43 + AH44*AV44</f>
        <v>4323078.0581914634</v>
      </c>
      <c r="AW57" s="379">
        <f t="shared" ref="AW57" ca="1" si="95">AI43*AW43 + AI44*AW44</f>
        <v>4677385.9757861542</v>
      </c>
      <c r="AX57" s="379">
        <f t="shared" ref="AX57" ca="1" si="96">AJ43*AX43 + AJ44*AX44</f>
        <v>5036850.0875036549</v>
      </c>
      <c r="AY57" s="379">
        <f t="shared" ref="AY57" ca="1" si="97">AK43*AY43 + AK44*AY44</f>
        <v>5403250.8983599599</v>
      </c>
      <c r="AZ57" s="379">
        <f t="shared" ref="AZ57" ca="1" si="98">AL43*AZ43 + AL44*AZ44</f>
        <v>5786406.1244157916</v>
      </c>
    </row>
    <row r="58" spans="2:52">
      <c r="B58" s="363" t="s">
        <v>342</v>
      </c>
      <c r="C58" s="366">
        <v>0</v>
      </c>
      <c r="D58" s="394">
        <f t="shared" ref="D58:J58" ca="1" si="99">C58+_xlfn.NORM.DIST(RAND(), 0, 1, FALSE)%</f>
        <v>2.7548709404026902E-3</v>
      </c>
      <c r="E58" s="394">
        <f t="shared" ca="1" si="99"/>
        <v>6.5348520686448978E-3</v>
      </c>
      <c r="F58" s="394">
        <f t="shared" ca="1" si="99"/>
        <v>9.2536967184713437E-3</v>
      </c>
      <c r="G58" s="394">
        <f t="shared" ca="1" si="99"/>
        <v>1.2777785952258813E-2</v>
      </c>
      <c r="H58" s="394">
        <f t="shared" ca="1" si="99"/>
        <v>1.6470259538288186E-2</v>
      </c>
      <c r="I58" s="394">
        <f t="shared" ca="1" si="99"/>
        <v>2.0267740906738899E-2</v>
      </c>
      <c r="J58" s="394">
        <f t="shared" ca="1" si="99"/>
        <v>2.388859333409472E-2</v>
      </c>
      <c r="K58" s="394">
        <f t="shared" ca="1" si="76"/>
        <v>2.7384662031054816E-2</v>
      </c>
      <c r="L58" s="394">
        <f t="shared" ca="1" si="76"/>
        <v>3.1285430048465707E-2</v>
      </c>
      <c r="M58" s="363"/>
      <c r="N58" s="363"/>
      <c r="O58" s="363"/>
      <c r="P58" s="363" t="s">
        <v>342</v>
      </c>
      <c r="Q58" s="365">
        <f>C45*Q45</f>
        <v>0</v>
      </c>
      <c r="R58" s="365">
        <f>D45*R45</f>
        <v>0</v>
      </c>
      <c r="S58" s="365">
        <f>E45*S45</f>
        <v>0</v>
      </c>
      <c r="T58" s="365">
        <f>F45*T45</f>
        <v>0</v>
      </c>
      <c r="U58" s="365">
        <f>G45*U45</f>
        <v>150000</v>
      </c>
      <c r="V58" s="365">
        <f ca="1">H45*V45</f>
        <v>154955.00125069561</v>
      </c>
      <c r="W58" s="365">
        <f ca="1">I45*W45</f>
        <v>160657.29334481136</v>
      </c>
      <c r="X58" s="365">
        <f ca="1">J45*X45</f>
        <v>167191.72281592397</v>
      </c>
      <c r="Y58" s="365">
        <f ca="1">K45*Y45</f>
        <v>174609.41184892226</v>
      </c>
      <c r="Z58" s="365">
        <f ca="1">L45*Z45</f>
        <v>182978.85221144313</v>
      </c>
      <c r="AA58" s="402"/>
      <c r="AB58" s="377" t="s">
        <v>342</v>
      </c>
      <c r="AC58" s="381">
        <v>0</v>
      </c>
      <c r="AD58" s="400">
        <f t="shared" ref="AD58:AJ58" ca="1" si="100">AC58+_xlfn.NORM.DIST(RAND(), 0, 1, FALSE)%</f>
        <v>3.1876685979111909E-3</v>
      </c>
      <c r="AE58" s="400">
        <f t="shared" ca="1" si="100"/>
        <v>7.0101524952281332E-3</v>
      </c>
      <c r="AF58" s="400">
        <f t="shared" ca="1" si="100"/>
        <v>1.0559455410965621E-2</v>
      </c>
      <c r="AG58" s="400">
        <f t="shared" ca="1" si="100"/>
        <v>1.3299711502939054E-2</v>
      </c>
      <c r="AH58" s="400">
        <f t="shared" ca="1" si="100"/>
        <v>1.7133775091579602E-2</v>
      </c>
      <c r="AI58" s="400">
        <f t="shared" ca="1" si="100"/>
        <v>1.9952054029015141E-2</v>
      </c>
      <c r="AJ58" s="400">
        <f t="shared" ca="1" si="100"/>
        <v>2.3610579960250674E-2</v>
      </c>
      <c r="AK58" s="400">
        <f t="shared" ca="1" si="78"/>
        <v>2.7599937110128567E-2</v>
      </c>
      <c r="AL58" s="400">
        <f t="shared" ca="1" si="78"/>
        <v>3.1507325715399034E-2</v>
      </c>
      <c r="AM58" s="377"/>
      <c r="AN58" s="377"/>
      <c r="AO58" s="377"/>
      <c r="AP58" s="377" t="s">
        <v>342</v>
      </c>
      <c r="AQ58" s="379">
        <f>AC45*AQ45</f>
        <v>0</v>
      </c>
      <c r="AR58" s="379">
        <f>AD45*AR45</f>
        <v>0</v>
      </c>
      <c r="AS58" s="379">
        <f>AE45*AS45</f>
        <v>0</v>
      </c>
      <c r="AT58" s="379">
        <f>AF45*AT45</f>
        <v>0</v>
      </c>
      <c r="AU58" s="379">
        <f>AG45*AU45</f>
        <v>150000</v>
      </c>
      <c r="AV58" s="379">
        <f ca="1">AH45*AV45</f>
        <v>156858.79534065496</v>
      </c>
      <c r="AW58" s="379">
        <f ca="1">AI45*AW45</f>
        <v>164651.86277831494</v>
      </c>
      <c r="AX58" s="379">
        <f ca="1">AJ45*AX45</f>
        <v>173310.98982094016</v>
      </c>
      <c r="AY58" s="379">
        <f ca="1">AK45*AY45</f>
        <v>183079.85761382879</v>
      </c>
      <c r="AZ58" s="379">
        <f ca="1">AL45*AZ45</f>
        <v>194153.10137554503</v>
      </c>
    </row>
    <row r="59" spans="2:52">
      <c r="B59" s="363" t="s">
        <v>343</v>
      </c>
      <c r="C59" s="366">
        <v>0</v>
      </c>
      <c r="D59" s="394">
        <f t="shared" ref="D59:J59" ca="1" si="101">C59+_xlfn.NORM.DIST(RAND(), 0, 1, FALSE)%</f>
        <v>3.7063368449833799E-3</v>
      </c>
      <c r="E59" s="394">
        <f t="shared" ca="1" si="101"/>
        <v>7.2041219406622538E-3</v>
      </c>
      <c r="F59" s="394">
        <f t="shared" ca="1" si="101"/>
        <v>1.0318097596911354E-2</v>
      </c>
      <c r="G59" s="394">
        <f t="shared" ca="1" si="101"/>
        <v>1.285585798485725E-2</v>
      </c>
      <c r="H59" s="394">
        <f t="shared" ca="1" si="101"/>
        <v>1.5486428894042305E-2</v>
      </c>
      <c r="I59" s="394">
        <f t="shared" ca="1" si="101"/>
        <v>1.9128185108027558E-2</v>
      </c>
      <c r="J59" s="394">
        <f t="shared" ca="1" si="101"/>
        <v>2.1694993767217553E-2</v>
      </c>
      <c r="K59" s="394">
        <f t="shared" ca="1" si="76"/>
        <v>2.4357884010691687E-2</v>
      </c>
      <c r="L59" s="394">
        <f t="shared" ca="1" si="76"/>
        <v>2.8343486244239258E-2</v>
      </c>
      <c r="M59" s="363"/>
      <c r="N59" s="363"/>
      <c r="O59" s="363"/>
      <c r="P59" s="363" t="s">
        <v>343</v>
      </c>
      <c r="Q59" s="365">
        <f>C46*Q46</f>
        <v>0</v>
      </c>
      <c r="R59" s="365">
        <f>D46*R46</f>
        <v>0</v>
      </c>
      <c r="S59" s="365">
        <f>E46*S46</f>
        <v>0</v>
      </c>
      <c r="T59" s="365">
        <f>F46*T46</f>
        <v>0</v>
      </c>
      <c r="U59" s="365">
        <f>G46*U46</f>
        <v>450000</v>
      </c>
      <c r="V59" s="365">
        <f ca="1">H46*V46</f>
        <v>464900.8388150495</v>
      </c>
      <c r="W59" s="365">
        <f ca="1">I46*W46</f>
        <v>481542.50245010224</v>
      </c>
      <c r="X59" s="365">
        <f ca="1">J46*X46</f>
        <v>500568.60730583768</v>
      </c>
      <c r="Y59" s="365">
        <f ca="1">K46*Y46</f>
        <v>521657.00892383064</v>
      </c>
      <c r="Z59" s="365">
        <f ca="1">L46*Z46</f>
        <v>545050.739237373</v>
      </c>
      <c r="AA59" s="402"/>
      <c r="AB59" s="377" t="s">
        <v>343</v>
      </c>
      <c r="AC59" s="381">
        <v>0</v>
      </c>
      <c r="AD59" s="400">
        <f t="shared" ref="AD59:AJ59" ca="1" si="102">AC59+_xlfn.NORM.DIST(RAND(), 0, 1, FALSE)%</f>
        <v>3.5396500545973723E-3</v>
      </c>
      <c r="AE59" s="400">
        <f t="shared" ca="1" si="102"/>
        <v>7.150134623989151E-3</v>
      </c>
      <c r="AF59" s="400">
        <f t="shared" ca="1" si="102"/>
        <v>1.1096826079039184E-2</v>
      </c>
      <c r="AG59" s="400">
        <f t="shared" ca="1" si="102"/>
        <v>1.4933774603731629E-2</v>
      </c>
      <c r="AH59" s="400">
        <f t="shared" ca="1" si="102"/>
        <v>1.7616897016847249E-2</v>
      </c>
      <c r="AI59" s="400">
        <f t="shared" ca="1" si="102"/>
        <v>2.125079064972292E-2</v>
      </c>
      <c r="AJ59" s="400">
        <f t="shared" ca="1" si="102"/>
        <v>2.4417720346323751E-2</v>
      </c>
      <c r="AK59" s="400">
        <f t="shared" ca="1" si="78"/>
        <v>2.8066886287470155E-2</v>
      </c>
      <c r="AL59" s="400">
        <f t="shared" ca="1" si="78"/>
        <v>3.1356193145616953E-2</v>
      </c>
      <c r="AM59" s="377"/>
      <c r="AN59" s="377"/>
      <c r="AO59" s="377"/>
      <c r="AP59" s="377" t="s">
        <v>343</v>
      </c>
      <c r="AQ59" s="379">
        <f>AC46*AQ46</f>
        <v>0</v>
      </c>
      <c r="AR59" s="379">
        <f>AD46*AR46</f>
        <v>0</v>
      </c>
      <c r="AS59" s="379">
        <f>AE46*AS46</f>
        <v>0</v>
      </c>
      <c r="AT59" s="379">
        <f>AF46*AT46</f>
        <v>0</v>
      </c>
      <c r="AU59" s="379">
        <f>AG46*AU46</f>
        <v>450000</v>
      </c>
      <c r="AV59" s="379">
        <f ca="1">AH46*AV46</f>
        <v>471335.24492597301</v>
      </c>
      <c r="AW59" s="379">
        <f ca="1">AI46*AW46</f>
        <v>494987.14809692418</v>
      </c>
      <c r="AX59" s="379">
        <f ca="1">AJ46*AX46</f>
        <v>521682.20887880935</v>
      </c>
      <c r="AY59" s="379">
        <f ca="1">AK46*AY46</f>
        <v>551521.95513814036</v>
      </c>
      <c r="AZ59" s="379">
        <f ca="1">AL46*AZ46</f>
        <v>585145.50583046325</v>
      </c>
    </row>
    <row r="60" spans="2:52">
      <c r="B60" s="363" t="s">
        <v>344</v>
      </c>
      <c r="C60" s="366">
        <v>0</v>
      </c>
      <c r="D60" s="394">
        <f t="shared" ref="D60:J60" ca="1" si="103">C60+_xlfn.NORM.DIST(RAND(), 0, 1, FALSE)%</f>
        <v>3.0695817477538923E-3</v>
      </c>
      <c r="E60" s="394">
        <f t="shared" ca="1" si="103"/>
        <v>6.9825453306228379E-3</v>
      </c>
      <c r="F60" s="394">
        <f t="shared" ca="1" si="103"/>
        <v>1.0116968842586725E-2</v>
      </c>
      <c r="G60" s="394">
        <f t="shared" ca="1" si="103"/>
        <v>1.3803669374858123E-2</v>
      </c>
      <c r="H60" s="394">
        <f t="shared" ca="1" si="103"/>
        <v>1.7653463068215587E-2</v>
      </c>
      <c r="I60" s="394">
        <f t="shared" ca="1" si="103"/>
        <v>2.1598784978465135E-2</v>
      </c>
      <c r="J60" s="394">
        <f t="shared" ca="1" si="103"/>
        <v>2.419656876775695E-2</v>
      </c>
      <c r="K60" s="394">
        <f t="shared" ca="1" si="76"/>
        <v>2.707491129073325E-2</v>
      </c>
      <c r="L60" s="394">
        <f t="shared" ca="1" si="76"/>
        <v>3.0891045234933079E-2</v>
      </c>
      <c r="M60" s="363"/>
      <c r="N60" s="363"/>
      <c r="O60" s="363"/>
      <c r="P60" s="363" t="s">
        <v>344</v>
      </c>
      <c r="Q60" s="365">
        <f>C47*Q47</f>
        <v>0</v>
      </c>
      <c r="R60" s="365">
        <f>D47*R47</f>
        <v>0</v>
      </c>
      <c r="S60" s="365">
        <f>E47*S47</f>
        <v>0</v>
      </c>
      <c r="T60" s="365">
        <f>F47*T47</f>
        <v>0</v>
      </c>
      <c r="U60" s="365">
        <f>G47*U47</f>
        <v>490000</v>
      </c>
      <c r="V60" s="365">
        <f ca="1">H47*V47</f>
        <v>506699.07395355415</v>
      </c>
      <c r="W60" s="365">
        <f ca="1">I47*W47</f>
        <v>525956.94868913817</v>
      </c>
      <c r="X60" s="365">
        <f ca="1">J47*X47</f>
        <v>548063.31932644057</v>
      </c>
      <c r="Y60" s="365">
        <f ca="1">K47*Y47</f>
        <v>572551.06254404003</v>
      </c>
      <c r="Z60" s="365">
        <f ca="1">L47*Z47</f>
        <v>599813.88840727182</v>
      </c>
      <c r="AA60" s="402"/>
      <c r="AB60" s="377" t="s">
        <v>344</v>
      </c>
      <c r="AC60" s="381">
        <v>0</v>
      </c>
      <c r="AD60" s="400">
        <f t="shared" ref="AD60:AJ60" ca="1" si="104">AC60+_xlfn.NORM.DIST(RAND(), 0, 1, FALSE)%</f>
        <v>3.9642904866664915E-3</v>
      </c>
      <c r="AE60" s="400">
        <f t="shared" ca="1" si="104"/>
        <v>6.8966885025717635E-3</v>
      </c>
      <c r="AF60" s="400">
        <f t="shared" ca="1" si="104"/>
        <v>1.0554935129650738E-2</v>
      </c>
      <c r="AG60" s="400">
        <f t="shared" ca="1" si="104"/>
        <v>1.3726646551975658E-2</v>
      </c>
      <c r="AH60" s="400">
        <f t="shared" ca="1" si="104"/>
        <v>1.7209767899610318E-2</v>
      </c>
      <c r="AI60" s="400">
        <f t="shared" ca="1" si="104"/>
        <v>2.1110606373377992E-2</v>
      </c>
      <c r="AJ60" s="400">
        <f t="shared" ca="1" si="104"/>
        <v>2.5098219461596814E-2</v>
      </c>
      <c r="AK60" s="400">
        <f t="shared" ca="1" si="78"/>
        <v>2.8512735824829178E-2</v>
      </c>
      <c r="AL60" s="400">
        <f t="shared" ca="1" si="78"/>
        <v>3.1492358482633521E-2</v>
      </c>
      <c r="AM60" s="377"/>
      <c r="AN60" s="377"/>
      <c r="AO60" s="377"/>
      <c r="AP60" s="377" t="s">
        <v>344</v>
      </c>
      <c r="AQ60" s="379">
        <f>AC47*AQ47</f>
        <v>0</v>
      </c>
      <c r="AR60" s="379">
        <f>AD47*AR47</f>
        <v>0</v>
      </c>
      <c r="AS60" s="379">
        <f>AE47*AS47</f>
        <v>0</v>
      </c>
      <c r="AT60" s="379">
        <f>AF47*AT47</f>
        <v>0</v>
      </c>
      <c r="AU60" s="379">
        <f>AG47*AU47</f>
        <v>490000</v>
      </c>
      <c r="AV60" s="379">
        <f ca="1">AH47*AV47</f>
        <v>512621.29062840302</v>
      </c>
      <c r="AW60" s="379">
        <f ca="1">AI47*AW47</f>
        <v>538129.57235045312</v>
      </c>
      <c r="AX60" s="379">
        <f ca="1">AJ47*AX47</f>
        <v>567073.4879759847</v>
      </c>
      <c r="AY60" s="379">
        <f ca="1">AK47*AY47</f>
        <v>599907.81555855705</v>
      </c>
      <c r="AZ60" s="379">
        <f ca="1">AL47*AZ47</f>
        <v>636757.23913875897</v>
      </c>
    </row>
    <row r="61" spans="2:52">
      <c r="B61" s="363"/>
      <c r="C61" s="363"/>
      <c r="D61" s="363"/>
      <c r="E61" s="363"/>
      <c r="F61" s="363"/>
      <c r="G61" s="363"/>
      <c r="H61" s="363"/>
      <c r="I61" s="363"/>
      <c r="J61" s="363"/>
      <c r="K61" s="363"/>
      <c r="L61" s="363"/>
      <c r="M61" s="363"/>
      <c r="N61" s="363"/>
      <c r="O61" s="363"/>
      <c r="P61" s="363" t="s">
        <v>354</v>
      </c>
      <c r="Q61" s="365">
        <f>SUM(Q52:Q60)</f>
        <v>0</v>
      </c>
      <c r="R61" s="365">
        <f t="shared" ref="R61:Z61" si="105">SUM(R52:R60)</f>
        <v>0</v>
      </c>
      <c r="S61" s="365">
        <f t="shared" si="105"/>
        <v>0</v>
      </c>
      <c r="T61" s="365">
        <f t="shared" si="105"/>
        <v>24660000</v>
      </c>
      <c r="U61" s="365">
        <f t="shared" ca="1" si="105"/>
        <v>33594574.879947938</v>
      </c>
      <c r="V61" s="365">
        <f t="shared" ca="1" si="105"/>
        <v>39314036.007934213</v>
      </c>
      <c r="W61" s="365">
        <f t="shared" ca="1" si="105"/>
        <v>42369141.445522323</v>
      </c>
      <c r="X61" s="365">
        <f t="shared" ca="1" si="105"/>
        <v>45792534.395843834</v>
      </c>
      <c r="Y61" s="365">
        <f t="shared" ca="1" si="105"/>
        <v>49625042.09473183</v>
      </c>
      <c r="Z61" s="365">
        <f t="shared" ca="1" si="105"/>
        <v>53926203.485018283</v>
      </c>
      <c r="AA61" s="402"/>
      <c r="AB61" s="377"/>
      <c r="AC61" s="377"/>
      <c r="AD61" s="377"/>
      <c r="AE61" s="377"/>
      <c r="AF61" s="377"/>
      <c r="AG61" s="377"/>
      <c r="AH61" s="377"/>
      <c r="AI61" s="377"/>
      <c r="AJ61" s="377"/>
      <c r="AK61" s="377"/>
      <c r="AL61" s="377"/>
      <c r="AM61" s="377"/>
      <c r="AN61" s="377"/>
      <c r="AO61" s="377"/>
      <c r="AP61" s="377" t="s">
        <v>354</v>
      </c>
      <c r="AQ61" s="379">
        <f>SUM(AQ52:AQ60)</f>
        <v>0</v>
      </c>
      <c r="AR61" s="379">
        <f t="shared" ref="AR61:AZ61" si="106">SUM(AR52:AR60)</f>
        <v>0</v>
      </c>
      <c r="AS61" s="379">
        <f t="shared" si="106"/>
        <v>0</v>
      </c>
      <c r="AT61" s="379">
        <f t="shared" si="106"/>
        <v>24660000</v>
      </c>
      <c r="AU61" s="379">
        <f t="shared" ca="1" si="106"/>
        <v>33840645.845819145</v>
      </c>
      <c r="AV61" s="379">
        <f t="shared" ca="1" si="106"/>
        <v>39867949.880899802</v>
      </c>
      <c r="AW61" s="379">
        <f t="shared" ca="1" si="106"/>
        <v>43439966.335676998</v>
      </c>
      <c r="AX61" s="379">
        <f t="shared" ca="1" si="106"/>
        <v>47464639.530208357</v>
      </c>
      <c r="AY61" s="379">
        <f t="shared" ca="1" si="106"/>
        <v>51998276.337515227</v>
      </c>
      <c r="AZ61" s="379">
        <f t="shared" ca="1" si="106"/>
        <v>57140049.612045102</v>
      </c>
    </row>
    <row r="62" spans="2:52">
      <c r="B62" s="402"/>
      <c r="C62" s="402"/>
      <c r="D62" s="402"/>
      <c r="E62" s="402"/>
      <c r="F62" s="402"/>
      <c r="G62" s="402"/>
      <c r="H62" s="402"/>
      <c r="I62" s="402"/>
      <c r="J62" s="402"/>
      <c r="K62" s="402"/>
      <c r="L62" s="402"/>
      <c r="M62" s="402"/>
      <c r="N62" s="402"/>
      <c r="O62" s="402"/>
      <c r="P62" s="402"/>
      <c r="Q62" s="402"/>
      <c r="R62" s="402"/>
      <c r="S62" s="402"/>
      <c r="T62" s="402"/>
      <c r="U62" s="402"/>
      <c r="V62" s="402"/>
      <c r="W62" s="402"/>
      <c r="X62" s="402"/>
      <c r="Y62" s="402"/>
      <c r="Z62" s="402"/>
      <c r="AA62" s="402"/>
      <c r="AB62" s="402"/>
      <c r="AC62" s="402"/>
      <c r="AD62" s="402"/>
      <c r="AE62" s="402"/>
      <c r="AF62" s="402"/>
      <c r="AG62" s="402"/>
      <c r="AH62" s="402"/>
      <c r="AI62" s="402"/>
      <c r="AJ62" s="402"/>
      <c r="AK62" s="402"/>
      <c r="AL62" s="402"/>
      <c r="AM62" s="402"/>
      <c r="AN62" s="402"/>
      <c r="AO62" s="402"/>
      <c r="AP62" s="402"/>
      <c r="AQ62" s="402"/>
      <c r="AR62" s="402"/>
      <c r="AS62" s="402"/>
      <c r="AT62" s="402"/>
      <c r="AU62" s="402"/>
      <c r="AV62" s="402"/>
      <c r="AW62" s="402"/>
      <c r="AX62" s="402"/>
      <c r="AY62" s="402"/>
      <c r="AZ62" s="402"/>
    </row>
    <row r="63" spans="2:52">
      <c r="B63" s="383" t="s">
        <v>345</v>
      </c>
      <c r="C63" s="384">
        <f>Assumptions!J19</f>
        <v>3.15E-2</v>
      </c>
      <c r="D63" s="384">
        <f>Assumptions!K19</f>
        <v>3.15E-2</v>
      </c>
      <c r="E63" s="384">
        <f>Assumptions!L19</f>
        <v>3.15E-2</v>
      </c>
      <c r="F63" s="384">
        <f>Assumptions!M19</f>
        <v>3.15E-2</v>
      </c>
      <c r="G63" s="384">
        <f>Assumptions!N19</f>
        <v>3.15E-2</v>
      </c>
      <c r="H63" s="384">
        <f>Assumptions!O19</f>
        <v>3.15E-2</v>
      </c>
      <c r="I63" s="384">
        <f>Assumptions!P19</f>
        <v>3.15E-2</v>
      </c>
      <c r="J63" s="384">
        <f>Assumptions!Q19</f>
        <v>3.15E-2</v>
      </c>
      <c r="K63" s="384">
        <f>Assumptions!R19</f>
        <v>3.15E-2</v>
      </c>
      <c r="L63" s="384">
        <f>Assumptions!S19</f>
        <v>3.15E-2</v>
      </c>
      <c r="M63" s="383"/>
      <c r="N63" s="383"/>
      <c r="O63" s="383"/>
      <c r="P63" s="383"/>
      <c r="Q63" s="383"/>
      <c r="R63" s="383"/>
      <c r="S63" s="383"/>
      <c r="T63" s="383"/>
      <c r="U63" s="383"/>
      <c r="V63" s="383"/>
      <c r="W63" s="383"/>
      <c r="X63" s="383"/>
      <c r="Y63" s="383"/>
      <c r="Z63" s="383"/>
      <c r="AA63" s="402"/>
      <c r="AB63" s="388" t="s">
        <v>345</v>
      </c>
      <c r="AC63" s="389">
        <f>Assumptions!J20</f>
        <v>0.1</v>
      </c>
      <c r="AD63" s="389">
        <f>Assumptions!K20</f>
        <v>0.1</v>
      </c>
      <c r="AE63" s="389">
        <f>Assumptions!L20</f>
        <v>0.1</v>
      </c>
      <c r="AF63" s="389">
        <f>Assumptions!M20</f>
        <v>0.1</v>
      </c>
      <c r="AG63" s="389">
        <f>Assumptions!N20</f>
        <v>0.1</v>
      </c>
      <c r="AH63" s="389">
        <f>Assumptions!O20</f>
        <v>0.1</v>
      </c>
      <c r="AI63" s="389">
        <f>Assumptions!P20</f>
        <v>0.1</v>
      </c>
      <c r="AJ63" s="389">
        <f>Assumptions!Q20</f>
        <v>0.1</v>
      </c>
      <c r="AK63" s="389">
        <f>Assumptions!R20</f>
        <v>0.1</v>
      </c>
      <c r="AL63" s="389">
        <f>Assumptions!S20</f>
        <v>0.1</v>
      </c>
      <c r="AM63" s="388"/>
      <c r="AN63" s="388"/>
      <c r="AO63" s="388"/>
      <c r="AP63" s="388"/>
      <c r="AQ63" s="388"/>
      <c r="AR63" s="388"/>
      <c r="AS63" s="388"/>
      <c r="AT63" s="388"/>
      <c r="AU63" s="388"/>
      <c r="AV63" s="388"/>
      <c r="AW63" s="388"/>
      <c r="AX63" s="388"/>
      <c r="AY63" s="388"/>
      <c r="AZ63" s="388"/>
    </row>
    <row r="64" spans="2:52">
      <c r="B64" s="383"/>
      <c r="C64" s="383"/>
      <c r="D64" s="383"/>
      <c r="E64" s="383"/>
      <c r="F64" s="383"/>
      <c r="G64" s="383"/>
      <c r="H64" s="383"/>
      <c r="I64" s="383"/>
      <c r="J64" s="383"/>
      <c r="K64" s="383"/>
      <c r="L64" s="383"/>
      <c r="M64" s="383"/>
      <c r="N64" s="383"/>
      <c r="O64" s="383"/>
      <c r="P64" s="383"/>
      <c r="Q64" s="383"/>
      <c r="R64" s="383"/>
      <c r="S64" s="383"/>
      <c r="T64" s="383"/>
      <c r="U64" s="383"/>
      <c r="V64" s="383"/>
      <c r="W64" s="383"/>
      <c r="X64" s="383"/>
      <c r="Y64" s="383"/>
      <c r="Z64" s="383"/>
      <c r="AA64" s="402"/>
      <c r="AB64" s="388"/>
      <c r="AC64" s="388"/>
      <c r="AD64" s="388"/>
      <c r="AE64" s="388"/>
      <c r="AF64" s="388"/>
      <c r="AG64" s="388"/>
      <c r="AH64" s="388"/>
      <c r="AI64" s="388"/>
      <c r="AJ64" s="388"/>
      <c r="AK64" s="388"/>
      <c r="AL64" s="388"/>
      <c r="AM64" s="388"/>
      <c r="AN64" s="388"/>
      <c r="AO64" s="388"/>
      <c r="AP64" s="388"/>
      <c r="AQ64" s="388"/>
      <c r="AR64" s="388"/>
      <c r="AS64" s="388"/>
      <c r="AT64" s="388"/>
      <c r="AU64" s="388"/>
      <c r="AV64" s="388"/>
      <c r="AW64" s="388"/>
      <c r="AX64" s="388"/>
      <c r="AY64" s="388"/>
      <c r="AZ64" s="388"/>
    </row>
    <row r="65" spans="2:52">
      <c r="B65" s="383"/>
      <c r="C65" s="383"/>
      <c r="D65" s="383"/>
      <c r="E65" s="383"/>
      <c r="F65" s="383"/>
      <c r="G65" s="383"/>
      <c r="H65" s="383"/>
      <c r="I65" s="383"/>
      <c r="J65" s="383"/>
      <c r="K65" s="383"/>
      <c r="L65" s="383"/>
      <c r="M65" s="383"/>
      <c r="N65" s="383"/>
      <c r="O65" s="383"/>
      <c r="P65" s="383"/>
      <c r="Q65" s="383"/>
      <c r="R65" s="383"/>
      <c r="S65" s="383"/>
      <c r="T65" s="383"/>
      <c r="U65" s="383"/>
      <c r="V65" s="383"/>
      <c r="W65" s="383"/>
      <c r="X65" s="383"/>
      <c r="Y65" s="383"/>
      <c r="Z65" s="383"/>
      <c r="AA65" s="402"/>
      <c r="AB65" s="388"/>
      <c r="AC65" s="388"/>
      <c r="AD65" s="388"/>
      <c r="AE65" s="388"/>
      <c r="AF65" s="388"/>
      <c r="AG65" s="388"/>
      <c r="AH65" s="388"/>
      <c r="AI65" s="388"/>
      <c r="AJ65" s="388"/>
      <c r="AK65" s="388"/>
      <c r="AL65" s="388"/>
      <c r="AM65" s="388"/>
      <c r="AN65" s="388"/>
      <c r="AO65" s="388"/>
      <c r="AP65" s="388"/>
      <c r="AQ65" s="388"/>
      <c r="AR65" s="388"/>
      <c r="AS65" s="388"/>
      <c r="AT65" s="388"/>
      <c r="AU65" s="388"/>
      <c r="AV65" s="388"/>
      <c r="AW65" s="388"/>
      <c r="AX65" s="388"/>
      <c r="AY65" s="388"/>
      <c r="AZ65" s="388"/>
    </row>
    <row r="66" spans="2:52">
      <c r="B66" s="383"/>
      <c r="C66" s="383" t="s">
        <v>248</v>
      </c>
      <c r="D66" s="383"/>
      <c r="E66" s="383"/>
      <c r="F66" s="383"/>
      <c r="G66" s="383"/>
      <c r="H66" s="383"/>
      <c r="I66" s="383"/>
      <c r="J66" s="383"/>
      <c r="K66" s="383"/>
      <c r="L66" s="383"/>
      <c r="M66" s="383"/>
      <c r="N66" s="383"/>
      <c r="O66" s="383"/>
      <c r="P66" s="383"/>
      <c r="Q66" s="383" t="s">
        <v>248</v>
      </c>
      <c r="R66" s="383"/>
      <c r="S66" s="383"/>
      <c r="T66" s="383"/>
      <c r="U66" s="383"/>
      <c r="V66" s="383"/>
      <c r="W66" s="383"/>
      <c r="X66" s="383"/>
      <c r="Y66" s="383"/>
      <c r="Z66" s="383"/>
      <c r="AA66" s="402"/>
      <c r="AB66" s="388"/>
      <c r="AC66" s="388" t="s">
        <v>248</v>
      </c>
      <c r="AD66" s="388"/>
      <c r="AE66" s="388"/>
      <c r="AF66" s="388"/>
      <c r="AG66" s="388"/>
      <c r="AH66" s="388"/>
      <c r="AI66" s="388"/>
      <c r="AJ66" s="388"/>
      <c r="AK66" s="388"/>
      <c r="AL66" s="388"/>
      <c r="AM66" s="388"/>
      <c r="AN66" s="388"/>
      <c r="AO66" s="388"/>
      <c r="AP66" s="388"/>
      <c r="AQ66" s="388" t="s">
        <v>248</v>
      </c>
      <c r="AR66" s="388"/>
      <c r="AS66" s="388"/>
      <c r="AT66" s="388"/>
      <c r="AU66" s="388"/>
      <c r="AV66" s="388"/>
      <c r="AW66" s="388"/>
      <c r="AX66" s="388"/>
      <c r="AY66" s="388"/>
      <c r="AZ66" s="388"/>
    </row>
    <row r="67" spans="2:52">
      <c r="B67" s="383" t="s">
        <v>346</v>
      </c>
      <c r="C67" s="383">
        <v>1</v>
      </c>
      <c r="D67" s="383">
        <v>2</v>
      </c>
      <c r="E67" s="383">
        <v>3</v>
      </c>
      <c r="F67" s="383">
        <v>4</v>
      </c>
      <c r="G67" s="383">
        <v>5</v>
      </c>
      <c r="H67" s="383">
        <v>6</v>
      </c>
      <c r="I67" s="383">
        <v>7</v>
      </c>
      <c r="J67" s="383">
        <v>8</v>
      </c>
      <c r="K67" s="383">
        <v>9</v>
      </c>
      <c r="L67" s="383">
        <v>10</v>
      </c>
      <c r="M67" s="383"/>
      <c r="N67" s="383"/>
      <c r="O67" s="383"/>
      <c r="P67" s="383" t="s">
        <v>347</v>
      </c>
      <c r="Q67" s="383">
        <v>1</v>
      </c>
      <c r="R67" s="383">
        <v>2</v>
      </c>
      <c r="S67" s="383">
        <v>3</v>
      </c>
      <c r="T67" s="383">
        <v>4</v>
      </c>
      <c r="U67" s="383">
        <v>5</v>
      </c>
      <c r="V67" s="383">
        <v>6</v>
      </c>
      <c r="W67" s="383">
        <v>7</v>
      </c>
      <c r="X67" s="383">
        <v>8</v>
      </c>
      <c r="Y67" s="383">
        <v>9</v>
      </c>
      <c r="Z67" s="383">
        <v>10</v>
      </c>
      <c r="AA67" s="402"/>
      <c r="AB67" s="388" t="s">
        <v>346</v>
      </c>
      <c r="AC67" s="388">
        <v>1</v>
      </c>
      <c r="AD67" s="388">
        <v>2</v>
      </c>
      <c r="AE67" s="388">
        <v>3</v>
      </c>
      <c r="AF67" s="388">
        <v>4</v>
      </c>
      <c r="AG67" s="388">
        <v>5</v>
      </c>
      <c r="AH67" s="388">
        <v>6</v>
      </c>
      <c r="AI67" s="388">
        <v>7</v>
      </c>
      <c r="AJ67" s="388">
        <v>8</v>
      </c>
      <c r="AK67" s="388">
        <v>9</v>
      </c>
      <c r="AL67" s="388">
        <v>10</v>
      </c>
      <c r="AM67" s="388"/>
      <c r="AN67" s="388"/>
      <c r="AO67" s="388"/>
      <c r="AP67" s="388" t="s">
        <v>347</v>
      </c>
      <c r="AQ67" s="388">
        <v>1</v>
      </c>
      <c r="AR67" s="388">
        <v>2</v>
      </c>
      <c r="AS67" s="388">
        <v>3</v>
      </c>
      <c r="AT67" s="388">
        <v>4</v>
      </c>
      <c r="AU67" s="388">
        <v>5</v>
      </c>
      <c r="AV67" s="388">
        <v>6</v>
      </c>
      <c r="AW67" s="388">
        <v>7</v>
      </c>
      <c r="AX67" s="388">
        <v>8</v>
      </c>
      <c r="AY67" s="388">
        <v>9</v>
      </c>
      <c r="AZ67" s="388">
        <v>10</v>
      </c>
    </row>
    <row r="68" spans="2:52">
      <c r="B68" s="383" t="s">
        <v>331</v>
      </c>
      <c r="C68" s="385">
        <f>IF(C$67=Assumptions!$H$45, Assumptions!$P$45, 0)</f>
        <v>0</v>
      </c>
      <c r="D68" s="385">
        <f>IF(D67&gt;Assumptions!$H$45, C68*(1+C63), IF(D67=Assumptions!$H$45, Assumptions!$P$45, 0))</f>
        <v>0</v>
      </c>
      <c r="E68" s="385">
        <f>IF(E67&gt;Assumptions!$H$45, D68*(1+D63), IF(E67=Assumptions!$H$45, Assumptions!$P$45, 0))</f>
        <v>0</v>
      </c>
      <c r="F68" s="385">
        <f>IF(F67&gt;Assumptions!$H$45, E68*(1+E63), IF(F67=Assumptions!$H$45, Assumptions!$P$45, 0))</f>
        <v>5000</v>
      </c>
      <c r="G68" s="385">
        <f>IF(G67&gt;Assumptions!$H$45, F68*(1+F63), IF(G67=Assumptions!$H$45, Assumptions!$P$45, 0))</f>
        <v>5157.5</v>
      </c>
      <c r="H68" s="385">
        <f>IF(H67&gt;Assumptions!$H$45, G68*(1+G63), IF(H67=Assumptions!$H$45, Assumptions!$P$45, 0))</f>
        <v>5319.9612500000003</v>
      </c>
      <c r="I68" s="385">
        <f>IF(I67&gt;Assumptions!$H$45, H68*(1+H63), IF(I67=Assumptions!$H$45, Assumptions!$P$45, 0))</f>
        <v>5487.5400293750008</v>
      </c>
      <c r="J68" s="385">
        <f>IF(J67&gt;Assumptions!$H$45, I68*(1+I63), IF(J67=Assumptions!$H$45, Assumptions!$P$45, 0))</f>
        <v>5660.3975403003142</v>
      </c>
      <c r="K68" s="385">
        <f>IF(K67&gt;Assumptions!$H$45, J68*(1+J63), IF(K67=Assumptions!$H$45, Assumptions!$P$45, 0))</f>
        <v>5838.7000628197748</v>
      </c>
      <c r="L68" s="385">
        <f>IF(L67&gt;Assumptions!$H$45, K68*(1+K63), IF(L67=Assumptions!$H$45, Assumptions!$P$45, 0))</f>
        <v>6022.6191147985983</v>
      </c>
      <c r="M68" s="383"/>
      <c r="N68" s="383"/>
      <c r="O68" s="383"/>
      <c r="P68" s="383" t="s">
        <v>331</v>
      </c>
      <c r="Q68" s="386">
        <f>IF(Q$67=Assumptions!$H$45, Assumptions!$D45, 0)</f>
        <v>0</v>
      </c>
      <c r="R68" s="386">
        <f>IF(R67&gt;Assumptions!$H$45, Q68*(1+C82), IF(R67=Assumptions!$H$45, Assumptions!$D$45, 0))</f>
        <v>0</v>
      </c>
      <c r="S68" s="386">
        <f>IF(S67&gt;Assumptions!$I$45, R68*(1+D82), IF(S67=Assumptions!$I$45, Assumptions!$D$45, 0))</f>
        <v>0</v>
      </c>
      <c r="T68" s="386">
        <f>IF(T67&gt;Assumptions!$I$45, S68*(1+E82), IF(T67=Assumptions!$I$45, Assumptions!$D$45, 0))</f>
        <v>1540</v>
      </c>
      <c r="U68" s="386">
        <f ca="1">IF(U67&gt;Assumptions!$I$45, T68*(1+F82), IF(U67=Assumptions!$I$45, Assumptions!$D$45, 0))</f>
        <v>1633.6098908043318</v>
      </c>
      <c r="V68" s="386">
        <f ca="1">IF(V67&gt;Assumptions!$I$45, U68*(1+G82), IF(V67=Assumptions!$I$45, Assumptions!$D$45, 0))</f>
        <v>1738.6241374315953</v>
      </c>
      <c r="W68" s="386">
        <f ca="1">IF(W67&gt;Assumptions!$I$45, V68*(1+H82), IF(W67=Assumptions!$I$45, Assumptions!$D$45, 0))</f>
        <v>1857.3224864345407</v>
      </c>
      <c r="X68" s="386">
        <f ca="1">IF(X67&gt;Assumptions!$I$45, W68*(1+I82), IF(X67=Assumptions!$I$45, Assumptions!$D$45, 0))</f>
        <v>1989.0663242673386</v>
      </c>
      <c r="Y68" s="386">
        <f ca="1">IF(Y67&gt;Assumptions!$I$45, X68*(1+J82), IF(Y67=Assumptions!$I$45, Assumptions!$D$45, 0))</f>
        <v>2135.2320079870315</v>
      </c>
      <c r="Z68" s="386">
        <f ca="1">IF(Z67&gt;Assumptions!$I$45, Y68*(1+K82), IF(Z67=Assumptions!$I$45, Assumptions!$D$45, 0))</f>
        <v>2299.1386463718959</v>
      </c>
      <c r="AA68" s="402"/>
      <c r="AB68" s="388" t="s">
        <v>331</v>
      </c>
      <c r="AC68" s="390">
        <f>IF(AC67=Assumptions!$K$45, Assumptions!$P$45, 0)</f>
        <v>0</v>
      </c>
      <c r="AD68" s="390">
        <f>IF(AD67&gt;Assumptions!$K$45, AC68*(1+AC63), IF(AD67=Assumptions!$K$45, Assumptions!$P$45, 0))</f>
        <v>0</v>
      </c>
      <c r="AE68" s="390">
        <f>IF(AE67&gt;Assumptions!$K$45, AD68*(1+AD63), IF(AE67=Assumptions!$K$45, Assumptions!$P$45, 0))</f>
        <v>0</v>
      </c>
      <c r="AF68" s="390">
        <f>IF(AF67&gt;Assumptions!$K$45, AE68*(1+AE63), IF(AF67=Assumptions!$K$45, Assumptions!$P$45, 0))</f>
        <v>5000</v>
      </c>
      <c r="AG68" s="390">
        <f>IF(AG67&gt;Assumptions!$K$45, AF68*(1+AF63), IF(AG67=Assumptions!$K$45, Assumptions!$P$45, 0))</f>
        <v>5500</v>
      </c>
      <c r="AH68" s="390">
        <f>IF(AH67&gt;Assumptions!$K$45, AG68*(1+AG63), IF(AH67=Assumptions!$K$45, Assumptions!$P$45, 0))</f>
        <v>6050.0000000000009</v>
      </c>
      <c r="AI68" s="390">
        <f>IF(AI67&gt;Assumptions!$K$45, AH68*(1+AH63), IF(AI67=Assumptions!$K$45, Assumptions!$P$45, 0))</f>
        <v>6655.0000000000018</v>
      </c>
      <c r="AJ68" s="390">
        <f>IF(AJ67&gt;Assumptions!$K$45, AI68*(1+AI63), IF(AJ67=Assumptions!$K$45, Assumptions!$P$45, 0))</f>
        <v>7320.5000000000027</v>
      </c>
      <c r="AK68" s="390">
        <f>IF(AK67&gt;Assumptions!$K$45, AJ68*(1+AJ63), IF(AK67=Assumptions!$K$45, Assumptions!$P$45, 0))</f>
        <v>8052.5500000000038</v>
      </c>
      <c r="AL68" s="390">
        <f>IF(AL67&gt;Assumptions!$K$45, AK68*(1+AK63), IF(AL67=Assumptions!$K$45, Assumptions!$P$45, 0))</f>
        <v>8857.8050000000057</v>
      </c>
      <c r="AM68" s="388"/>
      <c r="AN68" s="388"/>
      <c r="AO68" s="388"/>
      <c r="AP68" s="388" t="s">
        <v>331</v>
      </c>
      <c r="AQ68" s="391">
        <f>IF(AQ67=Assumptions!$K$45, Assumptions!$D$45, 0)</f>
        <v>0</v>
      </c>
      <c r="AR68" s="391">
        <f>IF(AR67&gt;Assumptions!$K$45, AQ68*(1+AC82), IF(AR67=Assumptions!$K$45, Assumptions!$D$45, 0))</f>
        <v>0</v>
      </c>
      <c r="AS68" s="391">
        <f>IF(AS67&gt;Assumptions!$K$45, AR68*(1+AD82), IF(AS67=Assumptions!$K$45, Assumptions!$D$45, 0))</f>
        <v>0</v>
      </c>
      <c r="AT68" s="391">
        <f>IF(AT67&gt;Assumptions!$K$45, AS68*(1+AE82), IF(AT67=Assumptions!$K$45, Assumptions!$D$45, 0))</f>
        <v>1540</v>
      </c>
      <c r="AU68" s="391">
        <f ca="1">IF(AU67&gt;Assumptions!$K$45, AT68*(1+AF82), IF(AU67=Assumptions!$K$45, Assumptions!$D$45, 0))</f>
        <v>1587.3499756674264</v>
      </c>
      <c r="AV68" s="391">
        <f ca="1">IF(AV67&gt;Assumptions!$K$45, AU68*(1+AG82), IF(AV67=Assumptions!$K$45, Assumptions!$D$45, 0))</f>
        <v>1642.3136422701109</v>
      </c>
      <c r="AW68" s="391">
        <f ca="1">IF(AW67&gt;Assumptions!$K$45, AV68*(1+AH82), IF(AW67=Assumptions!$K$45, Assumptions!$D$45, 0))</f>
        <v>1705.7145085900438</v>
      </c>
      <c r="AX68" s="391">
        <f ca="1">IF(AX67&gt;Assumptions!$K$45, AW68*(1+AI82), IF(AX67=Assumptions!$K$45, Assumptions!$D$45, 0))</f>
        <v>1778.3002528126231</v>
      </c>
      <c r="AY68" s="391">
        <f ca="1">IF(AY67&gt;Assumptions!$K$45, AX68*(1+AJ82), IF(AY67=Assumptions!$K$45, Assumptions!$D$45, 0))</f>
        <v>1860.9566074258448</v>
      </c>
      <c r="AZ68" s="391">
        <f ca="1">IF(AZ67&gt;Assumptions!$K$45, AY68*(1+AK82), IF(AZ67=Assumptions!$K$45, Assumptions!$D$45, 0))</f>
        <v>1952.4881842189175</v>
      </c>
    </row>
    <row r="69" spans="2:52">
      <c r="B69" s="383" t="s">
        <v>332</v>
      </c>
      <c r="C69" s="385">
        <f>IF(C$67=Assumptions!$H$46, Assumptions!$P46, 0)</f>
        <v>0</v>
      </c>
      <c r="D69" s="385">
        <f>IF(D67&gt;Assumptions!$H$45, C69*(1+C63), IF(D67=Assumptions!$H$45, Assumptions!$P$46, 0))</f>
        <v>0</v>
      </c>
      <c r="E69" s="385">
        <f>IF(E67&gt;Assumptions!$H$45, D69*(1+D63), IF(E67=Assumptions!$H$45, Assumptions!$P$46, 0))</f>
        <v>0</v>
      </c>
      <c r="F69" s="385">
        <f>IF(F67&gt;Assumptions!$H$45, E69*(1+E63), IF(F67=Assumptions!$H$45, Assumptions!$P$46, 0))</f>
        <v>7000</v>
      </c>
      <c r="G69" s="385">
        <f>IF(G67&gt;Assumptions!$H$45, F69*(1+F63), IF(G67=Assumptions!$H$45, Assumptions!$P$46, 0))</f>
        <v>7220.5000000000009</v>
      </c>
      <c r="H69" s="385">
        <f>IF(H67&gt;Assumptions!$H$45, G69*(1+G63), IF(H67=Assumptions!$H$45, Assumptions!$P$46, 0))</f>
        <v>7447.9457500000017</v>
      </c>
      <c r="I69" s="385">
        <f>IF(I67&gt;Assumptions!$H$45, H69*(1+H63), IF(I67=Assumptions!$H$45, Assumptions!$P$46, 0))</f>
        <v>7682.5560411250026</v>
      </c>
      <c r="J69" s="385">
        <f>IF(J67&gt;Assumptions!$H$45, I69*(1+I63), IF(J67=Assumptions!$H$45, Assumptions!$P$46, 0))</f>
        <v>7924.5565564204408</v>
      </c>
      <c r="K69" s="385">
        <f>IF(K67&gt;Assumptions!$H$45, J69*(1+J63), IF(K67=Assumptions!$H$45, Assumptions!$P$46, 0))</f>
        <v>8174.180087947685</v>
      </c>
      <c r="L69" s="385">
        <f>IF(L67&gt;Assumptions!$H$45, K69*(1+K63), IF(L67=Assumptions!$H$45, Assumptions!$P$46, 0))</f>
        <v>8431.666760718037</v>
      </c>
      <c r="M69" s="383"/>
      <c r="N69" s="383"/>
      <c r="O69" s="383"/>
      <c r="P69" s="383" t="s">
        <v>332</v>
      </c>
      <c r="Q69" s="386">
        <f>IF(Q$67=Assumptions!$H$46, Assumptions!$D46, 0)</f>
        <v>0</v>
      </c>
      <c r="R69" s="386">
        <f>IF(R67&gt;Assumptions!$H$45, Q69*(1+C83), IF(R67=Assumptions!$H$45, Assumptions!$D$46, 0))</f>
        <v>0</v>
      </c>
      <c r="S69" s="386">
        <f>IF(S67&gt;Assumptions!$H$45, R69*(1+D83), IF(S67=Assumptions!$H$45, Assumptions!$D$46, 0))</f>
        <v>0</v>
      </c>
      <c r="T69" s="386">
        <f>IF(T67&gt;Assumptions!$H$45, S69*(1+E83), IF(T67=Assumptions!$H$45, Assumptions!$D$46, 0))</f>
        <v>1000</v>
      </c>
      <c r="U69" s="386">
        <f ca="1">IF(U67&gt;Assumptions!$H$45, T69*(1+F83), IF(U67=Assumptions!$H$45, Assumptions!$D$46, 0))</f>
        <v>1100.82291599827</v>
      </c>
      <c r="V69" s="386">
        <f ca="1">IF(V67&gt;Assumptions!$H$45, U69*(1+G83), IF(V67=Assumptions!$H$45, Assumptions!$D$46, 0))</f>
        <v>1215.0610679950016</v>
      </c>
      <c r="W69" s="386">
        <f ca="1">IF(W67&gt;Assumptions!$H$45, V69*(1+H83), IF(W67=Assumptions!$H$45, Assumptions!$D$46, 0))</f>
        <v>1345.6150902754343</v>
      </c>
      <c r="X69" s="386">
        <f ca="1">IF(X67&gt;Assumptions!$H$45, W69*(1+I83), IF(X67=Assumptions!$H$45, Assumptions!$D$46, 0))</f>
        <v>1494.7349135658712</v>
      </c>
      <c r="Y69" s="386">
        <f ca="1">IF(Y67&gt;Assumptions!$H$45, X69*(1+J83), IF(Y67=Assumptions!$H$45, Assumptions!$D$46, 0))</f>
        <v>1666.1652869019508</v>
      </c>
      <c r="Z69" s="386">
        <f ca="1">IF(Z67&gt;Assumptions!$H$45, Y69*(1+K83), IF(Z67=Assumptions!$H$45, Assumptions!$D$46, 0))</f>
        <v>1861.9398123065648</v>
      </c>
      <c r="AA69" s="402"/>
      <c r="AB69" s="388" t="s">
        <v>332</v>
      </c>
      <c r="AC69" s="390">
        <f>IF(AC67=Assumptions!$K$46, Assumptions!$P$46, 0)</f>
        <v>0</v>
      </c>
      <c r="AD69" s="390">
        <f>IF(AD67&gt;Assumptions!$K$46, AC69*(1+AC63), IF(AD67=Assumptions!$J$46, Assumptions!$P$46, 0))</f>
        <v>0</v>
      </c>
      <c r="AE69" s="390">
        <f>IF(AE67&gt;Assumptions!$K$46, AD69*(1+AD63), IF(AE67=Assumptions!$J$46, Assumptions!$P$46, 0))</f>
        <v>0</v>
      </c>
      <c r="AF69" s="390">
        <f>IF(AF67&gt;Assumptions!$K$46, AE69*(1+AE63), IF(AF67=Assumptions!$J$46, Assumptions!$P$46, 0))</f>
        <v>7000</v>
      </c>
      <c r="AG69" s="390">
        <f>IF(AG67&gt;Assumptions!$K$46, AF69*(1+AF63), IF(AG67=Assumptions!$J$46, Assumptions!$P$46, 0))</f>
        <v>7700.0000000000009</v>
      </c>
      <c r="AH69" s="390">
        <f>IF(AH67&gt;Assumptions!$K$46, AG69*(1+AG63), IF(AH67=Assumptions!$J$46, Assumptions!$P$46, 0))</f>
        <v>8470.0000000000018</v>
      </c>
      <c r="AI69" s="390">
        <f>IF(AI67&gt;Assumptions!$K$46, AH69*(1+AH63), IF(AI67=Assumptions!$J$46, Assumptions!$P$46, 0))</f>
        <v>9317.0000000000036</v>
      </c>
      <c r="AJ69" s="390">
        <f>IF(AJ67&gt;Assumptions!$K$46, AI69*(1+AI63), IF(AJ67=Assumptions!$J$46, Assumptions!$P$46, 0))</f>
        <v>10248.700000000004</v>
      </c>
      <c r="AK69" s="390">
        <f>IF(AK67&gt;Assumptions!$K$46, AJ69*(1+AJ63), IF(AK67=Assumptions!$J$46, Assumptions!$P$46, 0))</f>
        <v>11273.570000000005</v>
      </c>
      <c r="AL69" s="390">
        <f>IF(AL67&gt;Assumptions!$K$46, AK69*(1+AK63), IF(AL67=Assumptions!$J$46, Assumptions!$P$46, 0))</f>
        <v>12400.927000000007</v>
      </c>
      <c r="AM69" s="388"/>
      <c r="AN69" s="388"/>
      <c r="AO69" s="388"/>
      <c r="AP69" s="388" t="s">
        <v>332</v>
      </c>
      <c r="AQ69" s="391">
        <f>IF(AQ67=Assumptions!$K$46, Assumptions!$D$46, 0)</f>
        <v>0</v>
      </c>
      <c r="AR69" s="391">
        <f>IF(AR67&gt;Assumptions!$K$46, AQ69*(1+AC83), IF(AR67=Assumptions!$K$46, Assumptions!$D$46, 0))</f>
        <v>0</v>
      </c>
      <c r="AS69" s="391">
        <f>IF(AS67&gt;Assumptions!$K$46, AR69*(1+AD83), IF(AS67=Assumptions!$K$46, Assumptions!$D$46, 0))</f>
        <v>0</v>
      </c>
      <c r="AT69" s="391">
        <f>IF(AT67&gt;Assumptions!$K$46, AS69*(1+AE83), IF(AT67=Assumptions!$K$46, Assumptions!$D$46, 0))</f>
        <v>1000</v>
      </c>
      <c r="AU69" s="391">
        <f ca="1">IF(AU67&gt;Assumptions!$K$46, AT69*(1+AF83), IF(AU67=Assumptions!$K$46, Assumptions!$D$46, 0))</f>
        <v>1050.2199516551325</v>
      </c>
      <c r="AV69" s="391">
        <f ca="1">IF(AV67&gt;Assumptions!$K$46, AU69*(1+AG83), IF(AV67=Assumptions!$K$46, Assumptions!$D$46, 0))</f>
        <v>1107.1504916605181</v>
      </c>
      <c r="AW69" s="391">
        <f ca="1">IF(AW67&gt;Assumptions!$K$46, AV69*(1+AH83), IF(AW67=Assumptions!$K$46, Assumptions!$D$46, 0))</f>
        <v>1170.5309996287599</v>
      </c>
      <c r="AX69" s="391">
        <f ca="1">IF(AX67&gt;Assumptions!$K$46, AW69*(1+AI83), IF(AX67=Assumptions!$K$46, Assumptions!$D$46, 0))</f>
        <v>1242.2095495379856</v>
      </c>
      <c r="AY69" s="391">
        <f ca="1">IF(AY67&gt;Assumptions!$K$46, AX69*(1+AJ83), IF(AY67=Assumptions!$K$46, Assumptions!$D$46, 0))</f>
        <v>1323.1460084382654</v>
      </c>
      <c r="AZ69" s="391">
        <f ca="1">IF(AZ67&gt;Assumptions!$K$46, AY69*(1+AK83), IF(AZ67=Assumptions!$K$46, Assumptions!$D$46, 0))</f>
        <v>1414.5944349484305</v>
      </c>
    </row>
    <row r="70" spans="2:52">
      <c r="B70" s="383" t="s">
        <v>282</v>
      </c>
      <c r="C70" s="385">
        <f>IF(C$67=Assumptions!$I$47, Assumptions!$P47, 0)</f>
        <v>0</v>
      </c>
      <c r="D70" s="385">
        <f>IF(D67&gt;Assumptions!$H$47, C70*(1+C63), IF(D67=Assumptions!$H$47, Assumptions!$P$45, 0))</f>
        <v>0</v>
      </c>
      <c r="E70" s="385">
        <f>IF(E67&gt;Assumptions!$H$47, D70*(1+D63), IF(E67=Assumptions!$H$47, Assumptions!$P$45, 0))</f>
        <v>0</v>
      </c>
      <c r="F70" s="385">
        <f>IF(F67&gt;Assumptions!$H$47, E70*(1+E63), IF(F67=Assumptions!$H$47, Assumptions!$P$45, 0))</f>
        <v>5000</v>
      </c>
      <c r="G70" s="385">
        <f>IF(G67&gt;Assumptions!$H$47, F70*(1+F63), IF(G67=Assumptions!$H$47, Assumptions!$P$45, 0))</f>
        <v>5157.5</v>
      </c>
      <c r="H70" s="385">
        <f>IF(H67&gt;Assumptions!$H$47, G70*(1+G63), IF(H67=Assumptions!$H$47, Assumptions!$P$45, 0))</f>
        <v>5319.9612500000003</v>
      </c>
      <c r="I70" s="385">
        <f>IF(I67&gt;Assumptions!$H$47, H70*(1+H63), IF(I67=Assumptions!$H$47, Assumptions!$P$45, 0))</f>
        <v>5487.5400293750008</v>
      </c>
      <c r="J70" s="385">
        <f>IF(J67&gt;Assumptions!$H$47, I70*(1+I63), IF(J67=Assumptions!$H$47, Assumptions!$P$45, 0))</f>
        <v>5660.3975403003142</v>
      </c>
      <c r="K70" s="385">
        <f>IF(K67&gt;Assumptions!$H$47, J70*(1+J63), IF(K67=Assumptions!$H$47, Assumptions!$P$45, 0))</f>
        <v>5838.7000628197748</v>
      </c>
      <c r="L70" s="385">
        <f>IF(L67&gt;Assumptions!$H$47, K70*(1+K63), IF(L67=Assumptions!$H$47, Assumptions!$P$45, 0))</f>
        <v>6022.6191147985983</v>
      </c>
      <c r="M70" s="383"/>
      <c r="N70" s="383"/>
      <c r="O70" s="383"/>
      <c r="P70" s="383" t="s">
        <v>282</v>
      </c>
      <c r="Q70" s="386">
        <f>IF(Q$67=Assumptions!$H$47, Assumptions!$D47, 0)</f>
        <v>0</v>
      </c>
      <c r="R70" s="386">
        <f>IF(R67&gt;Assumptions!$H$47, Q70*(1+C84), IF(R67=Assumptions!$H$47, Assumptions!$D$47, 0))</f>
        <v>0</v>
      </c>
      <c r="S70" s="386">
        <f>IF(S67&gt;Assumptions!$H$47, R70*(1+D84), IF(S67=Assumptions!$H$47, Assumptions!$D$47, 0))</f>
        <v>0</v>
      </c>
      <c r="T70" s="386">
        <f>IF(T67&gt;Assumptions!$H$47, S70*(1+E84), IF(T67=Assumptions!$H$47, Assumptions!$D$47, 0))</f>
        <v>1270</v>
      </c>
      <c r="U70" s="386">
        <f ca="1">IF(U67&gt;Assumptions!$H$47, T70*(1+F84), IF(U67=Assumptions!$H$47, Assumptions!$D$47, 0))</f>
        <v>1310.1051905568047</v>
      </c>
      <c r="V70" s="386">
        <f ca="1">IF(V67&gt;Assumptions!$H$47, U70*(1+G84), IF(V67=Assumptions!$H$47, Assumptions!$D$47, 0))</f>
        <v>1356.1576685412915</v>
      </c>
      <c r="W70" s="386">
        <f ca="1">IF(W67&gt;Assumptions!$H$47, V70*(1+H84), IF(W67=Assumptions!$H$47, Assumptions!$D$47, 0))</f>
        <v>1409.2144485995916</v>
      </c>
      <c r="X70" s="386">
        <f ca="1">IF(X67&gt;Assumptions!$H$47, W70*(1+I84), IF(X67=Assumptions!$H$47, Assumptions!$D$47, 0))</f>
        <v>1469.9241219457524</v>
      </c>
      <c r="Y70" s="386">
        <f ca="1">IF(Y67&gt;Assumptions!$H$47, X70*(1+J84), IF(Y67=Assumptions!$H$47, Assumptions!$D$47, 0))</f>
        <v>1538.2166778562291</v>
      </c>
      <c r="Z70" s="386">
        <f ca="1">IF(Z67&gt;Assumptions!$H$47, Y70*(1+K84), IF(Z67=Assumptions!$H$47, Assumptions!$D$47, 0))</f>
        <v>1615.7824471372892</v>
      </c>
      <c r="AA70" s="402"/>
      <c r="AB70" s="388" t="s">
        <v>282</v>
      </c>
      <c r="AC70" s="390">
        <f>IF(AC67=Assumptions!$K$47, Assumptions!$P$47, 0)</f>
        <v>0</v>
      </c>
      <c r="AD70" s="390">
        <f>IF(AD67&gt;Assumptions!$K$47, AC70*(1+AC63), IF(AD67=Assumptions!$K$47, Assumptions!$P$45, 0))</f>
        <v>0</v>
      </c>
      <c r="AE70" s="390">
        <f>IF(AE67&gt;Assumptions!$K$47, AD70*(1+AD63), IF(AE67=Assumptions!$K$47, Assumptions!$P$45, 0))</f>
        <v>0</v>
      </c>
      <c r="AF70" s="390">
        <f>IF(AF67&gt;Assumptions!$K$47, AE70*(1+AE63), IF(AF67=Assumptions!$K$47, Assumptions!$P$45, 0))</f>
        <v>5000</v>
      </c>
      <c r="AG70" s="390">
        <f>IF(AG67&gt;Assumptions!$K$47, AF70*(1+AF63), IF(AG67=Assumptions!$K$47, Assumptions!$P$45, 0))</f>
        <v>5500</v>
      </c>
      <c r="AH70" s="390">
        <f>IF(AH67&gt;Assumptions!$K$47, AG70*(1+AG63), IF(AH67=Assumptions!$K$47, Assumptions!$P$45, 0))</f>
        <v>6050.0000000000009</v>
      </c>
      <c r="AI70" s="390">
        <f>IF(AI67&gt;Assumptions!$K$47, AH70*(1+AH63), IF(AI67=Assumptions!$K$47, Assumptions!$P$45, 0))</f>
        <v>6655.0000000000018</v>
      </c>
      <c r="AJ70" s="390">
        <f>IF(AJ67&gt;Assumptions!$K$47, AI70*(1+AI63), IF(AJ67=Assumptions!$K$47, Assumptions!$P$45, 0))</f>
        <v>7320.5000000000027</v>
      </c>
      <c r="AK70" s="390">
        <f>IF(AK67&gt;Assumptions!$K$47, AJ70*(1+AJ63), IF(AK67=Assumptions!$K$47, Assumptions!$P$45, 0))</f>
        <v>8052.5500000000038</v>
      </c>
      <c r="AL70" s="390">
        <f>IF(AL67&gt;Assumptions!$K$47, AK70*(1+AK63), IF(AL67=Assumptions!$K$47, Assumptions!$P$45, 0))</f>
        <v>8857.8050000000057</v>
      </c>
      <c r="AM70" s="388"/>
      <c r="AN70" s="388"/>
      <c r="AO70" s="388"/>
      <c r="AP70" s="388" t="s">
        <v>282</v>
      </c>
      <c r="AQ70" s="391">
        <f>IF(AQ67=Assumptions!$K$47, Assumptions!$D$47, 0)</f>
        <v>0</v>
      </c>
      <c r="AR70" s="391">
        <f>IF(AR67&gt;Assumptions!$K$47, AQ70*(1+AC84), IF(AR67=Assumptions!$K$47, Assumptions!$D$47, 0))</f>
        <v>0</v>
      </c>
      <c r="AS70" s="391">
        <f>IF(AS67&gt;Assumptions!$K$47, AR70*(1+AD84), IF(AS67=Assumptions!$K$47, Assumptions!$D$47, 0))</f>
        <v>0</v>
      </c>
      <c r="AT70" s="391">
        <f>IF(AT67&gt;Assumptions!$K$47, AS70*(1+AE84), IF(AT67=Assumptions!$K$47, Assumptions!$D$47, 0))</f>
        <v>1270</v>
      </c>
      <c r="AU70" s="391">
        <f ca="1">IF(AU67&gt;Assumptions!$K$47, AT70*(1+AF84), IF(AU67=Assumptions!$K$47, Assumptions!$D$47, 0))</f>
        <v>1319.4868064493214</v>
      </c>
      <c r="AV70" s="391">
        <f ca="1">IF(AV67&gt;Assumptions!$K$47, AU70*(1+AG84), IF(AV67=Assumptions!$K$47, Assumptions!$D$47, 0))</f>
        <v>1374.1267845996163</v>
      </c>
      <c r="AW70" s="391">
        <f ca="1">IF(AW67&gt;Assumptions!$K$47, AV70*(1+AH84), IF(AW67=Assumptions!$K$47, Assumptions!$D$47, 0))</f>
        <v>1435.0695558645893</v>
      </c>
      <c r="AX70" s="391">
        <f ca="1">IF(AX67&gt;Assumptions!$K$47, AW70*(1+AI84), IF(AX67=Assumptions!$K$47, Assumptions!$D$47, 0))</f>
        <v>1504.370482503396</v>
      </c>
      <c r="AY70" s="391">
        <f ca="1">IF(AY67&gt;Assumptions!$K$47, AX70*(1+AJ84), IF(AY67=Assumptions!$K$47, Assumptions!$D$47, 0))</f>
        <v>1583.019285797722</v>
      </c>
      <c r="AZ70" s="391">
        <f ca="1">IF(AZ67&gt;Assumptions!$K$47, AY70*(1+AK84), IF(AZ67=Assumptions!$K$47, Assumptions!$D$47, 0))</f>
        <v>1671.4265547496721</v>
      </c>
    </row>
    <row r="71" spans="2:52">
      <c r="B71" s="383" t="s">
        <v>333</v>
      </c>
      <c r="C71" s="385">
        <f>IF(C$67=Assumptions!$H48, Assumptions!$P$48, 0)</f>
        <v>0</v>
      </c>
      <c r="D71" s="385">
        <f>IF(D67&gt;Assumptions!$H$48, C71*(1+C63), IF(D67=Assumptions!$H$48, Assumptions!$P$48, 0))</f>
        <v>0</v>
      </c>
      <c r="E71" s="385">
        <f>IF(E67&gt;Assumptions!$H$48, D71*(1+D63), IF(E67=Assumptions!$H$48, Assumptions!$P$48, 0))</f>
        <v>0</v>
      </c>
      <c r="F71" s="385">
        <f>IF(F67&gt;Assumptions!$H$48, E71*(1+E63), IF(F67=Assumptions!$H$48, Assumptions!$P$48, 0))</f>
        <v>0</v>
      </c>
      <c r="G71" s="385">
        <f>IF(G67&gt;Assumptions!$H$48, F71*(1+F63), IF(G67=Assumptions!$H$48, Assumptions!$P$48, 0))</f>
        <v>9500</v>
      </c>
      <c r="H71" s="385">
        <f>IF(H67&gt;Assumptions!$H$48, G71*(1+G63), IF(H67=Assumptions!$H$48, Assumptions!$P$48, 0))</f>
        <v>9799.25</v>
      </c>
      <c r="I71" s="385">
        <f>IF(I67&gt;Assumptions!$H$48, H71*(1+H63), IF(I67=Assumptions!$H$48, Assumptions!$P$48, 0))</f>
        <v>10107.926375000001</v>
      </c>
      <c r="J71" s="385">
        <f>IF(J67&gt;Assumptions!$H$48, I71*(1+I63), IF(J67=Assumptions!$H$48, Assumptions!$P$48, 0))</f>
        <v>10426.326055812502</v>
      </c>
      <c r="K71" s="385">
        <f>IF(K67&gt;Assumptions!$H$48, J71*(1+J63), IF(K67=Assumptions!$H$48, Assumptions!$P$48, 0))</f>
        <v>10754.755326570597</v>
      </c>
      <c r="L71" s="385">
        <f>IF(L67&gt;Assumptions!$H$48, K71*(1+K63), IF(L67=Assumptions!$H$48, Assumptions!$P$48, 0))</f>
        <v>11093.530119357572</v>
      </c>
      <c r="M71" s="383"/>
      <c r="N71" s="383"/>
      <c r="O71" s="383"/>
      <c r="P71" s="383" t="s">
        <v>333</v>
      </c>
      <c r="Q71" s="386">
        <f>IF(Q$67=Assumptions!$H$48, Assumptions!$D48, 0)</f>
        <v>0</v>
      </c>
      <c r="R71" s="386">
        <f>IF(R67&gt;Assumptions!$H$48, Q71*(1+C85), IF(R67=Assumptions!$H$48, Assumptions!$D$48, 0))</f>
        <v>0</v>
      </c>
      <c r="S71" s="386">
        <f>IF(S67&gt;Assumptions!$H$48, R71*(1+D85), IF(S67=Assumptions!$H$48, Assumptions!$D$48, 0))</f>
        <v>0</v>
      </c>
      <c r="T71" s="386">
        <f>IF(T67&gt;Assumptions!$H$48, S71*(1+E85), IF(T67=Assumptions!$H$48, Assumptions!$D$48, 0))</f>
        <v>0</v>
      </c>
      <c r="U71" s="386">
        <f>IF(U67&gt;Assumptions!$H$48, T71*(1+F85), IF(U67=Assumptions!$H$48, Assumptions!$D$48, 0))</f>
        <v>635</v>
      </c>
      <c r="V71" s="386">
        <f ca="1">IF(V67&gt;Assumptions!$H$48, U71*(1+G85), IF(V67=Assumptions!$H$48, Assumptions!$D$48, 0))</f>
        <v>668.00648286814442</v>
      </c>
      <c r="W71" s="386">
        <f ca="1">IF(W67&gt;Assumptions!$H$48, V71*(1+H85), IF(W67=Assumptions!$H$48, Assumptions!$D$48, 0))</f>
        <v>704.59153779199596</v>
      </c>
      <c r="X71" s="386">
        <f ca="1">IF(X67&gt;Assumptions!$H$48, W71*(1+I85), IF(X67=Assumptions!$H$48, Assumptions!$D$48, 0))</f>
        <v>745.35171079255895</v>
      </c>
      <c r="Y71" s="386">
        <f ca="1">IF(Y67&gt;Assumptions!$H$48, X71*(1+J85), IF(Y67=Assumptions!$H$48, Assumptions!$D$48, 0))</f>
        <v>790.86630909575774</v>
      </c>
      <c r="Z71" s="386">
        <f ca="1">IF(Z67&gt;Assumptions!$H$48, Y71*(1+K85), IF(Z67=Assumptions!$H$48, Assumptions!$D$48, 0))</f>
        <v>842.11221091638379</v>
      </c>
      <c r="AA71" s="402"/>
      <c r="AB71" s="388" t="s">
        <v>333</v>
      </c>
      <c r="AC71" s="390">
        <f>IF(AC67=Assumptions!$K$48, Assumptions!$P$48, 0)</f>
        <v>0</v>
      </c>
      <c r="AD71" s="390">
        <f>IF(AD67&gt;Assumptions!$K$48, AC71*(1+AC63), IF(AD67=Assumptions!$K$48, Assumptions!$P$48, 0))</f>
        <v>0</v>
      </c>
      <c r="AE71" s="390">
        <f>IF(AE67&gt;Assumptions!$K$48, AD71*(1+AD63), IF(AE67=Assumptions!$K$48, Assumptions!$P$48, 0))</f>
        <v>0</v>
      </c>
      <c r="AF71" s="390">
        <f>IF(AF67&gt;Assumptions!$K$48, AE71*(1+AE63), IF(AF67=Assumptions!$K$48, Assumptions!$P$48, 0))</f>
        <v>0</v>
      </c>
      <c r="AG71" s="390">
        <f>IF(AG67&gt;Assumptions!$K$48, AF71*(1+AF63), IF(AG67=Assumptions!$K$48, Assumptions!$P$48, 0))</f>
        <v>9500</v>
      </c>
      <c r="AH71" s="390">
        <f>IF(AH67&gt;Assumptions!$K$48, AG71*(1+AG63), IF(AH67=Assumptions!$K$48, Assumptions!$P$48, 0))</f>
        <v>10450</v>
      </c>
      <c r="AI71" s="390">
        <f>IF(AI67&gt;Assumptions!$K$48, AH71*(1+AH63), IF(AI67=Assumptions!$K$48, Assumptions!$P$48, 0))</f>
        <v>11495.000000000002</v>
      </c>
      <c r="AJ71" s="390">
        <f>IF(AJ67&gt;Assumptions!$K$48, AI71*(1+AI63), IF(AJ67=Assumptions!$K$48, Assumptions!$P$48, 0))</f>
        <v>12644.500000000004</v>
      </c>
      <c r="AK71" s="390">
        <f>IF(AK67&gt;Assumptions!$K$48, AJ71*(1+AJ63), IF(AK67=Assumptions!$K$48, Assumptions!$P$48, 0))</f>
        <v>13908.950000000004</v>
      </c>
      <c r="AL71" s="390">
        <f>IF(AL67&gt;Assumptions!$K$48, AK71*(1+AK63), IF(AL67=Assumptions!$K$48, Assumptions!$P$48, 0))</f>
        <v>15299.845000000007</v>
      </c>
      <c r="AM71" s="388"/>
      <c r="AN71" s="388"/>
      <c r="AO71" s="388"/>
      <c r="AP71" s="388" t="s">
        <v>333</v>
      </c>
      <c r="AQ71" s="391">
        <f>IF(AQ67=Assumptions!$K$48, Assumptions!$D$48, 0)</f>
        <v>0</v>
      </c>
      <c r="AR71" s="391">
        <f>IF(AR67&gt;Assumptions!$K$48, AQ71*(1+AC85), IF(AR67=Assumptions!$J$48, Assumptions!$D$48, 0))</f>
        <v>0</v>
      </c>
      <c r="AS71" s="391">
        <f>IF(AS67&gt;Assumptions!$K$48, AR71*(1+AD85), IF(AS67=Assumptions!$J$48, Assumptions!$D$48, 0))</f>
        <v>0</v>
      </c>
      <c r="AT71" s="391">
        <f>IF(AT67&gt;Assumptions!$K$48, AS71*(1+AE85), IF(AT67=Assumptions!$J$48, Assumptions!$D$48, 0))</f>
        <v>0</v>
      </c>
      <c r="AU71" s="391">
        <f>IF(AU67&gt;Assumptions!$K$48, AT71*(1+AF85), IF(AU67=Assumptions!$J$48, Assumptions!$D$48, 0))</f>
        <v>635</v>
      </c>
      <c r="AV71" s="391">
        <f ca="1">IF(AV67&gt;Assumptions!$K$48, AU71*(1+AG85), IF(AV67=Assumptions!$J$48, Assumptions!$D$48, 0))</f>
        <v>668.4340329070692</v>
      </c>
      <c r="AW71" s="391">
        <f ca="1">IF(AW67&gt;Assumptions!$K$48, AV71*(1+AH85), IF(AW67=Assumptions!$J$48, Assumptions!$D$48, 0))</f>
        <v>706.00831389685106</v>
      </c>
      <c r="AX71" s="391">
        <f ca="1">IF(AX67&gt;Assumptions!$K$48, AW71*(1+AI85), IF(AX67=Assumptions!$J$48, Assumptions!$D$48, 0))</f>
        <v>748.26898709270108</v>
      </c>
      <c r="AY71" s="391">
        <f ca="1">IF(AY67&gt;Assumptions!$K$48, AX71*(1+AJ85), IF(AY67=Assumptions!$J$48, Assumptions!$D$48, 0))</f>
        <v>795.3213598055745</v>
      </c>
      <c r="AZ71" s="391">
        <f ca="1">IF(AZ67&gt;Assumptions!$K$48, AY71*(1+AK85), IF(AZ67=Assumptions!$J$48, Assumptions!$D$48, 0))</f>
        <v>848.34181877735602</v>
      </c>
    </row>
    <row r="72" spans="2:52">
      <c r="B72" s="383" t="s">
        <v>290</v>
      </c>
      <c r="C72" s="385">
        <f>IF(C$67=Assumptions!$H$49, Assumptions!$P$49, 0)</f>
        <v>0</v>
      </c>
      <c r="D72" s="385">
        <f>IF(D67&gt;Assumptions!$H$49, C72*(1+C63), IF(D67=Assumptions!$H$49, Assumptions!$P$49, 0))</f>
        <v>0</v>
      </c>
      <c r="E72" s="385">
        <f>IF(E67&gt;Assumptions!$H$49, D72*(1+D63), IF(E67=Assumptions!$H$49, Assumptions!$P$49, 0))</f>
        <v>0</v>
      </c>
      <c r="F72" s="385">
        <f>IF(F67&gt;Assumptions!$H$49, E72*(1+E63), IF(F67=Assumptions!$H$49, Assumptions!$P$49, 0))</f>
        <v>0</v>
      </c>
      <c r="G72" s="385">
        <f>IF(G67&gt;Assumptions!$H$49, F72*(1+F63), IF(G67=Assumptions!$H$49, Assumptions!$P$49, 0))</f>
        <v>0</v>
      </c>
      <c r="H72" s="385">
        <f>IF(H67&gt;Assumptions!$H$49, G72*(1+G63), IF(H67=Assumptions!$H$49, Assumptions!$P$49, 0))</f>
        <v>10000</v>
      </c>
      <c r="I72" s="385">
        <f>IF(I67&gt;Assumptions!$H$49, H72*(1+H63), IF(I67=Assumptions!$H$49, Assumptions!$P$49, 0))</f>
        <v>10315</v>
      </c>
      <c r="J72" s="385">
        <f>IF(J67&gt;Assumptions!$H$49, I72*(1+I63), IF(J67=Assumptions!$H$49, Assumptions!$P$49, 0))</f>
        <v>10639.922500000001</v>
      </c>
      <c r="K72" s="385">
        <f>IF(K67&gt;Assumptions!$H$49, J72*(1+J63), IF(K67=Assumptions!$H$49, Assumptions!$P$49, 0))</f>
        <v>10975.080058750002</v>
      </c>
      <c r="L72" s="385">
        <f>IF(L67&gt;Assumptions!$H$49, K72*(1+K63), IF(L67=Assumptions!$H$49, Assumptions!$P$49, 0))</f>
        <v>11320.795080600628</v>
      </c>
      <c r="M72" s="383"/>
      <c r="N72" s="383"/>
      <c r="O72" s="383"/>
      <c r="P72" s="383" t="s">
        <v>290</v>
      </c>
      <c r="Q72" s="386">
        <f>IF(Q$67=Assumptions!$H$49, Assumptions!$D49, 0)</f>
        <v>0</v>
      </c>
      <c r="R72" s="386">
        <f>IF(R67&gt;Assumptions!$H$49, Q72*(1+C86), IF(R67=Assumptions!$H$49, Assumptions!$D$49, 0))</f>
        <v>0</v>
      </c>
      <c r="S72" s="386">
        <f>IF(S67&gt;Assumptions!$H$49, R72*(1+D86), IF(S67=Assumptions!$H$49, Assumptions!$D$49, 0))</f>
        <v>0</v>
      </c>
      <c r="T72" s="386">
        <f>IF(T67&gt;Assumptions!$H$49, S72*(1+E86), IF(T67=Assumptions!$H$49, Assumptions!$D$49, 0))</f>
        <v>0</v>
      </c>
      <c r="U72" s="386">
        <f>IF(U67&gt;Assumptions!$H$49, T72*(1+F86), IF(U67=Assumptions!$H$49, Assumptions!$D$49, 0))</f>
        <v>0</v>
      </c>
      <c r="V72" s="386">
        <f>IF(V67&gt;Assumptions!$H$49, U72*(1+G86), IF(V67=Assumptions!$H$49, Assumptions!$D$49, 0))</f>
        <v>318</v>
      </c>
      <c r="W72" s="386">
        <f ca="1">IF(W67&gt;Assumptions!$H$49, V72*(1+H86), IF(W67=Assumptions!$H$49, Assumptions!$D$49, 0))</f>
        <v>336.27647678613528</v>
      </c>
      <c r="X72" s="386">
        <f ca="1">IF(X67&gt;Assumptions!$H$49, W72*(1+I86), IF(X67=Assumptions!$H$49, Assumptions!$D$49, 0))</f>
        <v>356.81824945828737</v>
      </c>
      <c r="Y72" s="386">
        <f ca="1">IF(Y67&gt;Assumptions!$H$49, X72*(1+J86), IF(Y67=Assumptions!$H$49, Assumptions!$D$49, 0))</f>
        <v>379.57621929495679</v>
      </c>
      <c r="Z72" s="386">
        <f ca="1">IF(Z67&gt;Assumptions!$H$49, Y72*(1+K86), IF(Z67=Assumptions!$H$49, Assumptions!$D$49, 0))</f>
        <v>405.00004561251399</v>
      </c>
      <c r="AA72" s="402"/>
      <c r="AB72" s="388" t="s">
        <v>290</v>
      </c>
      <c r="AC72" s="390">
        <f>IF(AC67=Assumptions!$K$49, Assumptions!$P$49, 0)</f>
        <v>0</v>
      </c>
      <c r="AD72" s="390">
        <f>IF(AD67&gt;Assumptions!$K$49, AC72*(1+AC63), IF(AD67=Assumptions!$K$49, Assumptions!$P$49, 0))</f>
        <v>0</v>
      </c>
      <c r="AE72" s="390">
        <f>IF(AE67&gt;Assumptions!$K$49, AD72*(1+AD63), IF(AE67=Assumptions!$K$49, Assumptions!$P$49, 0))</f>
        <v>0</v>
      </c>
      <c r="AF72" s="390">
        <f>IF(AF67&gt;Assumptions!$K$49, AE72*(1+AE63), IF(AF67=Assumptions!$K$49, Assumptions!$P$49, 0))</f>
        <v>0</v>
      </c>
      <c r="AG72" s="390">
        <f>IF(AG67&gt;Assumptions!$K$49, AF72*(1+AF63), IF(AG67=Assumptions!$K$49, Assumptions!$P$49, 0))</f>
        <v>0</v>
      </c>
      <c r="AH72" s="390">
        <f>IF(AH67&gt;Assumptions!$K$49, AG72*(1+AG63), IF(AH67=Assumptions!$K$49, Assumptions!$P$49, 0))</f>
        <v>10000</v>
      </c>
      <c r="AI72" s="390">
        <f>IF(AI67&gt;Assumptions!$K$49, AH72*(1+AH63), IF(AI67=Assumptions!$K$49, Assumptions!$P$49, 0))</f>
        <v>11000</v>
      </c>
      <c r="AJ72" s="390">
        <f>IF(AJ67&gt;Assumptions!$K$49, AI72*(1+AI63), IF(AJ67=Assumptions!$K$49, Assumptions!$P$49, 0))</f>
        <v>12100.000000000002</v>
      </c>
      <c r="AK72" s="390">
        <f>IF(AK67&gt;Assumptions!$K$49, AJ72*(1+AJ63), IF(AK67=Assumptions!$K$49, Assumptions!$P$49, 0))</f>
        <v>13310.000000000004</v>
      </c>
      <c r="AL72" s="390">
        <f>IF(AL67&gt;Assumptions!$K$49, AK72*(1+AK63), IF(AL67=Assumptions!$K$49, Assumptions!$P$49, 0))</f>
        <v>14641.000000000005</v>
      </c>
      <c r="AM72" s="388"/>
      <c r="AN72" s="388"/>
      <c r="AO72" s="388"/>
      <c r="AP72" s="388" t="s">
        <v>290</v>
      </c>
      <c r="AQ72" s="391">
        <f>IF(AQ67=Assumptions!$K$49, Assumptions!$D$49, 0)</f>
        <v>0</v>
      </c>
      <c r="AR72" s="391">
        <f>IF(AR67&gt;Assumptions!$K$49, AQ72*(1+AC86), IF(AR67=Assumptions!$K$49, Assumptions!$D$49, 0))</f>
        <v>0</v>
      </c>
      <c r="AS72" s="391">
        <f>IF(AS67&gt;Assumptions!$K$49, AR72*(1+AD86), IF(AS67=Assumptions!$K$49, Assumptions!$D$49, 0))</f>
        <v>0</v>
      </c>
      <c r="AT72" s="391">
        <f>IF(AT67&gt;Assumptions!$K$49, AS72*(1+AE86), IF(AT67=Assumptions!$K$49, Assumptions!$D$49, 0))</f>
        <v>0</v>
      </c>
      <c r="AU72" s="391">
        <f>IF(AU67&gt;Assumptions!$K$49, AT72*(1+AF86), IF(AU67=Assumptions!$K$49, Assumptions!$D$49, 0))</f>
        <v>0</v>
      </c>
      <c r="AV72" s="391">
        <f>IF(AV67&gt;Assumptions!$K$49, AU72*(1+AG86), IF(AV67=Assumptions!$K$49, Assumptions!$D$49, 0))</f>
        <v>318</v>
      </c>
      <c r="AW72" s="391">
        <f ca="1">IF(AW67&gt;Assumptions!$K$49, AV72*(1+AH86), IF(AW67=Assumptions!$K$49, Assumptions!$D$49, 0))</f>
        <v>326.26199538742259</v>
      </c>
      <c r="AX72" s="391">
        <f ca="1">IF(AX67&gt;Assumptions!$K$49, AW72*(1+AI86), IF(AX67=Assumptions!$K$49, Assumptions!$D$49, 0))</f>
        <v>335.64378080352952</v>
      </c>
      <c r="AY72" s="391">
        <f ca="1">IF(AY67&gt;Assumptions!$K$49, AX72*(1+AJ86), IF(AY67=Assumptions!$K$49, Assumptions!$D$49, 0))</f>
        <v>346.63166240792276</v>
      </c>
      <c r="AZ72" s="391">
        <f ca="1">IF(AZ67&gt;Assumptions!$K$49, AY72*(1+AK86), IF(AZ67=Assumptions!$K$49, Assumptions!$D$49, 0))</f>
        <v>359.00309217603888</v>
      </c>
    </row>
    <row r="73" spans="2:52">
      <c r="B73" s="383" t="s">
        <v>405</v>
      </c>
      <c r="C73" s="385">
        <f>IF(C$67=Assumptions!$H$50, Assumptions!$P$50, 0)</f>
        <v>0</v>
      </c>
      <c r="D73" s="385">
        <f>IF(D67&gt;Assumptions!$H$50, C73*(1+C63), IF(D67=Assumptions!$H$50, Assumptions!$P$50, 0))</f>
        <v>0</v>
      </c>
      <c r="E73" s="385">
        <f>IF(E67&gt;Assumptions!$H$50, D73*(1+D63), IF(E67=Assumptions!$H$50, Assumptions!$P$50, 0))</f>
        <v>0</v>
      </c>
      <c r="F73" s="385">
        <f>IF(F67&gt;Assumptions!$H$50, E73*(1+E63), IF(F67=Assumptions!$H$50, Assumptions!$P$50, 0))</f>
        <v>1900</v>
      </c>
      <c r="G73" s="385">
        <f>IF(G67&gt;Assumptions!$H$50, F73*(1+F63), IF(G67=Assumptions!$H$50, Assumptions!$P$50, 0))</f>
        <v>1959.8500000000001</v>
      </c>
      <c r="H73" s="385">
        <f>IF(H67&gt;Assumptions!$H$50, G73*(1+G63), IF(H67=Assumptions!$H$50, Assumptions!$P$50, 0))</f>
        <v>2021.5852750000004</v>
      </c>
      <c r="I73" s="385">
        <f>IF(I67&gt;Assumptions!$H$50, H73*(1+H63), IF(I67=Assumptions!$H$50, Assumptions!$P$50, 0))</f>
        <v>2085.2652111625007</v>
      </c>
      <c r="J73" s="385">
        <f>IF(J67&gt;Assumptions!$H$50, I73*(1+I63), IF(J67=Assumptions!$H$50, Assumptions!$P$50, 0))</f>
        <v>2150.9510653141197</v>
      </c>
      <c r="K73" s="385">
        <f>IF(K67&gt;Assumptions!$H$50, J73*(1+J63), IF(K67=Assumptions!$H$50, Assumptions!$P$50, 0))</f>
        <v>2218.7060238715144</v>
      </c>
      <c r="L73" s="385">
        <f>IF(L67&gt;Assumptions!$H$50, K73*(1+K63), IF(L67=Assumptions!$H$50, Assumptions!$P$50, 0))</f>
        <v>2288.5952636234674</v>
      </c>
      <c r="M73" s="383"/>
      <c r="N73" s="383"/>
      <c r="O73" s="383"/>
      <c r="P73" s="383" t="s">
        <v>405</v>
      </c>
      <c r="Q73" s="386">
        <f>IF(Q$67=Assumptions!$H$50, Assumptions!$D50, 0)</f>
        <v>0</v>
      </c>
      <c r="R73" s="386">
        <f>IF(R67&gt;Assumptions!$H$50, Q73*(1+C87), IF(R67=Assumptions!$H$50, Assumptions!$D$50, 0))</f>
        <v>0</v>
      </c>
      <c r="S73" s="386">
        <f>IF(S67&gt;Assumptions!$H$50, R73*(1+D87), IF(S67=Assumptions!$H$50, Assumptions!$D$50, 0))</f>
        <v>0</v>
      </c>
      <c r="T73" s="386">
        <f>IF(T67&gt;Assumptions!$H$50, S73*(1+E87), IF(T67=Assumptions!$H$50, Assumptions!$D$50, 0))</f>
        <v>1900</v>
      </c>
      <c r="U73" s="386">
        <f ca="1">IF(U67&gt;Assumptions!$H$50, T73*(1+F87), IF(U67=Assumptions!$H$50, Assumptions!$D$50, 0))</f>
        <v>1921.5637911475269</v>
      </c>
      <c r="V73" s="386">
        <f ca="1">IF(V67&gt;Assumptions!$H$50, U73*(1+G87), IF(V67=Assumptions!$H$50, Assumptions!$D$50, 0))</f>
        <v>1950.9365870940844</v>
      </c>
      <c r="W73" s="386">
        <f ca="1">IF(W67&gt;Assumptions!$H$50, V73*(1+H87), IF(W67=Assumptions!$H$50, Assumptions!$D$50, 0))</f>
        <v>1987.6761692490732</v>
      </c>
      <c r="X73" s="386">
        <f ca="1">IF(X67&gt;Assumptions!$H$50, W73*(1+I87), IF(X67=Assumptions!$H$50, Assumptions!$D$50, 0))</f>
        <v>2030.9204456944046</v>
      </c>
      <c r="Y73" s="386">
        <f ca="1">IF(Y67&gt;Assumptions!$H$50, X73*(1+J87), IF(Y67=Assumptions!$H$50, Assumptions!$D$50, 0))</f>
        <v>2080.2382576436826</v>
      </c>
      <c r="Z73" s="386">
        <f ca="1">IF(Z67&gt;Assumptions!$H$50, Y73*(1+K87), IF(Z67=Assumptions!$H$50, Assumptions!$D$50, 0))</f>
        <v>2138.3359518957595</v>
      </c>
      <c r="AA73" s="402"/>
      <c r="AB73" s="388" t="s">
        <v>405</v>
      </c>
      <c r="AC73" s="390">
        <f>IF(AC67=Assumptions!$K$50, Assumptions!$P$50, 0)</f>
        <v>0</v>
      </c>
      <c r="AD73" s="390">
        <f>IF(AD67&gt;Assumptions!$K$50, AC73*(1+AC63), IF(AD67=Assumptions!$K$50, Assumptions!$P$50, 0))</f>
        <v>0</v>
      </c>
      <c r="AE73" s="390">
        <f>IF(AE67&gt;Assumptions!$K$50, AD73*(1+AD63), IF(AE67=Assumptions!$K$50, Assumptions!$P$50, 0))</f>
        <v>0</v>
      </c>
      <c r="AF73" s="390">
        <f>IF(AF67&gt;Assumptions!$K$50, AE73*(1+AE63), IF(AF67=Assumptions!$K$50, Assumptions!$P$50, 0))</f>
        <v>1900</v>
      </c>
      <c r="AG73" s="390">
        <f>IF(AG67&gt;Assumptions!$K$50, AF73*(1+AF63), IF(AG67=Assumptions!$K$50, Assumptions!$P$50, 0))</f>
        <v>2090</v>
      </c>
      <c r="AH73" s="390">
        <f>IF(AH67&gt;Assumptions!$K$50, AG73*(1+AG63), IF(AH67=Assumptions!$K$50, Assumptions!$P$50, 0))</f>
        <v>2299</v>
      </c>
      <c r="AI73" s="390">
        <f>IF(AI67&gt;Assumptions!$K$50, AH73*(1+AH63), IF(AI67=Assumptions!$K$50, Assumptions!$P$50, 0))</f>
        <v>2528.9</v>
      </c>
      <c r="AJ73" s="390">
        <f>IF(AJ67&gt;Assumptions!$K$50, AI73*(1+AI63), IF(AJ67=Assumptions!$K$50, Assumptions!$P$50, 0))</f>
        <v>2781.7900000000004</v>
      </c>
      <c r="AK73" s="390">
        <f>IF(AK67&gt;Assumptions!$K$50, AJ73*(1+AJ63), IF(AK67=Assumptions!$K$50, Assumptions!$P$50, 0))</f>
        <v>3059.9690000000005</v>
      </c>
      <c r="AL73" s="390">
        <f>IF(AL67&gt;Assumptions!$K$50, AK73*(1+AK63), IF(AL67=Assumptions!$K$50, Assumptions!$P$50, 0))</f>
        <v>3365.9659000000006</v>
      </c>
      <c r="AM73" s="388"/>
      <c r="AN73" s="388"/>
      <c r="AO73" s="388"/>
      <c r="AP73" s="388" t="s">
        <v>405</v>
      </c>
      <c r="AQ73" s="391">
        <f>IF(AQ67=Assumptions!$K$50, Assumptions!$D$50, 0)</f>
        <v>0</v>
      </c>
      <c r="AR73" s="391">
        <f>IF(AR67&gt;Assumptions!$K$50, AQ73*(1+AC87), IF(AR67=Assumptions!$K$50, Assumptions!$D$50, 0))</f>
        <v>0</v>
      </c>
      <c r="AS73" s="391">
        <f>IF(AS67&gt;Assumptions!$K$50, AR73*(1+AD87), IF(AS67=Assumptions!$K$50, Assumptions!$D$50, 0))</f>
        <v>0</v>
      </c>
      <c r="AT73" s="391">
        <f>IF(AT67&gt;Assumptions!$K$50, AS73*(1+AE87), IF(AT67=Assumptions!$K$50, Assumptions!$D$50, 0))</f>
        <v>1900</v>
      </c>
      <c r="AU73" s="391">
        <f ca="1">IF(AU67&gt;Assumptions!$K$50, AT73*(1+AF87), IF(AU67=Assumptions!$K$50, Assumptions!$D$50, 0))</f>
        <v>1918.5528164543925</v>
      </c>
      <c r="AV73" s="391">
        <f ca="1">IF(AV67&gt;Assumptions!$K$50, AU73*(1+AG87), IF(AV67=Assumptions!$K$50, Assumptions!$D$50, 0))</f>
        <v>1944.12647165054</v>
      </c>
      <c r="AW73" s="391">
        <f ca="1">IF(AW67&gt;Assumptions!$K$50, AV73*(1+AH87), IF(AW67=Assumptions!$K$50, Assumptions!$D$50, 0))</f>
        <v>1976.6748565950477</v>
      </c>
      <c r="AX73" s="391">
        <f ca="1">IF(AX67&gt;Assumptions!$K$50, AW73*(1+AI87), IF(AX67=Assumptions!$K$50, Assumptions!$D$50, 0))</f>
        <v>2017.6478617632924</v>
      </c>
      <c r="AY73" s="391">
        <f ca="1">IF(AY67&gt;Assumptions!$K$50, AX73*(1+AJ87), IF(AY67=Assumptions!$K$50, Assumptions!$D$50, 0))</f>
        <v>2067.5090652332356</v>
      </c>
      <c r="AZ73" s="391">
        <f ca="1">IF(AZ67&gt;Assumptions!$K$50, AY73*(1+AK87), IF(AZ67=Assumptions!$K$50, Assumptions!$D$50, 0))</f>
        <v>2125.9845748544717</v>
      </c>
    </row>
    <row r="74" spans="2:52">
      <c r="B74" s="520" t="s">
        <v>406</v>
      </c>
      <c r="C74" s="385">
        <f>IF(C$67=Assumptions!$H$51, Assumptions!$P$51, 0)</f>
        <v>0</v>
      </c>
      <c r="D74" s="385">
        <f>IF(D67&gt;Assumptions!$H$51, C74, IF(D67=Assumptions!$H$51, Assumptions!$P$51, 0))</f>
        <v>0</v>
      </c>
      <c r="E74" s="385">
        <f>IF(E67&gt;Assumptions!$H$51, D74, IF(E67=Assumptions!$H$51, Assumptions!$P$51, 0))</f>
        <v>0</v>
      </c>
      <c r="F74" s="385">
        <f>IF(F67&gt;Assumptions!$H$51, E74, IF(F67=Assumptions!$H$51, Assumptions!$P$51, 0))</f>
        <v>0</v>
      </c>
      <c r="G74" s="385">
        <f>IF(G67&gt;Assumptions!$H$51, F74, IF(G67=Assumptions!$H$51, Assumptions!$P$51, 0))</f>
        <v>500</v>
      </c>
      <c r="H74" s="385">
        <f>IF(H67&gt;Assumptions!$H$51, G74, IF(H67=Assumptions!$H$51, Assumptions!$P$51, 0))</f>
        <v>500</v>
      </c>
      <c r="I74" s="385">
        <f>IF(I67&gt;Assumptions!$H$51, H74, IF(I67=Assumptions!$H$51, Assumptions!$P$51, 0))</f>
        <v>500</v>
      </c>
      <c r="J74" s="385">
        <f>IF(J67&gt;Assumptions!$H$51, I74, IF(J67=Assumptions!$H$51, Assumptions!$P$51, 0))</f>
        <v>500</v>
      </c>
      <c r="K74" s="385">
        <f>IF(K67&gt;Assumptions!$H$51, J74, IF(K67=Assumptions!$H$51, Assumptions!$P$51, 0))</f>
        <v>500</v>
      </c>
      <c r="L74" s="385">
        <f>IF(L67&gt;Assumptions!$H$51, K74, IF(L67=Assumptions!$H$51, Assumptions!$P$51, 0))</f>
        <v>500</v>
      </c>
      <c r="M74" s="383"/>
      <c r="N74" s="383"/>
      <c r="O74" s="383"/>
      <c r="P74" s="520" t="s">
        <v>406</v>
      </c>
      <c r="Q74" s="386">
        <f>IF(Q$67=Assumptions!$H$51, Assumptions!$D51, 0)</f>
        <v>0</v>
      </c>
      <c r="R74" s="386">
        <f>IF(R67&gt;Assumptions!$H$50, Q74*(1-Assumptions!$V$19) + Assumptions!$D$51*(1+C87), IF(R67=Assumptions!$H$50, Assumptions!$D$51, 0))</f>
        <v>0</v>
      </c>
      <c r="S74" s="386">
        <f>IF(S67&gt;Assumptions!$H$50, R74*(1-Assumptions!$V$19) + Assumptions!$D$51*(1+D87), IF(S67=Assumptions!$H$50, Assumptions!$D$51, 0))</f>
        <v>0</v>
      </c>
      <c r="T74" s="386">
        <f>IF(T67&gt;Assumptions!$H$50, S74*(1-Assumptions!$V$19) + Assumptions!$D$51*(1+E87), IF(T67=Assumptions!$H$50, Assumptions!$D$51, 0))</f>
        <v>400</v>
      </c>
      <c r="U74" s="386">
        <f ca="1">IF(U67&gt;Assumptions!$H$50, T74*(1-Assumptions!$V$19) + Assumptions!$D$51*(1+F87), IF(U67=Assumptions!$H$50, Assumptions!$D$51, 0))</f>
        <v>752.53974550474254</v>
      </c>
      <c r="V74" s="386">
        <f ca="1">IF(V67&gt;Assumptions!$H$50, U74*(1-Assumptions!$V$19) + Assumptions!$D$51*(1+G87), IF(V67=Assumptions!$H$50, Assumptions!$D$51, 0))</f>
        <v>1060.8239310934509</v>
      </c>
      <c r="W74" s="386">
        <f ca="1">IF(W67&gt;Assumptions!$H$50, V74*(1-Assumptions!$V$19) + Assumptions!$D$51*(1+H87), IF(W67=Assumptions!$H$50, Assumptions!$D$51, 0))</f>
        <v>1330.4495266288568</v>
      </c>
      <c r="X74" s="386">
        <f ca="1">IF(X67&gt;Assumptions!$H$50, W74*(1-Assumptions!$V$19) + Assumptions!$D$51*(1+I87), IF(X67=Assumptions!$H$50, Assumptions!$D$51, 0))</f>
        <v>1566.1935673967414</v>
      </c>
      <c r="Y74" s="386">
        <f ca="1">IF(Y67&gt;Assumptions!$H$50, X74*(1-Assumptions!$V$19) + Assumptions!$D$51*(1+J87), IF(Y67=Assumptions!$H$50, Assumptions!$D$51, 0))</f>
        <v>1772.3017948325075</v>
      </c>
      <c r="Z74" s="386">
        <f ca="1">IF(Z67&gt;Assumptions!$H$50, Y74*(1-Assumptions!$V$19) + Assumptions!$D$51*(1+K87), IF(Z67=Assumptions!$H$50, Assumptions!$D$51, 0))</f>
        <v>1953.0739153698498</v>
      </c>
      <c r="AA74" s="402"/>
      <c r="AB74" s="525" t="s">
        <v>406</v>
      </c>
      <c r="AC74" s="390">
        <f>IF(AC68=Assumptions!$K$50, Assumptions!$P$51, 0)</f>
        <v>0</v>
      </c>
      <c r="AD74" s="390">
        <f>IF(AD67&gt;Assumptions!$K$51, AC74, IF(AD67=Assumptions!$K$51, Assumptions!$P$51, 0))</f>
        <v>0</v>
      </c>
      <c r="AE74" s="390">
        <f>IF(AE67&gt;Assumptions!$K$51, AD74, IF(AE67=Assumptions!$K$51, Assumptions!$P$51, 0))</f>
        <v>0</v>
      </c>
      <c r="AF74" s="390">
        <f>IF(AF67&gt;Assumptions!$K$51, AE74, IF(AF67=Assumptions!$K$51, Assumptions!$P$51, 0))</f>
        <v>0</v>
      </c>
      <c r="AG74" s="390">
        <f>IF(AG67&gt;Assumptions!$K$51, AF74, IF(AG67=Assumptions!$K$51, Assumptions!$P$51, 0))</f>
        <v>500</v>
      </c>
      <c r="AH74" s="390">
        <f>IF(AH67&gt;Assumptions!$K$51, AG74, IF(AH67=Assumptions!$K$51, Assumptions!$P$51, 0))</f>
        <v>500</v>
      </c>
      <c r="AI74" s="390">
        <f>IF(AI67&gt;Assumptions!$K$51, AH74, IF(AI67=Assumptions!$K$51, Assumptions!$P$51, 0))</f>
        <v>500</v>
      </c>
      <c r="AJ74" s="390">
        <f>IF(AJ67&gt;Assumptions!$K$51, AI74, IF(AJ67=Assumptions!$K$51, Assumptions!$P$51, 0))</f>
        <v>500</v>
      </c>
      <c r="AK74" s="390">
        <f>IF(AK67&gt;Assumptions!$K$51, AJ74, IF(AK67=Assumptions!$K$51, Assumptions!$P$51, 0))</f>
        <v>500</v>
      </c>
      <c r="AL74" s="390">
        <f>IF(AL67&gt;Assumptions!$K$51, AK74, IF(AL67=Assumptions!$K$51, Assumptions!$P$51, 0))</f>
        <v>500</v>
      </c>
      <c r="AM74" s="388"/>
      <c r="AN74" s="388"/>
      <c r="AO74" s="388"/>
      <c r="AP74" s="525" t="s">
        <v>406</v>
      </c>
      <c r="AQ74" s="391">
        <f>IF(AQ67=Assumptions!$K$51, Assumptions!$D$51, 0)</f>
        <v>0</v>
      </c>
      <c r="AR74" s="391">
        <f>IF(AR67&gt;Assumptions!$K$51, AQ74*(1-Assumptions!$V$20) + Assumptions!$D$51*(1+AC87), IF(AR67=Assumptions!$K$51, Assumptions!$D$51, 0))</f>
        <v>0</v>
      </c>
      <c r="AS74" s="391">
        <f>IF(AS67&gt;Assumptions!$K$51, AR74*(1-Assumptions!$V$20) + Assumptions!$D$51*(1+AD87), IF(AS67=Assumptions!$K$51, Assumptions!$D$51, 0))</f>
        <v>0</v>
      </c>
      <c r="AT74" s="391">
        <f>IF(AT67&gt;Assumptions!$K$51, AS74*(1-Assumptions!$V$20) + Assumptions!$D$51*(1+AE87), IF(AT67=Assumptions!$K$51, Assumptions!$D$51, 0))</f>
        <v>0</v>
      </c>
      <c r="AU74" s="391">
        <f>IF(AU67&gt;Assumptions!$K$51, AT74*(1-Assumptions!$V$20) + Assumptions!$D$51*(1+AF87), IF(AU67=Assumptions!$K$51, Assumptions!$D$51, 0))</f>
        <v>400</v>
      </c>
      <c r="AV74" s="391">
        <f ca="1">IF(AV67&gt;Assumptions!$K$51, AU74*(1-Assumptions!$V$20) + Assumptions!$D$51*(1+AG87), IF(AV67=Assumptions!$K$51, Assumptions!$D$51, 0))</f>
        <v>761.33186367908479</v>
      </c>
      <c r="AW74" s="391">
        <f ca="1">IF(AW67&gt;Assumptions!$K$51, AV74*(1-Assumptions!$V$20) + Assumptions!$D$51*(1+AH87), IF(AW67=Assumptions!$K$51, Assumptions!$D$51, 0))</f>
        <v>1084.2821215484335</v>
      </c>
      <c r="AX74" s="391">
        <f ca="1">IF(AX67&gt;Assumptions!$K$51, AW74*(1-Assumptions!$V$20) + Assumptions!$D$51*(1+AI87), IF(AX67=Assumptions!$K$51, Assumptions!$D$51, 0))</f>
        <v>1373.3023870797012</v>
      </c>
      <c r="AY74" s="391">
        <f ca="1">IF(AY67&gt;Assumptions!$K$51, AX74*(1-Assumptions!$V$20) + Assumptions!$D$51*(1+AJ87), IF(AY67=Assumptions!$K$51, Assumptions!$D$51, 0))</f>
        <v>1632.1241404970094</v>
      </c>
      <c r="AZ74" s="391">
        <f ca="1">IF(AZ67&gt;Assumptions!$K$51, AY74*(1-Assumptions!$V$20) + Assumptions!$D$51*(1+AK87), IF(AZ67=Assumptions!$K$51, Assumptions!$D$51, 0))</f>
        <v>1863.9037142038542</v>
      </c>
    </row>
    <row r="75" spans="2:52">
      <c r="B75" s="383" t="s">
        <v>342</v>
      </c>
      <c r="C75" s="385">
        <f>IF(C$67=Assumptions!$H$52, Assumptions!$P$52, 0)</f>
        <v>0</v>
      </c>
      <c r="D75" s="385">
        <f>IF(D67&gt;Assumptions!$H$52, C75*(1+C63), IF(D67=Assumptions!$H$52, Assumptions!$P$52, 0))</f>
        <v>0</v>
      </c>
      <c r="E75" s="385">
        <f>IF(E67&gt;Assumptions!$H$52, D75*(1+D63), IF(E67=Assumptions!$H$52, Assumptions!$P$52, 0))</f>
        <v>0</v>
      </c>
      <c r="F75" s="385">
        <f>IF(F67&gt;Assumptions!$H$52, E75*(1+E63), IF(F67=Assumptions!$H$52, Assumptions!$P$52, 0))</f>
        <v>0</v>
      </c>
      <c r="G75" s="385">
        <f>IF(G67&gt;Assumptions!$H$52, F75*(1+F63), IF(G67=Assumptions!$H$52, Assumptions!$P$52, 0))</f>
        <v>500</v>
      </c>
      <c r="H75" s="385">
        <f>IF(H67&gt;Assumptions!$H$52, G75*(1+G63), IF(H67=Assumptions!$H$52, Assumptions!$P$52, 0))</f>
        <v>515.75</v>
      </c>
      <c r="I75" s="385">
        <f>IF(I67&gt;Assumptions!$H$52, H75*(1+H63), IF(I67=Assumptions!$H$52, Assumptions!$P$52, 0))</f>
        <v>531.99612500000001</v>
      </c>
      <c r="J75" s="385">
        <f>IF(J67&gt;Assumptions!$H$52, I75*(1+I63), IF(J67=Assumptions!$H$52, Assumptions!$P$52, 0))</f>
        <v>548.7540029375001</v>
      </c>
      <c r="K75" s="385">
        <f>IF(K67&gt;Assumptions!$H$52, J75*(1+J63), IF(K67=Assumptions!$H$52, Assumptions!$P$52, 0))</f>
        <v>566.03975403003142</v>
      </c>
      <c r="L75" s="385">
        <f>IF(L67&gt;Assumptions!$H$52, K75*(1+K63), IF(L67=Assumptions!$H$52, Assumptions!$P$52, 0))</f>
        <v>583.87000628197745</v>
      </c>
      <c r="M75" s="383"/>
      <c r="N75" s="383"/>
      <c r="O75" s="383"/>
      <c r="P75" s="383" t="s">
        <v>342</v>
      </c>
      <c r="Q75" s="386">
        <f>IF(Q$67=Assumptions!$H$52, Assumptions!$D52, 0)</f>
        <v>0</v>
      </c>
      <c r="R75" s="386">
        <f>IF(R67&gt;Assumptions!$H$52, Q75*(1+C88), IF(R67=Assumptions!$H$52, Assumptions!$D$52, 0))</f>
        <v>0</v>
      </c>
      <c r="S75" s="386">
        <f>IF(S67&gt;Assumptions!$H$52, R75*(1+D88), IF(S67=Assumptions!$H$52, Assumptions!$D$52, 0))</f>
        <v>0</v>
      </c>
      <c r="T75" s="386">
        <f>IF(T67&gt;Assumptions!$H$52, S75*(1+E88), IF(T67=Assumptions!$H$52, Assumptions!$D$52, 0))</f>
        <v>0</v>
      </c>
      <c r="U75" s="386">
        <f>IF(U67&gt;Assumptions!$H$52, T75*(1+F88), IF(U67=Assumptions!$H$52, Assumptions!$D$52, 0))</f>
        <v>300</v>
      </c>
      <c r="V75" s="386">
        <f ca="1">IF(V67&gt;Assumptions!$H$52, U75*(1+G88), IF(V67=Assumptions!$H$52, Assumptions!$D$52, 0))</f>
        <v>304.31533225710291</v>
      </c>
      <c r="W75" s="386">
        <f ca="1">IF(W67&gt;Assumptions!$H$52, V75*(1+H88), IF(W67=Assumptions!$H$52, Assumptions!$D$52, 0))</f>
        <v>309.89286694356105</v>
      </c>
      <c r="X75" s="386">
        <f ca="1">IF(X67&gt;Assumptions!$H$52, W75*(1+I88), IF(X67=Assumptions!$H$52, Assumptions!$D$52, 0))</f>
        <v>316.74077056366866</v>
      </c>
      <c r="Y75" s="386">
        <f ca="1">IF(Y67&gt;Assumptions!$H$52, X75*(1+J88), IF(Y67=Assumptions!$H$52, Assumptions!$D$52, 0))</f>
        <v>324.69639233857015</v>
      </c>
      <c r="Z75" s="386">
        <f ca="1">IF(Z67&gt;Assumptions!$H$52, Y75*(1+K88), IF(Z67=Assumptions!$H$52, Assumptions!$D$52, 0))</f>
        <v>334.13921106963016</v>
      </c>
      <c r="AA75" s="402"/>
      <c r="AB75" s="388" t="s">
        <v>342</v>
      </c>
      <c r="AC75" s="390">
        <f>IF(AC67=Assumptions!$K$52, Assumptions!$P$52, 0)</f>
        <v>0</v>
      </c>
      <c r="AD75" s="390">
        <f>IF(AD67&gt;Assumptions!$K$52, AC75*(1+AC63), IF(AD67=Assumptions!$K$52, Assumptions!$P$52, 0))</f>
        <v>0</v>
      </c>
      <c r="AE75" s="390">
        <f>IF(AE67&gt;Assumptions!$K$52, AD75*(1+AD63), IF(AE67=Assumptions!$K$52, Assumptions!$P$52, 0))</f>
        <v>0</v>
      </c>
      <c r="AF75" s="390">
        <f>IF(AF67&gt;Assumptions!$K$52, AE75*(1+AE63), IF(AF67=Assumptions!$K$52, Assumptions!$P$52, 0))</f>
        <v>0</v>
      </c>
      <c r="AG75" s="390">
        <f>IF(AG67&gt;Assumptions!$K$52, AF75*(1+AF63), IF(AG67=Assumptions!$K$52, Assumptions!$P$52, 0))</f>
        <v>500</v>
      </c>
      <c r="AH75" s="390">
        <f>IF(AH67&gt;Assumptions!$K$52, AG75*(1+AG63), IF(AH67=Assumptions!$K$52, Assumptions!$P$52, 0))</f>
        <v>550</v>
      </c>
      <c r="AI75" s="390">
        <f>IF(AI67&gt;Assumptions!$K$52, AH75*(1+AH63), IF(AI67=Assumptions!$K$52, Assumptions!$P$52, 0))</f>
        <v>605</v>
      </c>
      <c r="AJ75" s="390">
        <f>IF(AJ67&gt;Assumptions!$K$52, AI75*(1+AI63), IF(AJ67=Assumptions!$K$52, Assumptions!$P$52, 0))</f>
        <v>665.5</v>
      </c>
      <c r="AK75" s="390">
        <f>IF(AK67&gt;Assumptions!$K$52, AJ75*(1+AJ63), IF(AK67=Assumptions!$K$52, Assumptions!$P$52, 0))</f>
        <v>732.05000000000007</v>
      </c>
      <c r="AL75" s="390">
        <f>IF(AL67&gt;Assumptions!$K$52, AK75*(1+AK63), IF(AL67=Assumptions!$K$52, Assumptions!$P$52, 0))</f>
        <v>805.25500000000011</v>
      </c>
      <c r="AM75" s="388"/>
      <c r="AN75" s="388"/>
      <c r="AO75" s="388"/>
      <c r="AP75" s="388" t="s">
        <v>342</v>
      </c>
      <c r="AQ75" s="391">
        <f>IF(AQ67=Assumptions!$K$52, Assumptions!$D$52, 0)</f>
        <v>0</v>
      </c>
      <c r="AR75" s="391">
        <f>IF(AR67&gt;Assumptions!$K$52, AQ75*(1+AC88), IF(AR67=Assumptions!$K$52, Assumptions!$D$52, 0))</f>
        <v>0</v>
      </c>
      <c r="AS75" s="391">
        <f>IF(AS67&gt;Assumptions!$K$52, AR75*(1+AD88), IF(AS67=Assumptions!$K$52, Assumptions!$D$52, 0))</f>
        <v>0</v>
      </c>
      <c r="AT75" s="391">
        <f>IF(AT67&gt;Assumptions!$K$52, AS75*(1+AE88), IF(AT67=Assumptions!$K$52, Assumptions!$D$52, 0))</f>
        <v>0</v>
      </c>
      <c r="AU75" s="391">
        <f>IF(AU67&gt;Assumptions!$K$52, AT75*(1+AF88), IF(AU67=Assumptions!$K$52, Assumptions!$D$52, 0))</f>
        <v>300</v>
      </c>
      <c r="AV75" s="391">
        <f ca="1">IF(AV67&gt;Assumptions!$K$52, AU75*(1+AG88), IF(AV67=Assumptions!$K$52, Assumptions!$D$52, 0))</f>
        <v>303.76898924381788</v>
      </c>
      <c r="AW75" s="391">
        <f ca="1">IF(AW67&gt;Assumptions!$K$52, AV75*(1+AH88), IF(AW67=Assumptions!$K$52, Assumptions!$D$52, 0))</f>
        <v>308.44018973938046</v>
      </c>
      <c r="AX75" s="391">
        <f ca="1">IF(AX67&gt;Assumptions!$K$52, AW75*(1+AI88), IF(AX67=Assumptions!$K$52, Assumptions!$D$52, 0))</f>
        <v>314.4084368280719</v>
      </c>
      <c r="AY75" s="391">
        <f ca="1">IF(AY67&gt;Assumptions!$K$52, AX75*(1+AJ88), IF(AY67=Assumptions!$K$52, Assumptions!$D$52, 0))</f>
        <v>321.74592273377891</v>
      </c>
      <c r="AZ75" s="391">
        <f ca="1">IF(AZ67&gt;Assumptions!$K$52, AY75*(1+AK88), IF(AZ67=Assumptions!$K$52, Assumptions!$D$52, 0))</f>
        <v>330.39271679826305</v>
      </c>
    </row>
    <row r="76" spans="2:52">
      <c r="B76" s="383" t="s">
        <v>343</v>
      </c>
      <c r="C76" s="385">
        <f>IF(C$67=Assumptions!$H$53, Assumptions!$P$53, 0)</f>
        <v>0</v>
      </c>
      <c r="D76" s="385">
        <f>IF(D67&gt;Assumptions!$H$53, C76*(1+C63), IF(D67=Assumptions!$H$53, Assumptions!$P$53, 0))</f>
        <v>0</v>
      </c>
      <c r="E76" s="385">
        <f>IF(E67&gt;Assumptions!$H$53, D76*(1+D63), IF(E67=Assumptions!$H$53, Assumptions!$P$53, 0))</f>
        <v>0</v>
      </c>
      <c r="F76" s="385">
        <f>IF(F67&gt;Assumptions!$H$53, E76*(1+E63), IF(F67=Assumptions!$H$53, Assumptions!$P$53, 0))</f>
        <v>0</v>
      </c>
      <c r="G76" s="385">
        <f>IF(G67&gt;Assumptions!$H$53, F76*(1+F63), IF(G67=Assumptions!$H$53, Assumptions!$P$53, 0))</f>
        <v>300</v>
      </c>
      <c r="H76" s="385">
        <f>IF(H67&gt;Assumptions!$H$53, G76*(1+G63), IF(H67=Assumptions!$H$53, Assumptions!$P$53, 0))</f>
        <v>309.45000000000005</v>
      </c>
      <c r="I76" s="385">
        <f>IF(I67&gt;Assumptions!$H$53, H76*(1+H63), IF(I67=Assumptions!$H$53, Assumptions!$P$53, 0))</f>
        <v>319.19767500000006</v>
      </c>
      <c r="J76" s="385">
        <f>IF(J67&gt;Assumptions!$H$53, I76*(1+I63), IF(J67=Assumptions!$H$53, Assumptions!$P$53, 0))</f>
        <v>329.25240176250009</v>
      </c>
      <c r="K76" s="385">
        <f>IF(K67&gt;Assumptions!$H$53, J76*(1+J63), IF(K67=Assumptions!$H$53, Assumptions!$P$53, 0))</f>
        <v>339.62385241801888</v>
      </c>
      <c r="L76" s="385">
        <f>IF(L67&gt;Assumptions!$H$53, K76*(1+K63), IF(L67=Assumptions!$H$53, Assumptions!$P$53, 0))</f>
        <v>350.32200376918649</v>
      </c>
      <c r="M76" s="383"/>
      <c r="N76" s="383"/>
      <c r="O76" s="383"/>
      <c r="P76" s="383" t="s">
        <v>343</v>
      </c>
      <c r="Q76" s="386">
        <f>IF(Q$67=Assumptions!$H$53, Assumptions!$D53, 0)</f>
        <v>0</v>
      </c>
      <c r="R76" s="386">
        <f>IF(R67&gt;Assumptions!$H$53, Q76*(1+C89), IF(R67=Assumptions!$H$53, Assumptions!$D$53, 0))</f>
        <v>0</v>
      </c>
      <c r="S76" s="386">
        <f>IF(S67&gt;Assumptions!$H$53, R76*(1+D89), IF(S67=Assumptions!$H$53, Assumptions!$D$53, 0))</f>
        <v>0</v>
      </c>
      <c r="T76" s="386">
        <f>IF(T67&gt;Assumptions!$H$53, S76*(1+E89), IF(T67=Assumptions!$H$53, Assumptions!$D$53, 0))</f>
        <v>0</v>
      </c>
      <c r="U76" s="386">
        <f>IF(U67&gt;Assumptions!$H$53, T76*(1+F89), IF(U67=Assumptions!$H$53, Assumptions!$D$53, 0))</f>
        <v>1500</v>
      </c>
      <c r="V76" s="386">
        <f ca="1">IF(V67&gt;Assumptions!$H$53, U76*(1+G89), IF(V67=Assumptions!$H$53, Assumptions!$D$53, 0))</f>
        <v>1521.709446312442</v>
      </c>
      <c r="W76" s="386">
        <f ca="1">IF(W67&gt;Assumptions!$H$53, V76*(1+H89), IF(W67=Assumptions!$H$53, Assumptions!$D$53, 0))</f>
        <v>1549.0098393665651</v>
      </c>
      <c r="X76" s="386">
        <f ca="1">IF(X67&gt;Assumptions!$H$53, W76*(1+I89), IF(X67=Assumptions!$H$53, Assumptions!$D$53, 0))</f>
        <v>1581.5218980773957</v>
      </c>
      <c r="Y76" s="386">
        <f ca="1">IF(Y67&gt;Assumptions!$H$53, X76*(1+J89), IF(Y67=Assumptions!$H$53, Assumptions!$D$53, 0))</f>
        <v>1621.0108612497311</v>
      </c>
      <c r="Z76" s="386">
        <f ca="1">IF(Z67&gt;Assumptions!$H$53, Y76*(1+K89), IF(Z67=Assumptions!$H$53, Assumptions!$D$53, 0))</f>
        <v>1665.6996179602318</v>
      </c>
      <c r="AA76" s="402"/>
      <c r="AB76" s="388" t="s">
        <v>343</v>
      </c>
      <c r="AC76" s="390">
        <f>IF(AC67=Assumptions!$K$53, Assumptions!$P$53, 0)</f>
        <v>0</v>
      </c>
      <c r="AD76" s="390">
        <f>IF(AD67&gt;Assumptions!$K$53, AC76*(1+AC63), IF(AD67=Assumptions!$K$53, Assumptions!$P$53, 0))</f>
        <v>0</v>
      </c>
      <c r="AE76" s="390">
        <f>IF(AE67&gt;Assumptions!$K$53, AD76*(1+AD63), IF(AE67=Assumptions!$K$53, Assumptions!$P$53, 0))</f>
        <v>0</v>
      </c>
      <c r="AF76" s="390">
        <f>IF(AF67&gt;Assumptions!$K$53, AE76*(1+AE63), IF(AF67=Assumptions!$K$53, Assumptions!$P$53, 0))</f>
        <v>0</v>
      </c>
      <c r="AG76" s="390">
        <f>IF(AG67&gt;Assumptions!$K$53, AF76*(1+AF63), IF(AG67=Assumptions!$K$53, Assumptions!$P$53, 0))</f>
        <v>300</v>
      </c>
      <c r="AH76" s="390">
        <f>IF(AH67&gt;Assumptions!$K$53, AG76*(1+AG63), IF(AH67=Assumptions!$K$53, Assumptions!$P$53, 0))</f>
        <v>330</v>
      </c>
      <c r="AI76" s="390">
        <f>IF(AI67&gt;Assumptions!$K$53, AH76*(1+AH63), IF(AI67=Assumptions!$K$53, Assumptions!$P$53, 0))</f>
        <v>363.00000000000006</v>
      </c>
      <c r="AJ76" s="390">
        <f>IF(AJ67&gt;Assumptions!$K$53, AI76*(1+AI63), IF(AJ67=Assumptions!$K$53, Assumptions!$P$53, 0))</f>
        <v>399.30000000000007</v>
      </c>
      <c r="AK76" s="390">
        <f>IF(AK67&gt;Assumptions!$K$53, AJ76*(1+AJ63), IF(AK67=Assumptions!$K$53, Assumptions!$P$53, 0))</f>
        <v>439.23000000000013</v>
      </c>
      <c r="AL76" s="390">
        <f>IF(AL67&gt;Assumptions!$K$53, AK76*(1+AK63), IF(AL67=Assumptions!$K$53, Assumptions!$P$53, 0))</f>
        <v>483.15300000000019</v>
      </c>
      <c r="AM76" s="388"/>
      <c r="AN76" s="388"/>
      <c r="AO76" s="388"/>
      <c r="AP76" s="388" t="s">
        <v>343</v>
      </c>
      <c r="AQ76" s="391">
        <f>IF(AQ67=Assumptions!$K$53, Assumptions!$D$53, 0)</f>
        <v>0</v>
      </c>
      <c r="AR76" s="391">
        <f>IF(AR67&gt;Assumptions!$K$53, AQ76*(1+AC89), IF(AR67=Assumptions!$K$53, Assumptions!$D$53, 0))</f>
        <v>0</v>
      </c>
      <c r="AS76" s="391">
        <f>IF(AS67&gt;Assumptions!$K$53, AR76*(1+AD89), IF(AS67=Assumptions!$K$53, Assumptions!$D$53, 0))</f>
        <v>0</v>
      </c>
      <c r="AT76" s="391">
        <f>IF(AT67&gt;Assumptions!$K$53, AS76*(1+AE89), IF(AT67=Assumptions!$K$53, Assumptions!$D$53, 0))</f>
        <v>0</v>
      </c>
      <c r="AU76" s="391">
        <f>IF(AU67&gt;Assumptions!$K$53, AT76*(1+AF89), IF(AU67=Assumptions!$K$53, Assumptions!$D$53, 0))</f>
        <v>1500</v>
      </c>
      <c r="AV76" s="391">
        <f ca="1">IF(AV67&gt;Assumptions!$K$53, AU76*(1+AG89), IF(AV67=Assumptions!$K$53, Assumptions!$D$53, 0))</f>
        <v>1522.2439369285853</v>
      </c>
      <c r="AW76" s="391">
        <f ca="1">IF(AW67&gt;Assumptions!$K$53, AV76*(1+AH89), IF(AW67=Assumptions!$K$53, Assumptions!$D$53, 0))</f>
        <v>1549.2297263014789</v>
      </c>
      <c r="AX76" s="391">
        <f ca="1">IF(AX67&gt;Assumptions!$K$53, AW76*(1+AI89), IF(AX67=Assumptions!$K$53, Assumptions!$D$53, 0))</f>
        <v>1582.5630826307781</v>
      </c>
      <c r="AY76" s="391">
        <f ca="1">IF(AY67&gt;Assumptions!$K$53, AX76*(1+AJ89), IF(AY67=Assumptions!$K$53, Assumptions!$D$53, 0))</f>
        <v>1622.5838810365867</v>
      </c>
      <c r="AZ76" s="391">
        <f ca="1">IF(AZ67&gt;Assumptions!$K$53, AY76*(1+AK89), IF(AZ67=Assumptions!$K$53, Assumptions!$D$53, 0))</f>
        <v>1668.7821409609444</v>
      </c>
    </row>
    <row r="77" spans="2:52">
      <c r="B77" s="383" t="s">
        <v>344</v>
      </c>
      <c r="C77" s="385">
        <f>IF(C$67=Assumptions!$H$54, Assumptions!$P$54, 0)</f>
        <v>0</v>
      </c>
      <c r="D77" s="385">
        <f>IF(D67&gt;Assumptions!$H$54, C77*(1+C63), IF(D67=Assumptions!$H$54, Assumptions!$P$54, 0))</f>
        <v>0</v>
      </c>
      <c r="E77" s="385">
        <f>IF(E67&gt;Assumptions!$H$54, D77*(1+D63), IF(E67=Assumptions!$H$54, Assumptions!$P$54, 0))</f>
        <v>0</v>
      </c>
      <c r="F77" s="385">
        <f>IF(F67&gt;Assumptions!$H$54, E77*(1+E63), IF(F67=Assumptions!$H$54, Assumptions!$P$54, 0))</f>
        <v>0</v>
      </c>
      <c r="G77" s="385">
        <f>IF(G67&gt;Assumptions!$H$54, F77*(1+F63), IF(G67=Assumptions!$H$54, Assumptions!$P$54, 0))</f>
        <v>700</v>
      </c>
      <c r="H77" s="385">
        <f>IF(H67&gt;Assumptions!$H$54, G77*(1+G63), IF(H67=Assumptions!$H$54, Assumptions!$P$54, 0))</f>
        <v>722.05000000000007</v>
      </c>
      <c r="I77" s="385">
        <f>IF(I67&gt;Assumptions!$H$54, H77*(1+H63), IF(I67=Assumptions!$H$54, Assumptions!$P$54, 0))</f>
        <v>744.79457500000012</v>
      </c>
      <c r="J77" s="385">
        <f>IF(J67&gt;Assumptions!$H$54, I77*(1+I63), IF(J67=Assumptions!$H$54, Assumptions!$P$54, 0))</f>
        <v>768.25560411250024</v>
      </c>
      <c r="K77" s="385">
        <f>IF(K67&gt;Assumptions!$H$54, J77*(1+J63), IF(K67=Assumptions!$H$54, Assumptions!$P$54, 0))</f>
        <v>792.45565564204401</v>
      </c>
      <c r="L77" s="385">
        <f>IF(L67&gt;Assumptions!$H$54, K77*(1+K63), IF(L67=Assumptions!$H$54, Assumptions!$P$54, 0))</f>
        <v>817.41800879476841</v>
      </c>
      <c r="M77" s="383"/>
      <c r="N77" s="383"/>
      <c r="O77" s="383"/>
      <c r="P77" s="383" t="s">
        <v>344</v>
      </c>
      <c r="Q77" s="386">
        <f>IF(Q$67=Assumptions!$H$54, Assumptions!$D54, 0)</f>
        <v>0</v>
      </c>
      <c r="R77" s="386">
        <f>IF(R67&gt;Assumptions!$H$54, Q77*(1+C90), IF(R67=Assumptions!$H$54, Assumptions!$D$54, 0))</f>
        <v>0</v>
      </c>
      <c r="S77" s="386">
        <f>IF(S67&gt;Assumptions!$H$54, R77*(1+D90), IF(S67=Assumptions!$H$54, Assumptions!$D$54, 0))</f>
        <v>0</v>
      </c>
      <c r="T77" s="386">
        <f>IF(T67&gt;Assumptions!$H$54, S77*(1+E90), IF(T67=Assumptions!$H$54, Assumptions!$D$54, 0))</f>
        <v>0</v>
      </c>
      <c r="U77" s="386">
        <f>IF(U67&gt;Assumptions!$H$54, T77*(1+F90), IF(U67=Assumptions!$H$54, Assumptions!$D$54, 0))</f>
        <v>700</v>
      </c>
      <c r="V77" s="386">
        <f ca="1">IF(V67&gt;Assumptions!$H$54, U77*(1+G90), IF(V67=Assumptions!$H$54, Assumptions!$D$54, 0))</f>
        <v>708.87906405477702</v>
      </c>
      <c r="W77" s="386">
        <f ca="1">IF(W67&gt;Assumptions!$H$54, V77*(1+H90), IF(W67=Assumptions!$H$54, Assumptions!$D$54, 0))</f>
        <v>720.69475432931017</v>
      </c>
      <c r="X77" s="386">
        <f ca="1">IF(X67&gt;Assumptions!$H$54, W77*(1+I90), IF(X67=Assumptions!$H$54, Assumptions!$D$54, 0))</f>
        <v>735.23923815364913</v>
      </c>
      <c r="Y77" s="386">
        <f ca="1">IF(Y67&gt;Assumptions!$H$54, X77*(1+J90), IF(Y67=Assumptions!$H$54, Assumptions!$D$54, 0))</f>
        <v>752.38474954066976</v>
      </c>
      <c r="Z77" s="386">
        <f ca="1">IF(Z67&gt;Assumptions!$H$54, Y77*(1+K90), IF(Z67=Assumptions!$H$54, Assumptions!$D$54, 0))</f>
        <v>772.91902094362945</v>
      </c>
      <c r="AA77" s="402"/>
      <c r="AB77" s="388" t="s">
        <v>344</v>
      </c>
      <c r="AC77" s="390">
        <f>IF(AC67=Assumptions!$K$54, Assumptions!$P$54, 0)</f>
        <v>0</v>
      </c>
      <c r="AD77" s="390">
        <f>IF(AD67&gt;Assumptions!$K$54, AC77*(1+AC63), IF(AD67=Assumptions!$K$54, Assumptions!$P$54, 0))</f>
        <v>0</v>
      </c>
      <c r="AE77" s="390">
        <f>IF(AE67&gt;Assumptions!$K$54, AD77*(1+AD63), IF(AE67=Assumptions!$K$54, Assumptions!$P$54, 0))</f>
        <v>0</v>
      </c>
      <c r="AF77" s="390">
        <f>IF(AF67&gt;Assumptions!$K$54, AE77*(1+AE63), IF(AF67=Assumptions!$K$54, Assumptions!$P$54, 0))</f>
        <v>0</v>
      </c>
      <c r="AG77" s="390">
        <f>IF(AG67&gt;Assumptions!$K$54, AF77*(1+AF63), IF(AG67=Assumptions!$K$54, Assumptions!$P$54, 0))</f>
        <v>700</v>
      </c>
      <c r="AH77" s="390">
        <f>IF(AH67&gt;Assumptions!$K$54, AG77*(1+AG63), IF(AH67=Assumptions!$K$54, Assumptions!$P$54, 0))</f>
        <v>770.00000000000011</v>
      </c>
      <c r="AI77" s="390">
        <f>IF(AI67&gt;Assumptions!$K$54, AH77*(1+AH63), IF(AI67=Assumptions!$K$54, Assumptions!$P$54, 0))</f>
        <v>847.00000000000023</v>
      </c>
      <c r="AJ77" s="390">
        <f>IF(AJ67&gt;Assumptions!$K$54, AI77*(1+AI63), IF(AJ67=Assumptions!$K$54, Assumptions!$P$54, 0))</f>
        <v>931.70000000000027</v>
      </c>
      <c r="AK77" s="390">
        <f>IF(AK67&gt;Assumptions!$K$54, AJ77*(1+AJ63), IF(AK67=Assumptions!$K$54, Assumptions!$P$54, 0))</f>
        <v>1024.8700000000003</v>
      </c>
      <c r="AL77" s="390">
        <f>IF(AL67&gt;Assumptions!$K$54, AK77*(1+AK63), IF(AL67=Assumptions!$K$54, Assumptions!$P$54, 0))</f>
        <v>1127.3570000000004</v>
      </c>
      <c r="AM77" s="388"/>
      <c r="AN77" s="388"/>
      <c r="AO77" s="388"/>
      <c r="AP77" s="388" t="s">
        <v>344</v>
      </c>
      <c r="AQ77" s="391">
        <f>IF(AQ67=Assumptions!$J$53, Assumptions!$D$54, 0)</f>
        <v>0</v>
      </c>
      <c r="AR77" s="391">
        <f>IF(AR67&gt;Assumptions!$K$54, AQ77*(1+AC90), IF(AR67=Assumptions!$K$54, Assumptions!$D$54, 0))</f>
        <v>0</v>
      </c>
      <c r="AS77" s="391">
        <f>IF(AS67&gt;Assumptions!$K$54, AR77*(1+AD90), IF(AS67=Assumptions!$K$54, Assumptions!$D$54, 0))</f>
        <v>0</v>
      </c>
      <c r="AT77" s="391">
        <f>IF(AT67&gt;Assumptions!$K$54, AS77*(1+AE90), IF(AT67=Assumptions!$K$54, Assumptions!$D$54, 0))</f>
        <v>0</v>
      </c>
      <c r="AU77" s="391">
        <f>IF(AU67&gt;Assumptions!$K$54, AT77*(1+AF90), IF(AU67=Assumptions!$K$54, Assumptions!$D$54, 0))</f>
        <v>700</v>
      </c>
      <c r="AV77" s="391">
        <f ca="1">IF(AV67&gt;Assumptions!$K$54, AU77*(1+AG90), IF(AV67=Assumptions!$K$54, Assumptions!$D$54, 0))</f>
        <v>710.23683195580702</v>
      </c>
      <c r="AW77" s="391">
        <f ca="1">IF(AW67&gt;Assumptions!$K$54, AV77*(1+AH90), IF(AW67=Assumptions!$K$54, Assumptions!$D$54, 0))</f>
        <v>723.38408685489594</v>
      </c>
      <c r="AX77" s="391">
        <f ca="1">IF(AX67&gt;Assumptions!$K$54, AW77*(1+AI90), IF(AX67=Assumptions!$K$54, Assumptions!$D$54, 0))</f>
        <v>738.6541569353426</v>
      </c>
      <c r="AY77" s="391">
        <f ca="1">IF(AY67&gt;Assumptions!$K$54, AX77*(1+AJ90), IF(AY67=Assumptions!$K$54, Assumptions!$D$54, 0))</f>
        <v>756.64470815561174</v>
      </c>
      <c r="AZ77" s="391">
        <f ca="1">IF(AZ67&gt;Assumptions!$K$54, AY77*(1+AK90), IF(AZ67=Assumptions!$K$54, Assumptions!$D$54, 0))</f>
        <v>778.03567951634591</v>
      </c>
    </row>
    <row r="78" spans="2:52">
      <c r="B78" s="383"/>
      <c r="C78" s="383"/>
      <c r="D78" s="383"/>
      <c r="E78" s="383"/>
      <c r="F78" s="383"/>
      <c r="G78" s="383"/>
      <c r="H78" s="383"/>
      <c r="I78" s="383"/>
      <c r="J78" s="383"/>
      <c r="K78" s="383"/>
      <c r="L78" s="383"/>
      <c r="M78" s="383"/>
      <c r="N78" s="383"/>
      <c r="O78" s="383"/>
      <c r="P78" s="383"/>
      <c r="Q78" s="383"/>
      <c r="R78" s="383"/>
      <c r="S78" s="383"/>
      <c r="T78" s="383"/>
      <c r="U78" s="383"/>
      <c r="V78" s="383"/>
      <c r="W78" s="383"/>
      <c r="X78" s="383"/>
      <c r="Y78" s="383"/>
      <c r="Z78" s="383"/>
      <c r="AA78" s="402"/>
      <c r="AB78" s="388"/>
      <c r="AC78" s="388"/>
      <c r="AD78" s="388"/>
      <c r="AE78" s="388"/>
      <c r="AF78" s="388"/>
      <c r="AG78" s="388"/>
      <c r="AH78" s="388"/>
      <c r="AI78" s="388"/>
      <c r="AJ78" s="388"/>
      <c r="AK78" s="388"/>
      <c r="AL78" s="388"/>
      <c r="AM78" s="388"/>
      <c r="AN78" s="388"/>
      <c r="AO78" s="388"/>
      <c r="AP78" s="388"/>
      <c r="AQ78" s="388"/>
      <c r="AR78" s="388"/>
      <c r="AS78" s="388"/>
      <c r="AT78" s="388"/>
      <c r="AU78" s="388"/>
      <c r="AV78" s="388"/>
      <c r="AW78" s="388"/>
      <c r="AX78" s="388"/>
      <c r="AY78" s="388"/>
      <c r="AZ78" s="388"/>
    </row>
    <row r="79" spans="2:52">
      <c r="B79" s="383"/>
      <c r="C79" s="383"/>
      <c r="D79" s="383"/>
      <c r="E79" s="383"/>
      <c r="F79" s="383"/>
      <c r="G79" s="383"/>
      <c r="H79" s="383"/>
      <c r="I79" s="383"/>
      <c r="J79" s="383"/>
      <c r="K79" s="383"/>
      <c r="L79" s="383"/>
      <c r="M79" s="383"/>
      <c r="N79" s="383"/>
      <c r="O79" s="383"/>
      <c r="P79" s="383"/>
      <c r="Q79" s="383"/>
      <c r="R79" s="383"/>
      <c r="S79" s="383"/>
      <c r="T79" s="383"/>
      <c r="U79" s="383"/>
      <c r="V79" s="383"/>
      <c r="W79" s="383"/>
      <c r="X79" s="383"/>
      <c r="Y79" s="383"/>
      <c r="Z79" s="383"/>
      <c r="AA79" s="402"/>
      <c r="AB79" s="388"/>
      <c r="AC79" s="388"/>
      <c r="AD79" s="388"/>
      <c r="AE79" s="388"/>
      <c r="AF79" s="388"/>
      <c r="AG79" s="388"/>
      <c r="AH79" s="388"/>
      <c r="AI79" s="388"/>
      <c r="AJ79" s="388"/>
      <c r="AK79" s="388"/>
      <c r="AL79" s="388"/>
      <c r="AM79" s="388"/>
      <c r="AN79" s="388"/>
      <c r="AO79" s="388"/>
      <c r="AP79" s="388"/>
      <c r="AQ79" s="388"/>
      <c r="AR79" s="388"/>
      <c r="AS79" s="388"/>
      <c r="AT79" s="388"/>
      <c r="AU79" s="388"/>
      <c r="AV79" s="388"/>
      <c r="AW79" s="388"/>
      <c r="AX79" s="388"/>
      <c r="AY79" s="388"/>
      <c r="AZ79" s="388"/>
    </row>
    <row r="80" spans="2:52">
      <c r="B80" s="383"/>
      <c r="C80" s="383" t="s">
        <v>248</v>
      </c>
      <c r="D80" s="383"/>
      <c r="E80" s="383"/>
      <c r="F80" s="383"/>
      <c r="G80" s="383"/>
      <c r="H80" s="383"/>
      <c r="I80" s="383"/>
      <c r="J80" s="383"/>
      <c r="K80" s="383"/>
      <c r="L80" s="383"/>
      <c r="M80" s="383"/>
      <c r="N80" s="383"/>
      <c r="O80" s="383"/>
      <c r="P80" s="383"/>
      <c r="Q80" s="383" t="s">
        <v>248</v>
      </c>
      <c r="R80" s="383"/>
      <c r="S80" s="383"/>
      <c r="T80" s="383"/>
      <c r="U80" s="383"/>
      <c r="V80" s="383"/>
      <c r="W80" s="383"/>
      <c r="X80" s="383"/>
      <c r="Y80" s="383"/>
      <c r="Z80" s="383"/>
      <c r="AA80" s="402"/>
      <c r="AB80" s="388"/>
      <c r="AC80" s="388" t="s">
        <v>248</v>
      </c>
      <c r="AD80" s="388"/>
      <c r="AE80" s="388"/>
      <c r="AF80" s="388"/>
      <c r="AG80" s="388"/>
      <c r="AH80" s="388"/>
      <c r="AI80" s="388"/>
      <c r="AJ80" s="388"/>
      <c r="AK80" s="388"/>
      <c r="AL80" s="388"/>
      <c r="AM80" s="388"/>
      <c r="AN80" s="388"/>
      <c r="AO80" s="388"/>
      <c r="AP80" s="388"/>
      <c r="AQ80" s="388" t="s">
        <v>248</v>
      </c>
      <c r="AR80" s="388"/>
      <c r="AS80" s="388"/>
      <c r="AT80" s="388"/>
      <c r="AU80" s="388"/>
      <c r="AV80" s="388"/>
      <c r="AW80" s="388"/>
      <c r="AX80" s="388"/>
      <c r="AY80" s="388"/>
      <c r="AZ80" s="388"/>
    </row>
    <row r="81" spans="2:52">
      <c r="B81" s="383"/>
      <c r="C81" s="383">
        <v>1</v>
      </c>
      <c r="D81" s="383">
        <v>2</v>
      </c>
      <c r="E81" s="383">
        <v>3</v>
      </c>
      <c r="F81" s="383">
        <v>4</v>
      </c>
      <c r="G81" s="383">
        <v>5</v>
      </c>
      <c r="H81" s="383">
        <v>6</v>
      </c>
      <c r="I81" s="383">
        <v>7</v>
      </c>
      <c r="J81" s="383">
        <v>8</v>
      </c>
      <c r="K81" s="383">
        <v>9</v>
      </c>
      <c r="L81" s="383">
        <v>10</v>
      </c>
      <c r="M81" s="383"/>
      <c r="N81" s="383"/>
      <c r="O81" s="383"/>
      <c r="P81" s="383" t="s">
        <v>348</v>
      </c>
      <c r="Q81" s="383">
        <v>1</v>
      </c>
      <c r="R81" s="383">
        <v>2</v>
      </c>
      <c r="S81" s="383">
        <v>3</v>
      </c>
      <c r="T81" s="383">
        <v>4</v>
      </c>
      <c r="U81" s="383">
        <v>5</v>
      </c>
      <c r="V81" s="383">
        <v>6</v>
      </c>
      <c r="W81" s="383">
        <v>7</v>
      </c>
      <c r="X81" s="383">
        <v>8</v>
      </c>
      <c r="Y81" s="383">
        <v>9</v>
      </c>
      <c r="Z81" s="383">
        <v>10</v>
      </c>
      <c r="AA81" s="402"/>
      <c r="AB81" s="388"/>
      <c r="AC81" s="388">
        <v>1</v>
      </c>
      <c r="AD81" s="388">
        <v>2</v>
      </c>
      <c r="AE81" s="388">
        <v>3</v>
      </c>
      <c r="AF81" s="388">
        <v>4</v>
      </c>
      <c r="AG81" s="388">
        <v>5</v>
      </c>
      <c r="AH81" s="388">
        <v>6</v>
      </c>
      <c r="AI81" s="388">
        <v>7</v>
      </c>
      <c r="AJ81" s="388">
        <v>8</v>
      </c>
      <c r="AK81" s="388">
        <v>9</v>
      </c>
      <c r="AL81" s="388">
        <v>10</v>
      </c>
      <c r="AM81" s="388"/>
      <c r="AN81" s="388"/>
      <c r="AO81" s="388"/>
      <c r="AP81" s="388" t="s">
        <v>348</v>
      </c>
      <c r="AQ81" s="388">
        <v>1</v>
      </c>
      <c r="AR81" s="388">
        <v>2</v>
      </c>
      <c r="AS81" s="388">
        <v>3</v>
      </c>
      <c r="AT81" s="388">
        <v>4</v>
      </c>
      <c r="AU81" s="388">
        <v>5</v>
      </c>
      <c r="AV81" s="388">
        <v>6</v>
      </c>
      <c r="AW81" s="388">
        <v>7</v>
      </c>
      <c r="AX81" s="388">
        <v>8</v>
      </c>
      <c r="AY81" s="388">
        <v>9</v>
      </c>
      <c r="AZ81" s="388">
        <v>10</v>
      </c>
    </row>
    <row r="82" spans="2:52">
      <c r="B82" s="383" t="s">
        <v>331</v>
      </c>
      <c r="C82" s="387">
        <v>0.05</v>
      </c>
      <c r="D82" s="387">
        <f ca="1">C82+_xlfn.NORM.DIST(RAND(), 0, 1, FALSE)%</f>
        <v>5.3329573691782844E-2</v>
      </c>
      <c r="E82" s="387">
        <f t="shared" ref="E82:L82" ca="1" si="107">D82+_xlfn.NORM.DIST(RAND(), 0, 1, FALSE)%</f>
        <v>5.7309526323676932E-2</v>
      </c>
      <c r="F82" s="387">
        <f t="shared" ca="1" si="107"/>
        <v>6.0785643379436212E-2</v>
      </c>
      <c r="G82" s="387">
        <f t="shared" ca="1" si="107"/>
        <v>6.4283552161623056E-2</v>
      </c>
      <c r="H82" s="387">
        <f t="shared" ca="1" si="107"/>
        <v>6.8271425920897466E-2</v>
      </c>
      <c r="I82" s="387">
        <f t="shared" ca="1" si="107"/>
        <v>7.0932128801015931E-2</v>
      </c>
      <c r="J82" s="387">
        <f t="shared" ca="1" si="107"/>
        <v>7.3484570090206647E-2</v>
      </c>
      <c r="K82" s="387">
        <f t="shared" ca="1" si="107"/>
        <v>7.6762917458972374E-2</v>
      </c>
      <c r="L82" s="387">
        <f t="shared" ca="1" si="107"/>
        <v>8.0219450835826503E-2</v>
      </c>
      <c r="M82" s="383"/>
      <c r="N82" s="383"/>
      <c r="O82" s="383"/>
      <c r="P82" s="383" t="s">
        <v>331</v>
      </c>
      <c r="Q82" s="385">
        <f>C68*Q68</f>
        <v>0</v>
      </c>
      <c r="R82" s="385">
        <f t="shared" ref="R82:R84" si="108">D68*R68</f>
        <v>0</v>
      </c>
      <c r="S82" s="385">
        <f t="shared" ref="S82:S85" si="109">E68*S68</f>
        <v>0</v>
      </c>
      <c r="T82" s="385">
        <f t="shared" ref="T82:T86" si="110">F68*T68</f>
        <v>7700000</v>
      </c>
      <c r="U82" s="385">
        <f t="shared" ref="U82:U86" ca="1" si="111">G68*U68</f>
        <v>8425343.0118233413</v>
      </c>
      <c r="V82" s="385">
        <f t="shared" ref="V82:V86" ca="1" si="112">H68*V68</f>
        <v>9249413.0394507628</v>
      </c>
      <c r="W82" s="385">
        <f t="shared" ref="W82:W86" ca="1" si="113">I68*W68</f>
        <v>10192131.49176785</v>
      </c>
      <c r="X82" s="385">
        <f t="shared" ref="X82:X86" ca="1" si="114">J68*X68</f>
        <v>11258906.12937703</v>
      </c>
      <c r="Y82" s="385">
        <f t="shared" ref="Y82:Y86" ca="1" si="115">K68*Y68</f>
        <v>12466979.259168675</v>
      </c>
      <c r="Z82" s="385">
        <f t="shared" ref="Z82:Z86" ca="1" si="116">L68*Z68</f>
        <v>13846836.359211555</v>
      </c>
      <c r="AA82" s="402"/>
      <c r="AB82" s="388" t="s">
        <v>331</v>
      </c>
      <c r="AC82" s="392">
        <v>0.02</v>
      </c>
      <c r="AD82" s="392">
        <f ca="1">AC82+_xlfn.NORM.DIST(RAND(), 0, 1, FALSE)%</f>
        <v>2.3522637896723323E-2</v>
      </c>
      <c r="AE82" s="392">
        <f t="shared" ref="AE82:AL82" ca="1" si="117">AD82+_xlfn.NORM.DIST(RAND(), 0, 1, FALSE)%</f>
        <v>2.685378824164357E-2</v>
      </c>
      <c r="AF82" s="392">
        <f t="shared" ca="1" si="117"/>
        <v>3.0746737446380772E-2</v>
      </c>
      <c r="AG82" s="392">
        <f t="shared" ca="1" si="117"/>
        <v>3.4626054395832911E-2</v>
      </c>
      <c r="AH82" s="392">
        <f t="shared" ca="1" si="117"/>
        <v>3.8604603096577955E-2</v>
      </c>
      <c r="AI82" s="392">
        <f t="shared" ca="1" si="117"/>
        <v>4.2554450851555022E-2</v>
      </c>
      <c r="AJ82" s="392">
        <f t="shared" ca="1" si="117"/>
        <v>4.6480539201683962E-2</v>
      </c>
      <c r="AK82" s="392">
        <f t="shared" ca="1" si="117"/>
        <v>4.9185228945065496E-2</v>
      </c>
      <c r="AL82" s="392">
        <f t="shared" ca="1" si="117"/>
        <v>5.241744635734235E-2</v>
      </c>
      <c r="AM82" s="388"/>
      <c r="AN82" s="388"/>
      <c r="AO82" s="388"/>
      <c r="AP82" s="388" t="s">
        <v>331</v>
      </c>
      <c r="AQ82" s="390">
        <f>AC68*AQ68</f>
        <v>0</v>
      </c>
      <c r="AR82" s="390">
        <f t="shared" ref="AR82:AR84" si="118">AD68*AR68</f>
        <v>0</v>
      </c>
      <c r="AS82" s="390">
        <f t="shared" ref="AS82:AS85" si="119">AE68*AS68</f>
        <v>0</v>
      </c>
      <c r="AT82" s="390">
        <f t="shared" ref="AT82:AT86" si="120">AF68*AT68</f>
        <v>7700000</v>
      </c>
      <c r="AU82" s="390">
        <f t="shared" ref="AU82:AU86" ca="1" si="121">AG68*AU68</f>
        <v>8730424.8661708459</v>
      </c>
      <c r="AV82" s="390">
        <f t="shared" ref="AV82:AV86" ca="1" si="122">AH68*AV68</f>
        <v>9935997.5357341729</v>
      </c>
      <c r="AW82" s="390">
        <f t="shared" ref="AW82:AW86" ca="1" si="123">AI68*AW68</f>
        <v>11351530.054666745</v>
      </c>
      <c r="AX82" s="390">
        <f t="shared" ref="AX82:AX86" ca="1" si="124">AJ68*AX68</f>
        <v>13018047.000714812</v>
      </c>
      <c r="AY82" s="390">
        <f t="shared" ref="AY82:AY86" ca="1" si="125">AK68*AY68</f>
        <v>14985446.129126994</v>
      </c>
      <c r="AZ82" s="390">
        <f t="shared" ref="AZ82:AZ86" ca="1" si="126">AL68*AZ68</f>
        <v>17294759.600615259</v>
      </c>
    </row>
    <row r="83" spans="2:52">
      <c r="B83" s="383" t="s">
        <v>332</v>
      </c>
      <c r="C83" s="387">
        <v>0.09</v>
      </c>
      <c r="D83" s="387">
        <f t="shared" ref="D83:G83" ca="1" si="127">C83+_xlfn.NORM.DIST(RAND(), 0, 1, FALSE)%</f>
        <v>9.3949056977806436E-2</v>
      </c>
      <c r="E83" s="387">
        <f t="shared" ca="1" si="127"/>
        <v>9.7185719974682408E-2</v>
      </c>
      <c r="F83" s="387">
        <f t="shared" ca="1" si="127"/>
        <v>0.10082291599827017</v>
      </c>
      <c r="G83" s="387">
        <f t="shared" ca="1" si="127"/>
        <v>0.10377523063565197</v>
      </c>
      <c r="H83" s="387">
        <f ca="1">G83+_xlfn.NORM.DIST(RAND(), 0, 1, FALSE)%</f>
        <v>0.10744646974481924</v>
      </c>
      <c r="I83" s="387">
        <f t="shared" ref="I83:L83" ca="1" si="128">H83+_xlfn.NORM.DIST(RAND(), 0, 1, FALSE)%</f>
        <v>0.11081907773486208</v>
      </c>
      <c r="J83" s="387">
        <f t="shared" ca="1" si="128"/>
        <v>0.11468948224880328</v>
      </c>
      <c r="K83" s="387">
        <f t="shared" ca="1" si="128"/>
        <v>0.11750006253499318</v>
      </c>
      <c r="L83" s="387">
        <f t="shared" ca="1" si="128"/>
        <v>0.12062774634192176</v>
      </c>
      <c r="M83" s="383"/>
      <c r="N83" s="383"/>
      <c r="O83" s="383"/>
      <c r="P83" s="383" t="s">
        <v>332</v>
      </c>
      <c r="Q83" s="385">
        <f>C69*Q69</f>
        <v>0</v>
      </c>
      <c r="R83" s="385">
        <f t="shared" si="108"/>
        <v>0</v>
      </c>
      <c r="S83" s="385">
        <f t="shared" si="109"/>
        <v>0</v>
      </c>
      <c r="T83" s="385">
        <f t="shared" si="110"/>
        <v>7000000</v>
      </c>
      <c r="U83" s="385">
        <f t="shared" ca="1" si="111"/>
        <v>7948491.8649655096</v>
      </c>
      <c r="V83" s="385">
        <f t="shared" ca="1" si="112"/>
        <v>9049708.9173638355</v>
      </c>
      <c r="W83" s="385">
        <f t="shared" ca="1" si="113"/>
        <v>10337763.340824503</v>
      </c>
      <c r="X83" s="385">
        <f t="shared" ca="1" si="114"/>
        <v>11845111.359408965</v>
      </c>
      <c r="Y83" s="385">
        <f t="shared" ca="1" si="115"/>
        <v>13619535.111423569</v>
      </c>
      <c r="Z83" s="385">
        <f t="shared" ca="1" si="116"/>
        <v>15699256.025882844</v>
      </c>
      <c r="AA83" s="402"/>
      <c r="AB83" s="388" t="s">
        <v>332</v>
      </c>
      <c r="AC83" s="392">
        <v>0.04</v>
      </c>
      <c r="AD83" s="392">
        <f t="shared" ref="AD83:AG83" ca="1" si="129">AC83+_xlfn.NORM.DIST(RAND(), 0, 1, FALSE)%</f>
        <v>4.3989359570035816E-2</v>
      </c>
      <c r="AE83" s="392">
        <f t="shared" ca="1" si="129"/>
        <v>4.776675404617569E-2</v>
      </c>
      <c r="AF83" s="392">
        <f t="shared" ca="1" si="129"/>
        <v>5.021995165513253E-2</v>
      </c>
      <c r="AG83" s="392">
        <f t="shared" ca="1" si="129"/>
        <v>5.4208206495852389E-2</v>
      </c>
      <c r="AH83" s="392">
        <f ca="1">AG83+_xlfn.NORM.DIST(RAND(), 0, 1, FALSE)%</f>
        <v>5.7246515668509433E-2</v>
      </c>
      <c r="AI83" s="392">
        <f t="shared" ref="AI83:AL83" ca="1" si="130">AH83+_xlfn.NORM.DIST(RAND(), 0, 1, FALSE)%</f>
        <v>6.1235926200979521E-2</v>
      </c>
      <c r="AJ83" s="392">
        <f t="shared" ca="1" si="130"/>
        <v>6.5155238043679967E-2</v>
      </c>
      <c r="AK83" s="392">
        <f t="shared" ca="1" si="130"/>
        <v>6.9114387926169557E-2</v>
      </c>
      <c r="AL83" s="392">
        <f t="shared" ca="1" si="130"/>
        <v>7.2334609802237285E-2</v>
      </c>
      <c r="AM83" s="388"/>
      <c r="AN83" s="388"/>
      <c r="AO83" s="388"/>
      <c r="AP83" s="388" t="s">
        <v>332</v>
      </c>
      <c r="AQ83" s="390">
        <f>AC69*AQ69</f>
        <v>0</v>
      </c>
      <c r="AR83" s="390">
        <f t="shared" si="118"/>
        <v>0</v>
      </c>
      <c r="AS83" s="390">
        <f t="shared" si="119"/>
        <v>0</v>
      </c>
      <c r="AT83" s="390">
        <f t="shared" si="120"/>
        <v>7000000</v>
      </c>
      <c r="AU83" s="390">
        <f t="shared" ca="1" si="121"/>
        <v>8086693.627744521</v>
      </c>
      <c r="AV83" s="390">
        <f t="shared" ca="1" si="122"/>
        <v>9377564.6643645912</v>
      </c>
      <c r="AW83" s="390">
        <f t="shared" ca="1" si="123"/>
        <v>10905837.323541161</v>
      </c>
      <c r="AX83" s="390">
        <f t="shared" ca="1" si="124"/>
        <v>12731033.010349959</v>
      </c>
      <c r="AY83" s="390">
        <f t="shared" ca="1" si="125"/>
        <v>14916579.146349384</v>
      </c>
      <c r="AZ83" s="390">
        <f t="shared" ca="1" si="126"/>
        <v>17542282.322401743</v>
      </c>
    </row>
    <row r="84" spans="2:52">
      <c r="B84" s="383" t="s">
        <v>282</v>
      </c>
      <c r="C84" s="387">
        <v>0.02</v>
      </c>
      <c r="D84" s="387">
        <f t="shared" ref="D84:L84" ca="1" si="131">C84+_xlfn.NORM.DIST(RAND(), 0, 1, FALSE)%</f>
        <v>2.3974817614466792E-2</v>
      </c>
      <c r="E84" s="387">
        <f t="shared" ca="1" si="131"/>
        <v>2.7740679400275234E-2</v>
      </c>
      <c r="F84" s="387">
        <f t="shared" ca="1" si="131"/>
        <v>3.1578890202208526E-2</v>
      </c>
      <c r="G84" s="387">
        <f t="shared" ca="1" si="131"/>
        <v>3.5151740727715243E-2</v>
      </c>
      <c r="H84" s="387">
        <f t="shared" ca="1" si="131"/>
        <v>3.9122869920699535E-2</v>
      </c>
      <c r="I84" s="387">
        <f t="shared" ca="1" si="131"/>
        <v>4.3080507304258192E-2</v>
      </c>
      <c r="J84" s="387">
        <f t="shared" ca="1" si="131"/>
        <v>4.6459919182819748E-2</v>
      </c>
      <c r="K84" s="387">
        <f t="shared" ca="1" si="131"/>
        <v>5.0425775768574641E-2</v>
      </c>
      <c r="L84" s="387">
        <f t="shared" ca="1" si="131"/>
        <v>5.4161616471032514E-2</v>
      </c>
      <c r="M84" s="383"/>
      <c r="N84" s="383"/>
      <c r="O84" s="383"/>
      <c r="P84" s="383" t="s">
        <v>282</v>
      </c>
      <c r="Q84" s="385">
        <f>C70*Q70</f>
        <v>0</v>
      </c>
      <c r="R84" s="385">
        <f t="shared" si="108"/>
        <v>0</v>
      </c>
      <c r="S84" s="385">
        <f t="shared" si="109"/>
        <v>0</v>
      </c>
      <c r="T84" s="385">
        <f t="shared" si="110"/>
        <v>6350000</v>
      </c>
      <c r="U84" s="385">
        <f t="shared" ca="1" si="111"/>
        <v>6756867.5202967199</v>
      </c>
      <c r="V84" s="385">
        <f t="shared" ca="1" si="112"/>
        <v>7214706.2455300149</v>
      </c>
      <c r="W84" s="385">
        <f t="shared" ca="1" si="113"/>
        <v>7733120.6966638789</v>
      </c>
      <c r="X84" s="385">
        <f t="shared" ca="1" si="114"/>
        <v>8320354.8842898356</v>
      </c>
      <c r="Y84" s="385">
        <f t="shared" ca="1" si="115"/>
        <v>8981185.81362959</v>
      </c>
      <c r="Z84" s="385">
        <f t="shared" ca="1" si="116"/>
        <v>9731242.2514850926</v>
      </c>
      <c r="AA84" s="402"/>
      <c r="AB84" s="388" t="s">
        <v>282</v>
      </c>
      <c r="AC84" s="392">
        <v>0.03</v>
      </c>
      <c r="AD84" s="392">
        <f t="shared" ref="AD84:AL84" ca="1" si="132">AC84+_xlfn.NORM.DIST(RAND(), 0, 1, FALSE)%</f>
        <v>3.2533487432324308E-2</v>
      </c>
      <c r="AE84" s="392">
        <f t="shared" ca="1" si="132"/>
        <v>3.5390423273125277E-2</v>
      </c>
      <c r="AF84" s="392">
        <f t="shared" ca="1" si="132"/>
        <v>3.8965989330174464E-2</v>
      </c>
      <c r="AG84" s="392">
        <f t="shared" ca="1" si="132"/>
        <v>4.1410022353560831E-2</v>
      </c>
      <c r="AH84" s="392">
        <f t="shared" ca="1" si="132"/>
        <v>4.4350180746043799E-2</v>
      </c>
      <c r="AI84" s="392">
        <f t="shared" ca="1" si="132"/>
        <v>4.8290987956367541E-2</v>
      </c>
      <c r="AJ84" s="392">
        <f t="shared" ca="1" si="132"/>
        <v>5.2280209036970775E-2</v>
      </c>
      <c r="AK84" s="392">
        <f t="shared" ca="1" si="132"/>
        <v>5.5847246931928197E-2</v>
      </c>
      <c r="AL84" s="392">
        <f t="shared" ca="1" si="132"/>
        <v>5.8467959988557652E-2</v>
      </c>
      <c r="AM84" s="388"/>
      <c r="AN84" s="388"/>
      <c r="AO84" s="388"/>
      <c r="AP84" s="388" t="s">
        <v>282</v>
      </c>
      <c r="AQ84" s="390">
        <f>AC70*AQ70</f>
        <v>0</v>
      </c>
      <c r="AR84" s="390">
        <f t="shared" si="118"/>
        <v>0</v>
      </c>
      <c r="AS84" s="390">
        <f t="shared" si="119"/>
        <v>0</v>
      </c>
      <c r="AT84" s="390">
        <f t="shared" si="120"/>
        <v>6350000</v>
      </c>
      <c r="AU84" s="390">
        <f t="shared" ca="1" si="121"/>
        <v>7257177.4354712674</v>
      </c>
      <c r="AV84" s="390">
        <f t="shared" ca="1" si="122"/>
        <v>8313467.0468276795</v>
      </c>
      <c r="AW84" s="390">
        <f t="shared" ca="1" si="123"/>
        <v>9550387.8942788448</v>
      </c>
      <c r="AX84" s="390">
        <f t="shared" ca="1" si="124"/>
        <v>11012744.117166115</v>
      </c>
      <c r="AY84" s="390">
        <f t="shared" ca="1" si="125"/>
        <v>12747341.949850453</v>
      </c>
      <c r="AZ84" s="390">
        <f t="shared" ca="1" si="126"/>
        <v>14805170.493794428</v>
      </c>
    </row>
    <row r="85" spans="2:52">
      <c r="B85" s="383" t="s">
        <v>333</v>
      </c>
      <c r="C85" s="387">
        <v>0.04</v>
      </c>
      <c r="D85" s="387">
        <f t="shared" ref="D85:L85" ca="1" si="133">C85+_xlfn.NORM.DIST(RAND(), 0, 1, FALSE)%</f>
        <v>4.2523877114292598E-2</v>
      </c>
      <c r="E85" s="387">
        <f t="shared" ca="1" si="133"/>
        <v>4.5379546242444814E-2</v>
      </c>
      <c r="F85" s="387">
        <f t="shared" ca="1" si="133"/>
        <v>4.8955336464232141E-2</v>
      </c>
      <c r="G85" s="387">
        <f t="shared" ca="1" si="133"/>
        <v>5.1978713178180078E-2</v>
      </c>
      <c r="H85" s="387">
        <f t="shared" ca="1" si="133"/>
        <v>5.4767514780351322E-2</v>
      </c>
      <c r="I85" s="387">
        <f t="shared" ca="1" si="133"/>
        <v>5.7849364936023273E-2</v>
      </c>
      <c r="J85" s="387">
        <f t="shared" ca="1" si="133"/>
        <v>6.1064592251088297E-2</v>
      </c>
      <c r="K85" s="387">
        <f t="shared" ca="1" si="133"/>
        <v>6.4797173973965838E-2</v>
      </c>
      <c r="L85" s="387">
        <f t="shared" ca="1" si="133"/>
        <v>6.8473977959817189E-2</v>
      </c>
      <c r="M85" s="383"/>
      <c r="N85" s="383"/>
      <c r="O85" s="383"/>
      <c r="P85" s="383" t="s">
        <v>333</v>
      </c>
      <c r="Q85" s="383"/>
      <c r="R85" s="385">
        <f>D71*R71</f>
        <v>0</v>
      </c>
      <c r="S85" s="385">
        <f t="shared" si="109"/>
        <v>0</v>
      </c>
      <c r="T85" s="385">
        <f t="shared" si="110"/>
        <v>0</v>
      </c>
      <c r="U85" s="385">
        <f t="shared" si="111"/>
        <v>6032500</v>
      </c>
      <c r="V85" s="385">
        <f t="shared" ca="1" si="112"/>
        <v>6545962.527245664</v>
      </c>
      <c r="W85" s="385">
        <f t="shared" ca="1" si="113"/>
        <v>7121959.3884495255</v>
      </c>
      <c r="X85" s="385">
        <f t="shared" ca="1" si="114"/>
        <v>7771279.9629808823</v>
      </c>
      <c r="Y85" s="385">
        <f t="shared" ca="1" si="115"/>
        <v>8505573.6503528282</v>
      </c>
      <c r="Z85" s="385">
        <f t="shared" ca="1" si="116"/>
        <v>9341997.1756797004</v>
      </c>
      <c r="AA85" s="402"/>
      <c r="AB85" s="388" t="s">
        <v>333</v>
      </c>
      <c r="AC85" s="392">
        <v>0.04</v>
      </c>
      <c r="AD85" s="392">
        <f t="shared" ref="AD85:AL85" ca="1" si="134">AC85+_xlfn.NORM.DIST(RAND(), 0, 1, FALSE)%</f>
        <v>4.3776395705692819E-2</v>
      </c>
      <c r="AE85" s="392">
        <f t="shared" ca="1" si="134"/>
        <v>4.7421688003773221E-2</v>
      </c>
      <c r="AF85" s="392">
        <f t="shared" ca="1" si="134"/>
        <v>5.0172955538113011E-2</v>
      </c>
      <c r="AG85" s="392">
        <f t="shared" ca="1" si="134"/>
        <v>5.2652020326093202E-2</v>
      </c>
      <c r="AH85" s="392">
        <f t="shared" ca="1" si="134"/>
        <v>5.6212399638553082E-2</v>
      </c>
      <c r="AI85" s="392">
        <f t="shared" ca="1" si="134"/>
        <v>5.9858605577305296E-2</v>
      </c>
      <c r="AJ85" s="392">
        <f t="shared" ca="1" si="134"/>
        <v>6.2881628832018296E-2</v>
      </c>
      <c r="AK85" s="392">
        <f t="shared" ca="1" si="134"/>
        <v>6.666545330147168E-2</v>
      </c>
      <c r="AL85" s="392">
        <f t="shared" ca="1" si="134"/>
        <v>7.0387981545345729E-2</v>
      </c>
      <c r="AM85" s="388"/>
      <c r="AN85" s="388"/>
      <c r="AO85" s="388"/>
      <c r="AP85" s="388" t="s">
        <v>333</v>
      </c>
      <c r="AQ85" s="388"/>
      <c r="AR85" s="390">
        <f>AD71*AR71</f>
        <v>0</v>
      </c>
      <c r="AS85" s="390">
        <f t="shared" si="119"/>
        <v>0</v>
      </c>
      <c r="AT85" s="390">
        <f t="shared" si="120"/>
        <v>0</v>
      </c>
      <c r="AU85" s="390">
        <f t="shared" si="121"/>
        <v>6032500</v>
      </c>
      <c r="AV85" s="390">
        <f t="shared" ca="1" si="122"/>
        <v>6985135.6438788734</v>
      </c>
      <c r="AW85" s="390">
        <f t="shared" ca="1" si="123"/>
        <v>8115565.5682443045</v>
      </c>
      <c r="AX85" s="390">
        <f t="shared" ca="1" si="124"/>
        <v>9461487.2072936613</v>
      </c>
      <c r="AY85" s="390">
        <f t="shared" ca="1" si="125"/>
        <v>11062085.027467748</v>
      </c>
      <c r="AZ85" s="390">
        <f t="shared" ca="1" si="126"/>
        <v>12979498.334311642</v>
      </c>
    </row>
    <row r="86" spans="2:52">
      <c r="B86" s="383" t="s">
        <v>290</v>
      </c>
      <c r="C86" s="387">
        <v>0.04</v>
      </c>
      <c r="D86" s="387">
        <f t="shared" ref="D86:J86" ca="1" si="135">C86+_xlfn.NORM.DIST(RAND(), 0, 1, FALSE)%</f>
        <v>4.3402097859660038E-2</v>
      </c>
      <c r="E86" s="387">
        <f t="shared" ca="1" si="135"/>
        <v>4.7355223781125867E-2</v>
      </c>
      <c r="F86" s="387">
        <f t="shared" ca="1" si="135"/>
        <v>5.1342410052400804E-2</v>
      </c>
      <c r="G86" s="387">
        <f t="shared" ca="1" si="135"/>
        <v>5.4127743004790667E-2</v>
      </c>
      <c r="H86" s="387">
        <f t="shared" ca="1" si="135"/>
        <v>5.7473197440676929E-2</v>
      </c>
      <c r="I86" s="387">
        <f t="shared" ca="1" si="135"/>
        <v>6.1085963753617703E-2</v>
      </c>
      <c r="J86" s="387">
        <f t="shared" ca="1" si="135"/>
        <v>6.3780285540944129E-2</v>
      </c>
      <c r="K86" s="387">
        <f t="shared" ref="K86:L90" ca="1" si="136">J86+_xlfn.NORM.DIST(RAND(), 0, 1, FALSE)%</f>
        <v>6.6979502469308144E-2</v>
      </c>
      <c r="L86" s="387">
        <f t="shared" ca="1" si="136"/>
        <v>7.014791751527201E-2</v>
      </c>
      <c r="M86" s="383"/>
      <c r="N86" s="383"/>
      <c r="O86" s="383"/>
      <c r="P86" s="383" t="s">
        <v>290</v>
      </c>
      <c r="Q86" s="383"/>
      <c r="R86" s="383"/>
      <c r="S86" s="385">
        <f>E72*S72</f>
        <v>0</v>
      </c>
      <c r="T86" s="385">
        <f t="shared" si="110"/>
        <v>0</v>
      </c>
      <c r="U86" s="385">
        <f t="shared" si="111"/>
        <v>0</v>
      </c>
      <c r="V86" s="385">
        <f t="shared" si="112"/>
        <v>3180000</v>
      </c>
      <c r="W86" s="385">
        <f t="shared" ca="1" si="113"/>
        <v>3468691.8580489852</v>
      </c>
      <c r="X86" s="385">
        <f t="shared" ca="1" si="114"/>
        <v>3796518.5208218447</v>
      </c>
      <c r="Y86" s="385">
        <f t="shared" ca="1" si="115"/>
        <v>4165879.3951597977</v>
      </c>
      <c r="Z86" s="385">
        <f t="shared" ca="1" si="116"/>
        <v>4584922.5240131784</v>
      </c>
      <c r="AA86" s="402"/>
      <c r="AB86" s="388" t="s">
        <v>290</v>
      </c>
      <c r="AC86" s="392">
        <v>0.01</v>
      </c>
      <c r="AD86" s="392">
        <f t="shared" ref="AD86:AJ86" ca="1" si="137">AC86+_xlfn.NORM.DIST(RAND(), 0, 1, FALSE)%</f>
        <v>1.3427970619194162E-2</v>
      </c>
      <c r="AE86" s="392">
        <f t="shared" ca="1" si="137"/>
        <v>1.6453977026830015E-2</v>
      </c>
      <c r="AF86" s="392">
        <f t="shared" ca="1" si="137"/>
        <v>1.9589676570811194E-2</v>
      </c>
      <c r="AG86" s="392">
        <f t="shared" ca="1" si="137"/>
        <v>2.2528644798876334E-2</v>
      </c>
      <c r="AH86" s="392">
        <f t="shared" ca="1" si="137"/>
        <v>2.5981117570511449E-2</v>
      </c>
      <c r="AI86" s="392">
        <f t="shared" ca="1" si="137"/>
        <v>2.8755373131849137E-2</v>
      </c>
      <c r="AJ86" s="392">
        <f t="shared" ca="1" si="137"/>
        <v>3.2736735291469872E-2</v>
      </c>
      <c r="AK86" s="392">
        <f t="shared" ref="AK86:AL90" ca="1" si="138">AJ86+_xlfn.NORM.DIST(RAND(), 0, 1, FALSE)%</f>
        <v>3.569042043700326E-2</v>
      </c>
      <c r="AL86" s="392">
        <f t="shared" ca="1" si="138"/>
        <v>3.9667422554859083E-2</v>
      </c>
      <c r="AM86" s="388"/>
      <c r="AN86" s="388"/>
      <c r="AO86" s="388"/>
      <c r="AP86" s="388" t="s">
        <v>290</v>
      </c>
      <c r="AQ86" s="388"/>
      <c r="AR86" s="388"/>
      <c r="AS86" s="390">
        <f>AE72*AS72</f>
        <v>0</v>
      </c>
      <c r="AT86" s="390">
        <f t="shared" si="120"/>
        <v>0</v>
      </c>
      <c r="AU86" s="390">
        <f t="shared" si="121"/>
        <v>0</v>
      </c>
      <c r="AV86" s="390">
        <f t="shared" si="122"/>
        <v>3180000</v>
      </c>
      <c r="AW86" s="390">
        <f t="shared" ca="1" si="123"/>
        <v>3588881.9492616486</v>
      </c>
      <c r="AX86" s="390">
        <f t="shared" ca="1" si="124"/>
        <v>4061289.7477227077</v>
      </c>
      <c r="AY86" s="390">
        <f t="shared" ca="1" si="125"/>
        <v>4613667.4266494531</v>
      </c>
      <c r="AZ86" s="390">
        <f t="shared" ca="1" si="126"/>
        <v>5256164.2725493871</v>
      </c>
    </row>
    <row r="87" spans="2:52">
      <c r="B87" s="383" t="s">
        <v>341</v>
      </c>
      <c r="C87" s="387">
        <v>0</v>
      </c>
      <c r="D87" s="395">
        <f t="shared" ref="D87:J87" ca="1" si="139">C87+_xlfn.NORM.DIST(RAND(), 0, 1, FALSE)%</f>
        <v>3.7944881433932339E-3</v>
      </c>
      <c r="E87" s="395">
        <f t="shared" ca="1" si="139"/>
        <v>7.7034465990850759E-3</v>
      </c>
      <c r="F87" s="395">
        <f t="shared" ca="1" si="139"/>
        <v>1.1349363761856355E-2</v>
      </c>
      <c r="G87" s="395">
        <f t="shared" ca="1" si="139"/>
        <v>1.5285881260812257E-2</v>
      </c>
      <c r="H87" s="395">
        <f t="shared" ca="1" si="139"/>
        <v>1.8831766443886375E-2</v>
      </c>
      <c r="I87" s="395">
        <f t="shared" ca="1" si="139"/>
        <v>2.1756198074090093E-2</v>
      </c>
      <c r="J87" s="395">
        <f t="shared" ca="1" si="139"/>
        <v>2.4283477993356603E-2</v>
      </c>
      <c r="K87" s="395">
        <f t="shared" ca="1" si="136"/>
        <v>2.7928384663920707E-2</v>
      </c>
      <c r="L87" s="395">
        <f t="shared" ca="1" si="136"/>
        <v>3.1363573654355596E-2</v>
      </c>
      <c r="M87" s="383"/>
      <c r="N87" s="383"/>
      <c r="O87" s="383"/>
      <c r="P87" s="383" t="s">
        <v>341</v>
      </c>
      <c r="Q87" s="385">
        <f>C73*Q73 + C74*Q74</f>
        <v>0</v>
      </c>
      <c r="R87" s="385">
        <f t="shared" ref="R87" si="140">D73*R73 + D74*R74</f>
        <v>0</v>
      </c>
      <c r="S87" s="385">
        <f t="shared" ref="S87" si="141">E73*S73 + E74*S74</f>
        <v>0</v>
      </c>
      <c r="T87" s="385">
        <f t="shared" ref="T87" si="142">F73*T73 + F74*T74</f>
        <v>3610000</v>
      </c>
      <c r="U87" s="385">
        <f t="shared" ref="U87" ca="1" si="143">G73*U73 + G74*U74</f>
        <v>4142246.668832852</v>
      </c>
      <c r="V87" s="385">
        <f t="shared" ref="V87" ca="1" si="144">H73*V73 + H74*V74</f>
        <v>4474396.6424748823</v>
      </c>
      <c r="W87" s="385">
        <f t="shared" ref="W87" ca="1" si="145">I73*W73 + I74*W74</f>
        <v>4810056.7301062671</v>
      </c>
      <c r="X87" s="385">
        <f t="shared" ref="X87" ca="1" si="146">J73*X73 + J74*X74</f>
        <v>5151507.2799329767</v>
      </c>
      <c r="Y87" s="385">
        <f t="shared" ref="Y87" ca="1" si="147">K73*Y73 + K74*Y74</f>
        <v>5501588.0507382751</v>
      </c>
      <c r="Z87" s="385">
        <f t="shared" ref="Z87" ca="1" si="148">L73*Z73 + L74*Z74</f>
        <v>5870322.4892293392</v>
      </c>
      <c r="AA87" s="402"/>
      <c r="AB87" s="388" t="s">
        <v>341</v>
      </c>
      <c r="AC87" s="392">
        <v>0</v>
      </c>
      <c r="AD87" s="401">
        <f t="shared" ref="AD87:AJ87" ca="1" si="149">AC87+_xlfn.NORM.DIST(RAND(), 0, 1, FALSE)%</f>
        <v>3.8807091361205371E-3</v>
      </c>
      <c r="AE87" s="401">
        <f t="shared" ca="1" si="149"/>
        <v>6.3216927906875929E-3</v>
      </c>
      <c r="AF87" s="401">
        <f t="shared" ca="1" si="149"/>
        <v>9.764640239154047E-3</v>
      </c>
      <c r="AG87" s="401">
        <f t="shared" ca="1" si="149"/>
        <v>1.3329659197711959E-2</v>
      </c>
      <c r="AH87" s="401">
        <f t="shared" ca="1" si="149"/>
        <v>1.6741907185119764E-2</v>
      </c>
      <c r="AI87" s="401">
        <f t="shared" ca="1" si="149"/>
        <v>2.0728247253988717E-2</v>
      </c>
      <c r="AJ87" s="401">
        <f t="shared" ca="1" si="149"/>
        <v>2.4712539990188236E-2</v>
      </c>
      <c r="AK87" s="401">
        <f t="shared" ca="1" si="138"/>
        <v>2.8283072903788932E-2</v>
      </c>
      <c r="AL87" s="401">
        <f t="shared" ca="1" si="138"/>
        <v>3.2246300193221826E-2</v>
      </c>
      <c r="AM87" s="388"/>
      <c r="AN87" s="388"/>
      <c r="AO87" s="388"/>
      <c r="AP87" s="388" t="s">
        <v>341</v>
      </c>
      <c r="AQ87" s="390">
        <f>AC73*AQ73 + AC74*AQ74</f>
        <v>0</v>
      </c>
      <c r="AR87" s="390">
        <f t="shared" ref="AR87" si="150">AD73*AR73 + AD74*AR74</f>
        <v>0</v>
      </c>
      <c r="AS87" s="390">
        <f t="shared" ref="AS87" si="151">AE73*AS73 + AE74*AS74</f>
        <v>0</v>
      </c>
      <c r="AT87" s="390">
        <f t="shared" ref="AT87" si="152">AF73*AT73 + AF74*AT74</f>
        <v>3610000</v>
      </c>
      <c r="AU87" s="390">
        <f t="shared" ref="AU87" ca="1" si="153">AG73*AU73 + AG74*AU74</f>
        <v>4209775.3863896802</v>
      </c>
      <c r="AV87" s="390">
        <f t="shared" ref="AV87" ca="1" si="154">AH73*AV73 + AH74*AV74</f>
        <v>4850212.6901641339</v>
      </c>
      <c r="AW87" s="390">
        <f t="shared" ref="AW87" ca="1" si="155">AI73*AW73 + AI74*AW74</f>
        <v>5540954.1056174329</v>
      </c>
      <c r="AX87" s="390">
        <f t="shared" ref="AX87" ca="1" si="156">AJ73*AX73 + AJ74*AX74</f>
        <v>6299323.8389143609</v>
      </c>
      <c r="AY87" s="390">
        <f t="shared" ref="AY87" ca="1" si="157">AK73*AY73 + AK74*AY74</f>
        <v>7142575.7170811845</v>
      </c>
      <c r="AZ87" s="390">
        <f t="shared" ref="AZ87" ca="1" si="158">AL73*AZ73 + AL74*AZ74</f>
        <v>8087943.4399880767</v>
      </c>
    </row>
    <row r="88" spans="2:52">
      <c r="B88" s="383" t="s">
        <v>342</v>
      </c>
      <c r="C88" s="387">
        <v>0</v>
      </c>
      <c r="D88" s="395">
        <f t="shared" ref="D88:J88" ca="1" si="159">C88+_xlfn.NORM.DIST(RAND(), 0, 1, FALSE)%</f>
        <v>3.864351762057172E-3</v>
      </c>
      <c r="E88" s="395">
        <f t="shared" ca="1" si="159"/>
        <v>7.2433461680463957E-3</v>
      </c>
      <c r="F88" s="395">
        <f t="shared" ca="1" si="159"/>
        <v>1.0396524335693267E-2</v>
      </c>
      <c r="G88" s="395">
        <f t="shared" ca="1" si="159"/>
        <v>1.4384440857009633E-2</v>
      </c>
      <c r="H88" s="395">
        <f t="shared" ca="1" si="159"/>
        <v>1.8328142210547255E-2</v>
      </c>
      <c r="I88" s="395">
        <f t="shared" ca="1" si="159"/>
        <v>2.2097648415233675E-2</v>
      </c>
      <c r="J88" s="395">
        <f t="shared" ca="1" si="159"/>
        <v>2.5117138411779979E-2</v>
      </c>
      <c r="K88" s="395">
        <f t="shared" ca="1" si="136"/>
        <v>2.9081994607484687E-2</v>
      </c>
      <c r="L88" s="395">
        <f t="shared" ca="1" si="136"/>
        <v>3.2082797938910827E-2</v>
      </c>
      <c r="M88" s="383"/>
      <c r="N88" s="383"/>
      <c r="O88" s="383"/>
      <c r="P88" s="383" t="s">
        <v>342</v>
      </c>
      <c r="Q88" s="385">
        <f>C75*Q75</f>
        <v>0</v>
      </c>
      <c r="R88" s="385">
        <f>D75*R75</f>
        <v>0</v>
      </c>
      <c r="S88" s="385">
        <f>E75*S75</f>
        <v>0</v>
      </c>
      <c r="T88" s="385">
        <f>F75*T75</f>
        <v>0</v>
      </c>
      <c r="U88" s="385">
        <f>G75*U75</f>
        <v>150000</v>
      </c>
      <c r="V88" s="385">
        <f ca="1">H75*V75</f>
        <v>156950.63261160083</v>
      </c>
      <c r="W88" s="385">
        <f ca="1">I75*W75</f>
        <v>164861.80437911508</v>
      </c>
      <c r="X88" s="385">
        <f ca="1">J75*X75</f>
        <v>173812.76574032148</v>
      </c>
      <c r="Y88" s="385">
        <f ca="1">K75*Y75</f>
        <v>183791.06605376283</v>
      </c>
      <c r="Z88" s="385">
        <f ca="1">L75*Z75</f>
        <v>195093.86326627995</v>
      </c>
      <c r="AA88" s="402"/>
      <c r="AB88" s="388" t="s">
        <v>342</v>
      </c>
      <c r="AC88" s="392">
        <v>0</v>
      </c>
      <c r="AD88" s="401">
        <f t="shared" ref="AD88:AJ88" ca="1" si="160">AC88+_xlfn.NORM.DIST(RAND(), 0, 1, FALSE)%</f>
        <v>2.7987140398886062E-3</v>
      </c>
      <c r="AE88" s="401">
        <f t="shared" ca="1" si="160"/>
        <v>6.3214686312700122E-3</v>
      </c>
      <c r="AF88" s="401">
        <f t="shared" ca="1" si="160"/>
        <v>8.8174370819334453E-3</v>
      </c>
      <c r="AG88" s="401">
        <f t="shared" ca="1" si="160"/>
        <v>1.2563297479393082E-2</v>
      </c>
      <c r="AH88" s="401">
        <f t="shared" ca="1" si="160"/>
        <v>1.5377476506705805E-2</v>
      </c>
      <c r="AI88" s="401">
        <f t="shared" ca="1" si="160"/>
        <v>1.9349771162228767E-2</v>
      </c>
      <c r="AJ88" s="401">
        <f t="shared" ca="1" si="160"/>
        <v>2.3337433243623133E-2</v>
      </c>
      <c r="AK88" s="401">
        <f t="shared" ca="1" si="138"/>
        <v>2.6874603385848371E-2</v>
      </c>
      <c r="AL88" s="401">
        <f t="shared" ca="1" si="138"/>
        <v>3.0311302126224321E-2</v>
      </c>
      <c r="AM88" s="388"/>
      <c r="AN88" s="388"/>
      <c r="AO88" s="388"/>
      <c r="AP88" s="388" t="s">
        <v>342</v>
      </c>
      <c r="AQ88" s="390">
        <f>AC75*AQ75</f>
        <v>0</v>
      </c>
      <c r="AR88" s="390">
        <f>AD75*AR75</f>
        <v>0</v>
      </c>
      <c r="AS88" s="390">
        <f>AE75*AS75</f>
        <v>0</v>
      </c>
      <c r="AT88" s="390">
        <f>AF75*AT75</f>
        <v>0</v>
      </c>
      <c r="AU88" s="390">
        <f>AG75*AU75</f>
        <v>150000</v>
      </c>
      <c r="AV88" s="390">
        <f ca="1">AH75*AV75</f>
        <v>167072.94408409984</v>
      </c>
      <c r="AW88" s="390">
        <f ca="1">AI75*AW75</f>
        <v>186606.31479232517</v>
      </c>
      <c r="AX88" s="390">
        <f ca="1">AJ75*AX75</f>
        <v>209238.81470908184</v>
      </c>
      <c r="AY88" s="390">
        <f ca="1">AK75*AY75</f>
        <v>235534.10273726287</v>
      </c>
      <c r="AZ88" s="390">
        <f ca="1">AL75*AZ75</f>
        <v>266050.38716538536</v>
      </c>
    </row>
    <row r="89" spans="2:52">
      <c r="B89" s="383" t="s">
        <v>343</v>
      </c>
      <c r="C89" s="387">
        <v>0</v>
      </c>
      <c r="D89" s="395">
        <f t="shared" ref="D89:J89" ca="1" si="161">C89+_xlfn.NORM.DIST(RAND(), 0, 1, FALSE)%</f>
        <v>3.9656667081030637E-3</v>
      </c>
      <c r="E89" s="395">
        <f t="shared" ca="1" si="161"/>
        <v>7.9331877085763794E-3</v>
      </c>
      <c r="F89" s="395">
        <f t="shared" ca="1" si="161"/>
        <v>1.174320742152902E-2</v>
      </c>
      <c r="G89" s="395">
        <f t="shared" ca="1" si="161"/>
        <v>1.4472964208294612E-2</v>
      </c>
      <c r="H89" s="395">
        <f t="shared" ca="1" si="161"/>
        <v>1.7940608254933328E-2</v>
      </c>
      <c r="I89" s="395">
        <f t="shared" ca="1" si="161"/>
        <v>2.0988929756653913E-2</v>
      </c>
      <c r="J89" s="395">
        <f t="shared" ca="1" si="161"/>
        <v>2.4968963895056262E-2</v>
      </c>
      <c r="K89" s="395">
        <f t="shared" ca="1" si="136"/>
        <v>2.7568449896780669E-2</v>
      </c>
      <c r="L89" s="395">
        <f t="shared" ca="1" si="136"/>
        <v>3.0337791670895193E-2</v>
      </c>
      <c r="M89" s="383"/>
      <c r="N89" s="383"/>
      <c r="O89" s="383"/>
      <c r="P89" s="383" t="s">
        <v>343</v>
      </c>
      <c r="Q89" s="385">
        <f>C76*Q76</f>
        <v>0</v>
      </c>
      <c r="R89" s="385">
        <f>D76*R76</f>
        <v>0</v>
      </c>
      <c r="S89" s="385">
        <f>E76*S76</f>
        <v>0</v>
      </c>
      <c r="T89" s="385">
        <f>F76*T76</f>
        <v>0</v>
      </c>
      <c r="U89" s="385">
        <f>G76*U76</f>
        <v>450000</v>
      </c>
      <c r="V89" s="385">
        <f ca="1">H76*V76</f>
        <v>470892.98816138523</v>
      </c>
      <c r="W89" s="385">
        <f ca="1">I76*W76</f>
        <v>494440.33927793114</v>
      </c>
      <c r="X89" s="385">
        <f ca="1">J76*X76</f>
        <v>520719.8833819704</v>
      </c>
      <c r="Y89" s="385">
        <f ca="1">K76*Y76</f>
        <v>550533.9535090843</v>
      </c>
      <c r="Z89" s="385">
        <f ca="1">L76*Z76</f>
        <v>583531.22784139682</v>
      </c>
      <c r="AA89" s="402"/>
      <c r="AB89" s="388" t="s">
        <v>343</v>
      </c>
      <c r="AC89" s="392">
        <v>0</v>
      </c>
      <c r="AD89" s="401">
        <f t="shared" ref="AD89:AJ89" ca="1" si="162">AC89+_xlfn.NORM.DIST(RAND(), 0, 1, FALSE)%</f>
        <v>3.985600074446944E-3</v>
      </c>
      <c r="AE89" s="401">
        <f t="shared" ca="1" si="162"/>
        <v>7.9082241242363904E-3</v>
      </c>
      <c r="AF89" s="401">
        <f t="shared" ca="1" si="162"/>
        <v>1.0917435804467171E-2</v>
      </c>
      <c r="AG89" s="401">
        <f t="shared" ca="1" si="162"/>
        <v>1.4829291285723445E-2</v>
      </c>
      <c r="AH89" s="401">
        <f t="shared" ca="1" si="162"/>
        <v>1.7727637941749693E-2</v>
      </c>
      <c r="AI89" s="401">
        <f t="shared" ca="1" si="162"/>
        <v>2.151608361458238E-2</v>
      </c>
      <c r="AJ89" s="401">
        <f t="shared" ca="1" si="162"/>
        <v>2.5288595977659103E-2</v>
      </c>
      <c r="AK89" s="401">
        <f t="shared" ca="1" si="138"/>
        <v>2.8472031840254611E-2</v>
      </c>
      <c r="AL89" s="401">
        <f t="shared" ca="1" si="138"/>
        <v>3.2421153139059224E-2</v>
      </c>
      <c r="AM89" s="388"/>
      <c r="AN89" s="388"/>
      <c r="AO89" s="388"/>
      <c r="AP89" s="388" t="s">
        <v>343</v>
      </c>
      <c r="AQ89" s="390">
        <f>AC76*AQ76</f>
        <v>0</v>
      </c>
      <c r="AR89" s="390">
        <f>AD76*AR76</f>
        <v>0</v>
      </c>
      <c r="AS89" s="390">
        <f>AE76*AS76</f>
        <v>0</v>
      </c>
      <c r="AT89" s="390">
        <f>AF76*AT76</f>
        <v>0</v>
      </c>
      <c r="AU89" s="390">
        <f>AG76*AU76</f>
        <v>450000</v>
      </c>
      <c r="AV89" s="390">
        <f ca="1">AH76*AV76</f>
        <v>502340.49918643315</v>
      </c>
      <c r="AW89" s="390">
        <f ca="1">AI76*AW76</f>
        <v>562370.39064743696</v>
      </c>
      <c r="AX89" s="390">
        <f ca="1">AJ76*AX76</f>
        <v>631917.43889446976</v>
      </c>
      <c r="AY89" s="390">
        <f ca="1">AK76*AY76</f>
        <v>712687.51806770021</v>
      </c>
      <c r="AZ89" s="390">
        <f ca="1">AL76*AZ76</f>
        <v>806277.09775170346</v>
      </c>
    </row>
    <row r="90" spans="2:52">
      <c r="B90" s="383" t="s">
        <v>344</v>
      </c>
      <c r="C90" s="387">
        <v>0</v>
      </c>
      <c r="D90" s="395">
        <f t="shared" ref="D90:J90" ca="1" si="163">C90+_xlfn.NORM.DIST(RAND(), 0, 1, FALSE)%</f>
        <v>2.6534646907143515E-3</v>
      </c>
      <c r="E90" s="395">
        <f t="shared" ca="1" si="163"/>
        <v>5.0905687263517489E-3</v>
      </c>
      <c r="F90" s="395">
        <f t="shared" ca="1" si="163"/>
        <v>9.0527185759605167E-3</v>
      </c>
      <c r="G90" s="395">
        <f t="shared" ca="1" si="163"/>
        <v>1.2684377221110064E-2</v>
      </c>
      <c r="H90" s="395">
        <f t="shared" ca="1" si="163"/>
        <v>1.6668132652906377E-2</v>
      </c>
      <c r="I90" s="395">
        <f t="shared" ca="1" si="163"/>
        <v>2.018119840191461E-2</v>
      </c>
      <c r="J90" s="395">
        <f t="shared" ca="1" si="163"/>
        <v>2.3319635973287914E-2</v>
      </c>
      <c r="K90" s="395">
        <f t="shared" ca="1" si="136"/>
        <v>2.7292248301810745E-2</v>
      </c>
      <c r="L90" s="395">
        <f t="shared" ca="1" si="136"/>
        <v>3.1078966890000018E-2</v>
      </c>
      <c r="M90" s="383"/>
      <c r="N90" s="383"/>
      <c r="O90" s="383"/>
      <c r="P90" s="383" t="s">
        <v>344</v>
      </c>
      <c r="Q90" s="385">
        <f>C77*Q77</f>
        <v>0</v>
      </c>
      <c r="R90" s="385">
        <f>D77*R77</f>
        <v>0</v>
      </c>
      <c r="S90" s="385">
        <f>E77*S77</f>
        <v>0</v>
      </c>
      <c r="T90" s="385">
        <f>F77*T77</f>
        <v>0</v>
      </c>
      <c r="U90" s="385">
        <f>G77*U77</f>
        <v>490000</v>
      </c>
      <c r="V90" s="385">
        <f ca="1">H77*V77</f>
        <v>511846.12820075179</v>
      </c>
      <c r="W90" s="385">
        <f ca="1">I77*W77</f>
        <v>536769.54325542809</v>
      </c>
      <c r="X90" s="385">
        <f ca="1">J77*X77</f>
        <v>564851.66507494613</v>
      </c>
      <c r="Y90" s="385">
        <f ca="1">K77*Y77</f>
        <v>596231.54999232653</v>
      </c>
      <c r="Z90" s="385">
        <f ca="1">L77*Z77</f>
        <v>631797.92705934343</v>
      </c>
      <c r="AA90" s="402"/>
      <c r="AB90" s="388" t="s">
        <v>344</v>
      </c>
      <c r="AC90" s="392">
        <v>0</v>
      </c>
      <c r="AD90" s="401">
        <f t="shared" ref="AD90:AJ90" ca="1" si="164">AC90+_xlfn.NORM.DIST(RAND(), 0, 1, FALSE)%</f>
        <v>2.8852471930679736E-3</v>
      </c>
      <c r="AE90" s="401">
        <f t="shared" ca="1" si="164"/>
        <v>6.8166215823740953E-3</v>
      </c>
      <c r="AF90" s="401">
        <f t="shared" ca="1" si="164"/>
        <v>1.0801730365515256E-2</v>
      </c>
      <c r="AG90" s="401">
        <f t="shared" ca="1" si="164"/>
        <v>1.4624045651152773E-2</v>
      </c>
      <c r="AH90" s="401">
        <f t="shared" ca="1" si="164"/>
        <v>1.8511085749924844E-2</v>
      </c>
      <c r="AI90" s="401">
        <f t="shared" ca="1" si="164"/>
        <v>2.1109214811231784E-2</v>
      </c>
      <c r="AJ90" s="401">
        <f t="shared" ca="1" si="164"/>
        <v>2.4355851857534496E-2</v>
      </c>
      <c r="AK90" s="401">
        <f t="shared" ca="1" si="138"/>
        <v>2.827082662466042E-2</v>
      </c>
      <c r="AL90" s="401">
        <f t="shared" ca="1" si="138"/>
        <v>3.1900971265197114E-2</v>
      </c>
      <c r="AM90" s="388"/>
      <c r="AN90" s="388"/>
      <c r="AO90" s="388"/>
      <c r="AP90" s="388" t="s">
        <v>344</v>
      </c>
      <c r="AQ90" s="390">
        <f>AC77*AQ77</f>
        <v>0</v>
      </c>
      <c r="AR90" s="390">
        <f>AD77*AR77</f>
        <v>0</v>
      </c>
      <c r="AS90" s="390">
        <f>AE77*AS77</f>
        <v>0</v>
      </c>
      <c r="AT90" s="390">
        <f>AF77*AT77</f>
        <v>0</v>
      </c>
      <c r="AU90" s="390">
        <f>AG77*AU77</f>
        <v>490000</v>
      </c>
      <c r="AV90" s="390">
        <f ca="1">AH77*AV77</f>
        <v>546882.36060597154</v>
      </c>
      <c r="AW90" s="390">
        <f ca="1">AI77*AW77</f>
        <v>612706.32156609697</v>
      </c>
      <c r="AX90" s="390">
        <f ca="1">AJ77*AX77</f>
        <v>688204.0780166589</v>
      </c>
      <c r="AY90" s="390">
        <f ca="1">AK77*AY77</f>
        <v>775462.4620474421</v>
      </c>
      <c r="AZ90" s="390">
        <f ca="1">AL77*AZ77</f>
        <v>877123.96955250949</v>
      </c>
    </row>
    <row r="91" spans="2:52">
      <c r="B91" s="383"/>
      <c r="C91" s="383"/>
      <c r="D91" s="383"/>
      <c r="E91" s="383"/>
      <c r="F91" s="383"/>
      <c r="G91" s="383"/>
      <c r="H91" s="383"/>
      <c r="I91" s="383"/>
      <c r="J91" s="383"/>
      <c r="K91" s="383"/>
      <c r="L91" s="383"/>
      <c r="M91" s="383"/>
      <c r="N91" s="383"/>
      <c r="O91" s="383"/>
      <c r="P91" s="383" t="s">
        <v>354</v>
      </c>
      <c r="Q91" s="385">
        <f>SUM(Q82:Q90)</f>
        <v>0</v>
      </c>
      <c r="R91" s="385">
        <f t="shared" ref="R91:Z91" si="165">SUM(R82:R90)</f>
        <v>0</v>
      </c>
      <c r="S91" s="385">
        <f t="shared" si="165"/>
        <v>0</v>
      </c>
      <c r="T91" s="385">
        <f t="shared" si="165"/>
        <v>24660000</v>
      </c>
      <c r="U91" s="385">
        <f t="shared" ca="1" si="165"/>
        <v>34395449.065918423</v>
      </c>
      <c r="V91" s="385">
        <f t="shared" ca="1" si="165"/>
        <v>40853877.121038899</v>
      </c>
      <c r="W91" s="385">
        <f t="shared" ca="1" si="165"/>
        <v>44859795.192773476</v>
      </c>
      <c r="X91" s="385">
        <f t="shared" ca="1" si="165"/>
        <v>49403062.451008774</v>
      </c>
      <c r="Y91" s="385">
        <f t="shared" ca="1" si="165"/>
        <v>54571297.850027904</v>
      </c>
      <c r="Z91" s="385">
        <f t="shared" ca="1" si="165"/>
        <v>60484999.843668729</v>
      </c>
      <c r="AB91" s="388"/>
      <c r="AC91" s="388"/>
      <c r="AD91" s="388"/>
      <c r="AE91" s="388"/>
      <c r="AF91" s="388"/>
      <c r="AG91" s="388"/>
      <c r="AH91" s="388"/>
      <c r="AI91" s="388"/>
      <c r="AJ91" s="388"/>
      <c r="AK91" s="388"/>
      <c r="AL91" s="388"/>
      <c r="AM91" s="388"/>
      <c r="AN91" s="388"/>
      <c r="AO91" s="388"/>
      <c r="AP91" s="388" t="s">
        <v>354</v>
      </c>
      <c r="AQ91" s="390">
        <f>SUM(AQ82:AQ90)</f>
        <v>0</v>
      </c>
      <c r="AR91" s="390">
        <f t="shared" ref="AR91:AZ91" si="166">SUM(AR82:AR90)</f>
        <v>0</v>
      </c>
      <c r="AS91" s="390">
        <f t="shared" si="166"/>
        <v>0</v>
      </c>
      <c r="AT91" s="390">
        <f t="shared" si="166"/>
        <v>24660000</v>
      </c>
      <c r="AU91" s="390">
        <f t="shared" ca="1" si="166"/>
        <v>35406571.315776318</v>
      </c>
      <c r="AV91" s="390">
        <f t="shared" ca="1" si="166"/>
        <v>43858673.384845957</v>
      </c>
      <c r="AW91" s="390">
        <f t="shared" ca="1" si="166"/>
        <v>50414839.922615997</v>
      </c>
      <c r="AX91" s="390">
        <f t="shared" ca="1" si="166"/>
        <v>58113285.253781825</v>
      </c>
      <c r="AY91" s="390">
        <f t="shared" ca="1" si="166"/>
        <v>67191379.479377612</v>
      </c>
      <c r="AZ91" s="390">
        <f t="shared" ca="1" si="166"/>
        <v>77915269.91813013</v>
      </c>
    </row>
    <row r="93" spans="2:52">
      <c r="B93" s="428" t="s">
        <v>345</v>
      </c>
      <c r="C93" s="429">
        <f>Assumptions!J24</f>
        <v>4.4999999999999998E-2</v>
      </c>
      <c r="D93" s="429">
        <f>Assumptions!K24</f>
        <v>4.4999999999999998E-2</v>
      </c>
      <c r="E93" s="429">
        <f>Assumptions!L24</f>
        <v>4.4999999999999998E-2</v>
      </c>
      <c r="F93" s="429">
        <f>Assumptions!M24</f>
        <v>4.4999999999999998E-2</v>
      </c>
      <c r="G93" s="429">
        <f>Assumptions!N24</f>
        <v>4.4999999999999998E-2</v>
      </c>
      <c r="H93" s="429">
        <f>Assumptions!O24</f>
        <v>4.4999999999999998E-2</v>
      </c>
      <c r="I93" s="429">
        <f>Assumptions!P24</f>
        <v>4.4999999999999998E-2</v>
      </c>
      <c r="J93" s="429">
        <f>Assumptions!Q24</f>
        <v>4.4999999999999998E-2</v>
      </c>
      <c r="K93" s="429">
        <f>Assumptions!R24</f>
        <v>4.4999999999999998E-2</v>
      </c>
      <c r="L93" s="429">
        <f>Assumptions!S24</f>
        <v>4.4999999999999998E-2</v>
      </c>
      <c r="M93" s="428"/>
      <c r="N93" s="428"/>
      <c r="O93" s="428"/>
      <c r="P93" s="428"/>
      <c r="Q93" s="428"/>
      <c r="R93" s="428"/>
      <c r="S93" s="428"/>
      <c r="T93" s="428"/>
      <c r="U93" s="428"/>
      <c r="V93" s="428"/>
      <c r="W93" s="428"/>
      <c r="X93" s="428"/>
      <c r="Y93" s="428"/>
      <c r="Z93" s="428"/>
      <c r="AB93" s="436" t="s">
        <v>345</v>
      </c>
      <c r="AC93" s="437">
        <f>Assumptions!J23</f>
        <v>0.05</v>
      </c>
      <c r="AD93" s="437">
        <f>Assumptions!K23</f>
        <v>0.05</v>
      </c>
      <c r="AE93" s="437">
        <f>Assumptions!L23</f>
        <v>0.05</v>
      </c>
      <c r="AF93" s="437">
        <f>Assumptions!M23</f>
        <v>0.05</v>
      </c>
      <c r="AG93" s="437">
        <f>Assumptions!N23</f>
        <v>0.05</v>
      </c>
      <c r="AH93" s="437">
        <f>Assumptions!O23</f>
        <v>0.05</v>
      </c>
      <c r="AI93" s="437">
        <f>Assumptions!P23</f>
        <v>0.05</v>
      </c>
      <c r="AJ93" s="437">
        <f>Assumptions!Q23</f>
        <v>0.05</v>
      </c>
      <c r="AK93" s="437">
        <f>Assumptions!R23</f>
        <v>0.05</v>
      </c>
      <c r="AL93" s="437">
        <f>Assumptions!S23</f>
        <v>0.05</v>
      </c>
      <c r="AM93" s="436"/>
      <c r="AN93" s="436"/>
      <c r="AO93" s="436"/>
      <c r="AP93" s="436"/>
      <c r="AQ93" s="436"/>
      <c r="AR93" s="436"/>
      <c r="AS93" s="436"/>
      <c r="AT93" s="436"/>
      <c r="AU93" s="436"/>
      <c r="AV93" s="436"/>
      <c r="AW93" s="436"/>
      <c r="AX93" s="436"/>
      <c r="AY93" s="436"/>
      <c r="AZ93" s="436"/>
    </row>
    <row r="94" spans="2:52">
      <c r="B94" s="428"/>
      <c r="C94" s="428"/>
      <c r="D94" s="428"/>
      <c r="E94" s="428"/>
      <c r="F94" s="428"/>
      <c r="G94" s="428"/>
      <c r="H94" s="428"/>
      <c r="I94" s="428"/>
      <c r="J94" s="428"/>
      <c r="K94" s="428"/>
      <c r="L94" s="428"/>
      <c r="M94" s="428"/>
      <c r="N94" s="428"/>
      <c r="O94" s="428"/>
      <c r="P94" s="428"/>
      <c r="Q94" s="428"/>
      <c r="R94" s="428"/>
      <c r="S94" s="428"/>
      <c r="T94" s="428"/>
      <c r="U94" s="428"/>
      <c r="V94" s="428"/>
      <c r="W94" s="428"/>
      <c r="X94" s="428"/>
      <c r="Y94" s="428"/>
      <c r="Z94" s="428"/>
      <c r="AB94" s="436"/>
      <c r="AC94" s="436"/>
      <c r="AD94" s="436"/>
      <c r="AE94" s="436"/>
      <c r="AF94" s="436"/>
      <c r="AG94" s="436"/>
      <c r="AH94" s="436"/>
      <c r="AI94" s="436"/>
      <c r="AJ94" s="436"/>
      <c r="AK94" s="436"/>
      <c r="AL94" s="436"/>
      <c r="AM94" s="436"/>
      <c r="AN94" s="436"/>
      <c r="AO94" s="436"/>
      <c r="AP94" s="436"/>
      <c r="AQ94" s="436"/>
      <c r="AR94" s="436"/>
      <c r="AS94" s="436"/>
      <c r="AT94" s="436"/>
      <c r="AU94" s="436"/>
      <c r="AV94" s="436"/>
      <c r="AW94" s="436"/>
      <c r="AX94" s="436"/>
      <c r="AY94" s="436"/>
      <c r="AZ94" s="436"/>
    </row>
    <row r="95" spans="2:52">
      <c r="B95" s="428"/>
      <c r="C95" s="428"/>
      <c r="D95" s="428"/>
      <c r="E95" s="428"/>
      <c r="F95" s="428"/>
      <c r="G95" s="428"/>
      <c r="H95" s="428"/>
      <c r="I95" s="428"/>
      <c r="J95" s="428"/>
      <c r="K95" s="428"/>
      <c r="L95" s="428"/>
      <c r="M95" s="428"/>
      <c r="N95" s="428"/>
      <c r="O95" s="428"/>
      <c r="P95" s="428"/>
      <c r="Q95" s="428"/>
      <c r="R95" s="428"/>
      <c r="S95" s="428"/>
      <c r="T95" s="428"/>
      <c r="U95" s="428"/>
      <c r="V95" s="428"/>
      <c r="W95" s="428"/>
      <c r="X95" s="428"/>
      <c r="Y95" s="428"/>
      <c r="Z95" s="428"/>
      <c r="AB95" s="436"/>
      <c r="AC95" s="436"/>
      <c r="AD95" s="436"/>
      <c r="AE95" s="436"/>
      <c r="AF95" s="436"/>
      <c r="AG95" s="436"/>
      <c r="AH95" s="436"/>
      <c r="AI95" s="436"/>
      <c r="AJ95" s="436"/>
      <c r="AK95" s="436"/>
      <c r="AL95" s="436"/>
      <c r="AM95" s="436"/>
      <c r="AN95" s="436"/>
      <c r="AO95" s="436"/>
      <c r="AP95" s="436"/>
      <c r="AQ95" s="436"/>
      <c r="AR95" s="436"/>
      <c r="AS95" s="436"/>
      <c r="AT95" s="436"/>
      <c r="AU95" s="436"/>
      <c r="AV95" s="436"/>
      <c r="AW95" s="436"/>
      <c r="AX95" s="436"/>
      <c r="AY95" s="436"/>
      <c r="AZ95" s="436"/>
    </row>
    <row r="96" spans="2:52">
      <c r="B96" s="428"/>
      <c r="C96" s="428" t="s">
        <v>248</v>
      </c>
      <c r="D96" s="428"/>
      <c r="E96" s="428"/>
      <c r="F96" s="428"/>
      <c r="G96" s="428"/>
      <c r="H96" s="428"/>
      <c r="I96" s="428"/>
      <c r="J96" s="428"/>
      <c r="K96" s="428"/>
      <c r="L96" s="428"/>
      <c r="M96" s="428"/>
      <c r="N96" s="428"/>
      <c r="O96" s="428"/>
      <c r="P96" s="428"/>
      <c r="Q96" s="428" t="s">
        <v>248</v>
      </c>
      <c r="R96" s="428"/>
      <c r="S96" s="428"/>
      <c r="T96" s="428"/>
      <c r="U96" s="428"/>
      <c r="V96" s="428"/>
      <c r="W96" s="428"/>
      <c r="X96" s="428"/>
      <c r="Y96" s="428"/>
      <c r="Z96" s="428"/>
      <c r="AB96" s="436"/>
      <c r="AC96" s="436" t="s">
        <v>248</v>
      </c>
      <c r="AD96" s="436"/>
      <c r="AE96" s="436"/>
      <c r="AF96" s="436"/>
      <c r="AG96" s="436"/>
      <c r="AH96" s="436"/>
      <c r="AI96" s="436"/>
      <c r="AJ96" s="436"/>
      <c r="AK96" s="436"/>
      <c r="AL96" s="436"/>
      <c r="AM96" s="436"/>
      <c r="AN96" s="436"/>
      <c r="AO96" s="436"/>
      <c r="AP96" s="436"/>
      <c r="AQ96" s="436" t="s">
        <v>248</v>
      </c>
      <c r="AR96" s="436"/>
      <c r="AS96" s="436"/>
      <c r="AT96" s="436"/>
      <c r="AU96" s="436"/>
      <c r="AV96" s="436"/>
      <c r="AW96" s="436"/>
      <c r="AX96" s="436"/>
      <c r="AY96" s="436"/>
      <c r="AZ96" s="436"/>
    </row>
    <row r="97" spans="2:52">
      <c r="B97" s="428" t="s">
        <v>346</v>
      </c>
      <c r="C97" s="428">
        <v>1</v>
      </c>
      <c r="D97" s="428">
        <v>2</v>
      </c>
      <c r="E97" s="428">
        <v>3</v>
      </c>
      <c r="F97" s="428">
        <v>4</v>
      </c>
      <c r="G97" s="428">
        <v>5</v>
      </c>
      <c r="H97" s="428">
        <v>6</v>
      </c>
      <c r="I97" s="428">
        <v>7</v>
      </c>
      <c r="J97" s="428">
        <v>8</v>
      </c>
      <c r="K97" s="428">
        <v>9</v>
      </c>
      <c r="L97" s="428">
        <v>10</v>
      </c>
      <c r="M97" s="428"/>
      <c r="N97" s="428"/>
      <c r="O97" s="428"/>
      <c r="P97" s="428" t="s">
        <v>347</v>
      </c>
      <c r="Q97" s="428">
        <v>1</v>
      </c>
      <c r="R97" s="428">
        <v>2</v>
      </c>
      <c r="S97" s="428">
        <v>3</v>
      </c>
      <c r="T97" s="428">
        <v>4</v>
      </c>
      <c r="U97" s="428">
        <v>5</v>
      </c>
      <c r="V97" s="428">
        <v>6</v>
      </c>
      <c r="W97" s="428">
        <v>7</v>
      </c>
      <c r="X97" s="428">
        <v>8</v>
      </c>
      <c r="Y97" s="428">
        <v>9</v>
      </c>
      <c r="Z97" s="428">
        <v>10</v>
      </c>
      <c r="AB97" s="436" t="s">
        <v>346</v>
      </c>
      <c r="AC97" s="436">
        <v>1</v>
      </c>
      <c r="AD97" s="436">
        <v>2</v>
      </c>
      <c r="AE97" s="436">
        <v>3</v>
      </c>
      <c r="AF97" s="436">
        <v>4</v>
      </c>
      <c r="AG97" s="436">
        <v>5</v>
      </c>
      <c r="AH97" s="436">
        <v>6</v>
      </c>
      <c r="AI97" s="436">
        <v>7</v>
      </c>
      <c r="AJ97" s="436">
        <v>8</v>
      </c>
      <c r="AK97" s="436">
        <v>9</v>
      </c>
      <c r="AL97" s="436">
        <v>10</v>
      </c>
      <c r="AM97" s="436"/>
      <c r="AN97" s="436"/>
      <c r="AO97" s="436"/>
      <c r="AP97" s="436" t="s">
        <v>347</v>
      </c>
      <c r="AQ97" s="436">
        <v>1</v>
      </c>
      <c r="AR97" s="436">
        <v>2</v>
      </c>
      <c r="AS97" s="436">
        <v>3</v>
      </c>
      <c r="AT97" s="436">
        <v>4</v>
      </c>
      <c r="AU97" s="436">
        <v>5</v>
      </c>
      <c r="AV97" s="436">
        <v>6</v>
      </c>
      <c r="AW97" s="436">
        <v>7</v>
      </c>
      <c r="AX97" s="436">
        <v>8</v>
      </c>
      <c r="AY97" s="436">
        <v>9</v>
      </c>
      <c r="AZ97" s="436">
        <v>10</v>
      </c>
    </row>
    <row r="98" spans="2:52">
      <c r="B98" s="428" t="s">
        <v>331</v>
      </c>
      <c r="C98" s="430">
        <f>IF(C97=Assumptions!$L$45, Assumptions!$P$45, 0)</f>
        <v>0</v>
      </c>
      <c r="D98" s="430">
        <f>IF(D97&gt;Assumptions!$L$45, C98*(1+C93), IF(D97=Assumptions!$L$45, Assumptions!$P$45, 0))</f>
        <v>0</v>
      </c>
      <c r="E98" s="430">
        <f>IF(E97&gt;Assumptions!$L$45, D98*(1+D93), IF(E97=Assumptions!$L$45, Assumptions!$P$45, 0))</f>
        <v>0</v>
      </c>
      <c r="F98" s="430">
        <f>IF(F97&gt;Assumptions!$L$45, E98*(1+E93), IF(F97=Assumptions!$L$45, Assumptions!$P$45, 0))</f>
        <v>5000</v>
      </c>
      <c r="G98" s="430">
        <f>IF(G97&gt;Assumptions!$L$45, F98*(1+F93), IF(G97=Assumptions!$L$45, Assumptions!$P$45, 0))</f>
        <v>5225</v>
      </c>
      <c r="H98" s="430">
        <f>IF(H97&gt;Assumptions!$L$45, G98*(1+G93), IF(H97=Assumptions!$L$45, Assumptions!$P$45, 0))</f>
        <v>5460.125</v>
      </c>
      <c r="I98" s="430">
        <f>IF(I97&gt;Assumptions!$L$45, H98*(1+H93), IF(I97=Assumptions!$L$45, Assumptions!$P$45, 0))</f>
        <v>5705.8306249999996</v>
      </c>
      <c r="J98" s="430">
        <f>IF(J97&gt;Assumptions!$L$45, I98*(1+I93), IF(J97=Assumptions!$L$45, Assumptions!$P$45, 0))</f>
        <v>5962.5930031249991</v>
      </c>
      <c r="K98" s="430">
        <f>IF(K97&gt;Assumptions!$L$45, J98*(1+J93), IF(K97=Assumptions!$L$45, Assumptions!$P$45, 0))</f>
        <v>6230.909688265624</v>
      </c>
      <c r="L98" s="430">
        <f>IF(L97&gt;Assumptions!$L$45, K98*(1+K93), IF(L97=Assumptions!$L$45, Assumptions!$P$45, 0))</f>
        <v>6511.3006242375768</v>
      </c>
      <c r="M98" s="428"/>
      <c r="N98" s="428"/>
      <c r="O98" s="428"/>
      <c r="P98" s="428" t="s">
        <v>331</v>
      </c>
      <c r="Q98" s="431">
        <f>IF(Q97=Assumptions!$L$45, Assumptions!$D$45, 0)</f>
        <v>0</v>
      </c>
      <c r="R98" s="431">
        <f>IF(R97&gt;Assumptions!$L$45, Q98*(1+C112), IF(R97=Assumptions!$L$45, Assumptions!$D$45, 0))</f>
        <v>0</v>
      </c>
      <c r="S98" s="431">
        <f>IF(S97&gt;Assumptions!$L$45, R98*(1+D112), IF(S97=Assumptions!$L$45, Assumptions!$D$45, 0))</f>
        <v>0</v>
      </c>
      <c r="T98" s="431">
        <f>IF(T97&gt;Assumptions!$L$45, S98*(1+E112), IF(T97=Assumptions!$L$45, Assumptions!$D$45, 0))</f>
        <v>1540</v>
      </c>
      <c r="U98" s="431">
        <f ca="1">IF(U97&gt;Assumptions!$L$45, T98*(1+F112), IF(U97=Assumptions!$L$45, Assumptions!$D$45, 0))</f>
        <v>1630.8062385652954</v>
      </c>
      <c r="V98" s="431">
        <f ca="1">IF(V97&gt;Assumptions!$L$45, U98*(1+G112), IF(V97=Assumptions!$L$45, Assumptions!$D$45, 0))</f>
        <v>1733.0577297091609</v>
      </c>
      <c r="W98" s="431">
        <f ca="1">IF(W97&gt;Assumptions!$L$45, V98*(1+H112), IF(W97=Assumptions!$L$45, Assumptions!$D$45, 0))</f>
        <v>1848.3812739645405</v>
      </c>
      <c r="X98" s="431">
        <f ca="1">IF(X97&gt;Assumptions!$L$45, W98*(1+I112), IF(X97=Assumptions!$L$45, Assumptions!$D$45, 0))</f>
        <v>1977.1008791577826</v>
      </c>
      <c r="Y98" s="431">
        <f ca="1">IF(Y97&gt;Assumptions!$L$45, X98*(1+J112), IF(Y97=Assumptions!$L$45, Assumptions!$D$45, 0))</f>
        <v>2122.3434539720993</v>
      </c>
      <c r="Z98" s="431">
        <f ca="1">IF(Z97&gt;Assumptions!$L$45, Y98*(1+K112), IF(Z97=Assumptions!$L$45, Assumptions!$D$45, 0))</f>
        <v>2283.8233812196199</v>
      </c>
      <c r="AB98" s="436" t="s">
        <v>331</v>
      </c>
      <c r="AC98" s="438">
        <f>IF(AC97=Assumptions!$M$45, Assumptions!$P$45, 0)</f>
        <v>0</v>
      </c>
      <c r="AD98" s="438">
        <f>IF(AD97&gt;Assumptions!$M$45, AC98*(1+AC93), IF(AD97=Assumptions!$M$45, Assumptions!$P$45, 0))</f>
        <v>0</v>
      </c>
      <c r="AE98" s="438">
        <f>IF(AE97&gt;Assumptions!$M$45, AD98*(1+AD93), IF(AE97=Assumptions!$M$45, Assumptions!$P$45, 0))</f>
        <v>0</v>
      </c>
      <c r="AF98" s="438">
        <f>IF(AF97&gt;Assumptions!$M$45, AE98*(1+AE93), IF(AF97=Assumptions!$M$45, Assumptions!$P$45, 0))</f>
        <v>5000</v>
      </c>
      <c r="AG98" s="438">
        <f>IF(AG97&gt;Assumptions!$M$45, AF98*(1+AF93), IF(AG97=Assumptions!$M$45, Assumptions!$P$45, 0))</f>
        <v>5250</v>
      </c>
      <c r="AH98" s="438">
        <f>IF(AH97&gt;Assumptions!$M$45, AG98*(1+AG93), IF(AH97=Assumptions!$M$45, Assumptions!$P$45, 0))</f>
        <v>5512.5</v>
      </c>
      <c r="AI98" s="438">
        <f>IF(AI97&gt;Assumptions!$M$45, AH98*(1+AH93), IF(AI97=Assumptions!$M$45, Assumptions!$P$45, 0))</f>
        <v>5788.125</v>
      </c>
      <c r="AJ98" s="438">
        <f>IF(AJ97&gt;Assumptions!$M$45, AI98*(1+AI93), IF(AJ97=Assumptions!$M$45, Assumptions!$P$45, 0))</f>
        <v>6077.53125</v>
      </c>
      <c r="AK98" s="438">
        <f>IF(AK97&gt;Assumptions!$M$45, AJ98*(1+AJ93), IF(AK97=Assumptions!$M$45, Assumptions!$P$45, 0))</f>
        <v>6381.4078125000005</v>
      </c>
      <c r="AL98" s="438">
        <f>IF(AL97&gt;Assumptions!$M$45, AK98*(1+AK93), IF(AL97=Assumptions!$M$45, Assumptions!$P$45, 0))</f>
        <v>6700.4782031250006</v>
      </c>
      <c r="AM98" s="436"/>
      <c r="AN98" s="436"/>
      <c r="AO98" s="436"/>
      <c r="AP98" s="436" t="s">
        <v>331</v>
      </c>
      <c r="AQ98" s="439">
        <f>IF(AQ97=Assumptions!$M$45, Assumptions!$D$45, 0)</f>
        <v>0</v>
      </c>
      <c r="AR98" s="439">
        <f>IF(AR97&gt;Assumptions!$M$45, AQ98*(1+AC112), IF(AR97=Assumptions!$M$45, Assumptions!$D$45, 0))</f>
        <v>0</v>
      </c>
      <c r="AS98" s="439">
        <f>IF(AS97&gt;Assumptions!$M$45, AR98*(1+AD112), IF(AS97=Assumptions!$M$45, Assumptions!$D$45, 0))</f>
        <v>0</v>
      </c>
      <c r="AT98" s="439">
        <f>IF(AT97&gt;Assumptions!$M$45, AS98*(1+AE112), IF(AT97=Assumptions!$M$45, Assumptions!$D$45, 0))</f>
        <v>1540</v>
      </c>
      <c r="AU98" s="439">
        <f ca="1">IF(AU97&gt;Assumptions!$M$45, AT98*(1+AF112), IF(AU97=Assumptions!$M$45, Assumptions!$D$45, 0))</f>
        <v>1630.3428666490604</v>
      </c>
      <c r="AV98" s="439">
        <f ca="1">IF(AV97&gt;Assumptions!$M$45, AU98*(1+AG112), IF(AV97=Assumptions!$M$45, Assumptions!$D$45, 0))</f>
        <v>1732.4896646407437</v>
      </c>
      <c r="AW98" s="439">
        <f ca="1">IF(AW97&gt;Assumptions!$M$45, AV98*(1+AH112), IF(AW97=Assumptions!$M$45, Assumptions!$D$45, 0))</f>
        <v>1845.3176279424649</v>
      </c>
      <c r="AX98" s="439">
        <f ca="1">IF(AX97&gt;Assumptions!$M$45, AW98*(1+AI112), IF(AX97=Assumptions!$M$45, Assumptions!$D$45, 0))</f>
        <v>1972.0297091488901</v>
      </c>
      <c r="AY98" s="439">
        <f ca="1">IF(AY97&gt;Assumptions!$M$45, AX98*(1+AJ112), IF(AY97=Assumptions!$M$45, Assumptions!$D$45, 0))</f>
        <v>2115.1189304882578</v>
      </c>
      <c r="AZ98" s="439">
        <f ca="1">IF(AZ97&gt;Assumptions!$M$45, AY98*(1+AK112), IF(AZ97=Assumptions!$M$45, Assumptions!$D$45, 0))</f>
        <v>2276.8477240803272</v>
      </c>
    </row>
    <row r="99" spans="2:52">
      <c r="B99" s="428" t="s">
        <v>332</v>
      </c>
      <c r="C99" s="430">
        <f>IF(C97=Assumptions!$L$45, Assumptions!$P$46, 0)</f>
        <v>0</v>
      </c>
      <c r="D99" s="430">
        <f>IF(D97&gt;Assumptions!$L$46, C99*(1+C93), IF(D97=Assumptions!$L$46, Assumptions!$P$46, 0))</f>
        <v>0</v>
      </c>
      <c r="E99" s="430">
        <f>IF(E97&gt;Assumptions!$L$46, D99*(1+D93), IF(E97=Assumptions!$L$46, Assumptions!$P$46, 0))</f>
        <v>0</v>
      </c>
      <c r="F99" s="430">
        <f>IF(F97&gt;Assumptions!$L$46, E99*(1+E93), IF(F97=Assumptions!$L$46, Assumptions!$P$46, 0))</f>
        <v>7000</v>
      </c>
      <c r="G99" s="430">
        <f>IF(G97&gt;Assumptions!$L$46, F99*(1+F93), IF(G97=Assumptions!$L$46, Assumptions!$P$46, 0))</f>
        <v>7314.9999999999991</v>
      </c>
      <c r="H99" s="430">
        <f>IF(H97&gt;Assumptions!$L$46, G99*(1+G93), IF(H97=Assumptions!$L$46, Assumptions!$P$46, 0))</f>
        <v>7644.1749999999984</v>
      </c>
      <c r="I99" s="430">
        <f>IF(I97&gt;Assumptions!$L$46, H99*(1+H93), IF(I97=Assumptions!$L$46, Assumptions!$P$46, 0))</f>
        <v>7988.1628749999982</v>
      </c>
      <c r="J99" s="430">
        <f>IF(J97&gt;Assumptions!$L$46, I99*(1+I93), IF(J97=Assumptions!$L$46, Assumptions!$P$46, 0))</f>
        <v>8347.6302043749984</v>
      </c>
      <c r="K99" s="430">
        <f>IF(K97&gt;Assumptions!$L$46, J99*(1+J93), IF(K97=Assumptions!$L$46, Assumptions!$P$46, 0))</f>
        <v>8723.2735635718727</v>
      </c>
      <c r="L99" s="430">
        <f>IF(L97&gt;Assumptions!$L$46, K99*(1+K93), IF(L97=Assumptions!$L$46, Assumptions!$P$46, 0))</f>
        <v>9115.8208739326055</v>
      </c>
      <c r="M99" s="428"/>
      <c r="N99" s="428"/>
      <c r="O99" s="428"/>
      <c r="P99" s="428" t="s">
        <v>332</v>
      </c>
      <c r="Q99" s="431">
        <f>IF(Q97=Assumptions!$L$46, Assumptions!$D$46, 0)</f>
        <v>0</v>
      </c>
      <c r="R99" s="431">
        <f>IF(R97&gt;Assumptions!$L$46, Q99*(1+C113), IF(R97=Assumptions!$L$46, Assumptions!$D$46, 0))</f>
        <v>0</v>
      </c>
      <c r="S99" s="431">
        <f>IF(S97&gt;Assumptions!$L$46, R99*(1+D113), IF(S97=Assumptions!$L$46, Assumptions!$D$46, 0))</f>
        <v>0</v>
      </c>
      <c r="T99" s="431">
        <f>IF(T97&gt;Assumptions!$L$46, S99*(1+E113), IF(T97=Assumptions!$L$46, Assumptions!$D$46, 0))</f>
        <v>1000</v>
      </c>
      <c r="U99" s="431">
        <f ca="1">IF(U97&gt;Assumptions!$L$46, T99*(1+F113), IF(U97=Assumptions!$L$46, Assumptions!$D$46, 0))</f>
        <v>1099.2524898759559</v>
      </c>
      <c r="V99" s="431">
        <f ca="1">IF(V97&gt;Assumptions!$L$46, U99*(1+G113), IF(V97=Assumptions!$L$46, Assumptions!$D$46, 0))</f>
        <v>1211.3907709882099</v>
      </c>
      <c r="W99" s="431">
        <f ca="1">IF(W97&gt;Assumptions!$L$46, V99*(1+H113), IF(W97=Assumptions!$L$46, Assumptions!$D$46, 0))</f>
        <v>1339.6126664162018</v>
      </c>
      <c r="X99" s="431">
        <f ca="1">IF(X97&gt;Assumptions!$L$46, W99*(1+I113), IF(X97=Assumptions!$L$46, Assumptions!$D$46, 0))</f>
        <v>1486.5979407441266</v>
      </c>
      <c r="Y99" s="431">
        <f ca="1">IF(Y97&gt;Assumptions!$L$46, X99*(1+J113), IF(Y97=Assumptions!$L$46, Assumptions!$D$46, 0))</f>
        <v>1653.8979931204537</v>
      </c>
      <c r="Z99" s="431">
        <f ca="1">IF(Z97&gt;Assumptions!$L$46, Y99*(1+K113), IF(Z97=Assumptions!$L$46, Assumptions!$D$46, 0))</f>
        <v>1846.6164268454879</v>
      </c>
      <c r="AB99" s="436" t="s">
        <v>332</v>
      </c>
      <c r="AC99" s="438">
        <f>IF(AC97=Assumptions!$M$46, Assumptions!$P$46, 0)</f>
        <v>0</v>
      </c>
      <c r="AD99" s="438">
        <f>IF(AD97&gt;Assumptions!$M$46, AC99*(1+AC93), IF(AD97=Assumptions!$M$46, Assumptions!$P$46, 0))</f>
        <v>0</v>
      </c>
      <c r="AE99" s="438">
        <f>IF(AE97&gt;Assumptions!$M$46, AD99*(1+AD93), IF(AE97=Assumptions!$M$46, Assumptions!$P$46, 0))</f>
        <v>0</v>
      </c>
      <c r="AF99" s="438">
        <f>IF(AF97&gt;Assumptions!$M$46, AE99*(1+AE93), IF(AF97=Assumptions!$M$46, Assumptions!$P$46, 0))</f>
        <v>7000</v>
      </c>
      <c r="AG99" s="438">
        <f>IF(AG97&gt;Assumptions!$M$46, AF99*(1+AF93), IF(AG97=Assumptions!$M$46, Assumptions!$P$46, 0))</f>
        <v>7350</v>
      </c>
      <c r="AH99" s="438">
        <f>IF(AH97&gt;Assumptions!$M$46, AG99*(1+AG93), IF(AH97=Assumptions!$M$46, Assumptions!$P$46, 0))</f>
        <v>7717.5</v>
      </c>
      <c r="AI99" s="438">
        <f>IF(AI97&gt;Assumptions!$M$46, AH99*(1+AH93), IF(AI97=Assumptions!$M$46, Assumptions!$P$46, 0))</f>
        <v>8103.375</v>
      </c>
      <c r="AJ99" s="438">
        <f>IF(AJ97&gt;Assumptions!$M$46, AI99*(1+AI93), IF(AJ97=Assumptions!$M$46, Assumptions!$P$46, 0))</f>
        <v>8508.5437500000007</v>
      </c>
      <c r="AK99" s="438">
        <f>IF(AK97&gt;Assumptions!$M$46, AJ99*(1+AJ93), IF(AK97=Assumptions!$M$46, Assumptions!$P$46, 0))</f>
        <v>8933.970937500002</v>
      </c>
      <c r="AL99" s="438">
        <f>IF(AL97&gt;Assumptions!$M$46, AK99*(1+AK93), IF(AL97=Assumptions!$M$46, Assumptions!$P$46, 0))</f>
        <v>9380.6694843750029</v>
      </c>
      <c r="AM99" s="436"/>
      <c r="AN99" s="436"/>
      <c r="AO99" s="436"/>
      <c r="AP99" s="436" t="s">
        <v>332</v>
      </c>
      <c r="AQ99" s="439">
        <f>IF(AQ97=Assumptions!$M$46, Assumptions!$D$46, 0)</f>
        <v>0</v>
      </c>
      <c r="AR99" s="439">
        <f>IF(AR97&gt;Assumptions!$M$46, AQ99*(1+AC113), IF(AR97=Assumptions!$M$46, Assumptions!$D$46, 0))</f>
        <v>0</v>
      </c>
      <c r="AS99" s="439">
        <f>IF(AS97&gt;Assumptions!$M$46, AR99*(1+AD113), IF(AS97=Assumptions!$M$46, Assumptions!$D$46, 0))</f>
        <v>0</v>
      </c>
      <c r="AT99" s="439">
        <f>IF(AT97&gt;Assumptions!$M$46, AS99*(1+AE113), IF(AT97=Assumptions!$M$46, Assumptions!$D$46, 0))</f>
        <v>1000</v>
      </c>
      <c r="AU99" s="439">
        <f ca="1">IF(AU97&gt;Assumptions!$M$46, AT99*(1+AF113), IF(AU97=Assumptions!$M$46, Assumptions!$D$46, 0))</f>
        <v>1100.3652794732068</v>
      </c>
      <c r="AV99" s="439">
        <f ca="1">IF(AV97&gt;Assumptions!$M$46, AU99*(1+AG113), IF(AV97=Assumptions!$M$46, Assumptions!$D$46, 0))</f>
        <v>1214.4646630342727</v>
      </c>
      <c r="AW99" s="439">
        <f ca="1">IF(AW97&gt;Assumptions!$M$46, AV99*(1+AH113), IF(AW97=Assumptions!$M$46, Assumptions!$D$46, 0))</f>
        <v>1345.1420726585243</v>
      </c>
      <c r="AX99" s="439">
        <f ca="1">IF(AX97&gt;Assumptions!$M$46, AW99*(1+AI113), IF(AX97=Assumptions!$M$46, Assumptions!$D$46, 0))</f>
        <v>1495.2445868498721</v>
      </c>
      <c r="AY99" s="439">
        <f ca="1">IF(AY97&gt;Assumptions!$M$46, AX99*(1+AJ113), IF(AY97=Assumptions!$M$46, Assumptions!$D$46, 0))</f>
        <v>1666.536780025526</v>
      </c>
      <c r="AZ99" s="439">
        <f ca="1">IF(AZ97&gt;Assumptions!$M$46, AY99*(1+AK113), IF(AZ97=Assumptions!$M$46, Assumptions!$D$46, 0))</f>
        <v>1862.914887097759</v>
      </c>
    </row>
    <row r="100" spans="2:52">
      <c r="B100" s="428" t="s">
        <v>282</v>
      </c>
      <c r="C100" s="430">
        <f>IF(C97=Assumptions!$L$47, Assumptions!$P$47, 0)</f>
        <v>0</v>
      </c>
      <c r="D100" s="430">
        <f>IF(D97&gt;Assumptions!$L$47, C100*(1+C93), IF(D97=Assumptions!$L$47, Assumptions!$P$45, 0))</f>
        <v>0</v>
      </c>
      <c r="E100" s="430">
        <f>IF(E97&gt;Assumptions!$L$47, D100*(1+D93), IF(E97=Assumptions!$L$47, Assumptions!$P$45, 0))</f>
        <v>0</v>
      </c>
      <c r="F100" s="430">
        <f>IF(F97&gt;Assumptions!$L$47, E100*(1+E93), IF(F97=Assumptions!$L$47, Assumptions!$P$45, 0))</f>
        <v>5000</v>
      </c>
      <c r="G100" s="430">
        <f>IF(G97&gt;Assumptions!$L$47, F100*(1+F93), IF(G97=Assumptions!$L$47, Assumptions!$P$45, 0))</f>
        <v>5225</v>
      </c>
      <c r="H100" s="430">
        <f>IF(H97&gt;Assumptions!$L$47, G100*(1+G93), IF(H97=Assumptions!$L$47, Assumptions!$P$45, 0))</f>
        <v>5460.125</v>
      </c>
      <c r="I100" s="430">
        <f>IF(I97&gt;Assumptions!$L$47, H100*(1+H93), IF(I97=Assumptions!$L$47, Assumptions!$P$45, 0))</f>
        <v>5705.8306249999996</v>
      </c>
      <c r="J100" s="430">
        <f>IF(J97&gt;Assumptions!$L$47, I100*(1+I93), IF(J97=Assumptions!$L$47, Assumptions!$P$45, 0))</f>
        <v>5962.5930031249991</v>
      </c>
      <c r="K100" s="430">
        <f>IF(K97&gt;Assumptions!$L$47, J100*(1+J93), IF(K97=Assumptions!$L$47, Assumptions!$P$45, 0))</f>
        <v>6230.909688265624</v>
      </c>
      <c r="L100" s="430">
        <f>IF(L97&gt;Assumptions!$L$47, K100*(1+K93), IF(L97=Assumptions!$L$47, Assumptions!$P$45, 0))</f>
        <v>6511.3006242375768</v>
      </c>
      <c r="M100" s="428"/>
      <c r="N100" s="428"/>
      <c r="O100" s="428"/>
      <c r="P100" s="428" t="s">
        <v>282</v>
      </c>
      <c r="Q100" s="431">
        <f>IF(Q97=Assumptions!$L$47, Assumptions!$D$47, 0)</f>
        <v>0</v>
      </c>
      <c r="R100" s="431">
        <f>IF(R97&gt;Assumptions!$L$47, Q100*(1+C114), IF(R97=Assumptions!$L$47, Assumptions!$D$47, 0))</f>
        <v>0</v>
      </c>
      <c r="S100" s="431">
        <f>IF(S97&gt;Assumptions!$L$47, R100*(1+D114), IF(S97=Assumptions!$L$47, Assumptions!$D$47, 0))</f>
        <v>0</v>
      </c>
      <c r="T100" s="431">
        <f>IF(T97&gt;Assumptions!$L$47, S100*(1+E114), IF(T97=Assumptions!$L$47, Assumptions!$D$47, 0))</f>
        <v>1270</v>
      </c>
      <c r="U100" s="431">
        <f ca="1">IF(U97&gt;Assumptions!$L$47, T100*(1+F114), IF(U97=Assumptions!$L$47, Assumptions!$D$47, 0))</f>
        <v>1308.1609850530726</v>
      </c>
      <c r="V100" s="431">
        <f ca="1">IF(V97&gt;Assumptions!$L$47, U100*(1+G114), IF(V97=Assumptions!$L$47, Assumptions!$D$47, 0))</f>
        <v>1352.3915263907627</v>
      </c>
      <c r="W100" s="431">
        <f ca="1">IF(W97&gt;Assumptions!$L$47, V100*(1+H114), IF(W97=Assumptions!$L$47, Assumptions!$D$47, 0))</f>
        <v>1402.5669376362121</v>
      </c>
      <c r="X100" s="431">
        <f ca="1">IF(X97&gt;Assumptions!$L$47, W100*(1+I114), IF(X97=Assumptions!$L$47, Assumptions!$D$47, 0))</f>
        <v>1459.738210669077</v>
      </c>
      <c r="Y100" s="431">
        <f ca="1">IF(Y97&gt;Assumptions!$L$47, X100*(1+J114), IF(Y97=Assumptions!$L$47, Assumptions!$D$47, 0))</f>
        <v>1525.0084370622105</v>
      </c>
      <c r="Z100" s="431">
        <f ca="1">IF(Z97&gt;Assumptions!$L$47, Y100*(1+K114), IF(Z97=Assumptions!$L$47, Assumptions!$D$47, 0))</f>
        <v>1599.0965313443094</v>
      </c>
      <c r="AB100" s="436" t="s">
        <v>282</v>
      </c>
      <c r="AC100" s="438">
        <f>IF(AC97=Assumptions!$M$47, Assumptions!$P$47, 0)</f>
        <v>0</v>
      </c>
      <c r="AD100" s="438">
        <f>IF(AD97&gt;Assumptions!$M$47, AC100*(1+AC93), IF(AD97=Assumptions!$M$47, Assumptions!$P$45, 0))</f>
        <v>0</v>
      </c>
      <c r="AE100" s="438">
        <f>IF(AE97&gt;Assumptions!$M$47, AD100*(1+AD93), IF(AE97=Assumptions!$M$47, Assumptions!$P$45, 0))</f>
        <v>0</v>
      </c>
      <c r="AF100" s="438">
        <f>IF(AF97&gt;Assumptions!$M$47, AE100*(1+AE93), IF(AF97=Assumptions!$M$47, Assumptions!$P$45, 0))</f>
        <v>5000</v>
      </c>
      <c r="AG100" s="438">
        <f>IF(AG97&gt;Assumptions!$M$47, AF100*(1+AF93), IF(AG97=Assumptions!$M$47, Assumptions!$P$45, 0))</f>
        <v>5250</v>
      </c>
      <c r="AH100" s="438">
        <f>IF(AH97&gt;Assumptions!$M$47, AG100*(1+AG93), IF(AH97=Assumptions!$M$47, Assumptions!$P$45, 0))</f>
        <v>5512.5</v>
      </c>
      <c r="AI100" s="438">
        <f>IF(AI97&gt;Assumptions!$M$47, AH100*(1+AH93), IF(AI97=Assumptions!$M$47, Assumptions!$P$45, 0))</f>
        <v>5788.125</v>
      </c>
      <c r="AJ100" s="438">
        <f>IF(AJ97&gt;Assumptions!$M$47, AI100*(1+AI93), IF(AJ97=Assumptions!$M$47, Assumptions!$P$45, 0))</f>
        <v>6077.53125</v>
      </c>
      <c r="AK100" s="438">
        <f>IF(AK97&gt;Assumptions!$M$47, AJ100*(1+AJ93), IF(AK97=Assumptions!$M$47, Assumptions!$P$45, 0))</f>
        <v>6381.4078125000005</v>
      </c>
      <c r="AL100" s="438">
        <f>IF(AL97&gt;Assumptions!$M$47, AK100*(1+AK93), IF(AL97=Assumptions!$M$47, Assumptions!$P$45, 0))</f>
        <v>6700.4782031250006</v>
      </c>
      <c r="AM100" s="436"/>
      <c r="AN100" s="436"/>
      <c r="AO100" s="436"/>
      <c r="AP100" s="436" t="s">
        <v>282</v>
      </c>
      <c r="AQ100" s="439">
        <f>IF(AQ97=Assumptions!$M$47, Assumptions!$D$47, 0)</f>
        <v>0</v>
      </c>
      <c r="AR100" s="439">
        <f>IF(AR97&gt;Assumptions!$M$47, AQ100*(1+AC114), IF(AR97=Assumptions!$M$47, Assumptions!$D$47, 0))</f>
        <v>0</v>
      </c>
      <c r="AS100" s="439">
        <f>IF(AS97&gt;Assumptions!$M$47, AR100*(1+AD114), IF(AS97=Assumptions!$M$47, Assumptions!$D$47, 0))</f>
        <v>0</v>
      </c>
      <c r="AT100" s="439">
        <f>IF(AT97&gt;Assumptions!$M$47, AS100*(1+AE114), IF(AT97=Assumptions!$M$47, Assumptions!$D$47, 0))</f>
        <v>1270</v>
      </c>
      <c r="AU100" s="439">
        <f ca="1">IF(AU97&gt;Assumptions!$M$47, AT100*(1+AF114), IF(AU97=Assumptions!$M$47, Assumptions!$D$47, 0))</f>
        <v>1308.9730050027056</v>
      </c>
      <c r="AV100" s="439">
        <f ca="1">IF(AV97&gt;Assumptions!$M$47, AU100*(1+AG114), IF(AV97=Assumptions!$M$47, Assumptions!$D$47, 0))</f>
        <v>1354.2641896204889</v>
      </c>
      <c r="AW100" s="439">
        <f ca="1">IF(AW97&gt;Assumptions!$M$47, AV100*(1+AH114), IF(AW97=Assumptions!$M$47, Assumptions!$D$47, 0))</f>
        <v>1406.2011492152135</v>
      </c>
      <c r="AX100" s="439">
        <f ca="1">IF(AX97&gt;Assumptions!$M$47, AW100*(1+AI114), IF(AX97=Assumptions!$M$47, Assumptions!$D$47, 0))</f>
        <v>1465.6856337174029</v>
      </c>
      <c r="AY100" s="439">
        <f ca="1">IF(AY97&gt;Assumptions!$M$47, AX100*(1+AJ114), IF(AY97=Assumptions!$M$47, Assumptions!$D$47, 0))</f>
        <v>1533.0011989892907</v>
      </c>
      <c r="AZ100" s="439">
        <f ca="1">IF(AZ97&gt;Assumptions!$M$47, AY100*(1+AK114), IF(AZ97=Assumptions!$M$47, Assumptions!$D$47, 0))</f>
        <v>1607.5980411547528</v>
      </c>
    </row>
    <row r="101" spans="2:52">
      <c r="B101" s="428" t="s">
        <v>333</v>
      </c>
      <c r="C101" s="430">
        <f>IF(C97=Assumptions!$L$48, Assumptions!$P$48, 0)</f>
        <v>0</v>
      </c>
      <c r="D101" s="430">
        <f>IF(D97&gt;Assumptions!$L$48, C101*(1+C93), IF(D97=Assumptions!$L$48, Assumptions!$P$48, 0))</f>
        <v>0</v>
      </c>
      <c r="E101" s="430">
        <f>IF(E97&gt;Assumptions!$L$48, D101*(1+D93), IF(E97=Assumptions!$L$48, Assumptions!$P$48, 0))</f>
        <v>0</v>
      </c>
      <c r="F101" s="430">
        <f>IF(F97&gt;Assumptions!$L$48, E101*(1+E93), IF(F97=Assumptions!$L$48, Assumptions!$P$48, 0))</f>
        <v>0</v>
      </c>
      <c r="G101" s="430">
        <f>IF(G97&gt;Assumptions!$L$48, F101*(1+F93), IF(G97=Assumptions!$L$48, Assumptions!$P$48, 0))</f>
        <v>9500</v>
      </c>
      <c r="H101" s="430">
        <f>IF(H97&gt;Assumptions!$L$48, G101*(1+G93), IF(H97=Assumptions!$L$48, Assumptions!$P$48, 0))</f>
        <v>9927.5</v>
      </c>
      <c r="I101" s="430">
        <f>IF(I97&gt;Assumptions!$L$48, H101*(1+H93), IF(I97=Assumptions!$L$48, Assumptions!$P$48, 0))</f>
        <v>10374.237499999999</v>
      </c>
      <c r="J101" s="430">
        <f>IF(J97&gt;Assumptions!$L$48, I101*(1+I93), IF(J97=Assumptions!$L$48, Assumptions!$P$48, 0))</f>
        <v>10841.078187499999</v>
      </c>
      <c r="K101" s="430">
        <f>IF(K97&gt;Assumptions!$L$48, J101*(1+J93), IF(K97=Assumptions!$L$48, Assumptions!$P$48, 0))</f>
        <v>11328.926705937498</v>
      </c>
      <c r="L101" s="430">
        <f>IF(L97&gt;Assumptions!$L$48, K101*(1+K93), IF(L97=Assumptions!$L$48, Assumptions!$P$48, 0))</f>
        <v>11838.728407704684</v>
      </c>
      <c r="M101" s="428"/>
      <c r="N101" s="428"/>
      <c r="O101" s="428"/>
      <c r="P101" s="428" t="s">
        <v>333</v>
      </c>
      <c r="Q101" s="431">
        <f>IF(Q97=Assumptions!$L$48, Assumptions!$D$48, 0)</f>
        <v>0</v>
      </c>
      <c r="R101" s="431">
        <f>IF(R97&gt;Assumptions!$L$48, Q101*(1+C115), IF(R97=Assumptions!$L$48, Assumptions!$D$48, 0))</f>
        <v>0</v>
      </c>
      <c r="S101" s="431">
        <f>IF(S97&gt;Assumptions!$L$48, R101*(1+D115), IF(S97=Assumptions!$L$48, Assumptions!$D$48, 0))</f>
        <v>0</v>
      </c>
      <c r="T101" s="431">
        <f>IF(T97&gt;Assumptions!$L$48, S101*(1+E115), IF(T97=Assumptions!$L$48, Assumptions!$D$48, 0))</f>
        <v>0</v>
      </c>
      <c r="U101" s="431">
        <f>IF(U97&gt;Assumptions!$L$48, T101*(1+F115), IF(U97=Assumptions!$L$48, Assumptions!$D$48, 0))</f>
        <v>635</v>
      </c>
      <c r="V101" s="431">
        <f ca="1">IF(V97&gt;Assumptions!$L$48, U101*(1+G115), IF(V97=Assumptions!$L$48, Assumptions!$D$48, 0))</f>
        <v>668.15197772550403</v>
      </c>
      <c r="W101" s="431">
        <f ca="1">IF(W97&gt;Assumptions!$L$48, V101*(1+H115), IF(W97=Assumptions!$L$48, Assumptions!$D$48, 0))</f>
        <v>704.88625007516623</v>
      </c>
      <c r="X101" s="431">
        <f ca="1">IF(X97&gt;Assumptions!$L$48, W101*(1+I115), IF(X97=Assumptions!$L$48, Assumptions!$D$48, 0))</f>
        <v>746.11848535626712</v>
      </c>
      <c r="Y101" s="431">
        <f ca="1">IF(Y97&gt;Assumptions!$L$48, X101*(1+J115), IF(Y97=Assumptions!$L$48, Assumptions!$D$48, 0))</f>
        <v>792.69986469672801</v>
      </c>
      <c r="Z101" s="431">
        <f ca="1">IF(Z97&gt;Assumptions!$L$48, Y101*(1+K115), IF(Z97=Assumptions!$L$48, Assumptions!$D$48, 0))</f>
        <v>845.18653444993788</v>
      </c>
      <c r="AB101" s="436" t="s">
        <v>333</v>
      </c>
      <c r="AC101" s="438">
        <f>IF(AC97=Assumptions!$M$48, Assumptions!$P$48, 0)</f>
        <v>0</v>
      </c>
      <c r="AD101" s="438">
        <f>IF(AD97&gt;Assumptions!$M$48, AC101*(1+AC93), IF(AD97=Assumptions!$M$48, Assumptions!$P$48, 0))</f>
        <v>0</v>
      </c>
      <c r="AE101" s="438">
        <f>IF(AE97&gt;Assumptions!$M$48, AD101*(1+AD93), IF(AE97=Assumptions!$M$48, Assumptions!$P$48, 0))</f>
        <v>0</v>
      </c>
      <c r="AF101" s="438">
        <f>IF(AF97&gt;Assumptions!$M$48, AE101*(1+AE93), IF(AF97=Assumptions!$M$48, Assumptions!$P$48, 0))</f>
        <v>0</v>
      </c>
      <c r="AG101" s="438">
        <f>IF(AG97&gt;Assumptions!$M$48, AF101*(1+AF93), IF(AG97=Assumptions!$M$48, Assumptions!$P$48, 0))</f>
        <v>9500</v>
      </c>
      <c r="AH101" s="438">
        <f>IF(AH97&gt;Assumptions!$M$48, AG101*(1+AG93), IF(AH97=Assumptions!$M$48, Assumptions!$P$48, 0))</f>
        <v>9975</v>
      </c>
      <c r="AI101" s="438">
        <f>IF(AI97&gt;Assumptions!$M$48, AH101*(1+AH93), IF(AI97=Assumptions!$M$48, Assumptions!$P$48, 0))</f>
        <v>10473.75</v>
      </c>
      <c r="AJ101" s="438">
        <f>IF(AJ97&gt;Assumptions!$M$48, AI101*(1+AI93), IF(AJ97=Assumptions!$M$48, Assumptions!$P$48, 0))</f>
        <v>10997.4375</v>
      </c>
      <c r="AK101" s="438">
        <f>IF(AK97&gt;Assumptions!$M$48, AJ101*(1+AJ93), IF(AK97=Assumptions!$M$48, Assumptions!$P$48, 0))</f>
        <v>11547.309375000001</v>
      </c>
      <c r="AL101" s="438">
        <f>IF(AL97&gt;Assumptions!$M$48, AK101*(1+AK93), IF(AL97=Assumptions!$M$48, Assumptions!$P$48, 0))</f>
        <v>12124.674843750001</v>
      </c>
      <c r="AM101" s="436"/>
      <c r="AN101" s="436"/>
      <c r="AO101" s="436"/>
      <c r="AP101" s="436" t="s">
        <v>333</v>
      </c>
      <c r="AQ101" s="439">
        <f>IF(AQ97=Assumptions!$M$48, Assumptions!$D$48, 0)</f>
        <v>0</v>
      </c>
      <c r="AR101" s="439">
        <f>IF(AR97&gt;Assumptions!$M$48, AQ101*(1+AC115), IF(AR97=Assumptions!$M$48, Assumptions!$D$48, 0))</f>
        <v>0</v>
      </c>
      <c r="AS101" s="439">
        <f>IF(AS97&gt;Assumptions!$M$48, AR101*(1+AD115), IF(AS97=Assumptions!$M$48, Assumptions!$D$48, 0))</f>
        <v>0</v>
      </c>
      <c r="AT101" s="439">
        <f>IF(AT97&gt;Assumptions!$M$48, AS101*(1+AE115), IF(AT97=Assumptions!$M$48, Assumptions!$D$48, 0))</f>
        <v>0</v>
      </c>
      <c r="AU101" s="439">
        <f>IF(AU97&gt;Assumptions!$M$48, AT101*(1+AF115), IF(AU97=Assumptions!$M$48, Assumptions!$D$48, 0))</f>
        <v>635</v>
      </c>
      <c r="AV101" s="439">
        <f ca="1">IF(AV97&gt;Assumptions!$M$48, AU101*(1+AG115), IF(AV97=Assumptions!$M$48, Assumptions!$D$48, 0))</f>
        <v>668.79629202022431</v>
      </c>
      <c r="AW101" s="439">
        <f ca="1">IF(AW97&gt;Assumptions!$M$48, AV101*(1+AH115), IF(AW97=Assumptions!$M$48, Assumptions!$D$48, 0))</f>
        <v>706.9800800104224</v>
      </c>
      <c r="AX101" s="439">
        <f ca="1">IF(AX97&gt;Assumptions!$M$48, AW101*(1+AI115), IF(AX97=Assumptions!$M$48, Assumptions!$D$48, 0))</f>
        <v>749.75177066666299</v>
      </c>
      <c r="AY101" s="439">
        <f ca="1">IF(AY97&gt;Assumptions!$M$48, AX101*(1+AJ115), IF(AY97=Assumptions!$M$48, Assumptions!$D$48, 0))</f>
        <v>797.55808546746584</v>
      </c>
      <c r="AZ101" s="439">
        <f ca="1">IF(AZ97&gt;Assumptions!$M$48, AY101*(1+AK115), IF(AZ97=Assumptions!$M$48, Assumptions!$D$48, 0))</f>
        <v>851.50176688042347</v>
      </c>
    </row>
    <row r="102" spans="2:52">
      <c r="B102" s="428" t="s">
        <v>290</v>
      </c>
      <c r="C102" s="430">
        <f>IF(C97=Assumptions!$L$49, Assumptions!$P$49, 0)</f>
        <v>0</v>
      </c>
      <c r="D102" s="430">
        <f>IF(D97&gt;Assumptions!$L$49, C102*(1+C93), IF(D97=Assumptions!$L$49, Assumptions!$P$49, 0))</f>
        <v>0</v>
      </c>
      <c r="E102" s="430">
        <f>IF(E97&gt;Assumptions!$L$49, D102*(1+D93), IF(E97=Assumptions!$L$49, Assumptions!$P$49, 0))</f>
        <v>0</v>
      </c>
      <c r="F102" s="430">
        <f>IF(F97&gt;Assumptions!$L$49, E102*(1+E93), IF(F97=Assumptions!$L$49, Assumptions!$P$49, 0))</f>
        <v>0</v>
      </c>
      <c r="G102" s="430">
        <f>IF(G97&gt;Assumptions!$L$49, F102*(1+F93), IF(G97=Assumptions!$L$49, Assumptions!$P$49, 0))</f>
        <v>0</v>
      </c>
      <c r="H102" s="430">
        <f>IF(H97&gt;Assumptions!$L$49, G102*(1+G93), IF(H97=Assumptions!$L$49, Assumptions!$P$49, 0))</f>
        <v>10000</v>
      </c>
      <c r="I102" s="430">
        <f>IF(I97&gt;Assumptions!$L$49, H102*(1+H93), IF(I97=Assumptions!$L$49, Assumptions!$P$49, 0))</f>
        <v>10450</v>
      </c>
      <c r="J102" s="430">
        <f>IF(J97&gt;Assumptions!$L$49, I102*(1+I93), IF(J97=Assumptions!$L$49, Assumptions!$P$49, 0))</f>
        <v>10920.25</v>
      </c>
      <c r="K102" s="430">
        <f>IF(K97&gt;Assumptions!$L$49, J102*(1+J93), IF(K97=Assumptions!$L$49, Assumptions!$P$49, 0))</f>
        <v>11411.661249999999</v>
      </c>
      <c r="L102" s="430">
        <f>IF(L97&gt;Assumptions!$L$49, K102*(1+K93), IF(L97=Assumptions!$L$49, Assumptions!$P$49, 0))</f>
        <v>11925.186006249998</v>
      </c>
      <c r="M102" s="428"/>
      <c r="N102" s="428"/>
      <c r="O102" s="428"/>
      <c r="P102" s="428" t="s">
        <v>290</v>
      </c>
      <c r="Q102" s="431">
        <f>IF(Q97=Assumptions!$L$49, Assumptions!$D$49, 0)</f>
        <v>0</v>
      </c>
      <c r="R102" s="431">
        <f>IF(R97&gt;Assumptions!$L$49, Q102*(1+C116), IF(R97=Assumptions!$L$49, Assumptions!$D$49, 0))</f>
        <v>0</v>
      </c>
      <c r="S102" s="431">
        <f>IF(S97&gt;Assumptions!$L$49, R102*(1+D116), IF(S97=Assumptions!$L$49, Assumptions!$D$49, 0))</f>
        <v>0</v>
      </c>
      <c r="T102" s="431">
        <f>IF(T97&gt;Assumptions!$L$49, S102*(1+E116), IF(T97=Assumptions!$L$49, Assumptions!$D$49, 0))</f>
        <v>0</v>
      </c>
      <c r="U102" s="431">
        <f>IF(U97&gt;Assumptions!$L$49, T102*(1+F116), IF(U97=Assumptions!$L$49, Assumptions!$D$49, 0))</f>
        <v>0</v>
      </c>
      <c r="V102" s="431">
        <f>IF(V97&gt;Assumptions!$L$49, U102*(1+G116), IF(V97=Assumptions!$L$49, Assumptions!$D$49, 0))</f>
        <v>318</v>
      </c>
      <c r="W102" s="431">
        <f ca="1">IF(W97&gt;Assumptions!$L$49, V102*(1+H116), IF(W97=Assumptions!$L$49, Assumptions!$D$49, 0))</f>
        <v>336.41609285876683</v>
      </c>
      <c r="X102" s="431">
        <f ca="1">IF(X97&gt;Assumptions!$L$49, W102*(1+I116), IF(X97=Assumptions!$L$49, Assumptions!$D$49, 0))</f>
        <v>357.22642484245</v>
      </c>
      <c r="Y102" s="431">
        <f ca="1">IF(Y97&gt;Assumptions!$L$49, X102*(1+J116), IF(Y97=Assumptions!$L$49, Assumptions!$D$49, 0))</f>
        <v>380.22415639302676</v>
      </c>
      <c r="Z102" s="431">
        <f ca="1">IF(Z97&gt;Assumptions!$L$49, Y102*(1+K116), IF(Z97=Assumptions!$L$49, Assumptions!$D$49, 0))</f>
        <v>406.20009171144517</v>
      </c>
      <c r="AB102" s="436" t="s">
        <v>290</v>
      </c>
      <c r="AC102" s="438">
        <f>IF(AC97=Assumptions!$M$49, Assumptions!$P$49, 0)</f>
        <v>0</v>
      </c>
      <c r="AD102" s="438">
        <f>IF(AD97&gt;Assumptions!$M$49, AC102*(1+AC93), IF(AD97=Assumptions!$M$49, Assumptions!$P$49, 0))</f>
        <v>0</v>
      </c>
      <c r="AE102" s="438">
        <f>IF(AE97&gt;Assumptions!$M$49, AD102*(1+AD93), IF(AE97=Assumptions!$M$49, Assumptions!$P$49, 0))</f>
        <v>0</v>
      </c>
      <c r="AF102" s="438">
        <f>IF(AF97&gt;Assumptions!$M$49, AE102*(1+AE93), IF(AF97=Assumptions!$M$49, Assumptions!$P$49, 0))</f>
        <v>0</v>
      </c>
      <c r="AG102" s="438">
        <f>IF(AG97&gt;Assumptions!$M$49, AF102*(1+AF93), IF(AG97=Assumptions!$M$49, Assumptions!$P$49, 0))</f>
        <v>0</v>
      </c>
      <c r="AH102" s="438">
        <f>IF(AH97&gt;Assumptions!$M$49, AG102*(1+AG93), IF(AH97=Assumptions!$M$49, Assumptions!$P$49, 0))</f>
        <v>10000</v>
      </c>
      <c r="AI102" s="438">
        <f>IF(AI97&gt;Assumptions!$M$49, AH102*(1+AH93), IF(AI97=Assumptions!$M$49, Assumptions!$P$49, 0))</f>
        <v>10500</v>
      </c>
      <c r="AJ102" s="438">
        <f>IF(AJ97&gt;Assumptions!$M$49, AI102*(1+AI93), IF(AJ97=Assumptions!$M$49, Assumptions!$P$49, 0))</f>
        <v>11025</v>
      </c>
      <c r="AK102" s="438">
        <f>IF(AK97&gt;Assumptions!$M$49, AJ102*(1+AJ93), IF(AK97=Assumptions!$M$49, Assumptions!$P$49, 0))</f>
        <v>11576.25</v>
      </c>
      <c r="AL102" s="438">
        <f>IF(AL97&gt;Assumptions!$M$49, AK102*(1+AK93), IF(AL97=Assumptions!$M$49, Assumptions!$P$49, 0))</f>
        <v>12155.0625</v>
      </c>
      <c r="AM102" s="436"/>
      <c r="AN102" s="436"/>
      <c r="AO102" s="436"/>
      <c r="AP102" s="436" t="s">
        <v>290</v>
      </c>
      <c r="AQ102" s="439">
        <f>IF(AQ97=Assumptions!$M$49, Assumptions!$D$49, 0)</f>
        <v>0</v>
      </c>
      <c r="AR102" s="439">
        <f>IF(AR97&gt;Assumptions!$M$49, AQ102*(1+AC116), IF(AR97=Assumptions!$M$49, Assumptions!$D$49, 0))</f>
        <v>0</v>
      </c>
      <c r="AS102" s="439">
        <f>IF(AS97&gt;Assumptions!$M$49, AR102*(1+AD116), IF(AS97=Assumptions!$M$49, Assumptions!$D$49, 0))</f>
        <v>0</v>
      </c>
      <c r="AT102" s="439">
        <f>IF(AT97&gt;Assumptions!$M$49, AS102*(1+AE116), IF(AT97=Assumptions!$M$49, Assumptions!$D$49, 0))</f>
        <v>0</v>
      </c>
      <c r="AU102" s="439">
        <f>IF(AU97&gt;Assumptions!$M$49, AT102*(1+AF116), IF(AU97=Assumptions!$M$49, Assumptions!$D$49, 0))</f>
        <v>0</v>
      </c>
      <c r="AV102" s="439">
        <f>IF(AV97&gt;Assumptions!$M$49, AU102*(1+AG116), IF(AV97=Assumptions!$M$49, Assumptions!$D$49, 0))</f>
        <v>318</v>
      </c>
      <c r="AW102" s="439">
        <f ca="1">IF(AW97&gt;Assumptions!$M$49, AV102*(1+AH116), IF(AW97=Assumptions!$M$49, Assumptions!$D$49, 0))</f>
        <v>335.80994793659755</v>
      </c>
      <c r="AX102" s="439">
        <f ca="1">IF(AX97&gt;Assumptions!$M$49, AW102*(1+AI116), IF(AX97=Assumptions!$M$49, Assumptions!$D$49, 0))</f>
        <v>355.44375914208416</v>
      </c>
      <c r="AY102" s="439">
        <f ca="1">IF(AY97&gt;Assumptions!$M$49, AX102*(1+AJ116), IF(AY97=Assumptions!$M$49, Assumptions!$D$49, 0))</f>
        <v>377.56987236116311</v>
      </c>
      <c r="AZ102" s="439">
        <f ca="1">IF(AZ97&gt;Assumptions!$M$49, AY102*(1+AK116), IF(AZ97=Assumptions!$M$49, Assumptions!$D$49, 0))</f>
        <v>402.57960397022765</v>
      </c>
    </row>
    <row r="103" spans="2:52">
      <c r="B103" s="428" t="s">
        <v>405</v>
      </c>
      <c r="C103" s="430">
        <f>IF(C97=Assumptions!$L$50, Assumptions!$P$50, 0)</f>
        <v>0</v>
      </c>
      <c r="D103" s="430">
        <f>IF(D97&gt;Assumptions!$L$50, C103*(1+C93), IF(D97=Assumptions!$L$50, Assumptions!$P$50, 0))</f>
        <v>0</v>
      </c>
      <c r="E103" s="430">
        <f>IF(E97&gt;Assumptions!$L$50, D103*(1+D93), IF(E97=Assumptions!$L$50, Assumptions!$P$50, 0))</f>
        <v>0</v>
      </c>
      <c r="F103" s="430">
        <f>IF(F97&gt;Assumptions!$L$50, E103*(1+E93), IF(F97=Assumptions!$L$50, Assumptions!$P$50, 0))</f>
        <v>1900</v>
      </c>
      <c r="G103" s="430">
        <f>IF(G97&gt;Assumptions!$L$50, F103*(1+F93), IF(G97=Assumptions!$L$50, Assumptions!$P$50, 0))</f>
        <v>1985.4999999999998</v>
      </c>
      <c r="H103" s="430">
        <f>IF(H97&gt;Assumptions!$L$50, G103*(1+G93), IF(H97=Assumptions!$L$50, Assumptions!$P$50, 0))</f>
        <v>2074.8474999999994</v>
      </c>
      <c r="I103" s="430">
        <f>IF(I97&gt;Assumptions!$L$50, H103*(1+H93), IF(I97=Assumptions!$L$50, Assumptions!$P$50, 0))</f>
        <v>2168.215637499999</v>
      </c>
      <c r="J103" s="430">
        <f>IF(J97&gt;Assumptions!$L$50, I103*(1+I93), IF(J97=Assumptions!$L$50, Assumptions!$P$50, 0))</f>
        <v>2265.7853411874989</v>
      </c>
      <c r="K103" s="430">
        <f>IF(K97&gt;Assumptions!$L$50, J103*(1+J93), IF(K97=Assumptions!$L$50, Assumptions!$P$50, 0))</f>
        <v>2367.7456815409364</v>
      </c>
      <c r="L103" s="430">
        <f>IF(L97&gt;Assumptions!$L$50, K103*(1+K93), IF(L97=Assumptions!$L$50, Assumptions!$P$50, 0))</f>
        <v>2474.2942372102784</v>
      </c>
      <c r="M103" s="428"/>
      <c r="N103" s="428"/>
      <c r="O103" s="428"/>
      <c r="P103" s="428" t="s">
        <v>405</v>
      </c>
      <c r="Q103" s="431">
        <f>IF(Q97=Assumptions!$L$50, Assumptions!$D$50, 0)</f>
        <v>0</v>
      </c>
      <c r="R103" s="431">
        <f>IF(R97&gt;Assumptions!$L$50, Q103*(1+C117), IF(R97=Assumptions!$L$50, Assumptions!$D$50, 0))</f>
        <v>0</v>
      </c>
      <c r="S103" s="431">
        <f>IF(S97&gt;Assumptions!$L$50, R103*(1+D117), IF(S97=Assumptions!$L$50, Assumptions!$D$50, 0))</f>
        <v>0</v>
      </c>
      <c r="T103" s="431">
        <f>IF(T97&gt;Assumptions!$L$50, S103*(1+E117), IF(T97=Assumptions!$L$50, Assumptions!$D$50, 0))</f>
        <v>1900</v>
      </c>
      <c r="U103" s="431">
        <f ca="1">IF(U97&gt;Assumptions!$L$50, T103*(1+F117), IF(U97=Assumptions!$L$50, Assumptions!$D$50, 0))</f>
        <v>1920.3748024031308</v>
      </c>
      <c r="V103" s="431">
        <f ca="1">IF(V97&gt;Assumptions!$L$50, U103*(1+G117), IF(V97=Assumptions!$L$50, Assumptions!$D$50, 0))</f>
        <v>1948.6249621134689</v>
      </c>
      <c r="W103" s="431">
        <f ca="1">IF(W97&gt;Assumptions!$L$50, V103*(1+H117), IF(W97=Assumptions!$L$50, Assumptions!$D$50, 0))</f>
        <v>1984.9946730230033</v>
      </c>
      <c r="X103" s="431">
        <f ca="1">IF(X97&gt;Assumptions!$L$50, W103*(1+I117), IF(X97=Assumptions!$L$50, Assumptions!$D$50, 0))</f>
        <v>2027.5687572487718</v>
      </c>
      <c r="Y103" s="431">
        <f ca="1">IF(Y97&gt;Assumptions!$L$50, X103*(1+J117), IF(Y97=Assumptions!$L$50, Assumptions!$D$50, 0))</f>
        <v>2077.3569123453599</v>
      </c>
      <c r="Z103" s="431">
        <f ca="1">IF(Z97&gt;Assumptions!$L$50, Y103*(1+K117), IF(Z97=Assumptions!$L$50, Assumptions!$D$50, 0))</f>
        <v>2136.3139026545541</v>
      </c>
      <c r="AB103" s="436" t="s">
        <v>405</v>
      </c>
      <c r="AC103" s="438">
        <f>IF(AC97=Assumptions!$M$50, Assumptions!$P$50, 0)</f>
        <v>0</v>
      </c>
      <c r="AD103" s="438">
        <f>IF(AD97&gt;Assumptions!$M$50, AC103*(1+AC93), IF(AD97=Assumptions!$M$50, Assumptions!$P$50, 0))</f>
        <v>0</v>
      </c>
      <c r="AE103" s="438">
        <f>IF(AE97&gt;Assumptions!$M$50, AD103*(1+AD93), IF(AE97=Assumptions!$M$50, Assumptions!$P$50, 0))</f>
        <v>0</v>
      </c>
      <c r="AF103" s="438">
        <f>IF(AF97&gt;Assumptions!$M$50, AE103*(1+AE93), IF(AF97=Assumptions!$M$50, Assumptions!$P$50, 0))</f>
        <v>1900</v>
      </c>
      <c r="AG103" s="438">
        <f>IF(AG97&gt;Assumptions!$M$50, AF103*(1+AF93), IF(AG97=Assumptions!$M$50, Assumptions!$P$50, 0))</f>
        <v>1995</v>
      </c>
      <c r="AH103" s="438">
        <f>IF(AH97&gt;Assumptions!$M$50, AG103*(1+AG93), IF(AH97=Assumptions!$M$50, Assumptions!$P$50, 0))</f>
        <v>2094.75</v>
      </c>
      <c r="AI103" s="438">
        <f>IF(AI97&gt;Assumptions!$M$50, AH103*(1+AH93), IF(AI97=Assumptions!$M$50, Assumptions!$P$50, 0))</f>
        <v>2199.4875000000002</v>
      </c>
      <c r="AJ103" s="438">
        <f>IF(AJ97&gt;Assumptions!$M$50, AI103*(1+AI93), IF(AJ97=Assumptions!$M$50, Assumptions!$P$50, 0))</f>
        <v>2309.4618750000004</v>
      </c>
      <c r="AK103" s="438">
        <f>IF(AK97&gt;Assumptions!$M$50, AJ103*(1+AJ93), IF(AK97=Assumptions!$M$50, Assumptions!$P$50, 0))</f>
        <v>2424.9349687500007</v>
      </c>
      <c r="AL103" s="438">
        <f>IF(AL97&gt;Assumptions!$M$50, AK103*(1+AK93), IF(AL97=Assumptions!$M$50, Assumptions!$P$50, 0))</f>
        <v>2546.1817171875009</v>
      </c>
      <c r="AM103" s="436"/>
      <c r="AN103" s="436"/>
      <c r="AO103" s="436"/>
      <c r="AP103" s="436" t="s">
        <v>405</v>
      </c>
      <c r="AQ103" s="439">
        <f>IF(AQ97=Assumptions!$M$50, Assumptions!$D$50, 0)</f>
        <v>0</v>
      </c>
      <c r="AR103" s="439">
        <f>IF(AR97&gt;Assumptions!$M$50, AQ103*(1+AC117), IF(AR97=Assumptions!$M$50, Assumptions!$D$50, 0))</f>
        <v>0</v>
      </c>
      <c r="AS103" s="439">
        <f>IF(AS97&gt;Assumptions!$M$50, AR103*(1+AD117), IF(AS97=Assumptions!$M$50, Assumptions!$D$50, 0))</f>
        <v>0</v>
      </c>
      <c r="AT103" s="439">
        <f>IF(AT97&gt;Assumptions!$M$50, AS103*(1+AE117), IF(AT97=Assumptions!$M$50, Assumptions!$D$50, 0))</f>
        <v>1900</v>
      </c>
      <c r="AU103" s="439">
        <f ca="1">IF(AU97&gt;Assumptions!$M$50, AT103*(1+AF117), IF(AU97=Assumptions!$M$50, Assumptions!$D$50, 0))</f>
        <v>1919.8881361403901</v>
      </c>
      <c r="AV103" s="439">
        <f ca="1">IF(AV97&gt;Assumptions!$M$50, AU103*(1+AG117), IF(AV97=Assumptions!$M$50, Assumptions!$D$50, 0))</f>
        <v>1947.6288051740307</v>
      </c>
      <c r="AW103" s="439">
        <f ca="1">IF(AW97&gt;Assumptions!$M$50, AV103*(1+AH117), IF(AW97=Assumptions!$M$50, Assumptions!$D$50, 0))</f>
        <v>1983.3494180890605</v>
      </c>
      <c r="AX103" s="439">
        <f ca="1">IF(AX97&gt;Assumptions!$M$50, AW103*(1+AI117), IF(AX97=Assumptions!$M$50, Assumptions!$D$50, 0))</f>
        <v>2026.5374985928704</v>
      </c>
      <c r="AY103" s="439">
        <f ca="1">IF(AY97&gt;Assumptions!$M$50, AX103*(1+AJ117), IF(AY97=Assumptions!$M$50, Assumptions!$D$50, 0))</f>
        <v>2077.3557321355465</v>
      </c>
      <c r="AZ103" s="439">
        <f ca="1">IF(AZ97&gt;Assumptions!$M$50, AY103*(1+AK117), IF(AZ97=Assumptions!$M$50, Assumptions!$D$50, 0))</f>
        <v>2137.4394138644006</v>
      </c>
    </row>
    <row r="104" spans="2:52">
      <c r="B104" s="521" t="s">
        <v>406</v>
      </c>
      <c r="C104" s="430">
        <f>IF(C98=Assumptions!$L$50, Assumptions!$P$51, 0)</f>
        <v>0</v>
      </c>
      <c r="D104" s="430">
        <f>IF(D97&gt;Assumptions!$L$51, C104, IF(D97=Assumptions!$L$51, Assumptions!$P$51, 0))</f>
        <v>0</v>
      </c>
      <c r="E104" s="430">
        <f>IF(E97&gt;Assumptions!$L$51, D104, IF(E97=Assumptions!$L$51, Assumptions!$P$51, 0))</f>
        <v>0</v>
      </c>
      <c r="F104" s="430">
        <f>IF(F97&gt;Assumptions!$L$51, E104, IF(F97=Assumptions!$L$51, Assumptions!$P$51, 0))</f>
        <v>0</v>
      </c>
      <c r="G104" s="430">
        <f>IF(G97&gt;Assumptions!$L$51, F104, IF(G97=Assumptions!$L$51, Assumptions!$P$51, 0))</f>
        <v>500</v>
      </c>
      <c r="H104" s="430">
        <f>IF(H97&gt;Assumptions!$L$51, G104, IF(H97=Assumptions!$L$51, Assumptions!$P$51, 0))</f>
        <v>500</v>
      </c>
      <c r="I104" s="430">
        <f>IF(I97&gt;Assumptions!$L$51, H104, IF(I97=Assumptions!$L$51, Assumptions!$P$51, 0))</f>
        <v>500</v>
      </c>
      <c r="J104" s="430">
        <f>IF(J97&gt;Assumptions!$L$51, I104, IF(J97=Assumptions!$L$51, Assumptions!$P$51, 0))</f>
        <v>500</v>
      </c>
      <c r="K104" s="430">
        <f>IF(K97&gt;Assumptions!$L$51, J104, IF(K97=Assumptions!$L$51, Assumptions!$P$51, 0))</f>
        <v>500</v>
      </c>
      <c r="L104" s="430">
        <f>IF(L97&gt;Assumptions!$L$51, K104, IF(L97=Assumptions!$L$51, Assumptions!$P$51, 0))</f>
        <v>500</v>
      </c>
      <c r="M104" s="428"/>
      <c r="N104" s="428"/>
      <c r="O104" s="428"/>
      <c r="P104" s="521" t="s">
        <v>406</v>
      </c>
      <c r="Q104" s="431">
        <f>IF(Q97=Assumptions!$L$51, Assumptions!$D$51, 0)</f>
        <v>0</v>
      </c>
      <c r="R104" s="431">
        <f>IF(R97&gt;Assumptions!$L$51, Q104*(1-Assumptions!$V$24) + Assumptions!$D$51*(1+C117), IF(R97=Assumptions!$L$51, Assumptions!$D$51, 0))</f>
        <v>0</v>
      </c>
      <c r="S104" s="431">
        <f>IF(S97&gt;Assumptions!$L$51, R104*(1-Assumptions!$V$24) + Assumptions!$D$51*(1+D117), IF(S97=Assumptions!$L$51, Assumptions!$D$51, 0))</f>
        <v>0</v>
      </c>
      <c r="T104" s="431">
        <f>IF(T97&gt;Assumptions!$L$51, S104*(1-Assumptions!$V$24) + Assumptions!$D$51*(1+E117), IF(T97=Assumptions!$L$51, Assumptions!$D$51, 0))</f>
        <v>0</v>
      </c>
      <c r="U104" s="431">
        <f>IF(U97&gt;Assumptions!$L$51, T104*(1-Assumptions!$V$24) + Assumptions!$D$51*(1+F117), IF(U97=Assumptions!$L$51, Assumptions!$D$51, 0))</f>
        <v>400</v>
      </c>
      <c r="V104" s="431">
        <f ca="1">IF(V97&gt;Assumptions!$L$51, U104*(1-Assumptions!$V$24) + Assumptions!$D$51*(1+G117), IF(V97=Assumptions!$L$51, Assumptions!$D$51, 0))</f>
        <v>737.88430126764547</v>
      </c>
      <c r="W104" s="431">
        <f ca="1">IF(W97&gt;Assumptions!$L$51, V104*(1-Assumptions!$V$24) + Assumptions!$D$51*(1+H117), IF(W97=Assumptions!$L$51, Assumptions!$D$51, 0))</f>
        <v>1019.9096880054019</v>
      </c>
      <c r="X104" s="431">
        <f ca="1">IF(X97&gt;Assumptions!$L$51, W104*(1-Assumptions!$V$24) + Assumptions!$D$51*(1+I117), IF(X97=Assumptions!$L$51, Assumptions!$D$51, 0))</f>
        <v>1255.1042246169877</v>
      </c>
      <c r="Y104" s="431">
        <f ca="1">IF(Y97&gt;Assumptions!$L$51, X104*(1-Assumptions!$V$24) + Assumptions!$D$51*(1+J117), IF(Y97=Assumptions!$L$51, Assumptions!$D$51, 0))</f>
        <v>1451.558744009709</v>
      </c>
      <c r="Z104" s="431">
        <f ca="1">IF(Z97&gt;Assumptions!$L$51, Y104*(1-Assumptions!$V$24) + Assumptions!$D$51*(1+K117), IF(Z97=Assumptions!$L$51, Assumptions!$D$51, 0))</f>
        <v>1616.1460658307528</v>
      </c>
      <c r="AB104" s="524" t="s">
        <v>406</v>
      </c>
      <c r="AC104" s="438">
        <f>IF(AC98=Assumptions!$M$50, Assumptions!$P$51, 0)</f>
        <v>0</v>
      </c>
      <c r="AD104" s="438">
        <f>IF(AD97&gt;Assumptions!$M$51, AC104, IF(AD97=Assumptions!$M$51, Assumptions!$P$51, 0))</f>
        <v>0</v>
      </c>
      <c r="AE104" s="438">
        <f>IF(AE97&gt;Assumptions!$M$51, AD104, IF(AE97=Assumptions!$M$51, Assumptions!$P$51, 0))</f>
        <v>0</v>
      </c>
      <c r="AF104" s="438">
        <f>IF(AF97&gt;Assumptions!$M$51, AE104, IF(AF97=Assumptions!$M$51, Assumptions!$P$51, 0))</f>
        <v>0</v>
      </c>
      <c r="AG104" s="438">
        <f>IF(AG97&gt;Assumptions!$M$51, AF104, IF(AG97=Assumptions!$M$51, Assumptions!$P$51, 0))</f>
        <v>500</v>
      </c>
      <c r="AH104" s="438">
        <f>IF(AH97&gt;Assumptions!$M$51, AG104, IF(AH97=Assumptions!$M$51, Assumptions!$P$51, 0))</f>
        <v>500</v>
      </c>
      <c r="AI104" s="438">
        <f>IF(AI97&gt;Assumptions!$M$51, AH104, IF(AI97=Assumptions!$M$51, Assumptions!$P$51, 0))</f>
        <v>500</v>
      </c>
      <c r="AJ104" s="438">
        <f>IF(AJ97&gt;Assumptions!$M$51, AI104, IF(AJ97=Assumptions!$M$51, Assumptions!$P$51, 0))</f>
        <v>500</v>
      </c>
      <c r="AK104" s="438">
        <f>IF(AK97&gt;Assumptions!$M$51, AJ104, IF(AK97=Assumptions!$M$51, Assumptions!$P$51, 0))</f>
        <v>500</v>
      </c>
      <c r="AL104" s="438">
        <f>IF(AL97&gt;Assumptions!$M$51, AK104, IF(AL97=Assumptions!$M$51, Assumptions!$P$51, 0))</f>
        <v>500</v>
      </c>
      <c r="AM104" s="436"/>
      <c r="AN104" s="436"/>
      <c r="AO104" s="436"/>
      <c r="AP104" s="524" t="s">
        <v>406</v>
      </c>
      <c r="AQ104" s="439">
        <f>IF(AQ97=Assumptions!$M$51, Assumptions!$D$51, 0)</f>
        <v>0</v>
      </c>
      <c r="AR104" s="439">
        <f>IF(AR97&gt;Assumptions!$M$51, AQ104*(1-Assumptions!$V$23) + Assumptions!$D$51*(1+AC117), IF(AR97=Assumptions!$M$51, Assumptions!$D$51, 0))</f>
        <v>0</v>
      </c>
      <c r="AS104" s="439">
        <f>IF(AS97&gt;Assumptions!$M$51, AR104*(1-Assumptions!$V$23) + Assumptions!$D$51*(1+AD117), IF(AS97=Assumptions!$M$51, Assumptions!$D$51, 0))</f>
        <v>0</v>
      </c>
      <c r="AT104" s="439">
        <f>IF(AT97&gt;Assumptions!$M$51, AS104*(1-Assumptions!$V$23) + Assumptions!$D$51*(1+AE117), IF(AT97=Assumptions!$M$51, Assumptions!$D$51, 0))</f>
        <v>0</v>
      </c>
      <c r="AU104" s="439">
        <f>IF(AU97&gt;Assumptions!$M$51, AT104*(1-Assumptions!$V$23) + Assumptions!$D$51*(1+AF117), IF(AU97=Assumptions!$M$51, Assumptions!$D$51, 0))</f>
        <v>400</v>
      </c>
      <c r="AV104" s="439">
        <f ca="1">IF(AV97&gt;Assumptions!$M$51, AU104*(1-Assumptions!$V$23) + Assumptions!$D$51*(1+AG117), IF(AV97=Assumptions!$M$51, Assumptions!$D$51, 0))</f>
        <v>765.77964278469028</v>
      </c>
      <c r="AW104" s="439">
        <f ca="1">IF(AW97&gt;Assumptions!$M$51, AV104*(1-Assumptions!$V$23) + Assumptions!$D$51*(1+AH117), IF(AW97=Assumptions!$M$51, Assumptions!$D$51, 0))</f>
        <v>1096.5379045509655</v>
      </c>
      <c r="AX104" s="439">
        <f ca="1">IF(AX97&gt;Assumptions!$M$51, AW104*(1-Assumptions!$V$23) + Assumptions!$D$51*(1+AI117), IF(AX97=Assumptions!$M$51, Assumptions!$D$51, 0))</f>
        <v>1395.5942445670637</v>
      </c>
      <c r="AY104" s="439">
        <f ca="1">IF(AY97&gt;Assumptions!$M$51, AX104*(1-Assumptions!$V$23) + Assumptions!$D$51*(1+AJ117), IF(AY97=Assumptions!$M$51, Assumptions!$D$51, 0))</f>
        <v>1666.0653739151521</v>
      </c>
      <c r="AZ104" s="439">
        <f ca="1">IF(AZ97&gt;Assumptions!$M$51, AY104*(1-Assumptions!$V$23) + Assumptions!$D$51*(1+AK117), IF(AZ97=Assumptions!$M$51, Assumptions!$D$51, 0))</f>
        <v>1911.0280985040274</v>
      </c>
    </row>
    <row r="105" spans="2:52">
      <c r="B105" s="428" t="s">
        <v>342</v>
      </c>
      <c r="C105" s="430">
        <f>IF(C97=Assumptions!$L$52, Assumptions!$P$52, 0)</f>
        <v>0</v>
      </c>
      <c r="D105" s="430">
        <f>IF(D97&gt;Assumptions!$L$52, C105*(1+C93), IF(D97=Assumptions!$L$52, Assumptions!$P$52, 0))</f>
        <v>0</v>
      </c>
      <c r="E105" s="430">
        <f>IF(E97&gt;Assumptions!$L$52, D105*(1+D93), IF(E97=Assumptions!$L$52, Assumptions!$P$52, 0))</f>
        <v>0</v>
      </c>
      <c r="F105" s="430">
        <f>IF(F97&gt;Assumptions!$L$52, E105*(1+E93), IF(F97=Assumptions!$L$52, Assumptions!$P$52, 0))</f>
        <v>0</v>
      </c>
      <c r="G105" s="430">
        <f>IF(G97&gt;Assumptions!$L$52, F105*(1+F93), IF(G97=Assumptions!$L$52, Assumptions!$P$52, 0))</f>
        <v>500</v>
      </c>
      <c r="H105" s="430">
        <f>IF(H97&gt;Assumptions!$L$52, G105*(1+G93), IF(H97=Assumptions!$L$52, Assumptions!$P$52, 0))</f>
        <v>522.5</v>
      </c>
      <c r="I105" s="430">
        <f>IF(I97&gt;Assumptions!$L$52, H105*(1+H93), IF(I97=Assumptions!$L$52, Assumptions!$P$52, 0))</f>
        <v>546.01249999999993</v>
      </c>
      <c r="J105" s="430">
        <f>IF(J97&gt;Assumptions!$L$52, I105*(1+I93), IF(J97=Assumptions!$L$52, Assumptions!$P$52, 0))</f>
        <v>570.58306249999987</v>
      </c>
      <c r="K105" s="430">
        <f>IF(K97&gt;Assumptions!$L$52, J105*(1+J93), IF(K97=Assumptions!$L$52, Assumptions!$P$52, 0))</f>
        <v>596.25930031249982</v>
      </c>
      <c r="L105" s="430">
        <f>IF(L97&gt;Assumptions!$L$52, K105*(1+K93), IF(L97=Assumptions!$L$52, Assumptions!$P$52, 0))</f>
        <v>623.09096882656229</v>
      </c>
      <c r="M105" s="428"/>
      <c r="N105" s="428"/>
      <c r="O105" s="428"/>
      <c r="P105" s="428" t="s">
        <v>342</v>
      </c>
      <c r="Q105" s="431">
        <f>IF(Q97=Assumptions!$L$52, Assumptions!$D$52, 0)</f>
        <v>0</v>
      </c>
      <c r="R105" s="431">
        <f>IF(R97&gt;Assumptions!$L$52, Q105*(1+C118), IF(R97=Assumptions!$L$52, Assumptions!$D$52, 0))</f>
        <v>0</v>
      </c>
      <c r="S105" s="431">
        <f>IF(S97&gt;Assumptions!$L$52, R105*(1+D118), IF(S97=Assumptions!$L$52, Assumptions!$D$52, 0))</f>
        <v>0</v>
      </c>
      <c r="T105" s="431">
        <f>IF(T97&gt;Assumptions!$L$52, S105*(1+E118), IF(T97=Assumptions!$L$52, Assumptions!$D$52, 0))</f>
        <v>0</v>
      </c>
      <c r="U105" s="431">
        <f>IF(U97&gt;Assumptions!$L$52, T105*(1+F118), IF(U97=Assumptions!$L$52, Assumptions!$D$52, 0))</f>
        <v>300</v>
      </c>
      <c r="V105" s="431">
        <f ca="1">IF(V97&gt;Assumptions!$L$52, U105*(1+G118), IF(V97=Assumptions!$L$52, Assumptions!$D$52, 0))</f>
        <v>304.06839911588867</v>
      </c>
      <c r="W105" s="431">
        <f ca="1">IF(W97&gt;Assumptions!$L$52, V105*(1+H118), IF(W97=Assumptions!$L$52, Assumptions!$D$52, 0))</f>
        <v>309.18185861605224</v>
      </c>
      <c r="X105" s="431">
        <f ca="1">IF(X97&gt;Assumptions!$L$52, W105*(1+I118), IF(X97=Assumptions!$L$52, Assumptions!$D$52, 0))</f>
        <v>315.37903491234107</v>
      </c>
      <c r="Y105" s="431">
        <f ca="1">IF(Y97&gt;Assumptions!$L$52, X105*(1+J118), IF(Y97=Assumptions!$L$52, Assumptions!$D$52, 0))</f>
        <v>322.6821919793357</v>
      </c>
      <c r="Z105" s="431">
        <f ca="1">IF(Z97&gt;Assumptions!$L$52, Y105*(1+K118), IF(Z97=Assumptions!$L$52, Assumptions!$D$52, 0))</f>
        <v>331.27669233962695</v>
      </c>
      <c r="AB105" s="436" t="s">
        <v>342</v>
      </c>
      <c r="AC105" s="438">
        <f>IF(AC97=Assumptions!$M$52, Assumptions!$P$52, 0)</f>
        <v>0</v>
      </c>
      <c r="AD105" s="438">
        <f>IF(AD97&gt;Assumptions!$M$52, AC105*(1+AC93), IF(AD97=Assumptions!$M$52, Assumptions!$P$52, 0))</f>
        <v>0</v>
      </c>
      <c r="AE105" s="438">
        <f>IF(AE97&gt;Assumptions!$M$52, AD105*(1+AD93), IF(AE97=Assumptions!$M$52, Assumptions!$P$52, 0))</f>
        <v>0</v>
      </c>
      <c r="AF105" s="438">
        <f>IF(AF97&gt;Assumptions!$M$52, AE105*(1+AE93), IF(AF97=Assumptions!$M$52, Assumptions!$P$52, 0))</f>
        <v>0</v>
      </c>
      <c r="AG105" s="438">
        <f>IF(AG97&gt;Assumptions!$M$52, AF105*(1+AF93), IF(AG97=Assumptions!$M$52, Assumptions!$P$52, 0))</f>
        <v>500</v>
      </c>
      <c r="AH105" s="438">
        <f>IF(AH97&gt;Assumptions!$M$52, AG105*(1+AG93), IF(AH97=Assumptions!$M$52, Assumptions!$P$52, 0))</f>
        <v>525</v>
      </c>
      <c r="AI105" s="438">
        <f>IF(AI97&gt;Assumptions!$M$52, AH105*(1+AH93), IF(AI97=Assumptions!$M$52, Assumptions!$P$52, 0))</f>
        <v>551.25</v>
      </c>
      <c r="AJ105" s="438">
        <f>IF(AJ97&gt;Assumptions!$M$52, AI105*(1+AI93), IF(AJ97=Assumptions!$M$52, Assumptions!$P$52, 0))</f>
        <v>578.8125</v>
      </c>
      <c r="AK105" s="438">
        <f>IF(AK97&gt;Assumptions!$M$52, AJ105*(1+AJ93), IF(AK97=Assumptions!$M$52, Assumptions!$P$52, 0))</f>
        <v>607.75312500000007</v>
      </c>
      <c r="AL105" s="438">
        <f>IF(AL97&gt;Assumptions!$M$52, AK105*(1+AK93), IF(AL97=Assumptions!$M$52, Assumptions!$P$52, 0))</f>
        <v>638.14078125000015</v>
      </c>
      <c r="AM105" s="436"/>
      <c r="AN105" s="436"/>
      <c r="AO105" s="436"/>
      <c r="AP105" s="436" t="s">
        <v>342</v>
      </c>
      <c r="AQ105" s="439">
        <f>IF(AQ97=Assumptions!$M$52, Assumptions!$D$52, 0)</f>
        <v>0</v>
      </c>
      <c r="AR105" s="439">
        <f>IF(AR97&gt;Assumptions!$M$52, AQ105*(1+AC118), IF(AR97=Assumptions!$M$52, Assumptions!$D$52, 0))</f>
        <v>0</v>
      </c>
      <c r="AS105" s="439">
        <f>IF(AS97&gt;Assumptions!$M$52, AR105*(1+AD118), IF(AS97=Assumptions!$M$52, Assumptions!$D$52, 0))</f>
        <v>0</v>
      </c>
      <c r="AT105" s="439">
        <f>IF(AT97&gt;Assumptions!$M$52, AS105*(1+AE118), IF(AT97=Assumptions!$M$52, Assumptions!$D$52, 0))</f>
        <v>0</v>
      </c>
      <c r="AU105" s="439">
        <f>IF(AU97&gt;Assumptions!$M$52, AT105*(1+AF118), IF(AU97=Assumptions!$M$52, Assumptions!$D$52, 0))</f>
        <v>300</v>
      </c>
      <c r="AV105" s="439">
        <f ca="1">IF(AV97&gt;Assumptions!$M$52, AU105*(1+AG118), IF(AV97=Assumptions!$M$52, Assumptions!$D$52, 0))</f>
        <v>303.89407197443177</v>
      </c>
      <c r="AW105" s="439">
        <f ca="1">IF(AW97&gt;Assumptions!$M$52, AV105*(1+AH118), IF(AW97=Assumptions!$M$52, Assumptions!$D$52, 0))</f>
        <v>308.7835796824528</v>
      </c>
      <c r="AX105" s="439">
        <f ca="1">IF(AX97&gt;Assumptions!$M$52, AW105*(1+AI118), IF(AX97=Assumptions!$M$52, Assumptions!$D$52, 0))</f>
        <v>314.80506064855319</v>
      </c>
      <c r="AY105" s="439">
        <f ca="1">IF(AY97&gt;Assumptions!$M$52, AX105*(1+AJ118), IF(AY97=Assumptions!$M$52, Assumptions!$D$52, 0))</f>
        <v>322.03934917127708</v>
      </c>
      <c r="AZ105" s="439">
        <f ca="1">IF(AZ97&gt;Assumptions!$M$52, AY105*(1+AK118), IF(AZ97=Assumptions!$M$52, Assumptions!$D$52, 0))</f>
        <v>330.48585715808417</v>
      </c>
    </row>
    <row r="106" spans="2:52">
      <c r="B106" s="428" t="s">
        <v>343</v>
      </c>
      <c r="C106" s="430">
        <f>IF(C97=Assumptions!$L$53, Assumptions!$P$53, 0)</f>
        <v>0</v>
      </c>
      <c r="D106" s="430">
        <f>IF(D97&gt;Assumptions!$L$53, C106*(1+C93), IF(D97=Assumptions!$L$53, Assumptions!$P$53, 0))</f>
        <v>0</v>
      </c>
      <c r="E106" s="430">
        <f>IF(E97&gt;Assumptions!$L$53, D106*(1+D93), IF(E97=Assumptions!$L$53, Assumptions!$P$53, 0))</f>
        <v>0</v>
      </c>
      <c r="F106" s="430">
        <f>IF(F97&gt;Assumptions!$L$53, E106*(1+E93), IF(F97=Assumptions!$L$53, Assumptions!$P$53, 0))</f>
        <v>0</v>
      </c>
      <c r="G106" s="430">
        <f>IF(G97&gt;Assumptions!$L$53, F106*(1+F93), IF(G97=Assumptions!$L$53, Assumptions!$P$53, 0))</f>
        <v>300</v>
      </c>
      <c r="H106" s="430">
        <f>IF(H97&gt;Assumptions!$L$53, G106*(1+G93), IF(H97=Assumptions!$L$53, Assumptions!$P$53, 0))</f>
        <v>313.5</v>
      </c>
      <c r="I106" s="430">
        <f>IF(I97&gt;Assumptions!$L$53, H106*(1+H93), IF(I97=Assumptions!$L$53, Assumptions!$P$53, 0))</f>
        <v>327.60749999999996</v>
      </c>
      <c r="J106" s="430">
        <f>IF(J97&gt;Assumptions!$L$53, I106*(1+I93), IF(J97=Assumptions!$L$53, Assumptions!$P$53, 0))</f>
        <v>342.34983749999992</v>
      </c>
      <c r="K106" s="430">
        <f>IF(K97&gt;Assumptions!$L$53, J106*(1+J93), IF(K97=Assumptions!$L$53, Assumptions!$P$53, 0))</f>
        <v>357.7555801874999</v>
      </c>
      <c r="L106" s="430">
        <f>IF(L97&gt;Assumptions!$L$53, K106*(1+K93), IF(L97=Assumptions!$L$53, Assumptions!$P$53, 0))</f>
        <v>373.85458129593735</v>
      </c>
      <c r="M106" s="428"/>
      <c r="N106" s="428"/>
      <c r="O106" s="428"/>
      <c r="P106" s="428" t="s">
        <v>343</v>
      </c>
      <c r="Q106" s="431">
        <f>IF(Q97=Assumptions!$L$53, Assumptions!$D$53, 0)</f>
        <v>0</v>
      </c>
      <c r="R106" s="431">
        <f>IF(R97&gt;Assumptions!$L$53, Q106*(1+C119), IF(R97=Assumptions!$L$53, Assumptions!$D$53, 0))</f>
        <v>0</v>
      </c>
      <c r="S106" s="431">
        <f>IF(S97&gt;Assumptions!$L$53, R106*(1+D119), IF(S97=Assumptions!$L$53, Assumptions!$D$53, 0))</f>
        <v>0</v>
      </c>
      <c r="T106" s="431">
        <f>IF(T97&gt;Assumptions!$L$53, S106*(1+E119), IF(T97=Assumptions!$L$53, Assumptions!$D$53, 0))</f>
        <v>0</v>
      </c>
      <c r="U106" s="431">
        <f>IF(U97&gt;Assumptions!$L$53, T106*(1+F119), IF(U97=Assumptions!$L$53, Assumptions!$D$53, 0))</f>
        <v>1500</v>
      </c>
      <c r="V106" s="431">
        <f ca="1">IF(V97&gt;Assumptions!$L$53, U106*(1+G119), IF(V97=Assumptions!$L$53, Assumptions!$D$53, 0))</f>
        <v>1521.580328492443</v>
      </c>
      <c r="W106" s="431">
        <f ca="1">IF(W97&gt;Assumptions!$L$53, V106*(1+H119), IF(W97=Assumptions!$L$53, Assumptions!$D$53, 0))</f>
        <v>1548.0953869762884</v>
      </c>
      <c r="X106" s="431">
        <f ca="1">IF(X97&gt;Assumptions!$L$53, W106*(1+I119), IF(X97=Assumptions!$L$53, Assumptions!$D$53, 0))</f>
        <v>1580.4868774389065</v>
      </c>
      <c r="Y106" s="431">
        <f ca="1">IF(Y97&gt;Assumptions!$L$53, X106*(1+J119), IF(Y97=Assumptions!$L$53, Assumptions!$D$53, 0))</f>
        <v>1618.4037084812633</v>
      </c>
      <c r="Z106" s="431">
        <f ca="1">IF(Z97&gt;Assumptions!$L$53, Y106*(1+K119), IF(Z97=Assumptions!$L$53, Assumptions!$D$53, 0))</f>
        <v>1662.0300505572711</v>
      </c>
      <c r="AB106" s="436" t="s">
        <v>343</v>
      </c>
      <c r="AC106" s="438">
        <f>IF(AC97=Assumptions!$M$53, Assumptions!$P$53, 0)</f>
        <v>0</v>
      </c>
      <c r="AD106" s="438">
        <f>IF(AD97&gt;Assumptions!$M$53, AC106*(1+AC93), IF(AD97=Assumptions!$M$53, Assumptions!$P$53, 0))</f>
        <v>0</v>
      </c>
      <c r="AE106" s="438">
        <f>IF(AE97&gt;Assumptions!$M$53, AD106*(1+AD93), IF(AE97=Assumptions!$M$53, Assumptions!$P$53, 0))</f>
        <v>0</v>
      </c>
      <c r="AF106" s="438">
        <f>IF(AF97&gt;Assumptions!$M$53, AE106*(1+AE93), IF(AF97=Assumptions!$M$53, Assumptions!$P$53, 0))</f>
        <v>0</v>
      </c>
      <c r="AG106" s="438">
        <f>IF(AG97&gt;Assumptions!$M$53, AF106*(1+AF93), IF(AG97=Assumptions!$M$53, Assumptions!$P$53, 0))</f>
        <v>300</v>
      </c>
      <c r="AH106" s="438">
        <f>IF(AH97&gt;Assumptions!$M$53, AG106*(1+AG93), IF(AH97=Assumptions!$M$53, Assumptions!$P$53, 0))</f>
        <v>315</v>
      </c>
      <c r="AI106" s="438">
        <f>IF(AI97&gt;Assumptions!$M$53, AH106*(1+AH93), IF(AI97=Assumptions!$M$53, Assumptions!$P$53, 0))</f>
        <v>330.75</v>
      </c>
      <c r="AJ106" s="438">
        <f>IF(AJ97&gt;Assumptions!$M$53, AI106*(1+AI93), IF(AJ97=Assumptions!$M$53, Assumptions!$P$53, 0))</f>
        <v>347.28750000000002</v>
      </c>
      <c r="AK106" s="438">
        <f>IF(AK97&gt;Assumptions!$M$53, AJ106*(1+AJ93), IF(AK97=Assumptions!$M$53, Assumptions!$P$53, 0))</f>
        <v>364.65187500000002</v>
      </c>
      <c r="AL106" s="438">
        <f>IF(AL97&gt;Assumptions!$M$53, AK106*(1+AK93), IF(AL97=Assumptions!$M$53, Assumptions!$P$53, 0))</f>
        <v>382.88446875000005</v>
      </c>
      <c r="AM106" s="436"/>
      <c r="AN106" s="436"/>
      <c r="AO106" s="436"/>
      <c r="AP106" s="436" t="s">
        <v>343</v>
      </c>
      <c r="AQ106" s="439">
        <f>IF(AQ97=Assumptions!$M$53, Assumptions!$D$53, 0)</f>
        <v>0</v>
      </c>
      <c r="AR106" s="439">
        <f>IF(AR97&gt;Assumptions!$M$53, AQ106*(1+AC119), IF(AR97=Assumptions!$M$53, Assumptions!$D$53, 0))</f>
        <v>0</v>
      </c>
      <c r="AS106" s="439">
        <f>IF(AS97&gt;Assumptions!$M$53, AR106*(1+AD119), IF(AS97=Assumptions!$M$53, Assumptions!$D$53, 0))</f>
        <v>0</v>
      </c>
      <c r="AT106" s="439">
        <f>IF(AT97&gt;Assumptions!$M$53, AS106*(1+AE119), IF(AT97=Assumptions!$M$53, Assumptions!$D$53, 0))</f>
        <v>0</v>
      </c>
      <c r="AU106" s="439">
        <f>IF(AU97&gt;Assumptions!$M$53, AT106*(1+AF119), IF(AU97=Assumptions!$M$53, Assumptions!$D$53, 0))</f>
        <v>1500</v>
      </c>
      <c r="AV106" s="439">
        <f ca="1">IF(AV97&gt;Assumptions!$M$53, AU106*(1+AG119), IF(AV97=Assumptions!$M$53, Assumptions!$D$53, 0))</f>
        <v>1521.1442369499396</v>
      </c>
      <c r="AW106" s="439">
        <f ca="1">IF(AW97&gt;Assumptions!$M$53, AV106*(1+AH119), IF(AW97=Assumptions!$M$53, Assumptions!$D$53, 0))</f>
        <v>1546.9541712015982</v>
      </c>
      <c r="AX106" s="439">
        <f ca="1">IF(AX97&gt;Assumptions!$M$53, AW106*(1+AI119), IF(AX97=Assumptions!$M$53, Assumptions!$D$53, 0))</f>
        <v>1578.2825208258992</v>
      </c>
      <c r="AY106" s="439">
        <f ca="1">IF(AY97&gt;Assumptions!$M$53, AX106*(1+AJ119), IF(AY97=Assumptions!$M$53, Assumptions!$D$53, 0))</f>
        <v>1616.4050749956129</v>
      </c>
      <c r="AZ106" s="439">
        <f ca="1">IF(AZ97&gt;Assumptions!$M$53, AY106*(1+AK119), IF(AZ97=Assumptions!$M$53, Assumptions!$D$53, 0))</f>
        <v>1660.4977459355582</v>
      </c>
    </row>
    <row r="107" spans="2:52">
      <c r="B107" s="428" t="s">
        <v>344</v>
      </c>
      <c r="C107" s="430">
        <f>IF(C97=Assumptions!$L$54, Assumptions!$P$54, 0)</f>
        <v>0</v>
      </c>
      <c r="D107" s="430">
        <f>IF(D97&gt;Assumptions!$L$54, C107*(1+C93), IF(D97=Assumptions!$L$54, Assumptions!$P$54, 0))</f>
        <v>0</v>
      </c>
      <c r="E107" s="430">
        <f>IF(E97&gt;Assumptions!$L$54, D107*(1+D93), IF(E97=Assumptions!$L$54, Assumptions!$P$54, 0))</f>
        <v>0</v>
      </c>
      <c r="F107" s="430">
        <f>IF(F97&gt;Assumptions!$L$54, E107*(1+E93), IF(F97=Assumptions!$L$54, Assumptions!$P$54, 0))</f>
        <v>0</v>
      </c>
      <c r="G107" s="430">
        <f>IF(G97&gt;Assumptions!$L$54, F107*(1+F93), IF(G97=Assumptions!$L$54, Assumptions!$P$54, 0))</f>
        <v>700</v>
      </c>
      <c r="H107" s="430">
        <f>IF(H97&gt;Assumptions!$L$54, G107*(1+G93), IF(H97=Assumptions!$L$54, Assumptions!$P$54, 0))</f>
        <v>731.5</v>
      </c>
      <c r="I107" s="430">
        <f>IF(I97&gt;Assumptions!$L$54, H107*(1+H93), IF(I97=Assumptions!$L$54, Assumptions!$P$54, 0))</f>
        <v>764.4174999999999</v>
      </c>
      <c r="J107" s="430">
        <f>IF(J97&gt;Assumptions!$L$54, I107*(1+I93), IF(J97=Assumptions!$L$54, Assumptions!$P$54, 0))</f>
        <v>798.81628749999982</v>
      </c>
      <c r="K107" s="430">
        <f>IF(K97&gt;Assumptions!$L$54, J107*(1+J93), IF(K97=Assumptions!$L$54, Assumptions!$P$54, 0))</f>
        <v>834.76302043749979</v>
      </c>
      <c r="L107" s="430">
        <f>IF(L97&gt;Assumptions!$L$54, K107*(1+K93), IF(L97=Assumptions!$L$54, Assumptions!$P$54, 0))</f>
        <v>872.32735635718723</v>
      </c>
      <c r="M107" s="428"/>
      <c r="N107" s="428"/>
      <c r="O107" s="428"/>
      <c r="P107" s="428" t="s">
        <v>344</v>
      </c>
      <c r="Q107" s="431">
        <f>IF(Q97=Assumptions!$L$53, Assumptions!$D$54, 0)</f>
        <v>0</v>
      </c>
      <c r="R107" s="431">
        <f>IF(R97&gt;Assumptions!$L$54, Q107*(1+C120), IF(R97=Assumptions!$L$54, Assumptions!$D$54, 0))</f>
        <v>0</v>
      </c>
      <c r="S107" s="431">
        <f>IF(S97&gt;Assumptions!$L$54, R107*(1+D120), IF(S97=Assumptions!$L$54, Assumptions!$D$54, 0))</f>
        <v>0</v>
      </c>
      <c r="T107" s="431">
        <f>IF(T97&gt;Assumptions!$L$54, S107*(1+E120), IF(T97=Assumptions!$L$54, Assumptions!$D$54, 0))</f>
        <v>0</v>
      </c>
      <c r="U107" s="431">
        <f>IF(U97&gt;Assumptions!$L$54, T107*(1+F120), IF(U97=Assumptions!$L$54, Assumptions!$D$54, 0))</f>
        <v>700</v>
      </c>
      <c r="V107" s="431">
        <f ca="1">IF(V97&gt;Assumptions!$L$54, U107*(1+G120), IF(V97=Assumptions!$L$54, Assumptions!$D$54, 0))</f>
        <v>709.358680124133</v>
      </c>
      <c r="W107" s="431">
        <f ca="1">IF(W97&gt;Assumptions!$L$54, V107*(1+H120), IF(W97=Assumptions!$L$54, Assumptions!$D$54, 0))</f>
        <v>721.57771380862187</v>
      </c>
      <c r="X107" s="431">
        <f ca="1">IF(X97&gt;Assumptions!$L$54, W107*(1+I120), IF(X97=Assumptions!$L$54, Assumptions!$D$54, 0))</f>
        <v>736.88494263620316</v>
      </c>
      <c r="Y107" s="431">
        <f ca="1">IF(Y97&gt;Assumptions!$L$54, X107*(1+J120), IF(Y97=Assumptions!$L$54, Assumptions!$D$54, 0))</f>
        <v>754.48516372009044</v>
      </c>
      <c r="Z107" s="431">
        <f ca="1">IF(Z97&gt;Assumptions!$L$54, Y107*(1+K120), IF(Z97=Assumptions!$L$54, Assumptions!$D$54, 0))</f>
        <v>774.94935418979276</v>
      </c>
      <c r="AB107" s="436" t="s">
        <v>344</v>
      </c>
      <c r="AC107" s="438">
        <f>IF(AC97=Assumptions!$M$54, Assumptions!$P$54, 0)</f>
        <v>0</v>
      </c>
      <c r="AD107" s="438">
        <f>IF(AD97&gt;Assumptions!$M$54, AC107*(1+AC93), IF(AD97=Assumptions!$M$54, Assumptions!$P$54, 0))</f>
        <v>0</v>
      </c>
      <c r="AE107" s="438">
        <f>IF(AE97&gt;Assumptions!$M$54, AD107*(1+AD93), IF(AE97=Assumptions!$M$54, Assumptions!$P$54, 0))</f>
        <v>0</v>
      </c>
      <c r="AF107" s="438">
        <f>IF(AF97&gt;Assumptions!$M$54, AE107*(1+AE93), IF(AF97=Assumptions!$M$54, Assumptions!$P$54, 0))</f>
        <v>0</v>
      </c>
      <c r="AG107" s="438">
        <f>IF(AG97&gt;Assumptions!$M$54, AF107*(1+AF93), IF(AG97=Assumptions!$M$54, Assumptions!$P$54, 0))</f>
        <v>700</v>
      </c>
      <c r="AH107" s="438">
        <f>IF(AH97&gt;Assumptions!$M$54, AG107*(1+AG93), IF(AH97=Assumptions!$M$54, Assumptions!$P$54, 0))</f>
        <v>735</v>
      </c>
      <c r="AI107" s="438">
        <f>IF(AI97&gt;Assumptions!$M$54, AH107*(1+AH93), IF(AI97=Assumptions!$M$54, Assumptions!$P$54, 0))</f>
        <v>771.75</v>
      </c>
      <c r="AJ107" s="438">
        <f>IF(AJ97&gt;Assumptions!$M$54, AI107*(1+AI93), IF(AJ97=Assumptions!$M$54, Assumptions!$P$54, 0))</f>
        <v>810.33750000000009</v>
      </c>
      <c r="AK107" s="438">
        <f>IF(AK97&gt;Assumptions!$M$54, AJ107*(1+AJ93), IF(AK97=Assumptions!$M$54, Assumptions!$P$54, 0))</f>
        <v>850.85437500000012</v>
      </c>
      <c r="AL107" s="438">
        <f>IF(AL97&gt;Assumptions!$M$54, AK107*(1+AK93), IF(AL97=Assumptions!$M$54, Assumptions!$P$54, 0))</f>
        <v>893.39709375000018</v>
      </c>
      <c r="AM107" s="436"/>
      <c r="AN107" s="436"/>
      <c r="AO107" s="436"/>
      <c r="AP107" s="436" t="s">
        <v>344</v>
      </c>
      <c r="AQ107" s="439">
        <f>IF(AQ97=Assumptions!$M$53, Assumptions!$D$54, 0)</f>
        <v>0</v>
      </c>
      <c r="AR107" s="439">
        <f>IF(AR97&gt;Assumptions!$M$54, AQ107*(1+AC120), IF(AR97=Assumptions!$M$54, Assumptions!$D$54, 0))</f>
        <v>0</v>
      </c>
      <c r="AS107" s="439">
        <f>IF(AS97&gt;Assumptions!$M$54, AR107*(1+AD120), IF(AS97=Assumptions!$M$54, Assumptions!$D$54, 0))</f>
        <v>0</v>
      </c>
      <c r="AT107" s="439">
        <f>IF(AT97&gt;Assumptions!$M$54, AS107*(1+AE120), IF(AT97=Assumptions!$M$54, Assumptions!$D$54, 0))</f>
        <v>0</v>
      </c>
      <c r="AU107" s="439">
        <f>IF(AU97&gt;Assumptions!$M$54, AT107*(1+AF120), IF(AU97=Assumptions!$M$54, Assumptions!$D$54, 0))</f>
        <v>700</v>
      </c>
      <c r="AV107" s="439">
        <f ca="1">IF(AV97&gt;Assumptions!$M$54, AU107*(1+AG120), IF(AV97=Assumptions!$M$54, Assumptions!$D$54, 0))</f>
        <v>710.30336980154027</v>
      </c>
      <c r="AW107" s="439">
        <f ca="1">IF(AW97&gt;Assumptions!$M$54, AV107*(1+AH120), IF(AW97=Assumptions!$M$54, Assumptions!$D$54, 0))</f>
        <v>723.56748401660172</v>
      </c>
      <c r="AX107" s="439">
        <f ca="1">IF(AX97&gt;Assumptions!$M$54, AW107*(1+AI120), IF(AX97=Assumptions!$M$54, Assumptions!$D$54, 0))</f>
        <v>739.94525561390537</v>
      </c>
      <c r="AY107" s="439">
        <f ca="1">IF(AY97&gt;Assumptions!$M$54, AX107*(1+AJ120), IF(AY97=Assumptions!$M$54, Assumptions!$D$54, 0))</f>
        <v>759.51046364960928</v>
      </c>
      <c r="AZ107" s="439">
        <f ca="1">IF(AZ97&gt;Assumptions!$M$54, AY107*(1+AK120), IF(AZ97=Assumptions!$M$54, Assumptions!$D$54, 0))</f>
        <v>782.16259846471951</v>
      </c>
    </row>
    <row r="108" spans="2:52">
      <c r="B108" s="428"/>
      <c r="C108" s="428"/>
      <c r="D108" s="428"/>
      <c r="E108" s="428"/>
      <c r="F108" s="428"/>
      <c r="G108" s="428"/>
      <c r="H108" s="428"/>
      <c r="I108" s="428"/>
      <c r="J108" s="428"/>
      <c r="K108" s="428"/>
      <c r="L108" s="428"/>
      <c r="M108" s="428"/>
      <c r="N108" s="428"/>
      <c r="O108" s="428"/>
      <c r="P108" s="428"/>
      <c r="Q108" s="428"/>
      <c r="R108" s="428"/>
      <c r="S108" s="428"/>
      <c r="T108" s="428"/>
      <c r="U108" s="428"/>
      <c r="V108" s="428"/>
      <c r="W108" s="428"/>
      <c r="X108" s="428"/>
      <c r="Y108" s="428"/>
      <c r="Z108" s="428"/>
      <c r="AB108" s="436"/>
      <c r="AC108" s="436"/>
      <c r="AD108" s="436"/>
      <c r="AE108" s="436"/>
      <c r="AF108" s="436"/>
      <c r="AG108" s="436"/>
      <c r="AH108" s="436"/>
      <c r="AI108" s="436"/>
      <c r="AJ108" s="436"/>
      <c r="AK108" s="436"/>
      <c r="AL108" s="436"/>
      <c r="AM108" s="436"/>
      <c r="AN108" s="436"/>
      <c r="AO108" s="436"/>
      <c r="AP108" s="436"/>
      <c r="AQ108" s="436"/>
      <c r="AR108" s="436"/>
      <c r="AS108" s="436"/>
      <c r="AT108" s="436"/>
      <c r="AU108" s="436"/>
      <c r="AV108" s="436"/>
      <c r="AW108" s="436"/>
      <c r="AX108" s="436"/>
      <c r="AY108" s="436"/>
      <c r="AZ108" s="436"/>
    </row>
    <row r="109" spans="2:52">
      <c r="B109" s="428"/>
      <c r="C109" s="428"/>
      <c r="D109" s="428"/>
      <c r="E109" s="428"/>
      <c r="F109" s="428"/>
      <c r="G109" s="428"/>
      <c r="H109" s="428"/>
      <c r="I109" s="428"/>
      <c r="J109" s="428"/>
      <c r="K109" s="428"/>
      <c r="L109" s="428"/>
      <c r="M109" s="428"/>
      <c r="N109" s="428"/>
      <c r="O109" s="428"/>
      <c r="P109" s="428"/>
      <c r="Q109" s="428"/>
      <c r="R109" s="428"/>
      <c r="S109" s="428"/>
      <c r="T109" s="428"/>
      <c r="U109" s="428"/>
      <c r="V109" s="428"/>
      <c r="W109" s="428"/>
      <c r="X109" s="428"/>
      <c r="Y109" s="428"/>
      <c r="Z109" s="428"/>
      <c r="AB109" s="436"/>
      <c r="AC109" s="436"/>
      <c r="AD109" s="436"/>
      <c r="AE109" s="436"/>
      <c r="AF109" s="436"/>
      <c r="AG109" s="436"/>
      <c r="AH109" s="436"/>
      <c r="AI109" s="436"/>
      <c r="AJ109" s="436"/>
      <c r="AK109" s="436"/>
      <c r="AL109" s="436"/>
      <c r="AM109" s="436"/>
      <c r="AN109" s="436"/>
      <c r="AO109" s="436"/>
      <c r="AP109" s="436"/>
      <c r="AQ109" s="436"/>
      <c r="AR109" s="436"/>
      <c r="AS109" s="436"/>
      <c r="AT109" s="436"/>
      <c r="AU109" s="436"/>
      <c r="AV109" s="436"/>
      <c r="AW109" s="436"/>
      <c r="AX109" s="436"/>
      <c r="AY109" s="436"/>
      <c r="AZ109" s="436"/>
    </row>
    <row r="110" spans="2:52">
      <c r="B110" s="428"/>
      <c r="C110" s="428" t="s">
        <v>248</v>
      </c>
      <c r="D110" s="428"/>
      <c r="E110" s="428"/>
      <c r="F110" s="428"/>
      <c r="G110" s="428"/>
      <c r="H110" s="428"/>
      <c r="I110" s="428"/>
      <c r="J110" s="428"/>
      <c r="K110" s="428"/>
      <c r="L110" s="428"/>
      <c r="M110" s="428"/>
      <c r="N110" s="428"/>
      <c r="O110" s="428"/>
      <c r="P110" s="428"/>
      <c r="Q110" s="428" t="s">
        <v>248</v>
      </c>
      <c r="R110" s="428"/>
      <c r="S110" s="428"/>
      <c r="T110" s="428"/>
      <c r="U110" s="428"/>
      <c r="V110" s="428"/>
      <c r="W110" s="428"/>
      <c r="X110" s="428"/>
      <c r="Y110" s="428"/>
      <c r="Z110" s="428"/>
      <c r="AB110" s="436"/>
      <c r="AC110" s="436" t="s">
        <v>248</v>
      </c>
      <c r="AD110" s="436"/>
      <c r="AE110" s="436"/>
      <c r="AF110" s="436"/>
      <c r="AG110" s="436"/>
      <c r="AH110" s="436"/>
      <c r="AI110" s="436"/>
      <c r="AJ110" s="436"/>
      <c r="AK110" s="436"/>
      <c r="AL110" s="436"/>
      <c r="AM110" s="436"/>
      <c r="AN110" s="436"/>
      <c r="AO110" s="436"/>
      <c r="AP110" s="436"/>
      <c r="AQ110" s="436" t="s">
        <v>248</v>
      </c>
      <c r="AR110" s="436"/>
      <c r="AS110" s="436"/>
      <c r="AT110" s="436"/>
      <c r="AU110" s="436"/>
      <c r="AV110" s="436"/>
      <c r="AW110" s="436"/>
      <c r="AX110" s="436"/>
      <c r="AY110" s="436"/>
      <c r="AZ110" s="436"/>
    </row>
    <row r="111" spans="2:52">
      <c r="B111" s="428"/>
      <c r="C111" s="428">
        <v>1</v>
      </c>
      <c r="D111" s="428">
        <v>2</v>
      </c>
      <c r="E111" s="428">
        <v>3</v>
      </c>
      <c r="F111" s="428">
        <v>4</v>
      </c>
      <c r="G111" s="428">
        <v>5</v>
      </c>
      <c r="H111" s="428">
        <v>6</v>
      </c>
      <c r="I111" s="428">
        <v>7</v>
      </c>
      <c r="J111" s="428">
        <v>8</v>
      </c>
      <c r="K111" s="428">
        <v>9</v>
      </c>
      <c r="L111" s="428">
        <v>10</v>
      </c>
      <c r="M111" s="428"/>
      <c r="N111" s="428"/>
      <c r="O111" s="428"/>
      <c r="P111" s="428" t="s">
        <v>348</v>
      </c>
      <c r="Q111" s="428">
        <v>1</v>
      </c>
      <c r="R111" s="428">
        <v>2</v>
      </c>
      <c r="S111" s="428">
        <v>3</v>
      </c>
      <c r="T111" s="428">
        <v>4</v>
      </c>
      <c r="U111" s="428">
        <v>5</v>
      </c>
      <c r="V111" s="428">
        <v>6</v>
      </c>
      <c r="W111" s="428">
        <v>7</v>
      </c>
      <c r="X111" s="428">
        <v>8</v>
      </c>
      <c r="Y111" s="428">
        <v>9</v>
      </c>
      <c r="Z111" s="428">
        <v>10</v>
      </c>
      <c r="AB111" s="436"/>
      <c r="AC111" s="436">
        <v>1</v>
      </c>
      <c r="AD111" s="436">
        <v>2</v>
      </c>
      <c r="AE111" s="436">
        <v>3</v>
      </c>
      <c r="AF111" s="436">
        <v>4</v>
      </c>
      <c r="AG111" s="436">
        <v>5</v>
      </c>
      <c r="AH111" s="436">
        <v>6</v>
      </c>
      <c r="AI111" s="436">
        <v>7</v>
      </c>
      <c r="AJ111" s="436">
        <v>8</v>
      </c>
      <c r="AK111" s="436">
        <v>9</v>
      </c>
      <c r="AL111" s="436">
        <v>10</v>
      </c>
      <c r="AM111" s="436"/>
      <c r="AN111" s="436"/>
      <c r="AO111" s="436"/>
      <c r="AP111" s="436" t="s">
        <v>348</v>
      </c>
      <c r="AQ111" s="436">
        <v>1</v>
      </c>
      <c r="AR111" s="436">
        <v>2</v>
      </c>
      <c r="AS111" s="436">
        <v>3</v>
      </c>
      <c r="AT111" s="436">
        <v>4</v>
      </c>
      <c r="AU111" s="436">
        <v>5</v>
      </c>
      <c r="AV111" s="436">
        <v>6</v>
      </c>
      <c r="AW111" s="436">
        <v>7</v>
      </c>
      <c r="AX111" s="436">
        <v>8</v>
      </c>
      <c r="AY111" s="436">
        <v>9</v>
      </c>
      <c r="AZ111" s="436">
        <v>10</v>
      </c>
    </row>
    <row r="112" spans="2:52">
      <c r="B112" s="428" t="s">
        <v>331</v>
      </c>
      <c r="C112" s="432">
        <v>0.05</v>
      </c>
      <c r="D112" s="432">
        <f ca="1">C112+_xlfn.NORM.DIST(RAND(), 0, 1, FALSE)%</f>
        <v>5.3932007291984503E-2</v>
      </c>
      <c r="E112" s="432">
        <f t="shared" ref="E112:L112" ca="1" si="167">D112+_xlfn.NORM.DIST(RAND(), 0, 1, FALSE)%</f>
        <v>5.6434509820367566E-2</v>
      </c>
      <c r="F112" s="432">
        <f t="shared" ca="1" si="167"/>
        <v>5.8965089977464621E-2</v>
      </c>
      <c r="G112" s="432">
        <f t="shared" ca="1" si="167"/>
        <v>6.2699963199687778E-2</v>
      </c>
      <c r="H112" s="432">
        <f t="shared" ca="1" si="167"/>
        <v>6.6543394532352335E-2</v>
      </c>
      <c r="I112" s="432">
        <f t="shared" ca="1" si="167"/>
        <v>6.9639098278222178E-2</v>
      </c>
      <c r="J112" s="432">
        <f t="shared" ca="1" si="167"/>
        <v>7.3462399589943134E-2</v>
      </c>
      <c r="K112" s="432">
        <f t="shared" ca="1" si="167"/>
        <v>7.6085671687728604E-2</v>
      </c>
      <c r="L112" s="432">
        <f t="shared" ca="1" si="167"/>
        <v>7.9704948136502238E-2</v>
      </c>
      <c r="M112" s="428"/>
      <c r="N112" s="428"/>
      <c r="O112" s="428"/>
      <c r="P112" s="428" t="s">
        <v>331</v>
      </c>
      <c r="Q112" s="430">
        <f>C98*Q98</f>
        <v>0</v>
      </c>
      <c r="R112" s="430">
        <f t="shared" ref="R112:R114" si="168">D98*R98</f>
        <v>0</v>
      </c>
      <c r="S112" s="430">
        <f t="shared" ref="S112:S115" si="169">E98*S98</f>
        <v>0</v>
      </c>
      <c r="T112" s="430">
        <f t="shared" ref="T112:T116" si="170">F98*T98</f>
        <v>7700000</v>
      </c>
      <c r="U112" s="430">
        <f t="shared" ref="U112:U116" ca="1" si="171">G98*U98</f>
        <v>8520962.5965036694</v>
      </c>
      <c r="V112" s="430">
        <f t="shared" ref="V112:V116" ca="1" si="172">H98*V98</f>
        <v>9462711.8364282325</v>
      </c>
      <c r="W112" s="430">
        <f t="shared" ref="W112:W116" ca="1" si="173">I98*W98</f>
        <v>10546550.479663389</v>
      </c>
      <c r="X112" s="430">
        <f t="shared" ref="X112:X116" ca="1" si="174">J98*X98</f>
        <v>11788647.868538478</v>
      </c>
      <c r="Y112" s="430">
        <f t="shared" ref="Y112:Y116" ca="1" si="175">K98*Y98</f>
        <v>13224130.38918188</v>
      </c>
      <c r="Z112" s="430">
        <f t="shared" ref="Z112:Z116" ca="1" si="176">L98*Z98</f>
        <v>14870660.607783685</v>
      </c>
      <c r="AB112" s="436" t="s">
        <v>331</v>
      </c>
      <c r="AC112" s="440">
        <v>0.05</v>
      </c>
      <c r="AD112" s="440">
        <f ca="1">AC112+_xlfn.NORM.DIST(RAND(), 0, 1, FALSE)%</f>
        <v>5.2825333719199417E-2</v>
      </c>
      <c r="AE112" s="440">
        <f t="shared" ref="AE112:AL112" ca="1" si="177">AD112+_xlfn.NORM.DIST(RAND(), 0, 1, FALSE)%</f>
        <v>5.5708993762873013E-2</v>
      </c>
      <c r="AF112" s="440">
        <f t="shared" ca="1" si="177"/>
        <v>5.8664199122766637E-2</v>
      </c>
      <c r="AG112" s="440">
        <f t="shared" ca="1" si="177"/>
        <v>6.2653568204111387E-2</v>
      </c>
      <c r="AH112" s="440">
        <f t="shared" ca="1" si="177"/>
        <v>6.5124754048745057E-2</v>
      </c>
      <c r="AI112" s="440">
        <f t="shared" ca="1" si="177"/>
        <v>6.8666813391746295E-2</v>
      </c>
      <c r="AJ112" s="440">
        <f t="shared" ca="1" si="177"/>
        <v>7.2559363926177331E-2</v>
      </c>
      <c r="AK112" s="440">
        <f t="shared" ca="1" si="177"/>
        <v>7.6463215028166581E-2</v>
      </c>
      <c r="AL112" s="440">
        <f t="shared" ca="1" si="177"/>
        <v>8.0395350303336277E-2</v>
      </c>
      <c r="AM112" s="436"/>
      <c r="AN112" s="436"/>
      <c r="AO112" s="436"/>
      <c r="AP112" s="436" t="s">
        <v>331</v>
      </c>
      <c r="AQ112" s="438">
        <f>AC98*AQ98</f>
        <v>0</v>
      </c>
      <c r="AR112" s="438">
        <f t="shared" ref="AR112:AR114" si="178">AD98*AR98</f>
        <v>0</v>
      </c>
      <c r="AS112" s="438">
        <f t="shared" ref="AS112:AS115" si="179">AE98*AS98</f>
        <v>0</v>
      </c>
      <c r="AT112" s="438">
        <f t="shared" ref="AT112:AT116" si="180">AF98*AT98</f>
        <v>7700000</v>
      </c>
      <c r="AU112" s="438">
        <f t="shared" ref="AU112:AU116" ca="1" si="181">AG98*AU98</f>
        <v>8559300.049907567</v>
      </c>
      <c r="AV112" s="438">
        <f t="shared" ref="AV112:AV116" ca="1" si="182">AH98*AV98</f>
        <v>9550349.276332099</v>
      </c>
      <c r="AW112" s="438">
        <f t="shared" ref="AW112:AW116" ca="1" si="183">AI98*AW98</f>
        <v>10680929.09523448</v>
      </c>
      <c r="AX112" s="438">
        <f t="shared" ref="AX112:AX116" ca="1" si="184">AJ98*AX98</f>
        <v>11985072.18328079</v>
      </c>
      <c r="AY112" s="438">
        <f t="shared" ref="AY112:AY116" ca="1" si="185">AK98*AY98</f>
        <v>13497436.467384413</v>
      </c>
      <c r="AZ112" s="438">
        <f t="shared" ref="AZ112:AZ116" ca="1" si="186">AL98*AZ98</f>
        <v>15255968.547034997</v>
      </c>
    </row>
    <row r="113" spans="2:52">
      <c r="B113" s="428" t="s">
        <v>332</v>
      </c>
      <c r="C113" s="432">
        <v>0.09</v>
      </c>
      <c r="D113" s="432">
        <f t="shared" ref="D113:G113" ca="1" si="187">C113+_xlfn.NORM.DIST(RAND(), 0, 1, FALSE)%</f>
        <v>9.3105705532529268E-2</v>
      </c>
      <c r="E113" s="432">
        <f t="shared" ca="1" si="187"/>
        <v>9.5841569646460137E-2</v>
      </c>
      <c r="F113" s="432">
        <f t="shared" ca="1" si="187"/>
        <v>9.9252489875955988E-2</v>
      </c>
      <c r="G113" s="432">
        <f t="shared" ca="1" si="187"/>
        <v>0.10201321547600783</v>
      </c>
      <c r="H113" s="432">
        <f ca="1">G113+_xlfn.NORM.DIST(RAND(), 0, 1, FALSE)%</f>
        <v>0.10584684851395466</v>
      </c>
      <c r="I113" s="432">
        <f t="shared" ref="I113:L113" ca="1" si="188">H113+_xlfn.NORM.DIST(RAND(), 0, 1, FALSE)%</f>
        <v>0.10972221897628578</v>
      </c>
      <c r="J113" s="432">
        <f t="shared" ca="1" si="188"/>
        <v>0.1125388699869878</v>
      </c>
      <c r="K113" s="432">
        <f t="shared" ca="1" si="188"/>
        <v>0.1165237726429712</v>
      </c>
      <c r="L113" s="432">
        <f t="shared" ca="1" si="188"/>
        <v>0.12049864911197879</v>
      </c>
      <c r="M113" s="428"/>
      <c r="N113" s="428"/>
      <c r="O113" s="428"/>
      <c r="P113" s="428" t="s">
        <v>332</v>
      </c>
      <c r="Q113" s="430">
        <f>C99*Q99</f>
        <v>0</v>
      </c>
      <c r="R113" s="430">
        <f t="shared" si="168"/>
        <v>0</v>
      </c>
      <c r="S113" s="430">
        <f t="shared" si="169"/>
        <v>0</v>
      </c>
      <c r="T113" s="430">
        <f t="shared" si="170"/>
        <v>7000000</v>
      </c>
      <c r="U113" s="430">
        <f t="shared" ca="1" si="171"/>
        <v>8041031.9634426162</v>
      </c>
      <c r="V113" s="430">
        <f t="shared" ca="1" si="172"/>
        <v>9260083.0468187965</v>
      </c>
      <c r="W113" s="430">
        <f t="shared" ca="1" si="173"/>
        <v>10701044.168745659</v>
      </c>
      <c r="X113" s="430">
        <f t="shared" ca="1" si="174"/>
        <v>12409569.871917345</v>
      </c>
      <c r="Y113" s="430">
        <f t="shared" ca="1" si="175"/>
        <v>14427404.64023223</v>
      </c>
      <c r="Z113" s="430">
        <f t="shared" ca="1" si="176"/>
        <v>16833424.569984943</v>
      </c>
      <c r="AB113" s="436" t="s">
        <v>332</v>
      </c>
      <c r="AC113" s="440">
        <v>0.09</v>
      </c>
      <c r="AD113" s="440">
        <f t="shared" ref="AD113:AG113" ca="1" si="189">AC113+_xlfn.NORM.DIST(RAND(), 0, 1, FALSE)%</f>
        <v>9.3701112984954468E-2</v>
      </c>
      <c r="AE113" s="440">
        <f t="shared" ca="1" si="189"/>
        <v>9.7088148840578467E-2</v>
      </c>
      <c r="AF113" s="440">
        <f t="shared" ca="1" si="189"/>
        <v>0.10036527947320695</v>
      </c>
      <c r="AG113" s="440">
        <f t="shared" ca="1" si="189"/>
        <v>0.10369227900001556</v>
      </c>
      <c r="AH113" s="440">
        <f ca="1">AG113+_xlfn.NORM.DIST(RAND(), 0, 1, FALSE)%</f>
        <v>0.1076008331916067</v>
      </c>
      <c r="AI113" s="440">
        <f t="shared" ref="AI113:AL113" ca="1" si="190">AH113+_xlfn.NORM.DIST(RAND(), 0, 1, FALSE)%</f>
        <v>0.11158859516949518</v>
      </c>
      <c r="AJ113" s="440">
        <f t="shared" ca="1" si="190"/>
        <v>0.11455797578677486</v>
      </c>
      <c r="AK113" s="440">
        <f t="shared" ca="1" si="190"/>
        <v>0.11783604744038401</v>
      </c>
      <c r="AL113" s="440">
        <f t="shared" ca="1" si="190"/>
        <v>0.12105901353764742</v>
      </c>
      <c r="AM113" s="436"/>
      <c r="AN113" s="436"/>
      <c r="AO113" s="436"/>
      <c r="AP113" s="436" t="s">
        <v>332</v>
      </c>
      <c r="AQ113" s="438">
        <f>AC99*AQ99</f>
        <v>0</v>
      </c>
      <c r="AR113" s="438">
        <f t="shared" si="178"/>
        <v>0</v>
      </c>
      <c r="AS113" s="438">
        <f t="shared" si="179"/>
        <v>0</v>
      </c>
      <c r="AT113" s="438">
        <f t="shared" si="180"/>
        <v>7000000</v>
      </c>
      <c r="AU113" s="438">
        <f t="shared" ca="1" si="181"/>
        <v>8087684.8041280694</v>
      </c>
      <c r="AV113" s="438">
        <f t="shared" ca="1" si="182"/>
        <v>9372631.036967</v>
      </c>
      <c r="AW113" s="438">
        <f t="shared" ca="1" si="183"/>
        <v>10900190.643029269</v>
      </c>
      <c r="AX113" s="438">
        <f t="shared" ca="1" si="184"/>
        <v>12722353.984162813</v>
      </c>
      <c r="AY113" s="438">
        <f t="shared" ca="1" si="185"/>
        <v>14888791.159022883</v>
      </c>
      <c r="AZ113" s="438">
        <f t="shared" ca="1" si="186"/>
        <v>17475388.833385851</v>
      </c>
    </row>
    <row r="114" spans="2:52">
      <c r="B114" s="428" t="s">
        <v>282</v>
      </c>
      <c r="C114" s="432">
        <v>0.02</v>
      </c>
      <c r="D114" s="432">
        <f t="shared" ref="D114:L114" ca="1" si="191">C114+_xlfn.NORM.DIST(RAND(), 0, 1, FALSE)%</f>
        <v>2.3053060833418987E-2</v>
      </c>
      <c r="E114" s="432">
        <f t="shared" ca="1" si="191"/>
        <v>2.704231030003643E-2</v>
      </c>
      <c r="F114" s="432">
        <f t="shared" ca="1" si="191"/>
        <v>3.0048019726828808E-2</v>
      </c>
      <c r="G114" s="432">
        <f t="shared" ca="1" si="191"/>
        <v>3.3811237181863636E-2</v>
      </c>
      <c r="H114" s="432">
        <f t="shared" ca="1" si="191"/>
        <v>3.7101246396712098E-2</v>
      </c>
      <c r="I114" s="432">
        <f t="shared" ca="1" si="191"/>
        <v>4.0761885581886891E-2</v>
      </c>
      <c r="J114" s="432">
        <f t="shared" ca="1" si="191"/>
        <v>4.4713652020670597E-2</v>
      </c>
      <c r="K114" s="432">
        <f t="shared" ca="1" si="191"/>
        <v>4.8582088125900903E-2</v>
      </c>
      <c r="L114" s="432">
        <f t="shared" ca="1" si="191"/>
        <v>5.1030482595932937E-2</v>
      </c>
      <c r="M114" s="428"/>
      <c r="N114" s="428"/>
      <c r="O114" s="428"/>
      <c r="P114" s="428" t="s">
        <v>282</v>
      </c>
      <c r="Q114" s="430">
        <f>C100*Q100</f>
        <v>0</v>
      </c>
      <c r="R114" s="430">
        <f t="shared" si="168"/>
        <v>0</v>
      </c>
      <c r="S114" s="430">
        <f t="shared" si="169"/>
        <v>0</v>
      </c>
      <c r="T114" s="430">
        <f t="shared" si="170"/>
        <v>6350000</v>
      </c>
      <c r="U114" s="430">
        <f t="shared" ca="1" si="171"/>
        <v>6835141.1469023041</v>
      </c>
      <c r="V114" s="430">
        <f t="shared" ca="1" si="172"/>
        <v>7384226.7830343628</v>
      </c>
      <c r="W114" s="430">
        <f t="shared" ca="1" si="173"/>
        <v>8002809.3863771632</v>
      </c>
      <c r="X114" s="430">
        <f t="shared" ca="1" si="174"/>
        <v>8703824.8413296454</v>
      </c>
      <c r="Y114" s="430">
        <f t="shared" ca="1" si="175"/>
        <v>9502189.8451777454</v>
      </c>
      <c r="Z114" s="430">
        <f t="shared" ca="1" si="176"/>
        <v>10412198.242758345</v>
      </c>
      <c r="AB114" s="436" t="s">
        <v>282</v>
      </c>
      <c r="AC114" s="440">
        <v>0.02</v>
      </c>
      <c r="AD114" s="440">
        <f t="shared" ref="AD114:AL114" ca="1" si="192">AC114+_xlfn.NORM.DIST(RAND(), 0, 1, FALSE)%</f>
        <v>2.3872172053829702E-2</v>
      </c>
      <c r="AE114" s="440">
        <f t="shared" ca="1" si="192"/>
        <v>2.7574107779533896E-2</v>
      </c>
      <c r="AF114" s="440">
        <f t="shared" ca="1" si="192"/>
        <v>3.0687405513941435E-2</v>
      </c>
      <c r="AG114" s="440">
        <f t="shared" ca="1" si="192"/>
        <v>3.4600549014140766E-2</v>
      </c>
      <c r="AH114" s="440">
        <f t="shared" ca="1" si="192"/>
        <v>3.8350685185937899E-2</v>
      </c>
      <c r="AI114" s="440">
        <f t="shared" ca="1" si="192"/>
        <v>4.2301547353582325E-2</v>
      </c>
      <c r="AJ114" s="440">
        <f t="shared" ca="1" si="192"/>
        <v>4.5927696719763898E-2</v>
      </c>
      <c r="AK114" s="440">
        <f t="shared" ca="1" si="192"/>
        <v>4.8660654808778972E-2</v>
      </c>
      <c r="AL114" s="440">
        <f t="shared" ca="1" si="192"/>
        <v>5.264863172020786E-2</v>
      </c>
      <c r="AM114" s="436"/>
      <c r="AN114" s="436"/>
      <c r="AO114" s="436"/>
      <c r="AP114" s="436" t="s">
        <v>282</v>
      </c>
      <c r="AQ114" s="438">
        <f>AC100*AQ100</f>
        <v>0</v>
      </c>
      <c r="AR114" s="438">
        <f t="shared" si="178"/>
        <v>0</v>
      </c>
      <c r="AS114" s="438">
        <f t="shared" si="179"/>
        <v>0</v>
      </c>
      <c r="AT114" s="438">
        <f t="shared" si="180"/>
        <v>6350000</v>
      </c>
      <c r="AU114" s="438">
        <f t="shared" ca="1" si="181"/>
        <v>6872108.2762642046</v>
      </c>
      <c r="AV114" s="438">
        <f t="shared" ca="1" si="182"/>
        <v>7465381.3452829449</v>
      </c>
      <c r="AW114" s="438">
        <f t="shared" ca="1" si="183"/>
        <v>8139268.0268013077</v>
      </c>
      <c r="AX114" s="438">
        <f t="shared" ca="1" si="184"/>
        <v>8907750.2415935695</v>
      </c>
      <c r="AY114" s="438">
        <f t="shared" ca="1" si="185"/>
        <v>9782705.8278021272</v>
      </c>
      <c r="AZ114" s="438">
        <f t="shared" ca="1" si="186"/>
        <v>10771675.634143868</v>
      </c>
    </row>
    <row r="115" spans="2:52">
      <c r="B115" s="428" t="s">
        <v>333</v>
      </c>
      <c r="C115" s="432">
        <v>0.04</v>
      </c>
      <c r="D115" s="432">
        <f t="shared" ref="D115:L115" ca="1" si="193">C115+_xlfn.NORM.DIST(RAND(), 0, 1, FALSE)%</f>
        <v>4.2628554265952551E-2</v>
      </c>
      <c r="E115" s="432">
        <f t="shared" ca="1" si="193"/>
        <v>4.6013511771151296E-2</v>
      </c>
      <c r="F115" s="432">
        <f t="shared" ca="1" si="193"/>
        <v>4.8899913930555594E-2</v>
      </c>
      <c r="G115" s="432">
        <f t="shared" ca="1" si="193"/>
        <v>5.2207838937801565E-2</v>
      </c>
      <c r="H115" s="432">
        <f t="shared" ca="1" si="193"/>
        <v>5.4978917333615457E-2</v>
      </c>
      <c r="I115" s="432">
        <f t="shared" ca="1" si="193"/>
        <v>5.8494878112183561E-2</v>
      </c>
      <c r="J115" s="432">
        <f t="shared" ca="1" si="193"/>
        <v>6.2431611405819126E-2</v>
      </c>
      <c r="K115" s="432">
        <f t="shared" ca="1" si="193"/>
        <v>6.6212537797379623E-2</v>
      </c>
      <c r="L115" s="432">
        <f t="shared" ca="1" si="193"/>
        <v>7.0006971279438349E-2</v>
      </c>
      <c r="M115" s="428"/>
      <c r="N115" s="428"/>
      <c r="O115" s="428"/>
      <c r="P115" s="428" t="s">
        <v>333</v>
      </c>
      <c r="Q115" s="428"/>
      <c r="R115" s="430">
        <f>D101*R101</f>
        <v>0</v>
      </c>
      <c r="S115" s="430">
        <f t="shared" si="169"/>
        <v>0</v>
      </c>
      <c r="T115" s="430">
        <f t="shared" si="170"/>
        <v>0</v>
      </c>
      <c r="U115" s="430">
        <f t="shared" si="171"/>
        <v>6032500</v>
      </c>
      <c r="V115" s="430">
        <f t="shared" ca="1" si="172"/>
        <v>6633078.7588699413</v>
      </c>
      <c r="W115" s="430">
        <f t="shared" ca="1" si="173"/>
        <v>7312657.3687641667</v>
      </c>
      <c r="X115" s="430">
        <f t="shared" ca="1" si="174"/>
        <v>8088728.836886365</v>
      </c>
      <c r="Y115" s="430">
        <f t="shared" ca="1" si="175"/>
        <v>8980438.6669558026</v>
      </c>
      <c r="Z115" s="430">
        <f t="shared" ca="1" si="176"/>
        <v>10005933.835201953</v>
      </c>
      <c r="AB115" s="436" t="s">
        <v>333</v>
      </c>
      <c r="AC115" s="440">
        <v>0.04</v>
      </c>
      <c r="AD115" s="440">
        <f t="shared" ref="AD115:AL115" ca="1" si="194">AC115+_xlfn.NORM.DIST(RAND(), 0, 1, FALSE)%</f>
        <v>4.3988925281607222E-2</v>
      </c>
      <c r="AE115" s="440">
        <f t="shared" ca="1" si="194"/>
        <v>4.7197265667331408E-2</v>
      </c>
      <c r="AF115" s="440">
        <f t="shared" ca="1" si="194"/>
        <v>5.0310230151331257E-2</v>
      </c>
      <c r="AG115" s="440">
        <f t="shared" ca="1" si="194"/>
        <v>5.3222507118463505E-2</v>
      </c>
      <c r="AH115" s="440">
        <f t="shared" ca="1" si="194"/>
        <v>5.7093300973390243E-2</v>
      </c>
      <c r="AI115" s="440">
        <f t="shared" ca="1" si="194"/>
        <v>6.0499145401112266E-2</v>
      </c>
      <c r="AJ115" s="440">
        <f t="shared" ca="1" si="194"/>
        <v>6.3762856816322613E-2</v>
      </c>
      <c r="AK115" s="440">
        <f t="shared" ca="1" si="194"/>
        <v>6.7636053593940038E-2</v>
      </c>
      <c r="AL115" s="440">
        <f t="shared" ca="1" si="194"/>
        <v>7.0775830777110985E-2</v>
      </c>
      <c r="AM115" s="436"/>
      <c r="AN115" s="436"/>
      <c r="AO115" s="436"/>
      <c r="AP115" s="436" t="s">
        <v>333</v>
      </c>
      <c r="AQ115" s="436"/>
      <c r="AR115" s="438">
        <f>AD101*AR101</f>
        <v>0</v>
      </c>
      <c r="AS115" s="438">
        <f t="shared" si="179"/>
        <v>0</v>
      </c>
      <c r="AT115" s="438">
        <f t="shared" si="180"/>
        <v>0</v>
      </c>
      <c r="AU115" s="438">
        <f t="shared" si="181"/>
        <v>6032500</v>
      </c>
      <c r="AV115" s="438">
        <f t="shared" ca="1" si="182"/>
        <v>6671243.0129017374</v>
      </c>
      <c r="AW115" s="438">
        <f t="shared" ca="1" si="183"/>
        <v>7404732.6130091613</v>
      </c>
      <c r="AX115" s="438">
        <f t="shared" ca="1" si="184"/>
        <v>8245348.2384209596</v>
      </c>
      <c r="AY115" s="438">
        <f t="shared" ca="1" si="185"/>
        <v>9209649.9574255198</v>
      </c>
      <c r="AZ115" s="438">
        <f t="shared" ca="1" si="186"/>
        <v>10324182.052303748</v>
      </c>
    </row>
    <row r="116" spans="2:52">
      <c r="B116" s="428" t="s">
        <v>290</v>
      </c>
      <c r="C116" s="432">
        <v>0.04</v>
      </c>
      <c r="D116" s="432">
        <f t="shared" ref="D116:J116" ca="1" si="195">C116+_xlfn.NORM.DIST(RAND(), 0, 1, FALSE)%</f>
        <v>4.3355704480388203E-2</v>
      </c>
      <c r="E116" s="432">
        <f t="shared" ca="1" si="195"/>
        <v>4.7110780925727867E-2</v>
      </c>
      <c r="F116" s="432">
        <f t="shared" ca="1" si="195"/>
        <v>5.0992555107862991E-2</v>
      </c>
      <c r="G116" s="432">
        <f t="shared" ca="1" si="195"/>
        <v>5.4770045461485936E-2</v>
      </c>
      <c r="H116" s="432">
        <f t="shared" ca="1" si="195"/>
        <v>5.7912241694235311E-2</v>
      </c>
      <c r="I116" s="432">
        <f t="shared" ca="1" si="195"/>
        <v>6.185890754167845E-2</v>
      </c>
      <c r="J116" s="432">
        <f t="shared" ca="1" si="195"/>
        <v>6.4378584425045307E-2</v>
      </c>
      <c r="K116" s="432">
        <f t="shared" ref="K116:L120" ca="1" si="196">J116+_xlfn.NORM.DIST(RAND(), 0, 1, FALSE)%</f>
        <v>6.8317425081135155E-2</v>
      </c>
      <c r="L116" s="432">
        <f t="shared" ca="1" si="196"/>
        <v>7.1433649965414084E-2</v>
      </c>
      <c r="M116" s="428"/>
      <c r="N116" s="428"/>
      <c r="O116" s="428"/>
      <c r="P116" s="428" t="s">
        <v>290</v>
      </c>
      <c r="Q116" s="428"/>
      <c r="R116" s="428"/>
      <c r="S116" s="430">
        <f>E102*S102</f>
        <v>0</v>
      </c>
      <c r="T116" s="430">
        <f t="shared" si="170"/>
        <v>0</v>
      </c>
      <c r="U116" s="430">
        <f t="shared" si="171"/>
        <v>0</v>
      </c>
      <c r="V116" s="430">
        <f t="shared" si="172"/>
        <v>3180000</v>
      </c>
      <c r="W116" s="430">
        <f t="shared" ca="1" si="173"/>
        <v>3515548.1703741136</v>
      </c>
      <c r="X116" s="430">
        <f t="shared" ca="1" si="174"/>
        <v>3901001.8658857648</v>
      </c>
      <c r="Y116" s="430">
        <f t="shared" ca="1" si="175"/>
        <v>4338989.2718242425</v>
      </c>
      <c r="Z116" s="430">
        <f t="shared" ca="1" si="176"/>
        <v>4844011.6494147917</v>
      </c>
      <c r="AB116" s="436" t="s">
        <v>290</v>
      </c>
      <c r="AC116" s="440">
        <v>0.04</v>
      </c>
      <c r="AD116" s="440">
        <f t="shared" ref="AD116:AJ116" ca="1" si="197">AC116+_xlfn.NORM.DIST(RAND(), 0, 1, FALSE)%</f>
        <v>4.3318055111023976E-2</v>
      </c>
      <c r="AE116" s="440">
        <f t="shared" ca="1" si="197"/>
        <v>4.6990308931364931E-2</v>
      </c>
      <c r="AF116" s="440">
        <f t="shared" ca="1" si="197"/>
        <v>4.9598462558598198E-2</v>
      </c>
      <c r="AG116" s="440">
        <f t="shared" ca="1" si="197"/>
        <v>5.2897718287416066E-2</v>
      </c>
      <c r="AH116" s="440">
        <f t="shared" ca="1" si="197"/>
        <v>5.6006125586784701E-2</v>
      </c>
      <c r="AI116" s="440">
        <f t="shared" ca="1" si="197"/>
        <v>5.8467032695510131E-2</v>
      </c>
      <c r="AJ116" s="440">
        <f t="shared" ca="1" si="197"/>
        <v>6.2249266304417877E-2</v>
      </c>
      <c r="AK116" s="440">
        <f t="shared" ref="AK116:AL120" ca="1" si="198">AJ116+_xlfn.NORM.DIST(RAND(), 0, 1, FALSE)%</f>
        <v>6.6238684386188504E-2</v>
      </c>
      <c r="AL116" s="440">
        <f t="shared" ca="1" si="198"/>
        <v>7.0206976304259913E-2</v>
      </c>
      <c r="AM116" s="436"/>
      <c r="AN116" s="436"/>
      <c r="AO116" s="436"/>
      <c r="AP116" s="436" t="s">
        <v>290</v>
      </c>
      <c r="AQ116" s="436"/>
      <c r="AR116" s="436"/>
      <c r="AS116" s="438">
        <f>AE102*AS102</f>
        <v>0</v>
      </c>
      <c r="AT116" s="438">
        <f t="shared" si="180"/>
        <v>0</v>
      </c>
      <c r="AU116" s="438">
        <f t="shared" si="181"/>
        <v>0</v>
      </c>
      <c r="AV116" s="438">
        <f t="shared" si="182"/>
        <v>3180000</v>
      </c>
      <c r="AW116" s="438">
        <f t="shared" ca="1" si="183"/>
        <v>3526004.4533342742</v>
      </c>
      <c r="AX116" s="438">
        <f t="shared" ca="1" si="184"/>
        <v>3918767.4445414781</v>
      </c>
      <c r="AY116" s="438">
        <f t="shared" ca="1" si="185"/>
        <v>4370843.2349209143</v>
      </c>
      <c r="AZ116" s="438">
        <f t="shared" ca="1" si="186"/>
        <v>4893380.2474833652</v>
      </c>
    </row>
    <row r="117" spans="2:52">
      <c r="B117" s="428" t="s">
        <v>341</v>
      </c>
      <c r="C117" s="432">
        <v>0</v>
      </c>
      <c r="D117" s="433">
        <f t="shared" ref="D117:J117" ca="1" si="199">C117+_xlfn.NORM.DIST(RAND(), 0, 1, FALSE)%</f>
        <v>3.460878538972484E-3</v>
      </c>
      <c r="E117" s="433">
        <f t="shared" ca="1" si="199"/>
        <v>6.8583635540937606E-3</v>
      </c>
      <c r="F117" s="433">
        <f t="shared" ca="1" si="199"/>
        <v>1.072358021217408E-2</v>
      </c>
      <c r="G117" s="433">
        <f t="shared" ca="1" si="199"/>
        <v>1.4710753169113716E-2</v>
      </c>
      <c r="H117" s="433">
        <f t="shared" ca="1" si="199"/>
        <v>1.86642948831405E-2</v>
      </c>
      <c r="I117" s="433">
        <f t="shared" ca="1" si="199"/>
        <v>2.1447958931260624E-2</v>
      </c>
      <c r="J117" s="433">
        <f t="shared" ca="1" si="199"/>
        <v>2.4555593944022978E-2</v>
      </c>
      <c r="K117" s="433">
        <f t="shared" ca="1" si="196"/>
        <v>2.8380770756735785E-2</v>
      </c>
      <c r="L117" s="433">
        <f t="shared" ca="1" si="196"/>
        <v>3.0891678342311924E-2</v>
      </c>
      <c r="M117" s="428"/>
      <c r="N117" s="428"/>
      <c r="O117" s="428"/>
      <c r="P117" s="428" t="s">
        <v>341</v>
      </c>
      <c r="Q117" s="430">
        <f>C103*Q103 + C104*Q104</f>
        <v>0</v>
      </c>
      <c r="R117" s="430">
        <f t="shared" ref="R117" si="200">D103*R103 + D104*R104</f>
        <v>0</v>
      </c>
      <c r="S117" s="430">
        <f t="shared" ref="S117" si="201">E103*S103 + E104*S104</f>
        <v>0</v>
      </c>
      <c r="T117" s="430">
        <f t="shared" ref="T117" si="202">F103*T103 + F104*T104</f>
        <v>3610000</v>
      </c>
      <c r="U117" s="430">
        <f t="shared" ref="U117" ca="1" si="203">G103*U103 + G104*U104</f>
        <v>4012904.1701714159</v>
      </c>
      <c r="V117" s="430">
        <f t="shared" ref="V117" ca="1" si="204">H103*V103 + H104*V104</f>
        <v>4412041.7817125469</v>
      </c>
      <c r="W117" s="430">
        <f t="shared" ref="W117" ca="1" si="205">I103*W103 + I104*W104</f>
        <v>4813851.3344053747</v>
      </c>
      <c r="X117" s="430">
        <f t="shared" ref="X117" ca="1" si="206">J103*X103 + J104*X104</f>
        <v>5221587.6807325156</v>
      </c>
      <c r="Y117" s="430">
        <f t="shared" ref="Y117" ca="1" si="207">K103*Y103 + K104*Y104</f>
        <v>5644432.230229794</v>
      </c>
      <c r="Z117" s="430">
        <f t="shared" ref="Z117" ca="1" si="208">L103*Z103 + L104*Z104</f>
        <v>6093942.2111257389</v>
      </c>
      <c r="AB117" s="436" t="s">
        <v>341</v>
      </c>
      <c r="AC117" s="440">
        <v>0</v>
      </c>
      <c r="AD117" s="441">
        <f t="shared" ref="AD117:AJ117" ca="1" si="209">AC117+_xlfn.NORM.DIST(RAND(), 0, 1, FALSE)%</f>
        <v>3.9637264754906329E-3</v>
      </c>
      <c r="AE117" s="441">
        <f t="shared" ca="1" si="209"/>
        <v>6.702095538922411E-3</v>
      </c>
      <c r="AF117" s="441">
        <f t="shared" ca="1" si="209"/>
        <v>1.0467440073889452E-2</v>
      </c>
      <c r="AG117" s="441">
        <f t="shared" ca="1" si="209"/>
        <v>1.4449106961725723E-2</v>
      </c>
      <c r="AH117" s="441">
        <f t="shared" ca="1" si="209"/>
        <v>1.8340565111860566E-2</v>
      </c>
      <c r="AI117" s="441">
        <f t="shared" ca="1" si="209"/>
        <v>2.1775326177986984E-2</v>
      </c>
      <c r="AJ117" s="441">
        <f t="shared" ca="1" si="209"/>
        <v>2.5076384511987404E-2</v>
      </c>
      <c r="AK117" s="441">
        <f t="shared" ca="1" si="198"/>
        <v>2.8923154950975912E-2</v>
      </c>
      <c r="AL117" s="441">
        <f t="shared" ca="1" si="198"/>
        <v>3.2531225669943084E-2</v>
      </c>
      <c r="AM117" s="436"/>
      <c r="AN117" s="436"/>
      <c r="AO117" s="436"/>
      <c r="AP117" s="436" t="s">
        <v>341</v>
      </c>
      <c r="AQ117" s="438">
        <f>AC103*AQ103 + AC104*AQ104</f>
        <v>0</v>
      </c>
      <c r="AR117" s="438">
        <f t="shared" ref="AR117" si="210">AD103*AR103 + AD104*AR104</f>
        <v>0</v>
      </c>
      <c r="AS117" s="438">
        <f t="shared" ref="AS117" si="211">AE103*AS103 + AE104*AS104</f>
        <v>0</v>
      </c>
      <c r="AT117" s="438">
        <f t="shared" ref="AT117" si="212">AF103*AT103 + AF104*AT104</f>
        <v>3610000</v>
      </c>
      <c r="AU117" s="438">
        <f t="shared" ref="AU117" ca="1" si="213">AG103*AU103 + AG104*AU104</f>
        <v>4030176.8316000784</v>
      </c>
      <c r="AV117" s="438">
        <f t="shared" ref="AV117" ca="1" si="214">AH103*AV103 + AH104*AV104</f>
        <v>4462685.261030646</v>
      </c>
      <c r="AW117" s="438">
        <f t="shared" ref="AW117" ca="1" si="215">AI103*AW103 + AI104*AW104</f>
        <v>4910621.205494646</v>
      </c>
      <c r="AX117" s="438">
        <f t="shared" ref="AX117" ca="1" si="216">AJ103*AX103 + AJ104*AX104</f>
        <v>5378008.2135416325</v>
      </c>
      <c r="AY117" s="438">
        <f t="shared" ref="AY117" ca="1" si="217">AK103*AY103 + AK104*AY104</f>
        <v>5870485.2443463225</v>
      </c>
      <c r="AZ117" s="438">
        <f t="shared" ref="AZ117" ca="1" si="218">AL103*AZ103 + AL104*AZ104</f>
        <v>6397823.2064295188</v>
      </c>
    </row>
    <row r="118" spans="2:52">
      <c r="B118" s="428" t="s">
        <v>342</v>
      </c>
      <c r="C118" s="432">
        <v>0</v>
      </c>
      <c r="D118" s="433">
        <f t="shared" ref="D118:J118" ca="1" si="219">C118+_xlfn.NORM.DIST(RAND(), 0, 1, FALSE)%</f>
        <v>3.2429790573800092E-3</v>
      </c>
      <c r="E118" s="433">
        <f t="shared" ca="1" si="219"/>
        <v>7.218585304174005E-3</v>
      </c>
      <c r="F118" s="433">
        <f t="shared" ca="1" si="219"/>
        <v>1.0932856517377932E-2</v>
      </c>
      <c r="G118" s="433">
        <f t="shared" ca="1" si="219"/>
        <v>1.3561330386295653E-2</v>
      </c>
      <c r="H118" s="433">
        <f t="shared" ca="1" si="219"/>
        <v>1.6816806728458224E-2</v>
      </c>
      <c r="I118" s="433">
        <f t="shared" ca="1" si="219"/>
        <v>2.0043790162942877E-2</v>
      </c>
      <c r="J118" s="433">
        <f t="shared" ca="1" si="219"/>
        <v>2.3156761415750158E-2</v>
      </c>
      <c r="K118" s="433">
        <f t="shared" ca="1" si="196"/>
        <v>2.6634566684862665E-2</v>
      </c>
      <c r="L118" s="433">
        <f t="shared" ca="1" si="196"/>
        <v>2.9121631624876694E-2</v>
      </c>
      <c r="M118" s="428"/>
      <c r="N118" s="428"/>
      <c r="O118" s="428"/>
      <c r="P118" s="428" t="s">
        <v>342</v>
      </c>
      <c r="Q118" s="430">
        <f>C105*Q105</f>
        <v>0</v>
      </c>
      <c r="R118" s="430">
        <f>D105*R105</f>
        <v>0</v>
      </c>
      <c r="S118" s="430">
        <f>E105*S105</f>
        <v>0</v>
      </c>
      <c r="T118" s="430">
        <f>F105*T105</f>
        <v>0</v>
      </c>
      <c r="U118" s="430">
        <f>G105*U105</f>
        <v>150000</v>
      </c>
      <c r="V118" s="430">
        <f ca="1">H105*V105</f>
        <v>158875.73853805184</v>
      </c>
      <c r="W118" s="430">
        <f ca="1">I105*W105</f>
        <v>168817.15957759719</v>
      </c>
      <c r="X118" s="430">
        <f ca="1">J105*X105</f>
        <v>179949.93558857794</v>
      </c>
      <c r="Y118" s="430">
        <f ca="1">K105*Y105</f>
        <v>192402.25801290246</v>
      </c>
      <c r="Z118" s="430">
        <f ca="1">L105*Z105</f>
        <v>206415.51517955717</v>
      </c>
      <c r="AB118" s="436" t="s">
        <v>342</v>
      </c>
      <c r="AC118" s="440">
        <v>0</v>
      </c>
      <c r="AD118" s="441">
        <f t="shared" ref="AD118:AJ118" ca="1" si="220">AC118+_xlfn.NORM.DIST(RAND(), 0, 1, FALSE)%</f>
        <v>3.2949709107744376E-3</v>
      </c>
      <c r="AE118" s="441">
        <f t="shared" ca="1" si="220"/>
        <v>6.047633378554359E-3</v>
      </c>
      <c r="AF118" s="441">
        <f t="shared" ca="1" si="220"/>
        <v>1.0008276594108065E-2</v>
      </c>
      <c r="AG118" s="441">
        <f t="shared" ca="1" si="220"/>
        <v>1.298023991477238E-2</v>
      </c>
      <c r="AH118" s="441">
        <f t="shared" ca="1" si="220"/>
        <v>1.6089513284195989E-2</v>
      </c>
      <c r="AI118" s="441">
        <f t="shared" ca="1" si="220"/>
        <v>1.950065146693606E-2</v>
      </c>
      <c r="AJ118" s="441">
        <f t="shared" ca="1" si="220"/>
        <v>2.2980216734190952E-2</v>
      </c>
      <c r="AK118" s="441">
        <f t="shared" ca="1" si="198"/>
        <v>2.6228186116209046E-2</v>
      </c>
      <c r="AL118" s="441">
        <f t="shared" ca="1" si="198"/>
        <v>3.0039970576556867E-2</v>
      </c>
      <c r="AM118" s="436"/>
      <c r="AN118" s="436"/>
      <c r="AO118" s="436"/>
      <c r="AP118" s="436" t="s">
        <v>342</v>
      </c>
      <c r="AQ118" s="438">
        <f>AC105*AQ105</f>
        <v>0</v>
      </c>
      <c r="AR118" s="438">
        <f>AD105*AR105</f>
        <v>0</v>
      </c>
      <c r="AS118" s="438">
        <f>AE105*AS105</f>
        <v>0</v>
      </c>
      <c r="AT118" s="438">
        <f>AF105*AT105</f>
        <v>0</v>
      </c>
      <c r="AU118" s="438">
        <f>AG105*AU105</f>
        <v>150000</v>
      </c>
      <c r="AV118" s="438">
        <f ca="1">AH105*AV105</f>
        <v>159544.38778657667</v>
      </c>
      <c r="AW118" s="438">
        <f ca="1">AI105*AW105</f>
        <v>170216.94829995211</v>
      </c>
      <c r="AX118" s="438">
        <f ca="1">AJ105*AX105</f>
        <v>182213.1041666407</v>
      </c>
      <c r="AY118" s="438">
        <f ca="1">AK105*AY105</f>
        <v>195720.42083180984</v>
      </c>
      <c r="AZ118" s="438">
        <f ca="1">AL105*AZ105</f>
        <v>210896.50307893578</v>
      </c>
    </row>
    <row r="119" spans="2:52">
      <c r="B119" s="428" t="s">
        <v>343</v>
      </c>
      <c r="C119" s="432">
        <v>0</v>
      </c>
      <c r="D119" s="433">
        <f t="shared" ref="D119:J119" ca="1" si="221">C119+_xlfn.NORM.DIST(RAND(), 0, 1, FALSE)%</f>
        <v>3.9175196973471752E-3</v>
      </c>
      <c r="E119" s="433">
        <f t="shared" ca="1" si="221"/>
        <v>7.3599756818005582E-3</v>
      </c>
      <c r="F119" s="433">
        <f t="shared" ca="1" si="221"/>
        <v>1.0730991934135176E-2</v>
      </c>
      <c r="G119" s="433">
        <f t="shared" ca="1" si="221"/>
        <v>1.4386885661628818E-2</v>
      </c>
      <c r="H119" s="433">
        <f t="shared" ca="1" si="221"/>
        <v>1.7425999789387504E-2</v>
      </c>
      <c r="I119" s="433">
        <f t="shared" ca="1" si="221"/>
        <v>2.0923446148809068E-2</v>
      </c>
      <c r="J119" s="433">
        <f t="shared" ca="1" si="221"/>
        <v>2.3990601620051993E-2</v>
      </c>
      <c r="K119" s="433">
        <f t="shared" ca="1" si="196"/>
        <v>2.6956402687032508E-2</v>
      </c>
      <c r="L119" s="433">
        <f t="shared" ca="1" si="196"/>
        <v>3.0815348471769009E-2</v>
      </c>
      <c r="M119" s="428"/>
      <c r="N119" s="428"/>
      <c r="O119" s="428"/>
      <c r="P119" s="428" t="s">
        <v>343</v>
      </c>
      <c r="Q119" s="430">
        <f>C106*Q106</f>
        <v>0</v>
      </c>
      <c r="R119" s="430">
        <f>D106*R106</f>
        <v>0</v>
      </c>
      <c r="S119" s="430">
        <f>E106*S106</f>
        <v>0</v>
      </c>
      <c r="T119" s="430">
        <f>F106*T106</f>
        <v>0</v>
      </c>
      <c r="U119" s="430">
        <f>G106*U106</f>
        <v>450000</v>
      </c>
      <c r="V119" s="430">
        <f ca="1">H106*V106</f>
        <v>477015.43298238085</v>
      </c>
      <c r="W119" s="430">
        <f ca="1">I106*W106</f>
        <v>507167.65948883432</v>
      </c>
      <c r="X119" s="430">
        <f ca="1">J106*X106</f>
        <v>541079.42566209193</v>
      </c>
      <c r="Y119" s="430">
        <f ca="1">K106*Y106</f>
        <v>578992.95770531578</v>
      </c>
      <c r="Z119" s="430">
        <f ca="1">L106*Z106</f>
        <v>621357.54865235416</v>
      </c>
      <c r="AB119" s="436" t="s">
        <v>343</v>
      </c>
      <c r="AC119" s="440">
        <v>0</v>
      </c>
      <c r="AD119" s="441">
        <f t="shared" ref="AD119:AJ119" ca="1" si="222">AC119+_xlfn.NORM.DIST(RAND(), 0, 1, FALSE)%</f>
        <v>3.7977136993302442E-3</v>
      </c>
      <c r="AE119" s="441">
        <f t="shared" ca="1" si="222"/>
        <v>7.2341205476270185E-3</v>
      </c>
      <c r="AF119" s="441">
        <f t="shared" ca="1" si="222"/>
        <v>1.0130528497756097E-2</v>
      </c>
      <c r="AG119" s="441">
        <f t="shared" ca="1" si="222"/>
        <v>1.4096157966626397E-2</v>
      </c>
      <c r="AH119" s="441">
        <f t="shared" ca="1" si="222"/>
        <v>1.6967447020941578E-2</v>
      </c>
      <c r="AI119" s="441">
        <f t="shared" ca="1" si="222"/>
        <v>2.0251633957563492E-2</v>
      </c>
      <c r="AJ119" s="441">
        <f t="shared" ca="1" si="222"/>
        <v>2.4154455027332225E-2</v>
      </c>
      <c r="AK119" s="441">
        <f t="shared" ca="1" si="198"/>
        <v>2.7278230947193071E-2</v>
      </c>
      <c r="AL119" s="441">
        <f t="shared" ca="1" si="198"/>
        <v>3.1243089017230843E-2</v>
      </c>
      <c r="AM119" s="436"/>
      <c r="AN119" s="436"/>
      <c r="AO119" s="436"/>
      <c r="AP119" s="436" t="s">
        <v>343</v>
      </c>
      <c r="AQ119" s="438">
        <f>AC106*AQ106</f>
        <v>0</v>
      </c>
      <c r="AR119" s="438">
        <f>AD106*AR106</f>
        <v>0</v>
      </c>
      <c r="AS119" s="438">
        <f>AE106*AS106</f>
        <v>0</v>
      </c>
      <c r="AT119" s="438">
        <f>AF106*AT106</f>
        <v>0</v>
      </c>
      <c r="AU119" s="438">
        <f>AG106*AU106</f>
        <v>450000</v>
      </c>
      <c r="AV119" s="438">
        <f ca="1">AH106*AV106</f>
        <v>479160.43463923095</v>
      </c>
      <c r="AW119" s="438">
        <f ca="1">AI106*AW106</f>
        <v>511655.0921249286</v>
      </c>
      <c r="AX119" s="438">
        <f ca="1">AJ106*AX106</f>
        <v>548117.79095132451</v>
      </c>
      <c r="AY119" s="438">
        <f ca="1">AK106*AY106</f>
        <v>589425.14135666587</v>
      </c>
      <c r="AZ119" s="438">
        <f ca="1">AL106*AZ106</f>
        <v>635778.79731310881</v>
      </c>
    </row>
    <row r="120" spans="2:52">
      <c r="B120" s="428" t="s">
        <v>344</v>
      </c>
      <c r="C120" s="432">
        <v>0</v>
      </c>
      <c r="D120" s="433">
        <f t="shared" ref="D120:J120" ca="1" si="223">C120+_xlfn.NORM.DIST(RAND(), 0, 1, FALSE)%</f>
        <v>3.0728619352570082E-3</v>
      </c>
      <c r="E120" s="433">
        <f t="shared" ca="1" si="223"/>
        <v>6.301344806330841E-3</v>
      </c>
      <c r="F120" s="433">
        <f t="shared" ca="1" si="223"/>
        <v>9.8763202174956943E-3</v>
      </c>
      <c r="G120" s="433">
        <f t="shared" ca="1" si="223"/>
        <v>1.3369543034475743E-2</v>
      </c>
      <c r="H120" s="433">
        <f t="shared" ca="1" si="223"/>
        <v>1.7225465800109151E-2</v>
      </c>
      <c r="I120" s="433">
        <f t="shared" ca="1" si="223"/>
        <v>2.1213555428128215E-2</v>
      </c>
      <c r="J120" s="433">
        <f t="shared" ca="1" si="223"/>
        <v>2.3884625761143398E-2</v>
      </c>
      <c r="K120" s="433">
        <f t="shared" ca="1" si="196"/>
        <v>2.7123383538519008E-2</v>
      </c>
      <c r="L120" s="433">
        <f t="shared" ca="1" si="196"/>
        <v>3.1106913090035142E-2</v>
      </c>
      <c r="M120" s="428"/>
      <c r="N120" s="428"/>
      <c r="O120" s="428"/>
      <c r="P120" s="428" t="s">
        <v>344</v>
      </c>
      <c r="Q120" s="430">
        <f>C107*Q107</f>
        <v>0</v>
      </c>
      <c r="R120" s="430">
        <f>D107*R107</f>
        <v>0</v>
      </c>
      <c r="S120" s="430">
        <f>E107*S107</f>
        <v>0</v>
      </c>
      <c r="T120" s="430">
        <f>F107*T107</f>
        <v>0</v>
      </c>
      <c r="U120" s="430">
        <f>G107*U107</f>
        <v>490000</v>
      </c>
      <c r="V120" s="430">
        <f ca="1">H107*V107</f>
        <v>518895.87451080332</v>
      </c>
      <c r="W120" s="430">
        <f ca="1">I107*W107</f>
        <v>551586.63204530219</v>
      </c>
      <c r="X120" s="430">
        <f ca="1">J107*X107</f>
        <v>588635.69419130217</v>
      </c>
      <c r="Y120" s="430">
        <f ca="1">K107*Y107</f>
        <v>629816.31414226419</v>
      </c>
      <c r="Z120" s="430">
        <f ca="1">L107*Z107</f>
        <v>676009.52145109139</v>
      </c>
      <c r="AB120" s="436" t="s">
        <v>344</v>
      </c>
      <c r="AC120" s="440">
        <v>0</v>
      </c>
      <c r="AD120" s="441">
        <f t="shared" ref="AD120:AJ120" ca="1" si="224">AC120+_xlfn.NORM.DIST(RAND(), 0, 1, FALSE)%</f>
        <v>3.9704606377162256E-3</v>
      </c>
      <c r="AE120" s="441">
        <f t="shared" ca="1" si="224"/>
        <v>7.2859243814596287E-3</v>
      </c>
      <c r="AF120" s="441">
        <f t="shared" ca="1" si="224"/>
        <v>1.1026709007740892E-2</v>
      </c>
      <c r="AG120" s="441">
        <f t="shared" ca="1" si="224"/>
        <v>1.4719099716486111E-2</v>
      </c>
      <c r="AH120" s="441">
        <f t="shared" ca="1" si="224"/>
        <v>1.8673872008755192E-2</v>
      </c>
      <c r="AI120" s="441">
        <f t="shared" ca="1" si="224"/>
        <v>2.2634753439152458E-2</v>
      </c>
      <c r="AJ120" s="441">
        <f t="shared" ca="1" si="224"/>
        <v>2.6441426426163719E-2</v>
      </c>
      <c r="AK120" s="441">
        <f t="shared" ca="1" si="198"/>
        <v>2.9824651402775734E-2</v>
      </c>
      <c r="AL120" s="441">
        <f t="shared" ca="1" si="198"/>
        <v>3.2800680129767522E-2</v>
      </c>
      <c r="AM120" s="436"/>
      <c r="AN120" s="436"/>
      <c r="AO120" s="436"/>
      <c r="AP120" s="436" t="s">
        <v>344</v>
      </c>
      <c r="AQ120" s="438">
        <f>AC107*AQ107</f>
        <v>0</v>
      </c>
      <c r="AR120" s="438">
        <f>AD107*AR107</f>
        <v>0</v>
      </c>
      <c r="AS120" s="438">
        <f>AE107*AS107</f>
        <v>0</v>
      </c>
      <c r="AT120" s="438">
        <f>AF107*AT107</f>
        <v>0</v>
      </c>
      <c r="AU120" s="438">
        <f>AG107*AU107</f>
        <v>490000</v>
      </c>
      <c r="AV120" s="438">
        <f ca="1">AH107*AV107</f>
        <v>522072.97680413211</v>
      </c>
      <c r="AW120" s="438">
        <f ca="1">AI107*AW107</f>
        <v>558413.20578981237</v>
      </c>
      <c r="AX120" s="438">
        <f ca="1">AJ107*AX107</f>
        <v>599605.38857103314</v>
      </c>
      <c r="AY120" s="438">
        <f ca="1">AK107*AY107</f>
        <v>646232.80085454858</v>
      </c>
      <c r="AZ120" s="438">
        <f ca="1">AL107*AZ107</f>
        <v>698781.79230832879</v>
      </c>
    </row>
    <row r="121" spans="2:52">
      <c r="B121" s="428"/>
      <c r="C121" s="428"/>
      <c r="D121" s="428"/>
      <c r="E121" s="428"/>
      <c r="F121" s="428"/>
      <c r="G121" s="428"/>
      <c r="H121" s="428"/>
      <c r="I121" s="428"/>
      <c r="J121" s="428"/>
      <c r="K121" s="428"/>
      <c r="L121" s="428"/>
      <c r="M121" s="428"/>
      <c r="N121" s="428"/>
      <c r="O121" s="428"/>
      <c r="P121" s="428" t="s">
        <v>354</v>
      </c>
      <c r="Q121" s="430">
        <f>SUM(Q112:Q120)</f>
        <v>0</v>
      </c>
      <c r="R121" s="430">
        <f t="shared" ref="R121:Z121" si="225">SUM(R112:R120)</f>
        <v>0</v>
      </c>
      <c r="S121" s="430">
        <f t="shared" si="225"/>
        <v>0</v>
      </c>
      <c r="T121" s="430">
        <f t="shared" si="225"/>
        <v>24660000</v>
      </c>
      <c r="U121" s="430">
        <f t="shared" ca="1" si="225"/>
        <v>34532539.877020009</v>
      </c>
      <c r="V121" s="430">
        <f t="shared" ca="1" si="225"/>
        <v>41486929.252895109</v>
      </c>
      <c r="W121" s="430">
        <f t="shared" ca="1" si="225"/>
        <v>46120032.359441601</v>
      </c>
      <c r="X121" s="430">
        <f t="shared" ca="1" si="225"/>
        <v>51423026.020732082</v>
      </c>
      <c r="Y121" s="430">
        <f t="shared" ca="1" si="225"/>
        <v>57518796.573462181</v>
      </c>
      <c r="Z121" s="430">
        <f t="shared" ca="1" si="225"/>
        <v>64563953.701552451</v>
      </c>
      <c r="AB121" s="436"/>
      <c r="AC121" s="436"/>
      <c r="AD121" s="436"/>
      <c r="AE121" s="436"/>
      <c r="AF121" s="436"/>
      <c r="AG121" s="436"/>
      <c r="AH121" s="436"/>
      <c r="AI121" s="436"/>
      <c r="AJ121" s="436"/>
      <c r="AK121" s="436"/>
      <c r="AL121" s="436"/>
      <c r="AM121" s="436"/>
      <c r="AN121" s="436"/>
      <c r="AO121" s="436"/>
      <c r="AP121" s="436" t="s">
        <v>354</v>
      </c>
      <c r="AQ121" s="438">
        <f>SUM(AQ112:AQ120)</f>
        <v>0</v>
      </c>
      <c r="AR121" s="438">
        <f t="shared" ref="AR121:AZ121" si="226">SUM(AR112:AR120)</f>
        <v>0</v>
      </c>
      <c r="AS121" s="438">
        <f t="shared" si="226"/>
        <v>0</v>
      </c>
      <c r="AT121" s="438">
        <f t="shared" si="226"/>
        <v>24660000</v>
      </c>
      <c r="AU121" s="438">
        <f t="shared" ca="1" si="226"/>
        <v>34671769.961899921</v>
      </c>
      <c r="AV121" s="438">
        <f t="shared" ca="1" si="226"/>
        <v>41863067.731744364</v>
      </c>
      <c r="AW121" s="438">
        <f t="shared" ca="1" si="226"/>
        <v>46802031.283117823</v>
      </c>
      <c r="AX121" s="438">
        <f t="shared" ca="1" si="226"/>
        <v>52487236.589230247</v>
      </c>
      <c r="AY121" s="438">
        <f t="shared" ca="1" si="226"/>
        <v>59051290.253945202</v>
      </c>
      <c r="AZ121" s="438">
        <f t="shared" ca="1" si="226"/>
        <v>66663875.613481723</v>
      </c>
    </row>
    <row r="123" spans="2:52">
      <c r="B123" s="443" t="s">
        <v>345</v>
      </c>
      <c r="C123" s="444">
        <f>Assumptions!J21</f>
        <v>2.3E-2</v>
      </c>
      <c r="D123" s="444">
        <f>Assumptions!K21</f>
        <v>2.3E-2</v>
      </c>
      <c r="E123" s="444">
        <f>Assumptions!L21</f>
        <v>2.3E-2</v>
      </c>
      <c r="F123" s="444">
        <f>Assumptions!M21</f>
        <v>2.3E-2</v>
      </c>
      <c r="G123" s="444">
        <f>Assumptions!N21</f>
        <v>2.3E-2</v>
      </c>
      <c r="H123" s="444">
        <f>Assumptions!O21</f>
        <v>2.3E-2</v>
      </c>
      <c r="I123" s="444">
        <f>Assumptions!P21</f>
        <v>2.3E-2</v>
      </c>
      <c r="J123" s="444">
        <f>Assumptions!Q21</f>
        <v>2.3E-2</v>
      </c>
      <c r="K123" s="444">
        <f>Assumptions!R21</f>
        <v>2.3E-2</v>
      </c>
      <c r="L123" s="444">
        <f>Assumptions!S21</f>
        <v>2.3E-2</v>
      </c>
      <c r="M123" s="443"/>
      <c r="N123" s="443"/>
      <c r="O123" s="443"/>
      <c r="P123" s="443"/>
      <c r="Q123" s="443"/>
      <c r="R123" s="443"/>
      <c r="S123" s="443"/>
      <c r="T123" s="443"/>
      <c r="U123" s="443"/>
      <c r="V123" s="443"/>
      <c r="W123" s="443"/>
      <c r="X123" s="443"/>
      <c r="Y123" s="443"/>
      <c r="Z123" s="443"/>
      <c r="AB123" s="449" t="s">
        <v>345</v>
      </c>
      <c r="AC123" s="450">
        <f>Assumptions!J22</f>
        <v>2.1000000000000001E-2</v>
      </c>
      <c r="AD123" s="450">
        <f>Assumptions!K22</f>
        <v>2.1000000000000001E-2</v>
      </c>
      <c r="AE123" s="450">
        <f>Assumptions!L22</f>
        <v>2.1000000000000001E-2</v>
      </c>
      <c r="AF123" s="450">
        <f>Assumptions!M22</f>
        <v>2.1000000000000001E-2</v>
      </c>
      <c r="AG123" s="450">
        <f>Assumptions!N22</f>
        <v>2.1000000000000001E-2</v>
      </c>
      <c r="AH123" s="450">
        <f>Assumptions!O22</f>
        <v>2.1000000000000001E-2</v>
      </c>
      <c r="AI123" s="450">
        <f>Assumptions!P22</f>
        <v>2.1000000000000001E-2</v>
      </c>
      <c r="AJ123" s="450">
        <f>Assumptions!Q22</f>
        <v>2.1000000000000001E-2</v>
      </c>
      <c r="AK123" s="450">
        <f>Assumptions!R22</f>
        <v>2.1000000000000001E-2</v>
      </c>
      <c r="AL123" s="450">
        <f>Assumptions!S22</f>
        <v>2.1000000000000001E-2</v>
      </c>
      <c r="AM123" s="449"/>
      <c r="AN123" s="449"/>
      <c r="AO123" s="449"/>
      <c r="AP123" s="449"/>
      <c r="AQ123" s="449"/>
      <c r="AR123" s="449"/>
      <c r="AS123" s="449"/>
      <c r="AT123" s="449"/>
      <c r="AU123" s="449"/>
      <c r="AV123" s="449"/>
      <c r="AW123" s="449"/>
      <c r="AX123" s="449"/>
      <c r="AY123" s="449"/>
      <c r="AZ123" s="449"/>
    </row>
    <row r="124" spans="2:52">
      <c r="B124" s="443"/>
      <c r="C124" s="443"/>
      <c r="D124" s="443"/>
      <c r="E124" s="443"/>
      <c r="F124" s="443"/>
      <c r="G124" s="443"/>
      <c r="H124" s="443"/>
      <c r="I124" s="443"/>
      <c r="J124" s="443"/>
      <c r="K124" s="443"/>
      <c r="L124" s="443"/>
      <c r="M124" s="443"/>
      <c r="N124" s="443"/>
      <c r="O124" s="443"/>
      <c r="P124" s="443"/>
      <c r="Q124" s="443"/>
      <c r="R124" s="443"/>
      <c r="S124" s="443"/>
      <c r="T124" s="443"/>
      <c r="U124" s="443"/>
      <c r="V124" s="443"/>
      <c r="W124" s="443"/>
      <c r="X124" s="443"/>
      <c r="Y124" s="443"/>
      <c r="Z124" s="443"/>
      <c r="AB124" s="449"/>
      <c r="AC124" s="449"/>
      <c r="AD124" s="449"/>
      <c r="AE124" s="449"/>
      <c r="AF124" s="449"/>
      <c r="AG124" s="449"/>
      <c r="AH124" s="449"/>
      <c r="AI124" s="449"/>
      <c r="AJ124" s="449"/>
      <c r="AK124" s="449"/>
      <c r="AL124" s="449"/>
      <c r="AM124" s="449"/>
      <c r="AN124" s="449"/>
      <c r="AO124" s="449"/>
      <c r="AP124" s="449"/>
      <c r="AQ124" s="449"/>
      <c r="AR124" s="449"/>
      <c r="AS124" s="449"/>
      <c r="AT124" s="449"/>
      <c r="AU124" s="449"/>
      <c r="AV124" s="449"/>
      <c r="AW124" s="449"/>
      <c r="AX124" s="449"/>
      <c r="AY124" s="449"/>
      <c r="AZ124" s="449"/>
    </row>
    <row r="125" spans="2:52">
      <c r="B125" s="443"/>
      <c r="C125" s="443"/>
      <c r="D125" s="443"/>
      <c r="E125" s="443"/>
      <c r="F125" s="443"/>
      <c r="G125" s="443"/>
      <c r="H125" s="443"/>
      <c r="I125" s="443"/>
      <c r="J125" s="443"/>
      <c r="K125" s="443"/>
      <c r="L125" s="443"/>
      <c r="M125" s="443"/>
      <c r="N125" s="443"/>
      <c r="O125" s="443"/>
      <c r="P125" s="443"/>
      <c r="Q125" s="443"/>
      <c r="R125" s="443"/>
      <c r="S125" s="443"/>
      <c r="T125" s="443"/>
      <c r="U125" s="443"/>
      <c r="V125" s="443"/>
      <c r="W125" s="443"/>
      <c r="X125" s="443"/>
      <c r="Y125" s="443"/>
      <c r="Z125" s="443"/>
      <c r="AB125" s="449"/>
      <c r="AC125" s="449"/>
      <c r="AD125" s="449"/>
      <c r="AE125" s="449"/>
      <c r="AF125" s="449"/>
      <c r="AG125" s="449"/>
      <c r="AH125" s="449"/>
      <c r="AI125" s="449"/>
      <c r="AJ125" s="449"/>
      <c r="AK125" s="449"/>
      <c r="AL125" s="449"/>
      <c r="AM125" s="449"/>
      <c r="AN125" s="449"/>
      <c r="AO125" s="449"/>
      <c r="AP125" s="449"/>
      <c r="AQ125" s="449"/>
      <c r="AR125" s="449"/>
      <c r="AS125" s="449"/>
      <c r="AT125" s="449"/>
      <c r="AU125" s="449"/>
      <c r="AV125" s="449"/>
      <c r="AW125" s="449"/>
      <c r="AX125" s="449"/>
      <c r="AY125" s="449"/>
      <c r="AZ125" s="449"/>
    </row>
    <row r="126" spans="2:52">
      <c r="B126" s="443"/>
      <c r="C126" s="443" t="s">
        <v>248</v>
      </c>
      <c r="D126" s="443"/>
      <c r="E126" s="443"/>
      <c r="F126" s="443"/>
      <c r="G126" s="443"/>
      <c r="H126" s="443"/>
      <c r="I126" s="443"/>
      <c r="J126" s="443"/>
      <c r="K126" s="443"/>
      <c r="L126" s="443"/>
      <c r="M126" s="443"/>
      <c r="N126" s="443"/>
      <c r="O126" s="443"/>
      <c r="P126" s="443"/>
      <c r="Q126" s="443" t="s">
        <v>248</v>
      </c>
      <c r="R126" s="443"/>
      <c r="S126" s="443"/>
      <c r="T126" s="443"/>
      <c r="U126" s="443"/>
      <c r="V126" s="443"/>
      <c r="W126" s="443"/>
      <c r="X126" s="443"/>
      <c r="Y126" s="443"/>
      <c r="Z126" s="443"/>
      <c r="AB126" s="449"/>
      <c r="AC126" s="449" t="s">
        <v>248</v>
      </c>
      <c r="AD126" s="449"/>
      <c r="AE126" s="449"/>
      <c r="AF126" s="449"/>
      <c r="AG126" s="449"/>
      <c r="AH126" s="449"/>
      <c r="AI126" s="449"/>
      <c r="AJ126" s="449"/>
      <c r="AK126" s="449"/>
      <c r="AL126" s="449"/>
      <c r="AM126" s="449"/>
      <c r="AN126" s="449"/>
      <c r="AO126" s="449"/>
      <c r="AP126" s="449"/>
      <c r="AQ126" s="449" t="s">
        <v>248</v>
      </c>
      <c r="AR126" s="449"/>
      <c r="AS126" s="449"/>
      <c r="AT126" s="449"/>
      <c r="AU126" s="449"/>
      <c r="AV126" s="449"/>
      <c r="AW126" s="449"/>
      <c r="AX126" s="449"/>
      <c r="AY126" s="449"/>
      <c r="AZ126" s="449"/>
    </row>
    <row r="127" spans="2:52">
      <c r="B127" s="443" t="s">
        <v>346</v>
      </c>
      <c r="C127" s="443">
        <v>1</v>
      </c>
      <c r="D127" s="443">
        <v>2</v>
      </c>
      <c r="E127" s="443">
        <v>3</v>
      </c>
      <c r="F127" s="443">
        <v>4</v>
      </c>
      <c r="G127" s="443">
        <v>5</v>
      </c>
      <c r="H127" s="443">
        <v>6</v>
      </c>
      <c r="I127" s="443">
        <v>7</v>
      </c>
      <c r="J127" s="443">
        <v>8</v>
      </c>
      <c r="K127" s="443">
        <v>9</v>
      </c>
      <c r="L127" s="443">
        <v>10</v>
      </c>
      <c r="M127" s="443"/>
      <c r="N127" s="443"/>
      <c r="O127" s="443"/>
      <c r="P127" s="443" t="s">
        <v>347</v>
      </c>
      <c r="Q127" s="443">
        <v>1</v>
      </c>
      <c r="R127" s="443">
        <v>2</v>
      </c>
      <c r="S127" s="443">
        <v>3</v>
      </c>
      <c r="T127" s="443">
        <v>4</v>
      </c>
      <c r="U127" s="443">
        <v>5</v>
      </c>
      <c r="V127" s="443">
        <v>6</v>
      </c>
      <c r="W127" s="443">
        <v>7</v>
      </c>
      <c r="X127" s="443">
        <v>8</v>
      </c>
      <c r="Y127" s="443">
        <v>9</v>
      </c>
      <c r="Z127" s="443">
        <v>10</v>
      </c>
      <c r="AB127" s="449" t="s">
        <v>346</v>
      </c>
      <c r="AC127" s="449">
        <v>1</v>
      </c>
      <c r="AD127" s="449">
        <v>2</v>
      </c>
      <c r="AE127" s="449">
        <v>3</v>
      </c>
      <c r="AF127" s="449">
        <v>4</v>
      </c>
      <c r="AG127" s="449">
        <v>5</v>
      </c>
      <c r="AH127" s="449">
        <v>6</v>
      </c>
      <c r="AI127" s="449">
        <v>7</v>
      </c>
      <c r="AJ127" s="449">
        <v>8</v>
      </c>
      <c r="AK127" s="449">
        <v>9</v>
      </c>
      <c r="AL127" s="449">
        <v>10</v>
      </c>
      <c r="AM127" s="449"/>
      <c r="AN127" s="449"/>
      <c r="AO127" s="449"/>
      <c r="AP127" s="449" t="s">
        <v>347</v>
      </c>
      <c r="AQ127" s="449">
        <v>1</v>
      </c>
      <c r="AR127" s="449">
        <v>2</v>
      </c>
      <c r="AS127" s="449">
        <v>3</v>
      </c>
      <c r="AT127" s="449">
        <v>4</v>
      </c>
      <c r="AU127" s="449">
        <v>5</v>
      </c>
      <c r="AV127" s="449">
        <v>6</v>
      </c>
      <c r="AW127" s="449">
        <v>7</v>
      </c>
      <c r="AX127" s="449">
        <v>8</v>
      </c>
      <c r="AY127" s="449">
        <v>9</v>
      </c>
      <c r="AZ127" s="449">
        <v>10</v>
      </c>
    </row>
    <row r="128" spans="2:52">
      <c r="B128" s="443" t="s">
        <v>331</v>
      </c>
      <c r="C128" s="445">
        <f>IF(C127=Assumptions!$N$45, Assumptions!$P$45, 0)</f>
        <v>0</v>
      </c>
      <c r="D128" s="445">
        <f>IF(D127&gt;Assumptions!$N$45, C128*(1+C123), IF(D127=Assumptions!$N$45, Assumptions!$P$45, 0))</f>
        <v>0</v>
      </c>
      <c r="E128" s="445">
        <f>IF(E127&gt;Assumptions!$N$45, D128*(1+D123), IF(E127=Assumptions!$N$45, Assumptions!$P$45, 0))</f>
        <v>0</v>
      </c>
      <c r="F128" s="445">
        <f>IF(F127&gt;Assumptions!$N$45, E128*(1+E123), IF(F127=Assumptions!$N$45, Assumptions!$P$45, 0))</f>
        <v>5000</v>
      </c>
      <c r="G128" s="445">
        <f>IF(G127&gt;Assumptions!$N$45, F128*(1+F123), IF(G127=Assumptions!$N$45, Assumptions!$P$45, 0))</f>
        <v>5115</v>
      </c>
      <c r="H128" s="445">
        <f>IF(H127&gt;Assumptions!$N$45, G128*(1+G123), IF(H127=Assumptions!$N$45, Assumptions!$P$45, 0))</f>
        <v>5232.6449999999995</v>
      </c>
      <c r="I128" s="445">
        <f>IF(I127&gt;Assumptions!$N$45, H128*(1+H123), IF(I127=Assumptions!$N$45, Assumptions!$P$45, 0))</f>
        <v>5352.9958349999988</v>
      </c>
      <c r="J128" s="445">
        <f>IF(J127&gt;Assumptions!$N$45, I128*(1+I123), IF(J127=Assumptions!$N$45, Assumptions!$P$45, 0))</f>
        <v>5476.1147392049979</v>
      </c>
      <c r="K128" s="445">
        <f>IF(K127&gt;Assumptions!$N$45, J128*(1+J123), IF(K127=Assumptions!$N$45, Assumptions!$P$45, 0))</f>
        <v>5602.065378206712</v>
      </c>
      <c r="L128" s="445">
        <f>IF(L127&gt;Assumptions!$N$45, K128*(1+K123), IF(L127=Assumptions!$N$45, Assumptions!$P$45, 0))</f>
        <v>5730.9128819054658</v>
      </c>
      <c r="M128" s="443"/>
      <c r="N128" s="443"/>
      <c r="O128" s="443"/>
      <c r="P128" s="443" t="s">
        <v>331</v>
      </c>
      <c r="Q128" s="446">
        <f>IF(Q127=Assumptions!$N$45, Assumptions!$D$45, 0)</f>
        <v>0</v>
      </c>
      <c r="R128" s="446">
        <f>IF(R127&gt;Assumptions!$N$45, Q128*(1+C142), IF(R127=Assumptions!$N$45, Assumptions!$D$45, 0))</f>
        <v>0</v>
      </c>
      <c r="S128" s="446">
        <f>IF(S127&gt;Assumptions!$N$45, R128*(1+D142), IF(S127=Assumptions!$N$45, Assumptions!$D$45, 0))</f>
        <v>0</v>
      </c>
      <c r="T128" s="446">
        <f>IF(T127&gt;Assumptions!$N$45, S128*(1+E142), IF(T127=Assumptions!$N$45, Assumptions!$D$45, 0))</f>
        <v>1540</v>
      </c>
      <c r="U128" s="446">
        <f ca="1">IF(U127&gt;Assumptions!$N$45, T128*(1+F142), IF(U127=Assumptions!$N$45, Assumptions!$D$45, 0))</f>
        <v>1631.7674771650786</v>
      </c>
      <c r="V128" s="446">
        <f ca="1">IF(V127&gt;Assumptions!$N$45, U128*(1+G142), IF(V127=Assumptions!$N$45, Assumptions!$D$45, 0))</f>
        <v>1734.2209598142053</v>
      </c>
      <c r="W128" s="446">
        <f ca="1">IF(W127&gt;Assumptions!$N$45, V128*(1+H142), IF(W127=Assumptions!$N$45, Assumptions!$D$45, 0))</f>
        <v>1848.9668713832862</v>
      </c>
      <c r="X128" s="446">
        <f ca="1">IF(X127&gt;Assumptions!$N$45, W128*(1+I142), IF(X127=Assumptions!$N$45, Assumptions!$D$45, 0))</f>
        <v>1977.022188575603</v>
      </c>
      <c r="Y128" s="446">
        <f ca="1">IF(Y127&gt;Assumptions!$N$45, X128*(1+J142), IF(Y127=Assumptions!$N$45, Assumptions!$D$45, 0))</f>
        <v>2121.0046089803336</v>
      </c>
      <c r="Z128" s="446">
        <f ca="1">IF(Z127&gt;Assumptions!$N$45, Y128*(1+K142), IF(Z127=Assumptions!$N$45, Assumptions!$D$45, 0))</f>
        <v>2282.3296862690281</v>
      </c>
      <c r="AB128" s="449" t="s">
        <v>331</v>
      </c>
      <c r="AC128" s="451">
        <f>IF(AC127=Assumptions!$O$45, Assumptions!$P$45, 0)</f>
        <v>0</v>
      </c>
      <c r="AD128" s="451">
        <f>IF(AD127&gt;Assumptions!$O$45, AC128*(1+AC123), IF(AD127=Assumptions!$O$45, Assumptions!$P$45, 0))</f>
        <v>0</v>
      </c>
      <c r="AE128" s="451">
        <f>IF(AE127&gt;Assumptions!$O$45, AD128*(1+AD123), IF(AE127=Assumptions!$O$45, Assumptions!$P$45, 0))</f>
        <v>0</v>
      </c>
      <c r="AF128" s="451">
        <f>IF(AF127&gt;Assumptions!$O$45, AE128*(1+AE123), IF(AF127=Assumptions!$O$45, Assumptions!$P$45, 0))</f>
        <v>5000</v>
      </c>
      <c r="AG128" s="451">
        <f>IF(AG127&gt;Assumptions!$O$45, AF128*(1+AF123), IF(AG127=Assumptions!$O$45, Assumptions!$P$45, 0))</f>
        <v>5104.9999999999991</v>
      </c>
      <c r="AH128" s="451">
        <f>IF(AH127&gt;Assumptions!$O$45, AG128*(1+AG123), IF(AH127=Assumptions!$O$45, Assumptions!$P$45, 0))</f>
        <v>5212.204999999999</v>
      </c>
      <c r="AI128" s="451">
        <f>IF(AI127&gt;Assumptions!$O$45, AH128*(1+AH123), IF(AI127=Assumptions!$O$45, Assumptions!$P$45, 0))</f>
        <v>5321.6613049999987</v>
      </c>
      <c r="AJ128" s="451">
        <f>IF(AJ127&gt;Assumptions!$O$45, AI128*(1+AI123), IF(AJ127=Assumptions!$O$45, Assumptions!$P$45, 0))</f>
        <v>5433.4161924049986</v>
      </c>
      <c r="AK128" s="451">
        <f>IF(AK127&gt;Assumptions!$O$45, AJ128*(1+AJ123), IF(AK127=Assumptions!$O$45, Assumptions!$P$45, 0))</f>
        <v>5547.517932445503</v>
      </c>
      <c r="AL128" s="451">
        <f>IF(AL127&gt;Assumptions!$O$45, AK128*(1+AK123), IF(AL127=Assumptions!$O$45, Assumptions!$P$45, 0))</f>
        <v>5664.0158090268578</v>
      </c>
      <c r="AM128" s="449"/>
      <c r="AN128" s="449"/>
      <c r="AO128" s="449"/>
      <c r="AP128" s="449" t="s">
        <v>331</v>
      </c>
      <c r="AQ128" s="452">
        <f>IF(AQ127=Assumptions!$O$45, Assumptions!$D$45, 0)</f>
        <v>0</v>
      </c>
      <c r="AR128" s="452">
        <f>IF(AR127&gt;Assumptions!$O$45, AQ128*(1+AC142), IF(AR127=Assumptions!$O$45, Assumptions!$D$45, 0))</f>
        <v>0</v>
      </c>
      <c r="AS128" s="452">
        <f>IF(AS127&gt;Assumptions!$O$45, AR128*(1+AD142), IF(AS127=Assumptions!$O$45, Assumptions!$D$45, 0))</f>
        <v>0</v>
      </c>
      <c r="AT128" s="452">
        <f>IF(AT127&gt;Assumptions!$O$45, AS128*(1+AE142), IF(AT127=Assumptions!$O$45, Assumptions!$D$45, 0))</f>
        <v>1540</v>
      </c>
      <c r="AU128" s="452">
        <f ca="1">IF(AU127&gt;Assumptions!$O$45, AT128*(1+AF142), IF(AU127=Assumptions!$O$45, Assumptions!$D$45, 0))</f>
        <v>1630.9371660627094</v>
      </c>
      <c r="AV128" s="452">
        <f ca="1">IF(AV127&gt;Assumptions!$O$45, AU128*(1+AG142), IF(AV127=Assumptions!$O$45, Assumptions!$D$45, 0))</f>
        <v>1732.2906029975036</v>
      </c>
      <c r="AW128" s="452">
        <f ca="1">IF(AW127&gt;Assumptions!$O$45, AV128*(1+AH142), IF(AW127=Assumptions!$O$45, Assumptions!$D$45, 0))</f>
        <v>1845.2061152973631</v>
      </c>
      <c r="AX128" s="452">
        <f ca="1">IF(AX127&gt;Assumptions!$O$45, AW128*(1+AI142), IF(AX127=Assumptions!$O$45, Assumptions!$D$45, 0))</f>
        <v>1972.5332675705677</v>
      </c>
      <c r="AY128" s="452">
        <f ca="1">IF(AY127&gt;Assumptions!$O$45, AX128*(1+AJ142), IF(AY127=Assumptions!$O$45, Assumptions!$D$45, 0))</f>
        <v>2116.2472470159578</v>
      </c>
      <c r="AZ128" s="452">
        <f ca="1">IF(AZ127&gt;Assumptions!$O$45, AY128*(1+AK142), IF(AZ127=Assumptions!$O$45, Assumptions!$D$45, 0))</f>
        <v>2278.5381315271084</v>
      </c>
    </row>
    <row r="129" spans="2:52">
      <c r="B129" s="443" t="s">
        <v>332</v>
      </c>
      <c r="C129" s="445">
        <f>IF(C127=Assumptions!$N$46, Assumptions!$P$46, 0)</f>
        <v>0</v>
      </c>
      <c r="D129" s="445">
        <f>IF(D127&gt;Assumptions!$N$46, C129*(1+C123), IF(D127=Assumptions!$N$46, Assumptions!$P$46, 0))</f>
        <v>0</v>
      </c>
      <c r="E129" s="445">
        <f>IF(E127&gt;Assumptions!$N$46, D129*(1+D123), IF(E127=Assumptions!$N$46, Assumptions!$P$46, 0))</f>
        <v>0</v>
      </c>
      <c r="F129" s="445">
        <f>IF(F127&gt;Assumptions!$N$46, E129*(1+E123), IF(F127=Assumptions!$N$46, Assumptions!$P$46, 0))</f>
        <v>7000</v>
      </c>
      <c r="G129" s="445">
        <f>IF(G127&gt;Assumptions!$N$46, F129*(1+F123), IF(G127=Assumptions!$N$46, Assumptions!$P$46, 0))</f>
        <v>7160.9999999999991</v>
      </c>
      <c r="H129" s="445">
        <f>IF(H127&gt;Assumptions!$N$46, G129*(1+G123), IF(H127=Assumptions!$N$46, Assumptions!$P$46, 0))</f>
        <v>7325.7029999999986</v>
      </c>
      <c r="I129" s="445">
        <f>IF(I127&gt;Assumptions!$N$46, H129*(1+H123), IF(I127=Assumptions!$N$46, Assumptions!$P$46, 0))</f>
        <v>7494.1941689999976</v>
      </c>
      <c r="J129" s="445">
        <f>IF(J127&gt;Assumptions!$N$46, I129*(1+I123), IF(J127=Assumptions!$N$46, Assumptions!$P$46, 0))</f>
        <v>7666.5606348869969</v>
      </c>
      <c r="K129" s="445">
        <f>IF(K127&gt;Assumptions!$N$46, J129*(1+J123), IF(K127=Assumptions!$N$46, Assumptions!$P$46, 0))</f>
        <v>7842.8915294893968</v>
      </c>
      <c r="L129" s="445">
        <f>IF(L127&gt;Assumptions!$N$46, K129*(1+K123), IF(L127=Assumptions!$N$46, Assumptions!$P$46, 0))</f>
        <v>8023.2780346676518</v>
      </c>
      <c r="M129" s="443"/>
      <c r="N129" s="443"/>
      <c r="O129" s="443"/>
      <c r="P129" s="443" t="s">
        <v>332</v>
      </c>
      <c r="Q129" s="446">
        <f>IF(Q127=Assumptions!$N$46, Assumptions!$D$46, 0)</f>
        <v>0</v>
      </c>
      <c r="R129" s="446">
        <f>IF(R127&gt;Assumptions!$N$46, Q129*(1+C143), IF(R127=Assumptions!$N$46, Assumptions!$D$46, 0))</f>
        <v>0</v>
      </c>
      <c r="S129" s="446">
        <f>IF(S127&gt;Assumptions!$N$46, R129*(1+D143), IF(S127=Assumptions!$N$46, Assumptions!$D$46, 0))</f>
        <v>0</v>
      </c>
      <c r="T129" s="446">
        <f>IF(T127&gt;Assumptions!$N$46, S129*(1+E143), IF(T127=Assumptions!$N$46, Assumptions!$D$46, 0))</f>
        <v>1000</v>
      </c>
      <c r="U129" s="446">
        <f ca="1">IF(U127&gt;Assumptions!$N$46, T129*(1+F143), IF(U127=Assumptions!$N$46, Assumptions!$D$46, 0))</f>
        <v>1099.8232391144466</v>
      </c>
      <c r="V129" s="446">
        <f ca="1">IF(V127&gt;Assumptions!$N$46, U129*(1+G143), IF(V127=Assumptions!$N$46, Assumptions!$D$46, 0))</f>
        <v>1213.3448739646335</v>
      </c>
      <c r="W129" s="446">
        <f ca="1">IF(W127&gt;Assumptions!$N$46, V129*(1+H143), IF(W127=Assumptions!$N$46, Assumptions!$D$46, 0))</f>
        <v>1343.0481007896892</v>
      </c>
      <c r="X129" s="446">
        <f ca="1">IF(X127&gt;Assumptions!$N$46, W129*(1+I143), IF(X127=Assumptions!$N$46, Assumptions!$D$46, 0))</f>
        <v>1491.9664052139276</v>
      </c>
      <c r="Y129" s="446">
        <f ca="1">IF(Y127&gt;Assumptions!$N$46, X129*(1+J143), IF(Y127=Assumptions!$N$46, Assumptions!$D$46, 0))</f>
        <v>1662.9687010947473</v>
      </c>
      <c r="Z129" s="446">
        <f ca="1">IF(Z127&gt;Assumptions!$N$46, Y129*(1+K143), IF(Z127=Assumptions!$N$46, Assumptions!$D$46, 0))</f>
        <v>1858.6024443619797</v>
      </c>
      <c r="AB129" s="449" t="s">
        <v>332</v>
      </c>
      <c r="AC129" s="451">
        <f>IF(AC127=Assumptions!$O$46, Assumptions!$P$46, 0)</f>
        <v>0</v>
      </c>
      <c r="AD129" s="451">
        <f>IF(AD127&gt;Assumptions!$O$46, AC129*(1+AC123), IF(AD127=Assumptions!$O$46, Assumptions!$P$46, 0))</f>
        <v>0</v>
      </c>
      <c r="AE129" s="451">
        <f>IF(AE127&gt;Assumptions!$O$46, AD129*(1+AD123), IF(AE127=Assumptions!$O$46, Assumptions!$P$46, 0))</f>
        <v>0</v>
      </c>
      <c r="AF129" s="451">
        <f>IF(AF127&gt;Assumptions!$O$46, AE129*(1+AE123), IF(AF127=Assumptions!$O$46, Assumptions!$P$46, 0))</f>
        <v>7000</v>
      </c>
      <c r="AG129" s="451">
        <f>IF(AG127&gt;Assumptions!$O$46, AF129*(1+AF123), IF(AG127=Assumptions!$O$46, Assumptions!$P$46, 0))</f>
        <v>7146.9999999999991</v>
      </c>
      <c r="AH129" s="451">
        <f>IF(AH127&gt;Assumptions!$O$46, AG129*(1+AG123), IF(AH127=Assumptions!$O$46, Assumptions!$P$46, 0))</f>
        <v>7297.0869999999986</v>
      </c>
      <c r="AI129" s="451">
        <f>IF(AI127&gt;Assumptions!$O$46, AH129*(1+AH123), IF(AI127=Assumptions!$O$46, Assumptions!$P$46, 0))</f>
        <v>7450.3258269999978</v>
      </c>
      <c r="AJ129" s="451">
        <f>IF(AJ127&gt;Assumptions!$O$46, AI129*(1+AI123), IF(AJ127=Assumptions!$O$46, Assumptions!$P$46, 0))</f>
        <v>7606.7826693669967</v>
      </c>
      <c r="AK129" s="451">
        <f>IF(AK127&gt;Assumptions!$O$46, AJ129*(1+AJ123), IF(AK127=Assumptions!$O$46, Assumptions!$P$46, 0))</f>
        <v>7766.5251054237033</v>
      </c>
      <c r="AL129" s="451">
        <f>IF(AL127&gt;Assumptions!$O$46, AK129*(1+AK123), IF(AL127=Assumptions!$O$46, Assumptions!$P$46, 0))</f>
        <v>7929.6221326376008</v>
      </c>
      <c r="AM129" s="449"/>
      <c r="AN129" s="449"/>
      <c r="AO129" s="449"/>
      <c r="AP129" s="449" t="s">
        <v>332</v>
      </c>
      <c r="AQ129" s="452">
        <f>IF(AQ127=Assumptions!$O$46, Assumptions!$D$46, 0)</f>
        <v>0</v>
      </c>
      <c r="AR129" s="452">
        <f>IF(AR127&gt;Assumptions!$O$46, AQ129*(1+AC143), IF(AR127=Assumptions!$O$46, Assumptions!$D$46, 0))</f>
        <v>0</v>
      </c>
      <c r="AS129" s="452">
        <f>IF(AS127&gt;Assumptions!$O$46, AR129*(1+AD143), IF(AS127=Assumptions!$O$46, Assumptions!$D$46, 0))</f>
        <v>0</v>
      </c>
      <c r="AT129" s="452">
        <f>IF(AT127&gt;Assumptions!$O$46, AS129*(1+AE143), IF(AT127=Assumptions!$O$46, Assumptions!$D$46, 0))</f>
        <v>1000</v>
      </c>
      <c r="AU129" s="452">
        <f ca="1">IF(AU127&gt;Assumptions!$O$46, AT129*(1+AF143), IF(AU127=Assumptions!$O$46, Assumptions!$D$46, 0))</f>
        <v>1099.8406857845168</v>
      </c>
      <c r="AV129" s="452">
        <f ca="1">IF(AV127&gt;Assumptions!$O$46, AU129*(1+AG143), IF(AV127=Assumptions!$O$46, Assumptions!$D$46, 0))</f>
        <v>1213.3816741506992</v>
      </c>
      <c r="AW129" s="452">
        <f ca="1">IF(AW127&gt;Assumptions!$O$46, AV129*(1+AH143), IF(AW127=Assumptions!$O$46, Assumptions!$D$46, 0))</f>
        <v>1342.0140654279987</v>
      </c>
      <c r="AX129" s="452">
        <f ca="1">IF(AX127&gt;Assumptions!$O$46, AW129*(1+AI143), IF(AX127=Assumptions!$O$46, Assumptions!$D$46, 0))</f>
        <v>1488.8352091316251</v>
      </c>
      <c r="AY129" s="452">
        <f ca="1">IF(AY127&gt;Assumptions!$O$46, AX129*(1+AJ143), IF(AY127=Assumptions!$O$46, Assumptions!$D$46, 0))</f>
        <v>1657.6028536185963</v>
      </c>
      <c r="AZ129" s="452">
        <f ca="1">IF(AZ127&gt;Assumptions!$O$46, AY129*(1+AK143), IF(AZ127=Assumptions!$O$46, Assumptions!$D$46, 0))</f>
        <v>1849.7295301244494</v>
      </c>
    </row>
    <row r="130" spans="2:52">
      <c r="B130" s="443" t="s">
        <v>282</v>
      </c>
      <c r="C130" s="445">
        <f>IF(C127=Assumptions!$N$47, Assumptions!$P$47, 0)</f>
        <v>0</v>
      </c>
      <c r="D130" s="445">
        <f>IF(D127&gt;Assumptions!$N$47, C130*(1+C123), IF(D127=Assumptions!$N$47, Assumptions!$P$45, 0))</f>
        <v>0</v>
      </c>
      <c r="E130" s="445">
        <f>IF(E127&gt;Assumptions!$N$47, D130*(1+D123), IF(E127=Assumptions!$N$47, Assumptions!$P$45, 0))</f>
        <v>0</v>
      </c>
      <c r="F130" s="445">
        <f>IF(F127&gt;Assumptions!$N$47, E130*(1+E123), IF(F127=Assumptions!$N$47, Assumptions!$P$45, 0))</f>
        <v>5000</v>
      </c>
      <c r="G130" s="445">
        <f>IF(G127&gt;Assumptions!$N$47, F130*(1+F123), IF(G127=Assumptions!$N$47, Assumptions!$P$45, 0))</f>
        <v>5115</v>
      </c>
      <c r="H130" s="445">
        <f>IF(H127&gt;Assumptions!$N$47, G130*(1+G123), IF(H127=Assumptions!$N$47, Assumptions!$P$45, 0))</f>
        <v>5232.6449999999995</v>
      </c>
      <c r="I130" s="445">
        <f>IF(I127&gt;Assumptions!$N$47, H130*(1+H123), IF(I127=Assumptions!$N$47, Assumptions!$P$45, 0))</f>
        <v>5352.9958349999988</v>
      </c>
      <c r="J130" s="445">
        <f>IF(J127&gt;Assumptions!$N$47, I130*(1+I123), IF(J127=Assumptions!$N$47, Assumptions!$P$45, 0))</f>
        <v>5476.1147392049979</v>
      </c>
      <c r="K130" s="445">
        <f>IF(K127&gt;Assumptions!$N$47, J130*(1+J123), IF(K127=Assumptions!$N$47, Assumptions!$P$45, 0))</f>
        <v>5602.065378206712</v>
      </c>
      <c r="L130" s="445">
        <f>IF(L127&gt;Assumptions!$N$47, K130*(1+K123), IF(L127=Assumptions!$N$47, Assumptions!$P$45, 0))</f>
        <v>5730.9128819054658</v>
      </c>
      <c r="M130" s="443"/>
      <c r="N130" s="443"/>
      <c r="O130" s="443"/>
      <c r="P130" s="443" t="s">
        <v>282</v>
      </c>
      <c r="Q130" s="446">
        <f>IF(Q127=Assumptions!$N$47, Assumptions!$D$47, 0)</f>
        <v>0</v>
      </c>
      <c r="R130" s="446">
        <f>IF(R127&gt;Assumptions!$N$47, Q130*(1+C144), IF(R127=Assumptions!$N$47, Assumptions!$D$47, 0))</f>
        <v>0</v>
      </c>
      <c r="S130" s="446">
        <f>IF(S127&gt;Assumptions!$N$47, R130*(1+D144), IF(S127=Assumptions!$N$47, Assumptions!$D$47, 0))</f>
        <v>0</v>
      </c>
      <c r="T130" s="446">
        <f>IF(T127&gt;Assumptions!$N$47, S130*(1+E144), IF(T127=Assumptions!$N$47, Assumptions!$D$47, 0))</f>
        <v>1270</v>
      </c>
      <c r="U130" s="446">
        <f ca="1">IF(U127&gt;Assumptions!$N$47, T130*(1+F144), IF(U127=Assumptions!$N$47, Assumptions!$D$47, 0))</f>
        <v>1309.2751398827777</v>
      </c>
      <c r="V130" s="446">
        <f ca="1">IF(V127&gt;Assumptions!$N$47, U130*(1+G144), IF(V127=Assumptions!$N$47, Assumptions!$D$47, 0))</f>
        <v>1354.2206193623717</v>
      </c>
      <c r="W130" s="446">
        <f ca="1">IF(W127&gt;Assumptions!$N$47, V130*(1+H144), IF(W127=Assumptions!$N$47, Assumptions!$D$47, 0))</f>
        <v>1405.9127734706731</v>
      </c>
      <c r="X130" s="446">
        <f ca="1">IF(X127&gt;Assumptions!$N$47, W130*(1+I144), IF(X127=Assumptions!$N$47, Assumptions!$D$47, 0))</f>
        <v>1465.1799492700106</v>
      </c>
      <c r="Y130" s="446">
        <f ca="1">IF(Y127&gt;Assumptions!$N$47, X130*(1+J144), IF(Y127=Assumptions!$N$47, Assumptions!$D$47, 0))</f>
        <v>1530.9775146649552</v>
      </c>
      <c r="Z130" s="446">
        <f ca="1">IF(Z127&gt;Assumptions!$N$47, Y130*(1+K144), IF(Z127=Assumptions!$N$47, Assumptions!$D$47, 0))</f>
        <v>1605.6676129830544</v>
      </c>
      <c r="AB130" s="449" t="s">
        <v>282</v>
      </c>
      <c r="AC130" s="451">
        <f>IF(AC127=Assumptions!$O$47, Assumptions!$P$47, 0)</f>
        <v>0</v>
      </c>
      <c r="AD130" s="451">
        <f>IF(AD127&gt;Assumptions!$O$47, AC130*(1+AC123), IF(AD127=Assumptions!$O$47, Assumptions!$P$45, 0))</f>
        <v>0</v>
      </c>
      <c r="AE130" s="451">
        <f>IF(AE127&gt;Assumptions!$O$47, AD130*(1+AD123), IF(AE127=Assumptions!$O$47, Assumptions!$P$45, 0))</f>
        <v>0</v>
      </c>
      <c r="AF130" s="451">
        <f>IF(AF127&gt;Assumptions!$O$47, AE130*(1+AE123), IF(AF127=Assumptions!$O$47, Assumptions!$P$45, 0))</f>
        <v>5000</v>
      </c>
      <c r="AG130" s="451">
        <f>IF(AG127&gt;Assumptions!$O$47, AF130*(1+AF123), IF(AG127=Assumptions!$O$47, Assumptions!$P$45, 0))</f>
        <v>5104.9999999999991</v>
      </c>
      <c r="AH130" s="451">
        <f>IF(AH127&gt;Assumptions!$O$47, AG130*(1+AG123), IF(AH127=Assumptions!$O$47, Assumptions!$P$45, 0))</f>
        <v>5212.204999999999</v>
      </c>
      <c r="AI130" s="451">
        <f>IF(AI127&gt;Assumptions!$O$47, AH130*(1+AH123), IF(AI127=Assumptions!$O$47, Assumptions!$P$45, 0))</f>
        <v>5321.6613049999987</v>
      </c>
      <c r="AJ130" s="451">
        <f>IF(AJ127&gt;Assumptions!$O$47, AI130*(1+AI123), IF(AJ127=Assumptions!$O$47, Assumptions!$P$45, 0))</f>
        <v>5433.4161924049986</v>
      </c>
      <c r="AK130" s="451">
        <f>IF(AK127&gt;Assumptions!$O$47, AJ130*(1+AJ123), IF(AK127=Assumptions!$O$47, Assumptions!$P$45, 0))</f>
        <v>5547.517932445503</v>
      </c>
      <c r="AL130" s="451">
        <f>IF(AL127&gt;Assumptions!$O$47, AK130*(1+AK123), IF(AL127=Assumptions!$O$47, Assumptions!$P$45, 0))</f>
        <v>5664.0158090268578</v>
      </c>
      <c r="AM130" s="449"/>
      <c r="AN130" s="449"/>
      <c r="AO130" s="449"/>
      <c r="AP130" s="449" t="s">
        <v>282</v>
      </c>
      <c r="AQ130" s="452">
        <f>IF(AQ127=Assumptions!$O$47, Assumptions!$D$47, 0)</f>
        <v>0</v>
      </c>
      <c r="AR130" s="452">
        <f>IF(AR127&gt;Assumptions!$O$47, AQ130*(1+AC144), IF(AR127=Assumptions!$O$47, Assumptions!$D$47, 0))</f>
        <v>0</v>
      </c>
      <c r="AS130" s="452">
        <f>IF(AS127&gt;Assumptions!$O$47, AR130*(1+AD144), IF(AS127=Assumptions!$O$47, Assumptions!$D$47, 0))</f>
        <v>0</v>
      </c>
      <c r="AT130" s="452">
        <f>IF(AT127&gt;Assumptions!$O$47, AS130*(1+AE144), IF(AT127=Assumptions!$O$47, Assumptions!$D$47, 0))</f>
        <v>1270</v>
      </c>
      <c r="AU130" s="452">
        <f ca="1">IF(AU127&gt;Assumptions!$O$47, AT130*(1+AF144), IF(AU127=Assumptions!$O$47, Assumptions!$D$47, 0))</f>
        <v>1307.9574065467514</v>
      </c>
      <c r="AV130" s="452">
        <f ca="1">IF(AV127&gt;Assumptions!$O$47, AU130*(1+AG144), IF(AV127=Assumptions!$O$47, Assumptions!$D$47, 0))</f>
        <v>1350.6576091737982</v>
      </c>
      <c r="AW130" s="452">
        <f ca="1">IF(AW127&gt;Assumptions!$O$47, AV130*(1+AH144), IF(AW127=Assumptions!$O$47, Assumptions!$D$47, 0))</f>
        <v>1400.1393953969475</v>
      </c>
      <c r="AX130" s="452">
        <f ca="1">IF(AX127&gt;Assumptions!$O$47, AW130*(1+AI144), IF(AX127=Assumptions!$O$47, Assumptions!$D$47, 0))</f>
        <v>1455.5020608705938</v>
      </c>
      <c r="AY130" s="452">
        <f ca="1">IF(AY127&gt;Assumptions!$O$47, AX130*(1+AJ144), IF(AY127=Assumptions!$O$47, Assumptions!$D$47, 0))</f>
        <v>1518.7134461160731</v>
      </c>
      <c r="AZ130" s="452">
        <f ca="1">IF(AZ127&gt;Assumptions!$O$47, AY130*(1+AK144), IF(AZ127=Assumptions!$O$47, Assumptions!$D$47, 0))</f>
        <v>1590.2761129102064</v>
      </c>
    </row>
    <row r="131" spans="2:52">
      <c r="B131" s="443" t="s">
        <v>333</v>
      </c>
      <c r="C131" s="445">
        <f>IF(C127=Assumptions!$N$48, Assumptions!$P$48, 0)</f>
        <v>0</v>
      </c>
      <c r="D131" s="445">
        <f>IF(D127&gt;Assumptions!$N$48, C131*(1+C123), IF(D127=Assumptions!$N$48, Assumptions!$P$48, 0))</f>
        <v>0</v>
      </c>
      <c r="E131" s="445">
        <f>IF(E127&gt;Assumptions!$N$48, D131*(1+D123), IF(E127=Assumptions!$N$48, Assumptions!$P$48, 0))</f>
        <v>0</v>
      </c>
      <c r="F131" s="445">
        <f>IF(F127&gt;Assumptions!$N$48, E131*(1+E123), IF(F127=Assumptions!$N$48, Assumptions!$P$48, 0))</f>
        <v>0</v>
      </c>
      <c r="G131" s="445">
        <f>IF(G127&gt;Assumptions!$N$48, F131*(1+F123), IF(G127=Assumptions!$N$48, Assumptions!$P$48, 0))</f>
        <v>9500</v>
      </c>
      <c r="H131" s="445">
        <f>IF(H127&gt;Assumptions!$N$48, G131*(1+G123), IF(H127=Assumptions!$N$48, Assumptions!$P$48, 0))</f>
        <v>9718.5</v>
      </c>
      <c r="I131" s="445">
        <f>IF(I127&gt;Assumptions!$N$48, H131*(1+H123), IF(I127=Assumptions!$N$48, Assumptions!$P$48, 0))</f>
        <v>9942.0254999999997</v>
      </c>
      <c r="J131" s="445">
        <f>IF(J127&gt;Assumptions!$N$48, I131*(1+I123), IF(J127=Assumptions!$N$48, Assumptions!$P$48, 0))</f>
        <v>10170.692086499999</v>
      </c>
      <c r="K131" s="445">
        <f>IF(K127&gt;Assumptions!$N$48, J131*(1+J123), IF(K127=Assumptions!$N$48, Assumptions!$P$48, 0))</f>
        <v>10404.618004489499</v>
      </c>
      <c r="L131" s="445">
        <f>IF(L127&gt;Assumptions!$N$48, K131*(1+K123), IF(L127=Assumptions!$N$48, Assumptions!$P$48, 0))</f>
        <v>10643.924218592756</v>
      </c>
      <c r="M131" s="443"/>
      <c r="N131" s="443"/>
      <c r="O131" s="443"/>
      <c r="P131" s="443" t="s">
        <v>333</v>
      </c>
      <c r="Q131" s="446">
        <f>IF(Q127=Assumptions!$N$48, Assumptions!$D$48, 0)</f>
        <v>0</v>
      </c>
      <c r="R131" s="446">
        <f>IF(R127&gt;Assumptions!$N$48, Q131*(1+C145), IF(R127=Assumptions!$N$48, Assumptions!$D$48, 0))</f>
        <v>0</v>
      </c>
      <c r="S131" s="446">
        <f>IF(S127&gt;Assumptions!$N$48, R131*(1+D145), IF(S127=Assumptions!$N$48, Assumptions!$D$48, 0))</f>
        <v>0</v>
      </c>
      <c r="T131" s="446">
        <f>IF(T127&gt;Assumptions!$N$48, S131*(1+E145), IF(T127=Assumptions!$N$48, Assumptions!$D$48, 0))</f>
        <v>0</v>
      </c>
      <c r="U131" s="446">
        <f>IF(U127&gt;Assumptions!$N$48, T131*(1+F145), IF(U127=Assumptions!$N$48, Assumptions!$D$48, 0))</f>
        <v>635</v>
      </c>
      <c r="V131" s="446">
        <f ca="1">IF(V127&gt;Assumptions!$N$48, U131*(1+G145), IF(V127=Assumptions!$N$48, Assumptions!$D$48, 0))</f>
        <v>668.55436296958931</v>
      </c>
      <c r="W131" s="446">
        <f ca="1">IF(W127&gt;Assumptions!$N$48, V131*(1+H145), IF(W127=Assumptions!$N$48, Assumptions!$D$48, 0))</f>
        <v>706.53871017320205</v>
      </c>
      <c r="X131" s="446">
        <f ca="1">IF(X127&gt;Assumptions!$N$48, W131*(1+I145), IF(X127=Assumptions!$N$48, Assumptions!$D$48, 0))</f>
        <v>748.56062327627217</v>
      </c>
      <c r="Y131" s="446">
        <f ca="1">IF(Y127&gt;Assumptions!$N$48, X131*(1+J145), IF(Y127=Assumptions!$N$48, Assumptions!$D$48, 0))</f>
        <v>795.93265824474486</v>
      </c>
      <c r="Z131" s="446">
        <f ca="1">IF(Z127&gt;Assumptions!$N$48, Y131*(1+K145), IF(Z127=Assumptions!$N$48, Assumptions!$D$48, 0))</f>
        <v>849.18533237503902</v>
      </c>
      <c r="AB131" s="449" t="s">
        <v>333</v>
      </c>
      <c r="AC131" s="451">
        <f>IF(AC127=Assumptions!$O$48, Assumptions!$P$48, 0)</f>
        <v>0</v>
      </c>
      <c r="AD131" s="451">
        <f>IF(AD127&gt;Assumptions!$O$48, AC131*(1+AC123), IF(AD127=Assumptions!$O$48, Assumptions!$P$48, 0))</f>
        <v>0</v>
      </c>
      <c r="AE131" s="451">
        <f>IF(AE127&gt;Assumptions!$O$48, AD131*(1+AD123), IF(AE127=Assumptions!$O$48, Assumptions!$P$48, 0))</f>
        <v>0</v>
      </c>
      <c r="AF131" s="451">
        <f>IF(AF127&gt;Assumptions!$O$48, AE131*(1+AE123), IF(AF127=Assumptions!$O$48, Assumptions!$P$48, 0))</f>
        <v>0</v>
      </c>
      <c r="AG131" s="451">
        <f>IF(AG127&gt;Assumptions!$O$48, AF131*(1+AF123), IF(AG127=Assumptions!$O$48, Assumptions!$P$48, 0))</f>
        <v>9500</v>
      </c>
      <c r="AH131" s="451">
        <f>IF(AH127&gt;Assumptions!$O$48, AG131*(1+AG123), IF(AH127=Assumptions!$O$48, Assumptions!$P$48, 0))</f>
        <v>9699.5</v>
      </c>
      <c r="AI131" s="451">
        <f>IF(AI127&gt;Assumptions!$O$48, AH131*(1+AH123), IF(AI127=Assumptions!$O$48, Assumptions!$P$48, 0))</f>
        <v>9903.1894999999986</v>
      </c>
      <c r="AJ131" s="451">
        <f>IF(AJ127&gt;Assumptions!$O$48, AI131*(1+AI123), IF(AJ127=Assumptions!$O$48, Assumptions!$P$48, 0))</f>
        <v>10111.156479499998</v>
      </c>
      <c r="AK131" s="451">
        <f>IF(AK127&gt;Assumptions!$O$48, AJ131*(1+AJ123), IF(AK127=Assumptions!$O$48, Assumptions!$P$48, 0))</f>
        <v>10323.490765569497</v>
      </c>
      <c r="AL131" s="451">
        <f>IF(AL127&gt;Assumptions!$O$48, AK131*(1+AK123), IF(AL127=Assumptions!$O$48, Assumptions!$P$48, 0))</f>
        <v>10540.284071646456</v>
      </c>
      <c r="AM131" s="449"/>
      <c r="AN131" s="449"/>
      <c r="AO131" s="449"/>
      <c r="AP131" s="449" t="s">
        <v>333</v>
      </c>
      <c r="AQ131" s="452">
        <f>IF(AQ127=Assumptions!$O$48, Assumptions!$D$48, 0)</f>
        <v>0</v>
      </c>
      <c r="AR131" s="452">
        <f>IF(AR127&gt;Assumptions!$O$48, AQ131*(1+AC145), IF(AR127=Assumptions!$O$48, Assumptions!$D$48, 0))</f>
        <v>0</v>
      </c>
      <c r="AS131" s="452">
        <f>IF(AS127&gt;Assumptions!$O$48, AR131*(1+AD145), IF(AS127=Assumptions!$O$48, Assumptions!$D$48, 0))</f>
        <v>0</v>
      </c>
      <c r="AT131" s="452">
        <f>IF(AT127&gt;Assumptions!$O$48, AS131*(1+AE145), IF(AT127=Assumptions!$O$48, Assumptions!$D$48, 0))</f>
        <v>0</v>
      </c>
      <c r="AU131" s="452">
        <f>IF(AU127&gt;Assumptions!$O$48, AT131*(1+AF145), IF(AU127=Assumptions!$O$48, Assumptions!$D$48, 0))</f>
        <v>635</v>
      </c>
      <c r="AV131" s="452">
        <f ca="1">IF(AV127&gt;Assumptions!$O$48, AU131*(1+AG145), IF(AV127=Assumptions!$O$48, Assumptions!$D$48, 0))</f>
        <v>668.76073736916339</v>
      </c>
      <c r="AW131" s="452">
        <f ca="1">IF(AW127&gt;Assumptions!$O$48, AV131*(1+AH145), IF(AW127=Assumptions!$O$48, Assumptions!$D$48, 0))</f>
        <v>706.97379672481713</v>
      </c>
      <c r="AX131" s="452">
        <f ca="1">IF(AX127&gt;Assumptions!$O$48, AW131*(1+AI145), IF(AX127=Assumptions!$O$48, Assumptions!$D$48, 0))</f>
        <v>749.29391324601818</v>
      </c>
      <c r="AY131" s="452">
        <f ca="1">IF(AY127&gt;Assumptions!$O$48, AX131*(1+AJ145), IF(AY127=Assumptions!$O$48, Assumptions!$D$48, 0))</f>
        <v>797.0129415280694</v>
      </c>
      <c r="AZ131" s="452">
        <f ca="1">IF(AZ127&gt;Assumptions!$O$48, AY131*(1+AK145), IF(AZ127=Assumptions!$O$48, Assumptions!$D$48, 0))</f>
        <v>850.83574903443412</v>
      </c>
    </row>
    <row r="132" spans="2:52">
      <c r="B132" s="443" t="s">
        <v>290</v>
      </c>
      <c r="C132" s="445">
        <f>IF(C127=Assumptions!$N$49, Assumptions!$P$49, 0)</f>
        <v>0</v>
      </c>
      <c r="D132" s="445">
        <f>IF(D127&gt;Assumptions!$N$49, C132*(1+C123), IF(D127=Assumptions!$N$49, Assumptions!$P$49, 0))</f>
        <v>0</v>
      </c>
      <c r="E132" s="445">
        <f>IF(E127&gt;Assumptions!$N$49, D132*(1+D123), IF(E127=Assumptions!$N$49, Assumptions!$P$49, 0))</f>
        <v>0</v>
      </c>
      <c r="F132" s="445">
        <f>IF(F127&gt;Assumptions!$N$49, E132*(1+E123), IF(F127=Assumptions!$N$49, Assumptions!$P$49, 0))</f>
        <v>0</v>
      </c>
      <c r="G132" s="445">
        <f>IF(G127&gt;Assumptions!$N$49, F132*(1+F123), IF(G127=Assumptions!$N$49, Assumptions!$P$49, 0))</f>
        <v>0</v>
      </c>
      <c r="H132" s="445">
        <f>IF(H127&gt;Assumptions!$N$49, G132*(1+G123), IF(H127=Assumptions!$N$49, Assumptions!$P$49, 0))</f>
        <v>10000</v>
      </c>
      <c r="I132" s="445">
        <f>IF(I127&gt;Assumptions!$N$49, H132*(1+H123), IF(I127=Assumptions!$N$49, Assumptions!$P$49, 0))</f>
        <v>10230</v>
      </c>
      <c r="J132" s="445">
        <f>IF(J127&gt;Assumptions!$N$49, I132*(1+I123), IF(J127=Assumptions!$N$49, Assumptions!$P$49, 0))</f>
        <v>10465.289999999999</v>
      </c>
      <c r="K132" s="445">
        <f>IF(K127&gt;Assumptions!$N$49, J132*(1+J123), IF(K127=Assumptions!$N$49, Assumptions!$P$49, 0))</f>
        <v>10705.991669999998</v>
      </c>
      <c r="L132" s="445">
        <f>IF(L127&gt;Assumptions!$N$49, K132*(1+K123), IF(L127=Assumptions!$N$49, Assumptions!$P$49, 0))</f>
        <v>10952.229478409996</v>
      </c>
      <c r="M132" s="443"/>
      <c r="N132" s="443"/>
      <c r="O132" s="443"/>
      <c r="P132" s="443" t="s">
        <v>290</v>
      </c>
      <c r="Q132" s="446">
        <f>IF(Q127=Assumptions!$N$49, Assumptions!$D$49, 0)</f>
        <v>0</v>
      </c>
      <c r="R132" s="446">
        <f>IF(R127&gt;Assumptions!$N$49, Q132*(1+C146), IF(R127=Assumptions!$N$49, Assumptions!$D$49, 0))</f>
        <v>0</v>
      </c>
      <c r="S132" s="446">
        <f>IF(S127&gt;Assumptions!$N$49, R132*(1+D146), IF(S127=Assumptions!$N$49, Assumptions!$D$49, 0))</f>
        <v>0</v>
      </c>
      <c r="T132" s="446">
        <f>IF(T127&gt;Assumptions!$N$49, S132*(1+E146), IF(T127=Assumptions!$N$49, Assumptions!$D$49, 0))</f>
        <v>0</v>
      </c>
      <c r="U132" s="446">
        <f>IF(U127&gt;Assumptions!$N$49, T132*(1+F146), IF(U127=Assumptions!$N$49, Assumptions!$D$49, 0))</f>
        <v>0</v>
      </c>
      <c r="V132" s="446">
        <f>IF(V127&gt;Assumptions!$N$49, U132*(1+G146), IF(V127=Assumptions!$N$49, Assumptions!$D$49, 0))</f>
        <v>318</v>
      </c>
      <c r="W132" s="446">
        <f ca="1">IF(W127&gt;Assumptions!$N$49, V132*(1+H146), IF(W127=Assumptions!$N$49, Assumptions!$D$49, 0))</f>
        <v>336.31332052117494</v>
      </c>
      <c r="X132" s="446">
        <f ca="1">IF(X127&gt;Assumptions!$N$49, W132*(1+I146), IF(X127=Assumptions!$N$49, Assumptions!$D$49, 0))</f>
        <v>356.91487783541999</v>
      </c>
      <c r="Y132" s="446">
        <f ca="1">IF(Y127&gt;Assumptions!$N$49, X132*(1+J146), IF(Y127=Assumptions!$N$49, Assumptions!$D$49, 0))</f>
        <v>380.00362668107795</v>
      </c>
      <c r="Z132" s="446">
        <f ca="1">IF(Z127&gt;Assumptions!$N$49, Y132*(1+K146), IF(Z127=Assumptions!$N$49, Assumptions!$D$49, 0))</f>
        <v>405.61075884858235</v>
      </c>
      <c r="AB132" s="449" t="s">
        <v>290</v>
      </c>
      <c r="AC132" s="451">
        <f>IF(AC127=Assumptions!$O$49, Assumptions!$P$49, 0)</f>
        <v>0</v>
      </c>
      <c r="AD132" s="451">
        <f>IF(AD127&gt;Assumptions!$O$49, AC132*(1+AC123), IF(AD127=Assumptions!$O$49, Assumptions!$P$49, 0))</f>
        <v>0</v>
      </c>
      <c r="AE132" s="451">
        <f>IF(AE127&gt;Assumptions!$O$49, AD132*(1+AD123), IF(AE127=Assumptions!$O$49, Assumptions!$P$49, 0))</f>
        <v>0</v>
      </c>
      <c r="AF132" s="451">
        <f>IF(AF127&gt;Assumptions!$O$49, AE132*(1+AE123), IF(AF127=Assumptions!$O$49, Assumptions!$P$49, 0))</f>
        <v>0</v>
      </c>
      <c r="AG132" s="451">
        <f>IF(AG127&gt;Assumptions!$O$49, AF132*(1+AF123), IF(AG127=Assumptions!$O$49, Assumptions!$P$49, 0))</f>
        <v>0</v>
      </c>
      <c r="AH132" s="451">
        <f>IF(AH127&gt;Assumptions!$O$49, AG132*(1+AG123), IF(AH127=Assumptions!$O$49, Assumptions!$P$49, 0))</f>
        <v>10000</v>
      </c>
      <c r="AI132" s="451">
        <f>IF(AI127&gt;Assumptions!$O$49, AH132*(1+AH123), IF(AI127=Assumptions!$O$49, Assumptions!$P$49, 0))</f>
        <v>10209.999999999998</v>
      </c>
      <c r="AJ132" s="451">
        <f>IF(AJ127&gt;Assumptions!$O$49, AI132*(1+AI123), IF(AJ127=Assumptions!$O$49, Assumptions!$P$49, 0))</f>
        <v>10424.409999999998</v>
      </c>
      <c r="AK132" s="451">
        <f>IF(AK127&gt;Assumptions!$O$49, AJ132*(1+AJ123), IF(AK127=Assumptions!$O$49, Assumptions!$P$49, 0))</f>
        <v>10643.322609999997</v>
      </c>
      <c r="AL132" s="451">
        <f>IF(AL127&gt;Assumptions!$O$49, AK132*(1+AK123), IF(AL127=Assumptions!$O$49, Assumptions!$P$49, 0))</f>
        <v>10866.832384809997</v>
      </c>
      <c r="AM132" s="449"/>
      <c r="AN132" s="449"/>
      <c r="AO132" s="449"/>
      <c r="AP132" s="449" t="s">
        <v>290</v>
      </c>
      <c r="AQ132" s="452">
        <f>IF(AQ127=Assumptions!$O$49, Assumptions!$D$49, 0)</f>
        <v>0</v>
      </c>
      <c r="AR132" s="452">
        <f>IF(AR127&gt;Assumptions!$O$49, AQ132*(1+AC146), IF(AR127=Assumptions!$O$49, Assumptions!$D$49, 0))</f>
        <v>0</v>
      </c>
      <c r="AS132" s="452">
        <f>IF(AS127&gt;Assumptions!$O$49, AR132*(1+AD146), IF(AS127=Assumptions!$O$49, Assumptions!$D$49, 0))</f>
        <v>0</v>
      </c>
      <c r="AT132" s="452">
        <f>IF(AT127&gt;Assumptions!$O$49, AS132*(1+AE146), IF(AT127=Assumptions!$O$49, Assumptions!$D$49, 0))</f>
        <v>0</v>
      </c>
      <c r="AU132" s="452">
        <f>IF(AU127&gt;Assumptions!$O$49, AT132*(1+AF146), IF(AU127=Assumptions!$O$49, Assumptions!$D$49, 0))</f>
        <v>0</v>
      </c>
      <c r="AV132" s="452">
        <f>IF(AV127&gt;Assumptions!$O$49, AU132*(1+AG146), IF(AV127=Assumptions!$O$49, Assumptions!$D$49, 0))</f>
        <v>318</v>
      </c>
      <c r="AW132" s="452">
        <f ca="1">IF(AW127&gt;Assumptions!$O$49, AV132*(1+AH146), IF(AW127=Assumptions!$O$49, Assumptions!$D$49, 0))</f>
        <v>336.20430285820811</v>
      </c>
      <c r="AX132" s="452">
        <f ca="1">IF(AX127&gt;Assumptions!$O$49, AW132*(1+AI146), IF(AX127=Assumptions!$O$49, Assumptions!$D$49, 0))</f>
        <v>356.60981687855087</v>
      </c>
      <c r="AY132" s="452">
        <f ca="1">IF(AY127&gt;Assumptions!$O$49, AX132*(1+AJ146), IF(AY127=Assumptions!$O$49, Assumptions!$D$49, 0))</f>
        <v>379.26900680177204</v>
      </c>
      <c r="AZ132" s="452">
        <f ca="1">IF(AZ127&gt;Assumptions!$O$49, AY132*(1+AK146), IF(AZ127=Assumptions!$O$49, Assumptions!$D$49, 0))</f>
        <v>404.78135551268605</v>
      </c>
    </row>
    <row r="133" spans="2:52">
      <c r="B133" s="443" t="s">
        <v>405</v>
      </c>
      <c r="C133" s="445">
        <f>IF(C127=Assumptions!$N$50, Assumptions!$P$50, 0)</f>
        <v>0</v>
      </c>
      <c r="D133" s="445">
        <f>IF(D127&gt;Assumptions!$N$50, C133*(1+C123), IF(D127=Assumptions!$N$50, Assumptions!$P$50, 0))</f>
        <v>0</v>
      </c>
      <c r="E133" s="445">
        <f>IF(E127&gt;Assumptions!$N$50, D133*(1+D123), IF(E127=Assumptions!$N$50, Assumptions!$P$50, 0))</f>
        <v>0</v>
      </c>
      <c r="F133" s="445">
        <f>IF(F127&gt;Assumptions!$N$50, E133*(1+E123), IF(F127=Assumptions!$N$50, Assumptions!$P$50, 0))</f>
        <v>1900</v>
      </c>
      <c r="G133" s="445">
        <f>IF(G127&gt;Assumptions!$N$50, F133*(1+F123), IF(G127=Assumptions!$N$50, Assumptions!$P$50, 0))</f>
        <v>1943.6999999999998</v>
      </c>
      <c r="H133" s="445">
        <f>IF(H127&gt;Assumptions!$N$50, G133*(1+G123), IF(H127=Assumptions!$N$50, Assumptions!$P$50, 0))</f>
        <v>1988.4050999999997</v>
      </c>
      <c r="I133" s="445">
        <f>IF(I127&gt;Assumptions!$N$50, H133*(1+H123), IF(I127=Assumptions!$N$50, Assumptions!$P$50, 0))</f>
        <v>2034.1384172999994</v>
      </c>
      <c r="J133" s="445">
        <f>IF(J127&gt;Assumptions!$N$50, I133*(1+I123), IF(J127=Assumptions!$N$50, Assumptions!$P$50, 0))</f>
        <v>2080.9236008978992</v>
      </c>
      <c r="K133" s="445">
        <f>IF(K127&gt;Assumptions!$N$50, J133*(1+J123), IF(K127=Assumptions!$N$50, Assumptions!$P$50, 0))</f>
        <v>2128.7848437185507</v>
      </c>
      <c r="L133" s="445">
        <f>IF(L127&gt;Assumptions!$N$50, K133*(1+K123), IF(L127=Assumptions!$N$50, Assumptions!$P$50, 0))</f>
        <v>2177.7468951240771</v>
      </c>
      <c r="M133" s="443"/>
      <c r="N133" s="443"/>
      <c r="O133" s="443"/>
      <c r="P133" s="443" t="s">
        <v>405</v>
      </c>
      <c r="Q133" s="446">
        <f>IF(Q127=Assumptions!$N$50, Assumptions!$D$50, 0)</f>
        <v>0</v>
      </c>
      <c r="R133" s="446">
        <f>IF(R127&gt;Assumptions!$N$50, Q133*(1+C147), IF(R127=Assumptions!$N$50, Assumptions!$D$50, 0))</f>
        <v>0</v>
      </c>
      <c r="S133" s="446">
        <f>IF(S127&gt;Assumptions!$N$50, R133*(1+D147), IF(S127=Assumptions!$N$50, Assumptions!$D$50, 0))</f>
        <v>0</v>
      </c>
      <c r="T133" s="446">
        <f>IF(T127&gt;Assumptions!$N$50, S133*(1+E147), IF(T127=Assumptions!$N$50, Assumptions!$D$50, 0))</f>
        <v>1900</v>
      </c>
      <c r="U133" s="446">
        <f ca="1">IF(U127&gt;Assumptions!$N$50, T133*(1+F147), IF(U127=Assumptions!$N$50, Assumptions!$D$50, 0))</f>
        <v>1918.2842748723481</v>
      </c>
      <c r="V133" s="446">
        <f ca="1">IF(V127&gt;Assumptions!$N$50, U133*(1+G147), IF(V127=Assumptions!$N$50, Assumptions!$D$50, 0))</f>
        <v>1943.64467467025</v>
      </c>
      <c r="W133" s="446">
        <f ca="1">IF(W127&gt;Assumptions!$N$50, V133*(1+H147), IF(W127=Assumptions!$N$50, Assumptions!$D$50, 0))</f>
        <v>1976.5686210037502</v>
      </c>
      <c r="X133" s="446">
        <f ca="1">IF(X127&gt;Assumptions!$N$50, W133*(1+I147), IF(X127=Assumptions!$N$50, Assumptions!$D$50, 0))</f>
        <v>2016.3205045251709</v>
      </c>
      <c r="Y133" s="446">
        <f ca="1">IF(Y127&gt;Assumptions!$N$50, X133*(1+J147), IF(Y127=Assumptions!$N$50, Assumptions!$D$50, 0))</f>
        <v>2064.8794801579011</v>
      </c>
      <c r="Z133" s="446">
        <f ca="1">IF(Z127&gt;Assumptions!$N$50, Y133*(1+K147), IF(Z127=Assumptions!$N$50, Assumptions!$D$50, 0))</f>
        <v>2122.7781098814366</v>
      </c>
      <c r="AB133" s="449" t="s">
        <v>405</v>
      </c>
      <c r="AC133" s="451">
        <f>IF(AC127=Assumptions!$O$50, Assumptions!$P$50, 0)</f>
        <v>0</v>
      </c>
      <c r="AD133" s="451">
        <f>IF(AD127&gt;Assumptions!$O$50, AC133*(1+AC123), IF(AD127=Assumptions!$O$50, Assumptions!$P$50, 0))</f>
        <v>0</v>
      </c>
      <c r="AE133" s="451">
        <f>IF(AE127&gt;Assumptions!$O$50, AD133*(1+AD123), IF(AE127=Assumptions!$O$50, Assumptions!$P$50, 0))</f>
        <v>0</v>
      </c>
      <c r="AF133" s="451">
        <f>IF(AF127&gt;Assumptions!$O$50, AE133*(1+AE123), IF(AF127=Assumptions!$O$50, Assumptions!$P$50, 0))</f>
        <v>1900</v>
      </c>
      <c r="AG133" s="451">
        <f>IF(AG127&gt;Assumptions!$O$50, AF133*(1+AF123), IF(AG127=Assumptions!$O$50, Assumptions!$P$50, 0))</f>
        <v>1939.8999999999999</v>
      </c>
      <c r="AH133" s="451">
        <f>IF(AH127&gt;Assumptions!$O$50, AG133*(1+AG123), IF(AH127=Assumptions!$O$50, Assumptions!$P$50, 0))</f>
        <v>1980.6378999999997</v>
      </c>
      <c r="AI133" s="451">
        <f>IF(AI127&gt;Assumptions!$O$50, AH133*(1+AH123), IF(AI127=Assumptions!$O$50, Assumptions!$P$50, 0))</f>
        <v>2022.2312958999996</v>
      </c>
      <c r="AJ133" s="451">
        <f>IF(AJ127&gt;Assumptions!$O$50, AI133*(1+AI123), IF(AJ127=Assumptions!$O$50, Assumptions!$P$50, 0))</f>
        <v>2064.6981531138995</v>
      </c>
      <c r="AK133" s="451">
        <f>IF(AK127&gt;Assumptions!$O$50, AJ133*(1+AJ123), IF(AK127=Assumptions!$O$50, Assumptions!$P$50, 0))</f>
        <v>2108.0568143292912</v>
      </c>
      <c r="AL133" s="451">
        <f>IF(AL127&gt;Assumptions!$O$50, AK133*(1+AK123), IF(AL127=Assumptions!$O$50, Assumptions!$P$50, 0))</f>
        <v>2152.3260074302061</v>
      </c>
      <c r="AM133" s="449"/>
      <c r="AN133" s="449"/>
      <c r="AO133" s="449"/>
      <c r="AP133" s="449" t="s">
        <v>405</v>
      </c>
      <c r="AQ133" s="452">
        <f>IF(AQ127=Assumptions!$O$50, Assumptions!$D$50, 0)</f>
        <v>0</v>
      </c>
      <c r="AR133" s="452">
        <f>IF(AR127&gt;Assumptions!$O$50, AQ133*(1+AC147), IF(AR127=Assumptions!$O$50, Assumptions!$D$50, 0))</f>
        <v>0</v>
      </c>
      <c r="AS133" s="452">
        <f>IF(AS127&gt;Assumptions!$O$50, AR133*(1+AD147), IF(AS127=Assumptions!$O$50, Assumptions!$D$50, 0))</f>
        <v>0</v>
      </c>
      <c r="AT133" s="452">
        <f>IF(AT127&gt;Assumptions!$O$50, AS133*(1+AE147), IF(AT127=Assumptions!$O$50, Assumptions!$D$50, 0))</f>
        <v>1900</v>
      </c>
      <c r="AU133" s="452">
        <f ca="1">IF(AU127&gt;Assumptions!$O$50, AT133*(1+AF147), IF(AU127=Assumptions!$O$50, Assumptions!$D$50, 0))</f>
        <v>1919.929893196482</v>
      </c>
      <c r="AV133" s="452">
        <f ca="1">IF(AV127&gt;Assumptions!$O$50, AU133*(1+AG147), IF(AV127=Assumptions!$O$50, Assumptions!$D$50, 0))</f>
        <v>1947.374230862808</v>
      </c>
      <c r="AW133" s="452">
        <f ca="1">IF(AW127&gt;Assumptions!$O$50, AV133*(1+AH147), IF(AW127=Assumptions!$O$50, Assumptions!$D$50, 0))</f>
        <v>1982.0545295190809</v>
      </c>
      <c r="AX133" s="452">
        <f ca="1">IF(AX127&gt;Assumptions!$O$50, AW133*(1+AI147), IF(AX127=Assumptions!$O$50, Assumptions!$D$50, 0))</f>
        <v>2024.2539359684793</v>
      </c>
      <c r="AY133" s="452">
        <f ca="1">IF(AY127&gt;Assumptions!$O$50, AX133*(1+AJ147), IF(AY127=Assumptions!$O$50, Assumptions!$D$50, 0))</f>
        <v>2072.9954477943465</v>
      </c>
      <c r="AZ133" s="452">
        <f ca="1">IF(AZ127&gt;Assumptions!$O$50, AY133*(1+AK147), IF(AZ127=Assumptions!$O$50, Assumptions!$D$50, 0))</f>
        <v>2131.0059498321266</v>
      </c>
    </row>
    <row r="134" spans="2:52">
      <c r="B134" s="522" t="s">
        <v>406</v>
      </c>
      <c r="C134" s="445">
        <f>IF(C128=Assumptions!$N$51, Assumptions!$P$51, 0)</f>
        <v>0</v>
      </c>
      <c r="D134" s="445">
        <f>IF(D127&gt;Assumptions!$N$51, C134, IF(D127=Assumptions!$N$51, Assumptions!$P$51, 0))</f>
        <v>0</v>
      </c>
      <c r="E134" s="445">
        <f>IF(E127&gt;Assumptions!$N$51, D134, IF(E127=Assumptions!$N$51, Assumptions!$P$51, 0))</f>
        <v>0</v>
      </c>
      <c r="F134" s="445">
        <f>IF(F127&gt;Assumptions!$N$51, E134, IF(F127=Assumptions!$N$51, Assumptions!$P$51, 0))</f>
        <v>0</v>
      </c>
      <c r="G134" s="445">
        <f>IF(G127&gt;Assumptions!$N$51, F134, IF(G127=Assumptions!$N$51, Assumptions!$P$51, 0))</f>
        <v>500</v>
      </c>
      <c r="H134" s="445">
        <f>IF(H127&gt;Assumptions!$N$51, G134, IF(H127=Assumptions!$N$51, Assumptions!$P$51, 0))</f>
        <v>500</v>
      </c>
      <c r="I134" s="445">
        <f>IF(I127&gt;Assumptions!$N$51, H134, IF(I127=Assumptions!$N$51, Assumptions!$P$51, 0))</f>
        <v>500</v>
      </c>
      <c r="J134" s="445">
        <f>IF(J127&gt;Assumptions!$N$51, I134, IF(J127=Assumptions!$N$51, Assumptions!$P$51, 0))</f>
        <v>500</v>
      </c>
      <c r="K134" s="445">
        <f>IF(K127&gt;Assumptions!$N$51, J134, IF(K127=Assumptions!$N$51, Assumptions!$P$51, 0))</f>
        <v>500</v>
      </c>
      <c r="L134" s="445">
        <f>IF(L127&gt;Assumptions!$N$51, K134, IF(L127=Assumptions!$N$51, Assumptions!$P$51, 0))</f>
        <v>500</v>
      </c>
      <c r="M134" s="443"/>
      <c r="N134" s="443"/>
      <c r="O134" s="443"/>
      <c r="P134" s="522" t="s">
        <v>406</v>
      </c>
      <c r="Q134" s="446">
        <f>IF(Q127=Assumptions!$N$51, Assumptions!$D$51, 0)</f>
        <v>0</v>
      </c>
      <c r="R134" s="446">
        <f>IF(R127&gt;Assumptions!$N$51, Q134*(1-Assumptions!$V$21) + Assumptions!$D$51*(1+C147), IF(R127=Assumptions!$N$51, Assumptions!$D$51, 0))</f>
        <v>0</v>
      </c>
      <c r="S134" s="446">
        <f>IF(S127&gt;Assumptions!$N$51, R134*(1-Assumptions!$V$21) + Assumptions!$D$51*(1+D147), IF(S127=Assumptions!$N$51, Assumptions!$D$51, 0))</f>
        <v>0</v>
      </c>
      <c r="T134" s="446">
        <f>IF(T127&gt;Assumptions!$N$51, S134*(1-Assumptions!$V$21) + Assumptions!$D$51*(1+E147), IF(T127=Assumptions!$N$51, Assumptions!$D$51, 0))</f>
        <v>0</v>
      </c>
      <c r="U134" s="446">
        <f>IF(U127&gt;Assumptions!$N$51, T134*(1-Assumptions!$V$21) + Assumptions!$D$51*(1+F147), IF(U127=Assumptions!$N$51, Assumptions!$D$51, 0))</f>
        <v>400</v>
      </c>
      <c r="V134" s="446">
        <f ca="1">IF(V127&gt;Assumptions!$N$51, U134*(1-Assumptions!$V$21) + Assumptions!$D$51*(1+G147), IF(V127=Assumptions!$N$51, Assumptions!$D$51, 0))</f>
        <v>753.28814214453996</v>
      </c>
      <c r="W134" s="446">
        <f ca="1">IF(W127&gt;Assumptions!$N$51, V134*(1-Assumptions!$V$21) + Assumptions!$D$51*(1+H147), IF(W127=Assumptions!$N$51, Assumptions!$D$51, 0))</f>
        <v>1062.1363966883137</v>
      </c>
      <c r="X134" s="446">
        <f ca="1">IF(X127&gt;Assumptions!$N$51, W134*(1-Assumptions!$V$21) + Assumptions!$D$51*(1+I147), IF(X127=Assumptions!$N$51, Assumptions!$D$51, 0))</f>
        <v>1332.1032901521362</v>
      </c>
      <c r="Y134" s="446">
        <f ca="1">IF(Y127&gt;Assumptions!$N$51, X134*(1-Assumptions!$V$21) + Assumptions!$D$51*(1+J147), IF(Y127=Assumptions!$N$51, Assumptions!$D$51, 0))</f>
        <v>1568.5630483318721</v>
      </c>
      <c r="Z134" s="446">
        <f ca="1">IF(Z127&gt;Assumptions!$N$51, Y134*(1-Assumptions!$V$21) + Assumptions!$D$51*(1+K147), IF(Z127=Assumptions!$N$51, Assumptions!$D$51, 0))</f>
        <v>1775.8657375819816</v>
      </c>
      <c r="AB134" s="523" t="s">
        <v>406</v>
      </c>
      <c r="AC134" s="451">
        <f>IF(AC128=Assumptions!$O$51, Assumptions!$P$51, 0)</f>
        <v>0</v>
      </c>
      <c r="AD134" s="451">
        <f>IF(AD127&gt;Assumptions!$O$51, AC134, IF(AD127=Assumptions!$O$51, Assumptions!$P$51, 0))</f>
        <v>0</v>
      </c>
      <c r="AE134" s="451">
        <f>IF(AE127&gt;Assumptions!$O$51, AD134, IF(AE127=Assumptions!$O$51, Assumptions!$P$51, 0))</f>
        <v>0</v>
      </c>
      <c r="AF134" s="451">
        <f>IF(AF127&gt;Assumptions!$O$51, AE134, IF(AF127=Assumptions!$O$51, Assumptions!$P$51, 0))</f>
        <v>0</v>
      </c>
      <c r="AG134" s="451">
        <f>IF(AG127&gt;Assumptions!$O$51, AF134, IF(AG127=Assumptions!$O$51, Assumptions!$P$51, 0))</f>
        <v>500</v>
      </c>
      <c r="AH134" s="451">
        <f>IF(AH127&gt;Assumptions!$O$51, AG134, IF(AH127=Assumptions!$O$51, Assumptions!$P$51, 0))</f>
        <v>500</v>
      </c>
      <c r="AI134" s="451">
        <f>IF(AI127&gt;Assumptions!$O$51, AH134, IF(AI127=Assumptions!$O$51, Assumptions!$P$51, 0))</f>
        <v>500</v>
      </c>
      <c r="AJ134" s="451">
        <f>IF(AJ127&gt;Assumptions!$O$51, AI134, IF(AJ127=Assumptions!$O$51, Assumptions!$P$51, 0))</f>
        <v>500</v>
      </c>
      <c r="AK134" s="451">
        <f>IF(AK127&gt;Assumptions!$O$51, AJ134, IF(AK127=Assumptions!$O$51, Assumptions!$P$51, 0))</f>
        <v>500</v>
      </c>
      <c r="AL134" s="451">
        <f>IF(AL127&gt;Assumptions!$O$51, AK134, IF(AL127=Assumptions!$O$51, Assumptions!$P$51, 0))</f>
        <v>500</v>
      </c>
      <c r="AM134" s="449"/>
      <c r="AN134" s="449"/>
      <c r="AO134" s="449"/>
      <c r="AP134" s="523" t="s">
        <v>406</v>
      </c>
      <c r="AQ134" s="452">
        <f>IF(AQ127=Assumptions!$O$51, Assumptions!$D$51, 0)</f>
        <v>0</v>
      </c>
      <c r="AR134" s="452">
        <f>IF(AR127&gt;Assumptions!$O$51, AQ134*(1-Assumptions!$V$22) + Assumptions!$D$51*(1+AC147), IF(AR127=Assumptions!$O$51, Assumptions!$D$51, 0))</f>
        <v>0</v>
      </c>
      <c r="AS134" s="452">
        <f>IF(AS127&gt;Assumptions!$O$51, AR134*(1-Assumptions!$V$22) + Assumptions!$D$51*(1+AD147), IF(AS127=Assumptions!$O$51, Assumptions!$D$51, 0))</f>
        <v>0</v>
      </c>
      <c r="AT134" s="452">
        <f>IF(AT127&gt;Assumptions!$O$51, AS134*(1-Assumptions!$V$22) + Assumptions!$D$51*(1+AE147), IF(AT127=Assumptions!$O$51, Assumptions!$D$51, 0))</f>
        <v>0</v>
      </c>
      <c r="AU134" s="452">
        <f>IF(AU127&gt;Assumptions!$O$51, AT134*(1-Assumptions!$V$22) + Assumptions!$D$51*(1+AF147), IF(AU127=Assumptions!$O$51, Assumptions!$D$51, 0))</f>
        <v>400</v>
      </c>
      <c r="AV134" s="452">
        <f ca="1">IF(AV127&gt;Assumptions!$O$51, AU134*(1-Assumptions!$V$22) + Assumptions!$D$51*(1+AG147), IF(AV127=Assumptions!$O$51, Assumptions!$D$51, 0))</f>
        <v>745.71777912591051</v>
      </c>
      <c r="AW134" s="452">
        <f ca="1">IF(AW127&gt;Assumptions!$O$51, AV134*(1-Assumptions!$V$22) + Assumptions!$D$51*(1+AH147), IF(AW127=Assumptions!$O$51, Assumptions!$D$51, 0))</f>
        <v>1040.9836118097335</v>
      </c>
      <c r="AX134" s="452">
        <f ca="1">IF(AX127&gt;Assumptions!$O$51, AW134*(1-Assumptions!$V$22) + Assumptions!$D$51*(1+AI147), IF(AX127=Assumptions!$O$51, Assumptions!$D$51, 0))</f>
        <v>1293.3523657952096</v>
      </c>
      <c r="AY134" s="452">
        <f ca="1">IF(AY127&gt;Assumptions!$O$51, AX134*(1-Assumptions!$V$22) + Assumptions!$D$51*(1+AJ147), IF(AY127=Assumptions!$O$51, Assumptions!$D$51, 0))</f>
        <v>1508.981012381312</v>
      </c>
      <c r="AZ134" s="452">
        <f ca="1">IF(AZ127&gt;Assumptions!$O$51, AY134*(1-Assumptions!$V$22) + Assumptions!$D$51*(1+AK147), IF(AZ127=Assumptions!$O$51, Assumptions!$D$51, 0))</f>
        <v>1693.8274214360799</v>
      </c>
    </row>
    <row r="135" spans="2:52">
      <c r="B135" s="443" t="s">
        <v>342</v>
      </c>
      <c r="C135" s="445">
        <f>IF(C127=Assumptions!$N$52, Assumptions!$P$52, 0)</f>
        <v>0</v>
      </c>
      <c r="D135" s="445">
        <f>IF(D127&gt;Assumptions!$N$52, C135*(1+C123), IF(D127=Assumptions!$N$52, Assumptions!$P$52, 0))</f>
        <v>0</v>
      </c>
      <c r="E135" s="445">
        <f>IF(E127&gt;Assumptions!$N$52, D135*(1+D123), IF(E127=Assumptions!$N$52, Assumptions!$P$52, 0))</f>
        <v>0</v>
      </c>
      <c r="F135" s="445">
        <f>IF(F127&gt;Assumptions!$N$52, E135*(1+E123), IF(F127=Assumptions!$N$52, Assumptions!$P$52, 0))</f>
        <v>0</v>
      </c>
      <c r="G135" s="445">
        <f>IF(G127&gt;Assumptions!$N$52, F135*(1+F123), IF(G127=Assumptions!$N$52, Assumptions!$P$52, 0))</f>
        <v>500</v>
      </c>
      <c r="H135" s="445">
        <f>IF(H127&gt;Assumptions!$N$52, G135*(1+G123), IF(H127=Assumptions!$N$52, Assumptions!$P$52, 0))</f>
        <v>511.49999999999994</v>
      </c>
      <c r="I135" s="445">
        <f>IF(I127&gt;Assumptions!$N$52, H135*(1+H123), IF(I127=Assumptions!$N$52, Assumptions!$P$52, 0))</f>
        <v>523.26449999999988</v>
      </c>
      <c r="J135" s="445">
        <f>IF(J127&gt;Assumptions!$N$52, I135*(1+I123), IF(J127=Assumptions!$N$52, Assumptions!$P$52, 0))</f>
        <v>535.29958349999981</v>
      </c>
      <c r="K135" s="445">
        <f>IF(K127&gt;Assumptions!$N$52, J135*(1+J123), IF(K127=Assumptions!$N$52, Assumptions!$P$52, 0))</f>
        <v>547.61147392049975</v>
      </c>
      <c r="L135" s="445">
        <f>IF(L127&gt;Assumptions!$N$52, K135*(1+K123), IF(L127=Assumptions!$N$52, Assumptions!$P$52, 0))</f>
        <v>560.2065378206712</v>
      </c>
      <c r="M135" s="443"/>
      <c r="N135" s="443"/>
      <c r="O135" s="443"/>
      <c r="P135" s="443" t="s">
        <v>342</v>
      </c>
      <c r="Q135" s="446">
        <f>IF(Q127=Assumptions!$N$52, Assumptions!$D$52, 0)</f>
        <v>0</v>
      </c>
      <c r="R135" s="446">
        <f>IF(R127&gt;Assumptions!$N$52, Q135*(1+C148), IF(R127=Assumptions!$N$52, Assumptions!$D$52, 0))</f>
        <v>0</v>
      </c>
      <c r="S135" s="446">
        <f>IF(S127&gt;Assumptions!$N$52, R135*(1+D148), IF(S127=Assumptions!$N$52, Assumptions!$D$52, 0))</f>
        <v>0</v>
      </c>
      <c r="T135" s="446">
        <f>IF(T127&gt;Assumptions!$N$52, S135*(1+E148), IF(T127=Assumptions!$N$52, Assumptions!$D$52, 0))</f>
        <v>0</v>
      </c>
      <c r="U135" s="446">
        <f>IF(U127&gt;Assumptions!$N$52, T135*(1+F148), IF(U127=Assumptions!$N$52, Assumptions!$D$52, 0))</f>
        <v>300</v>
      </c>
      <c r="V135" s="446">
        <f ca="1">IF(V127&gt;Assumptions!$N$52, U135*(1+G148), IF(V127=Assumptions!$N$52, Assumptions!$D$52, 0))</f>
        <v>304.51211730924285</v>
      </c>
      <c r="W135" s="446">
        <f ca="1">IF(W127&gt;Assumptions!$N$52, V135*(1+H148), IF(W127=Assumptions!$N$52, Assumptions!$D$52, 0))</f>
        <v>310.03703982375356</v>
      </c>
      <c r="X135" s="446">
        <f ca="1">IF(X127&gt;Assumptions!$N$52, W135*(1+I148), IF(X127=Assumptions!$N$52, Assumptions!$D$52, 0))</f>
        <v>316.44149972649836</v>
      </c>
      <c r="Y135" s="446">
        <f ca="1">IF(Y127&gt;Assumptions!$N$52, X135*(1+J148), IF(Y127=Assumptions!$N$52, Assumptions!$D$52, 0))</f>
        <v>324.00102262319166</v>
      </c>
      <c r="Z135" s="446">
        <f ca="1">IF(Z127&gt;Assumptions!$N$52, Y135*(1+K148), IF(Z127=Assumptions!$N$52, Assumptions!$D$52, 0))</f>
        <v>332.67206160351589</v>
      </c>
      <c r="AB135" s="449" t="s">
        <v>342</v>
      </c>
      <c r="AC135" s="451">
        <f>IF(AC127=Assumptions!$O$52, Assumptions!$P$52, 0)</f>
        <v>0</v>
      </c>
      <c r="AD135" s="451">
        <f>IF(AD127&gt;Assumptions!$O$52, AC135*(1+AC123), IF(AD127=Assumptions!$O$52, Assumptions!$P$52, 0))</f>
        <v>0</v>
      </c>
      <c r="AE135" s="451">
        <f>IF(AE127&gt;Assumptions!$O$52, AD135*(1+AD123), IF(AE127=Assumptions!$O$52, Assumptions!$P$52, 0))</f>
        <v>0</v>
      </c>
      <c r="AF135" s="451">
        <f>IF(AF127&gt;Assumptions!$O$52, AE135*(1+AE123), IF(AF127=Assumptions!$O$52, Assumptions!$P$52, 0))</f>
        <v>0</v>
      </c>
      <c r="AG135" s="451">
        <f>IF(AG127&gt;Assumptions!$O$52, AF135*(1+AF123), IF(AG127=Assumptions!$O$52, Assumptions!$P$52, 0))</f>
        <v>500</v>
      </c>
      <c r="AH135" s="451">
        <f>IF(AH127&gt;Assumptions!$O$52, AG135*(1+AG123), IF(AH127=Assumptions!$O$52, Assumptions!$P$52, 0))</f>
        <v>510.49999999999994</v>
      </c>
      <c r="AI135" s="451">
        <f>IF(AI127&gt;Assumptions!$O$52, AH135*(1+AH123), IF(AI127=Assumptions!$O$52, Assumptions!$P$52, 0))</f>
        <v>521.2204999999999</v>
      </c>
      <c r="AJ135" s="451">
        <f>IF(AJ127&gt;Assumptions!$O$52, AI135*(1+AI123), IF(AJ127=Assumptions!$O$52, Assumptions!$P$52, 0))</f>
        <v>532.16613049999989</v>
      </c>
      <c r="AK135" s="451">
        <f>IF(AK127&gt;Assumptions!$O$52, AJ135*(1+AJ123), IF(AK127=Assumptions!$O$52, Assumptions!$P$52, 0))</f>
        <v>543.34161924049988</v>
      </c>
      <c r="AL135" s="451">
        <f>IF(AL127&gt;Assumptions!$O$52, AK135*(1+AK123), IF(AL127=Assumptions!$O$52, Assumptions!$P$52, 0))</f>
        <v>554.7517932445503</v>
      </c>
      <c r="AM135" s="449"/>
      <c r="AN135" s="449"/>
      <c r="AO135" s="449"/>
      <c r="AP135" s="449" t="s">
        <v>342</v>
      </c>
      <c r="AQ135" s="452">
        <f>IF(AQ127=Assumptions!$O$52, Assumptions!$D$52, 0)</f>
        <v>0</v>
      </c>
      <c r="AR135" s="452">
        <f>IF(AR127&gt;Assumptions!$O$52, AQ135*(1+AC148), IF(AR127=Assumptions!$O$52, Assumptions!$D$52, 0))</f>
        <v>0</v>
      </c>
      <c r="AS135" s="452">
        <f>IF(AS127&gt;Assumptions!$O$52, AR135*(1+AD148), IF(AS127=Assumptions!$O$52, Assumptions!$D$52, 0))</f>
        <v>0</v>
      </c>
      <c r="AT135" s="452">
        <f>IF(AT127&gt;Assumptions!$O$52, AS135*(1+AE148), IF(AT127=Assumptions!$O$52, Assumptions!$D$52, 0))</f>
        <v>0</v>
      </c>
      <c r="AU135" s="452">
        <f>IF(AU127&gt;Assumptions!$O$52, AT135*(1+AF148), IF(AU127=Assumptions!$O$52, Assumptions!$D$52, 0))</f>
        <v>300</v>
      </c>
      <c r="AV135" s="452">
        <f ca="1">IF(AV127&gt;Assumptions!$O$52, AU135*(1+AG148), IF(AV127=Assumptions!$O$52, Assumptions!$D$52, 0))</f>
        <v>304.04364062093487</v>
      </c>
      <c r="AW135" s="452">
        <f ca="1">IF(AW127&gt;Assumptions!$O$52, AV135*(1+AH148), IF(AW127=Assumptions!$O$52, Assumptions!$D$52, 0))</f>
        <v>309.34857657819259</v>
      </c>
      <c r="AX135" s="452">
        <f ca="1">IF(AX127&gt;Assumptions!$O$52, AW135*(1+AI148), IF(AX127=Assumptions!$O$52, Assumptions!$D$52, 0))</f>
        <v>315.887240579045</v>
      </c>
      <c r="AY135" s="452">
        <f ca="1">IF(AY127&gt;Assumptions!$O$52, AX135*(1+AJ148), IF(AY127=Assumptions!$O$52, Assumptions!$D$52, 0))</f>
        <v>323.75606926128751</v>
      </c>
      <c r="AZ135" s="452">
        <f ca="1">IF(AZ127&gt;Assumptions!$O$52, AY135*(1+AK148), IF(AZ127=Assumptions!$O$52, Assumptions!$D$52, 0))</f>
        <v>333.04452035251097</v>
      </c>
    </row>
    <row r="136" spans="2:52">
      <c r="B136" s="443" t="s">
        <v>343</v>
      </c>
      <c r="C136" s="445">
        <f>IF(C127=Assumptions!$N$53, Assumptions!$P$53, 0)</f>
        <v>0</v>
      </c>
      <c r="D136" s="445">
        <f>IF(D127&gt;Assumptions!$N$53, C136*(1+C123), IF(D127=Assumptions!$N$53, Assumptions!$P$53, 0))</f>
        <v>0</v>
      </c>
      <c r="E136" s="445">
        <f>IF(E127&gt;Assumptions!$N$53, D136*(1+D123), IF(E127=Assumptions!$N$53, Assumptions!$P$53, 0))</f>
        <v>0</v>
      </c>
      <c r="F136" s="445">
        <f>IF(F127&gt;Assumptions!$N$53, E136*(1+E123), IF(F127=Assumptions!$N$53, Assumptions!$P$53, 0))</f>
        <v>0</v>
      </c>
      <c r="G136" s="445">
        <f>IF(G127&gt;Assumptions!$N$53, F136*(1+F123), IF(G127=Assumptions!$N$53, Assumptions!$P$53, 0))</f>
        <v>300</v>
      </c>
      <c r="H136" s="445">
        <f>IF(H127&gt;Assumptions!$N$53, G136*(1+G123), IF(H127=Assumptions!$N$53, Assumptions!$P$53, 0))</f>
        <v>306.89999999999998</v>
      </c>
      <c r="I136" s="445">
        <f>IF(I127&gt;Assumptions!$N$53, H136*(1+H123), IF(I127=Assumptions!$N$53, Assumptions!$P$53, 0))</f>
        <v>313.95869999999996</v>
      </c>
      <c r="J136" s="445">
        <f>IF(J127&gt;Assumptions!$N$53, I136*(1+I123), IF(J127=Assumptions!$N$53, Assumptions!$P$53, 0))</f>
        <v>321.17975009999992</v>
      </c>
      <c r="K136" s="445">
        <f>IF(K127&gt;Assumptions!$N$53, J136*(1+J123), IF(K127=Assumptions!$N$53, Assumptions!$P$53, 0))</f>
        <v>328.56688435229989</v>
      </c>
      <c r="L136" s="445">
        <f>IF(L127&gt;Assumptions!$N$53, K136*(1+K123), IF(L127=Assumptions!$N$53, Assumptions!$P$53, 0))</f>
        <v>336.12392269240274</v>
      </c>
      <c r="M136" s="443"/>
      <c r="N136" s="443"/>
      <c r="O136" s="443"/>
      <c r="P136" s="443" t="s">
        <v>343</v>
      </c>
      <c r="Q136" s="446">
        <f>IF(Q127=Assumptions!$N$53, Assumptions!$D$53, 0)</f>
        <v>0</v>
      </c>
      <c r="R136" s="446">
        <f>IF(R127&gt;Assumptions!$N$53, Q136*(1+C149), IF(R127=Assumptions!$N$53, Assumptions!$D$53, 0))</f>
        <v>0</v>
      </c>
      <c r="S136" s="446">
        <f>IF(S127&gt;Assumptions!$N$53, R136*(1+D149), IF(S127=Assumptions!$N$53, Assumptions!$D$53, 0))</f>
        <v>0</v>
      </c>
      <c r="T136" s="446">
        <f>IF(T127&gt;Assumptions!$N$53, S136*(1+E149), IF(T127=Assumptions!$N$53, Assumptions!$D$53, 0))</f>
        <v>0</v>
      </c>
      <c r="U136" s="446">
        <f>IF(U127&gt;Assumptions!$N$53, T136*(1+F149), IF(U127=Assumptions!$N$53, Assumptions!$D$53, 0))</f>
        <v>1500</v>
      </c>
      <c r="V136" s="446">
        <f ca="1">IF(V127&gt;Assumptions!$N$53, U136*(1+G149), IF(V127=Assumptions!$N$53, Assumptions!$D$53, 0))</f>
        <v>1521.054576765664</v>
      </c>
      <c r="W136" s="446">
        <f ca="1">IF(W127&gt;Assumptions!$N$53, V136*(1+H149), IF(W127=Assumptions!$N$53, Assumptions!$D$53, 0))</f>
        <v>1547.9981498957764</v>
      </c>
      <c r="X136" s="446">
        <f ca="1">IF(X127&gt;Assumptions!$N$53, W136*(1+I149), IF(X127=Assumptions!$N$53, Assumptions!$D$53, 0))</f>
        <v>1581.2327299216838</v>
      </c>
      <c r="Y136" s="446">
        <f ca="1">IF(Y127&gt;Assumptions!$N$53, X136*(1+J149), IF(Y127=Assumptions!$N$53, Assumptions!$D$53, 0))</f>
        <v>1619.6259107130456</v>
      </c>
      <c r="Z136" s="446">
        <f ca="1">IF(Z127&gt;Assumptions!$N$53, Y136*(1+K149), IF(Z127=Assumptions!$N$53, Assumptions!$D$53, 0))</f>
        <v>1665.1453776737178</v>
      </c>
      <c r="AB136" s="449" t="s">
        <v>343</v>
      </c>
      <c r="AC136" s="451">
        <f>IF(AC127=Assumptions!$O$53, Assumptions!$P$53, 0)</f>
        <v>0</v>
      </c>
      <c r="AD136" s="451">
        <f>IF(AD127&gt;Assumptions!$O$53, AC136*(1+AC123), IF(AD127=Assumptions!$O$53, Assumptions!$P$53, 0))</f>
        <v>0</v>
      </c>
      <c r="AE136" s="451">
        <f>IF(AE127&gt;Assumptions!$O$53, AD136*(1+AD123), IF(AE127=Assumptions!$O$53, Assumptions!$P$53, 0))</f>
        <v>0</v>
      </c>
      <c r="AF136" s="451">
        <f>IF(AF127&gt;Assumptions!$O$53, AE136*(1+AE123), IF(AF127=Assumptions!$O$53, Assumptions!$P$53, 0))</f>
        <v>0</v>
      </c>
      <c r="AG136" s="451">
        <f>IF(AG127&gt;Assumptions!$O$53, AF136*(1+AF123), IF(AG127=Assumptions!$O$53, Assumptions!$P$53, 0))</f>
        <v>300</v>
      </c>
      <c r="AH136" s="451">
        <f>IF(AH127&gt;Assumptions!$O$53, AG136*(1+AG123), IF(AH127=Assumptions!$O$53, Assumptions!$P$53, 0))</f>
        <v>306.29999999999995</v>
      </c>
      <c r="AI136" s="451">
        <f>IF(AI127&gt;Assumptions!$O$53, AH136*(1+AH123), IF(AI127=Assumptions!$O$53, Assumptions!$P$53, 0))</f>
        <v>312.73229999999995</v>
      </c>
      <c r="AJ136" s="451">
        <f>IF(AJ127&gt;Assumptions!$O$53, AI136*(1+AI123), IF(AJ127=Assumptions!$O$53, Assumptions!$P$53, 0))</f>
        <v>319.29967829999993</v>
      </c>
      <c r="AK136" s="451">
        <f>IF(AK127&gt;Assumptions!$O$53, AJ136*(1+AJ123), IF(AK127=Assumptions!$O$53, Assumptions!$P$53, 0))</f>
        <v>326.00497154429991</v>
      </c>
      <c r="AL136" s="451">
        <f>IF(AL127&gt;Assumptions!$O$53, AK136*(1+AK123), IF(AL127=Assumptions!$O$53, Assumptions!$P$53, 0))</f>
        <v>332.85107594673019</v>
      </c>
      <c r="AM136" s="449"/>
      <c r="AN136" s="449"/>
      <c r="AO136" s="449"/>
      <c r="AP136" s="449" t="s">
        <v>343</v>
      </c>
      <c r="AQ136" s="452">
        <f>IF(AQ127=Assumptions!$O$53, Assumptions!$D$53, 0)</f>
        <v>0</v>
      </c>
      <c r="AR136" s="452">
        <f>IF(AR127&gt;Assumptions!$O$53, AQ136*(1+AC149), IF(AR127=Assumptions!$O$53, Assumptions!$D$53, 0))</f>
        <v>0</v>
      </c>
      <c r="AS136" s="452">
        <f>IF(AS127&gt;Assumptions!$O$53, AR136*(1+AD149), IF(AS127=Assumptions!$O$53, Assumptions!$D$53, 0))</f>
        <v>0</v>
      </c>
      <c r="AT136" s="452">
        <f>IF(AT127&gt;Assumptions!$O$53, AS136*(1+AE149), IF(AT127=Assumptions!$O$53, Assumptions!$D$53, 0))</f>
        <v>0</v>
      </c>
      <c r="AU136" s="452">
        <f>IF(AU127&gt;Assumptions!$O$53, AT136*(1+AF149), IF(AU127=Assumptions!$O$53, Assumptions!$D$53, 0))</f>
        <v>1500</v>
      </c>
      <c r="AV136" s="452">
        <f ca="1">IF(AV127&gt;Assumptions!$O$53, AU136*(1+AG149), IF(AV127=Assumptions!$O$53, Assumptions!$D$53, 0))</f>
        <v>1520.1509502831443</v>
      </c>
      <c r="AW136" s="452">
        <f ca="1">IF(AW127&gt;Assumptions!$O$53, AV136*(1+AH149), IF(AW127=Assumptions!$O$53, Assumptions!$D$53, 0))</f>
        <v>1545.5062398940536</v>
      </c>
      <c r="AX136" s="452">
        <f ca="1">IF(AX127&gt;Assumptions!$O$53, AW136*(1+AI149), IF(AX127=Assumptions!$O$53, Assumptions!$D$53, 0))</f>
        <v>1576.9178007190055</v>
      </c>
      <c r="AY136" s="452">
        <f ca="1">IF(AY127&gt;Assumptions!$O$53, AX136*(1+AJ149), IF(AY127=Assumptions!$O$53, Assumptions!$D$53, 0))</f>
        <v>1615.2585027902446</v>
      </c>
      <c r="AZ136" s="452">
        <f ca="1">IF(AZ127&gt;Assumptions!$O$53, AY136*(1+AK149), IF(AZ127=Assumptions!$O$53, Assumptions!$D$53, 0))</f>
        <v>1659.37323673486</v>
      </c>
    </row>
    <row r="137" spans="2:52">
      <c r="B137" s="443" t="s">
        <v>344</v>
      </c>
      <c r="C137" s="445">
        <f>IF(C127=Assumptions!$N$54, Assumptions!$P$54, 0)</f>
        <v>0</v>
      </c>
      <c r="D137" s="445">
        <f>IF(D127&gt;Assumptions!$N$54, C137*(1+C123), IF(D127=Assumptions!$N$54, Assumptions!$P$54, 0))</f>
        <v>0</v>
      </c>
      <c r="E137" s="445">
        <f>IF(E127&gt;Assumptions!$N$54, D137*(1+D123), IF(E127=Assumptions!$N$54, Assumptions!$P$54, 0))</f>
        <v>0</v>
      </c>
      <c r="F137" s="445">
        <f>IF(F127&gt;Assumptions!$N$54, E137*(1+E123), IF(F127=Assumptions!$N$54, Assumptions!$P$54, 0))</f>
        <v>0</v>
      </c>
      <c r="G137" s="445">
        <f>IF(G127&gt;Assumptions!$N$54, F137*(1+F123), IF(G127=Assumptions!$N$54, Assumptions!$P$54, 0))</f>
        <v>700</v>
      </c>
      <c r="H137" s="445">
        <f>IF(H127&gt;Assumptions!$N$54, G137*(1+G123), IF(H127=Assumptions!$N$54, Assumptions!$P$54, 0))</f>
        <v>716.09999999999991</v>
      </c>
      <c r="I137" s="445">
        <f>IF(I127&gt;Assumptions!$N$54, H137*(1+H123), IF(I127=Assumptions!$N$54, Assumptions!$P$54, 0))</f>
        <v>732.57029999999986</v>
      </c>
      <c r="J137" s="445">
        <f>IF(J127&gt;Assumptions!$N$54, I137*(1+I123), IF(J127=Assumptions!$N$54, Assumptions!$P$54, 0))</f>
        <v>749.41941689999976</v>
      </c>
      <c r="K137" s="445">
        <f>IF(K127&gt;Assumptions!$N$54, J137*(1+J123), IF(K127=Assumptions!$N$54, Assumptions!$P$54, 0))</f>
        <v>766.65606348869971</v>
      </c>
      <c r="L137" s="445">
        <f>IF(L127&gt;Assumptions!$N$54, K137*(1+K123), IF(L127=Assumptions!$N$54, Assumptions!$P$54, 0))</f>
        <v>784.28915294893977</v>
      </c>
      <c r="M137" s="443"/>
      <c r="N137" s="443"/>
      <c r="O137" s="443"/>
      <c r="P137" s="443" t="s">
        <v>344</v>
      </c>
      <c r="Q137" s="446">
        <f>IF(Q127=Assumptions!$N$53, Assumptions!$D$54, 0)</f>
        <v>0</v>
      </c>
      <c r="R137" s="446">
        <f>IF(R127&gt;Assumptions!$N$54, Q137*(1+C150), IF(R127=Assumptions!$N$54, Assumptions!$D$54, 0))</f>
        <v>0</v>
      </c>
      <c r="S137" s="446">
        <f>IF(S127&gt;Assumptions!$N$54, R137*(1+D150), IF(S127=Assumptions!$N$54, Assumptions!$D$54, 0))</f>
        <v>0</v>
      </c>
      <c r="T137" s="446">
        <f>IF(T127&gt;Assumptions!$N$54, S137*(1+E150), IF(T127=Assumptions!$N$54, Assumptions!$D$54, 0))</f>
        <v>0</v>
      </c>
      <c r="U137" s="446">
        <f>IF(U127&gt;Assumptions!$N$54, T137*(1+F150), IF(U127=Assumptions!$N$54, Assumptions!$D$54, 0))</f>
        <v>700</v>
      </c>
      <c r="V137" s="446">
        <f ca="1">IF(V127&gt;Assumptions!$N$54, U137*(1+G150), IF(V127=Assumptions!$N$54, Assumptions!$D$54, 0))</f>
        <v>709.34843443298996</v>
      </c>
      <c r="W137" s="446">
        <f ca="1">IF(W127&gt;Assumptions!$N$54, V137*(1+H150), IF(W127=Assumptions!$N$54, Assumptions!$D$54, 0))</f>
        <v>721.54177893717974</v>
      </c>
      <c r="X137" s="446">
        <f ca="1">IF(X127&gt;Assumptions!$N$54, W137*(1+I150), IF(X127=Assumptions!$N$54, Assumptions!$D$54, 0))</f>
        <v>736.77822085812056</v>
      </c>
      <c r="Y137" s="446">
        <f ca="1">IF(Y127&gt;Assumptions!$N$54, X137*(1+J150), IF(Y127=Assumptions!$N$54, Assumptions!$D$54, 0))</f>
        <v>755.27500206956597</v>
      </c>
      <c r="Z137" s="446">
        <f ca="1">IF(Z127&gt;Assumptions!$N$54, Y137*(1+K150), IF(Z127=Assumptions!$N$54, Assumptions!$D$54, 0))</f>
        <v>776.88359462469282</v>
      </c>
      <c r="AB137" s="449" t="s">
        <v>344</v>
      </c>
      <c r="AC137" s="451">
        <f>IF(AC127=Assumptions!$O$54, Assumptions!$P$54, 0)</f>
        <v>0</v>
      </c>
      <c r="AD137" s="451">
        <f>IF(AD127&gt;Assumptions!$O$54, AC137*(1+AC123), IF(AD127=Assumptions!$O$54, Assumptions!$P$54, 0))</f>
        <v>0</v>
      </c>
      <c r="AE137" s="451">
        <f>IF(AE127&gt;Assumptions!$O$54, AD137*(1+AD123), IF(AE127=Assumptions!$O$54, Assumptions!$P$54, 0))</f>
        <v>0</v>
      </c>
      <c r="AF137" s="451">
        <f>IF(AF127&gt;Assumptions!$O$54, AE137*(1+AE123), IF(AF127=Assumptions!$O$54, Assumptions!$P$54, 0))</f>
        <v>0</v>
      </c>
      <c r="AG137" s="451">
        <f>IF(AG127&gt;Assumptions!$O$54, AF137*(1+AF123), IF(AG127=Assumptions!$O$54, Assumptions!$P$54, 0))</f>
        <v>700</v>
      </c>
      <c r="AH137" s="451">
        <f>IF(AH127&gt;Assumptions!$O$54, AG137*(1+AG123), IF(AH127=Assumptions!$O$54, Assumptions!$P$54, 0))</f>
        <v>714.69999999999993</v>
      </c>
      <c r="AI137" s="451">
        <f>IF(AI127&gt;Assumptions!$O$54, AH137*(1+AH123), IF(AI127=Assumptions!$O$54, Assumptions!$P$54, 0))</f>
        <v>729.70869999999991</v>
      </c>
      <c r="AJ137" s="451">
        <f>IF(AJ127&gt;Assumptions!$O$54, AI137*(1+AI123), IF(AJ127=Assumptions!$O$54, Assumptions!$P$54, 0))</f>
        <v>745.03258269999981</v>
      </c>
      <c r="AK137" s="451">
        <f>IF(AK127&gt;Assumptions!$O$54, AJ137*(1+AJ123), IF(AK127=Assumptions!$O$54, Assumptions!$P$54, 0))</f>
        <v>760.67826693669974</v>
      </c>
      <c r="AL137" s="451">
        <f>IF(AL127&gt;Assumptions!$O$54, AK137*(1+AK123), IF(AL127=Assumptions!$O$54, Assumptions!$P$54, 0))</f>
        <v>776.65251054237035</v>
      </c>
      <c r="AM137" s="449"/>
      <c r="AN137" s="449"/>
      <c r="AO137" s="449"/>
      <c r="AP137" s="449" t="s">
        <v>344</v>
      </c>
      <c r="AQ137" s="452">
        <f>IF(AQ127=Assumptions!$O$53, Assumptions!$D$54, 0)</f>
        <v>0</v>
      </c>
      <c r="AR137" s="452">
        <f>IF(AR127&gt;Assumptions!$O$54, AQ137*(1+AC150), IF(AR127=Assumptions!$O$54, Assumptions!$D$54, 0))</f>
        <v>0</v>
      </c>
      <c r="AS137" s="452">
        <f>IF(AS127&gt;Assumptions!$O$54, AR137*(1+AD150), IF(AS127=Assumptions!$O$54, Assumptions!$D$54, 0))</f>
        <v>0</v>
      </c>
      <c r="AT137" s="452">
        <f>IF(AT127&gt;Assumptions!$O$54, AS137*(1+AE150), IF(AT127=Assumptions!$O$54, Assumptions!$D$54, 0))</f>
        <v>0</v>
      </c>
      <c r="AU137" s="452">
        <f>IF(AU127&gt;Assumptions!$O$54, AT137*(1+AF150), IF(AU127=Assumptions!$O$54, Assumptions!$D$54, 0))</f>
        <v>700</v>
      </c>
      <c r="AV137" s="452">
        <f ca="1">IF(AV127&gt;Assumptions!$O$54, AU137*(1+AG150), IF(AV127=Assumptions!$O$54, Assumptions!$D$54, 0))</f>
        <v>709.52518861762553</v>
      </c>
      <c r="AW137" s="452">
        <f ca="1">IF(AW127&gt;Assumptions!$O$54, AV137*(1+AH150), IF(AW127=Assumptions!$O$54, Assumptions!$D$54, 0))</f>
        <v>721.84804801447888</v>
      </c>
      <c r="AX137" s="452">
        <f ca="1">IF(AX127&gt;Assumptions!$O$54, AW137*(1+AI150), IF(AX127=Assumptions!$O$54, Assumptions!$D$54, 0))</f>
        <v>737.19511341742941</v>
      </c>
      <c r="AY137" s="452">
        <f ca="1">IF(AY127&gt;Assumptions!$O$54, AX137*(1+AJ150), IF(AY127=Assumptions!$O$54, Assumptions!$D$54, 0))</f>
        <v>755.35097159840711</v>
      </c>
      <c r="AZ137" s="452">
        <f ca="1">IF(AZ127&gt;Assumptions!$O$54, AY137*(1+AK150), IF(AZ127=Assumptions!$O$54, Assumptions!$D$54, 0))</f>
        <v>776.02342631654824</v>
      </c>
    </row>
    <row r="138" spans="2:52">
      <c r="B138" s="443"/>
      <c r="C138" s="443"/>
      <c r="D138" s="443"/>
      <c r="E138" s="443"/>
      <c r="F138" s="443"/>
      <c r="G138" s="443"/>
      <c r="H138" s="443"/>
      <c r="I138" s="443"/>
      <c r="J138" s="443"/>
      <c r="K138" s="443"/>
      <c r="L138" s="443"/>
      <c r="M138" s="443"/>
      <c r="N138" s="443"/>
      <c r="O138" s="443"/>
      <c r="P138" s="443"/>
      <c r="Q138" s="443"/>
      <c r="R138" s="443"/>
      <c r="S138" s="443"/>
      <c r="T138" s="443"/>
      <c r="U138" s="443"/>
      <c r="V138" s="443"/>
      <c r="W138" s="443"/>
      <c r="X138" s="443"/>
      <c r="Y138" s="443"/>
      <c r="Z138" s="443"/>
      <c r="AB138" s="449"/>
      <c r="AC138" s="449"/>
      <c r="AD138" s="449"/>
      <c r="AE138" s="449"/>
      <c r="AF138" s="449"/>
      <c r="AG138" s="449"/>
      <c r="AH138" s="449"/>
      <c r="AI138" s="449"/>
      <c r="AJ138" s="449"/>
      <c r="AK138" s="449"/>
      <c r="AL138" s="449"/>
      <c r="AM138" s="449"/>
      <c r="AN138" s="449"/>
      <c r="AO138" s="449"/>
      <c r="AP138" s="449"/>
      <c r="AQ138" s="449"/>
      <c r="AR138" s="449"/>
      <c r="AS138" s="449"/>
      <c r="AT138" s="449"/>
      <c r="AU138" s="449"/>
      <c r="AV138" s="449"/>
      <c r="AW138" s="449"/>
      <c r="AX138" s="449"/>
      <c r="AY138" s="449"/>
      <c r="AZ138" s="449"/>
    </row>
    <row r="139" spans="2:52">
      <c r="B139" s="443"/>
      <c r="C139" s="443"/>
      <c r="D139" s="443"/>
      <c r="E139" s="443"/>
      <c r="F139" s="443"/>
      <c r="G139" s="443"/>
      <c r="H139" s="443"/>
      <c r="I139" s="443"/>
      <c r="J139" s="443"/>
      <c r="K139" s="443"/>
      <c r="L139" s="443"/>
      <c r="M139" s="443"/>
      <c r="N139" s="443"/>
      <c r="O139" s="443"/>
      <c r="P139" s="443"/>
      <c r="Q139" s="443"/>
      <c r="R139" s="443"/>
      <c r="S139" s="443"/>
      <c r="T139" s="443"/>
      <c r="U139" s="443"/>
      <c r="V139" s="443"/>
      <c r="W139" s="443"/>
      <c r="X139" s="443"/>
      <c r="Y139" s="443"/>
      <c r="Z139" s="443"/>
      <c r="AB139" s="449"/>
      <c r="AC139" s="449"/>
      <c r="AD139" s="449"/>
      <c r="AE139" s="449"/>
      <c r="AF139" s="449"/>
      <c r="AG139" s="449"/>
      <c r="AH139" s="449"/>
      <c r="AI139" s="449"/>
      <c r="AJ139" s="449"/>
      <c r="AK139" s="449"/>
      <c r="AL139" s="449"/>
      <c r="AM139" s="449"/>
      <c r="AN139" s="449"/>
      <c r="AO139" s="449"/>
      <c r="AP139" s="449"/>
      <c r="AQ139" s="449"/>
      <c r="AR139" s="449"/>
      <c r="AS139" s="449"/>
      <c r="AT139" s="449"/>
      <c r="AU139" s="449"/>
      <c r="AV139" s="449"/>
      <c r="AW139" s="449"/>
      <c r="AX139" s="449"/>
      <c r="AY139" s="449"/>
      <c r="AZ139" s="449"/>
    </row>
    <row r="140" spans="2:52">
      <c r="B140" s="443"/>
      <c r="C140" s="443" t="s">
        <v>248</v>
      </c>
      <c r="D140" s="443"/>
      <c r="E140" s="443"/>
      <c r="F140" s="443"/>
      <c r="G140" s="443"/>
      <c r="H140" s="443"/>
      <c r="I140" s="443"/>
      <c r="J140" s="443"/>
      <c r="K140" s="443"/>
      <c r="L140" s="443"/>
      <c r="M140" s="443"/>
      <c r="N140" s="443"/>
      <c r="O140" s="443"/>
      <c r="P140" s="443"/>
      <c r="Q140" s="443" t="s">
        <v>248</v>
      </c>
      <c r="R140" s="443"/>
      <c r="S140" s="443"/>
      <c r="T140" s="443"/>
      <c r="U140" s="443"/>
      <c r="V140" s="443"/>
      <c r="W140" s="443"/>
      <c r="X140" s="443"/>
      <c r="Y140" s="443"/>
      <c r="Z140" s="443"/>
      <c r="AB140" s="449"/>
      <c r="AC140" s="449" t="s">
        <v>248</v>
      </c>
      <c r="AD140" s="449"/>
      <c r="AE140" s="449"/>
      <c r="AF140" s="449"/>
      <c r="AG140" s="449"/>
      <c r="AH140" s="449"/>
      <c r="AI140" s="449"/>
      <c r="AJ140" s="449"/>
      <c r="AK140" s="449"/>
      <c r="AL140" s="449"/>
      <c r="AM140" s="449"/>
      <c r="AN140" s="449"/>
      <c r="AO140" s="449"/>
      <c r="AP140" s="449"/>
      <c r="AQ140" s="449" t="s">
        <v>248</v>
      </c>
      <c r="AR140" s="449"/>
      <c r="AS140" s="449"/>
      <c r="AT140" s="449"/>
      <c r="AU140" s="449"/>
      <c r="AV140" s="449"/>
      <c r="AW140" s="449"/>
      <c r="AX140" s="449"/>
      <c r="AY140" s="449"/>
      <c r="AZ140" s="449"/>
    </row>
    <row r="141" spans="2:52">
      <c r="B141" s="443"/>
      <c r="C141" s="443">
        <v>1</v>
      </c>
      <c r="D141" s="443">
        <v>2</v>
      </c>
      <c r="E141" s="443">
        <v>3</v>
      </c>
      <c r="F141" s="443">
        <v>4</v>
      </c>
      <c r="G141" s="443">
        <v>5</v>
      </c>
      <c r="H141" s="443">
        <v>6</v>
      </c>
      <c r="I141" s="443">
        <v>7</v>
      </c>
      <c r="J141" s="443">
        <v>8</v>
      </c>
      <c r="K141" s="443">
        <v>9</v>
      </c>
      <c r="L141" s="443">
        <v>10</v>
      </c>
      <c r="M141" s="443"/>
      <c r="N141" s="443"/>
      <c r="O141" s="443"/>
      <c r="P141" s="443" t="s">
        <v>348</v>
      </c>
      <c r="Q141" s="443">
        <v>1</v>
      </c>
      <c r="R141" s="443">
        <v>2</v>
      </c>
      <c r="S141" s="443">
        <v>3</v>
      </c>
      <c r="T141" s="443">
        <v>4</v>
      </c>
      <c r="U141" s="443">
        <v>5</v>
      </c>
      <c r="V141" s="443">
        <v>6</v>
      </c>
      <c r="W141" s="443">
        <v>7</v>
      </c>
      <c r="X141" s="443">
        <v>8</v>
      </c>
      <c r="Y141" s="443">
        <v>9</v>
      </c>
      <c r="Z141" s="443">
        <v>10</v>
      </c>
      <c r="AB141" s="449"/>
      <c r="AC141" s="449">
        <v>1</v>
      </c>
      <c r="AD141" s="449">
        <v>2</v>
      </c>
      <c r="AE141" s="449">
        <v>3</v>
      </c>
      <c r="AF141" s="449">
        <v>4</v>
      </c>
      <c r="AG141" s="449">
        <v>5</v>
      </c>
      <c r="AH141" s="449">
        <v>6</v>
      </c>
      <c r="AI141" s="449">
        <v>7</v>
      </c>
      <c r="AJ141" s="449">
        <v>8</v>
      </c>
      <c r="AK141" s="449">
        <v>9</v>
      </c>
      <c r="AL141" s="449">
        <v>10</v>
      </c>
      <c r="AM141" s="449"/>
      <c r="AN141" s="449"/>
      <c r="AO141" s="449"/>
      <c r="AP141" s="449" t="s">
        <v>348</v>
      </c>
      <c r="AQ141" s="449">
        <v>1</v>
      </c>
      <c r="AR141" s="449">
        <v>2</v>
      </c>
      <c r="AS141" s="449">
        <v>3</v>
      </c>
      <c r="AT141" s="449">
        <v>4</v>
      </c>
      <c r="AU141" s="449">
        <v>5</v>
      </c>
      <c r="AV141" s="449">
        <v>6</v>
      </c>
      <c r="AW141" s="449">
        <v>7</v>
      </c>
      <c r="AX141" s="449">
        <v>8</v>
      </c>
      <c r="AY141" s="449">
        <v>9</v>
      </c>
      <c r="AZ141" s="449">
        <v>10</v>
      </c>
    </row>
    <row r="142" spans="2:52">
      <c r="B142" s="443" t="s">
        <v>331</v>
      </c>
      <c r="C142" s="447">
        <v>0.05</v>
      </c>
      <c r="D142" s="447">
        <f ca="1">C142+_xlfn.NORM.DIST(RAND(), 0, 1, FALSE)%</f>
        <v>5.3274276142906328E-2</v>
      </c>
      <c r="E142" s="447">
        <f t="shared" ref="E142:L142" ca="1" si="227">D142+_xlfn.NORM.DIST(RAND(), 0, 1, FALSE)%</f>
        <v>5.6371016805682905E-2</v>
      </c>
      <c r="F142" s="447">
        <f t="shared" ca="1" si="227"/>
        <v>5.9589270886414747E-2</v>
      </c>
      <c r="G142" s="447">
        <f t="shared" ca="1" si="227"/>
        <v>6.2786814961603668E-2</v>
      </c>
      <c r="H142" s="447">
        <f t="shared" ca="1" si="227"/>
        <v>6.6165681437372253E-2</v>
      </c>
      <c r="I142" s="447">
        <f t="shared" ca="1" si="227"/>
        <v>6.9257767228957046E-2</v>
      </c>
      <c r="J142" s="447">
        <f t="shared" ca="1" si="227"/>
        <v>7.2827923346913223E-2</v>
      </c>
      <c r="K142" s="447">
        <f t="shared" ca="1" si="227"/>
        <v>7.606069152591366E-2</v>
      </c>
      <c r="L142" s="447">
        <f t="shared" ca="1" si="227"/>
        <v>7.9971661543244421E-2</v>
      </c>
      <c r="M142" s="443"/>
      <c r="N142" s="443"/>
      <c r="O142" s="443"/>
      <c r="P142" s="443" t="s">
        <v>331</v>
      </c>
      <c r="Q142" s="445">
        <f>C128*Q128</f>
        <v>0</v>
      </c>
      <c r="R142" s="445">
        <f t="shared" ref="R142:R144" si="228">D128*R128</f>
        <v>0</v>
      </c>
      <c r="S142" s="445">
        <f t="shared" ref="S142:S145" si="229">E128*S128</f>
        <v>0</v>
      </c>
      <c r="T142" s="445">
        <f t="shared" ref="T142:T146" si="230">F128*T128</f>
        <v>7700000</v>
      </c>
      <c r="U142" s="445">
        <f t="shared" ref="U142:U146" ca="1" si="231">G128*U128</f>
        <v>8346490.6456993772</v>
      </c>
      <c r="V142" s="445">
        <f t="shared" ref="V142:V146" ca="1" si="232">H128*V128</f>
        <v>9074562.6342670023</v>
      </c>
      <c r="W142" s="445">
        <f t="shared" ref="W142:W146" ca="1" si="233">I128*W128</f>
        <v>9897511.9615677092</v>
      </c>
      <c r="X142" s="445">
        <f t="shared" ref="X142:X146" ca="1" si="234">J128*X128</f>
        <v>10826400.346594183</v>
      </c>
      <c r="Y142" s="445">
        <f t="shared" ref="Y142:Y146" ca="1" si="235">K128*Y128</f>
        <v>11882006.486985592</v>
      </c>
      <c r="Z142" s="445">
        <f t="shared" ref="Z142:Z146" ca="1" si="236">L128*Z128</f>
        <v>13079832.599794434</v>
      </c>
      <c r="AB142" s="449" t="s">
        <v>331</v>
      </c>
      <c r="AC142" s="453">
        <v>0.05</v>
      </c>
      <c r="AD142" s="453">
        <f ca="1">AC142+_xlfn.NORM.DIST(RAND(), 0, 1, FALSE)%</f>
        <v>5.2678453125356392E-2</v>
      </c>
      <c r="AE142" s="453">
        <f t="shared" ref="AE142:AL142" ca="1" si="237">AD142+_xlfn.NORM.DIST(RAND(), 0, 1, FALSE)%</f>
        <v>5.6570375887181078E-2</v>
      </c>
      <c r="AF142" s="453">
        <f t="shared" ca="1" si="237"/>
        <v>5.9050107832928259E-2</v>
      </c>
      <c r="AG142" s="453">
        <f t="shared" ca="1" si="237"/>
        <v>6.2144292891107893E-2</v>
      </c>
      <c r="AH142" s="453">
        <f t="shared" ca="1" si="237"/>
        <v>6.5182777130161559E-2</v>
      </c>
      <c r="AI142" s="453">
        <f t="shared" ca="1" si="237"/>
        <v>6.9004297795037917E-2</v>
      </c>
      <c r="AJ142" s="453">
        <f t="shared" ca="1" si="237"/>
        <v>7.2857569404845945E-2</v>
      </c>
      <c r="AK142" s="453">
        <f t="shared" ca="1" si="237"/>
        <v>7.6688054640114009E-2</v>
      </c>
      <c r="AL142" s="453">
        <f t="shared" ca="1" si="237"/>
        <v>7.9232434566435778E-2</v>
      </c>
      <c r="AM142" s="449"/>
      <c r="AN142" s="449"/>
      <c r="AO142" s="449"/>
      <c r="AP142" s="449" t="s">
        <v>331</v>
      </c>
      <c r="AQ142" s="451">
        <f>AC128*AQ128</f>
        <v>0</v>
      </c>
      <c r="AR142" s="451">
        <f t="shared" ref="AR142:AR144" si="238">AD128*AR128</f>
        <v>0</v>
      </c>
      <c r="AS142" s="451">
        <f t="shared" ref="AS142:AS145" si="239">AE128*AS128</f>
        <v>0</v>
      </c>
      <c r="AT142" s="451">
        <f t="shared" ref="AT142:AT146" si="240">AF128*AT128</f>
        <v>7700000</v>
      </c>
      <c r="AU142" s="451">
        <f t="shared" ref="AU142:AU146" ca="1" si="241">AG128*AU128</f>
        <v>8325934.2327501299</v>
      </c>
      <c r="AV142" s="451">
        <f t="shared" ref="AV142:AV146" ca="1" si="242">AH128*AV128</f>
        <v>9029053.7423966005</v>
      </c>
      <c r="AW142" s="451">
        <f t="shared" ref="AW142:AW146" ca="1" si="243">AI128*AW128</f>
        <v>9819561.9835273437</v>
      </c>
      <c r="AX142" s="451">
        <f t="shared" ref="AX142:AX146" ca="1" si="244">AJ128*AX128</f>
        <v>10717594.196075464</v>
      </c>
      <c r="AY142" s="451">
        <f t="shared" ref="AY142:AY146" ca="1" si="245">AK128*AY128</f>
        <v>11739919.552309453</v>
      </c>
      <c r="AZ142" s="451">
        <f t="shared" ref="AZ142:AZ146" ca="1" si="246">AL128*AZ128</f>
        <v>12905675.998440059</v>
      </c>
    </row>
    <row r="143" spans="2:52">
      <c r="B143" s="443" t="s">
        <v>332</v>
      </c>
      <c r="C143" s="447">
        <v>0.09</v>
      </c>
      <c r="D143" s="447">
        <f t="shared" ref="D143:G143" ca="1" si="247">C143+_xlfn.NORM.DIST(RAND(), 0, 1, FALSE)%</f>
        <v>9.2853604380346969E-2</v>
      </c>
      <c r="E143" s="447">
        <f t="shared" ca="1" si="247"/>
        <v>9.6119834079524624E-2</v>
      </c>
      <c r="F143" s="447">
        <f t="shared" ca="1" si="247"/>
        <v>9.9823239114446391E-2</v>
      </c>
      <c r="G143" s="447">
        <f t="shared" ca="1" si="247"/>
        <v>0.10321807251644551</v>
      </c>
      <c r="H143" s="447">
        <f ca="1">G143+_xlfn.NORM.DIST(RAND(), 0, 1, FALSE)%</f>
        <v>0.1068972471126426</v>
      </c>
      <c r="I143" s="447">
        <f t="shared" ref="I143:L143" ca="1" si="248">H143+_xlfn.NORM.DIST(RAND(), 0, 1, FALSE)%</f>
        <v>0.11088084212075287</v>
      </c>
      <c r="J143" s="447">
        <f t="shared" ca="1" si="248"/>
        <v>0.11461537959784032</v>
      </c>
      <c r="K143" s="447">
        <f t="shared" ca="1" si="248"/>
        <v>0.11764126597117848</v>
      </c>
      <c r="L143" s="447">
        <f t="shared" ca="1" si="248"/>
        <v>0.12073010452092493</v>
      </c>
      <c r="M143" s="443"/>
      <c r="N143" s="443"/>
      <c r="O143" s="443"/>
      <c r="P143" s="443" t="s">
        <v>332</v>
      </c>
      <c r="Q143" s="445">
        <f>C129*Q129</f>
        <v>0</v>
      </c>
      <c r="R143" s="445">
        <f t="shared" si="228"/>
        <v>0</v>
      </c>
      <c r="S143" s="445">
        <f t="shared" si="229"/>
        <v>0</v>
      </c>
      <c r="T143" s="445">
        <f t="shared" si="230"/>
        <v>7000000</v>
      </c>
      <c r="U143" s="445">
        <f t="shared" ca="1" si="231"/>
        <v>7875834.2152985511</v>
      </c>
      <c r="V143" s="445">
        <f t="shared" ca="1" si="232"/>
        <v>8888604.1832373366</v>
      </c>
      <c r="W143" s="445">
        <f t="shared" ca="1" si="233"/>
        <v>10065063.245624609</v>
      </c>
      <c r="X143" s="445">
        <f t="shared" ca="1" si="234"/>
        <v>11438250.910786958</v>
      </c>
      <c r="Y143" s="445">
        <f t="shared" ca="1" si="235"/>
        <v>13042483.139621979</v>
      </c>
      <c r="Z143" s="445">
        <f t="shared" ca="1" si="236"/>
        <v>14912084.167029077</v>
      </c>
      <c r="AB143" s="449" t="s">
        <v>332</v>
      </c>
      <c r="AC143" s="453">
        <v>0.09</v>
      </c>
      <c r="AD143" s="453">
        <f t="shared" ref="AD143:AG143" ca="1" si="249">AC143+_xlfn.NORM.DIST(RAND(), 0, 1, FALSE)%</f>
        <v>9.2552398953888781E-2</v>
      </c>
      <c r="AE143" s="453">
        <f t="shared" ca="1" si="249"/>
        <v>9.5937734078574199E-2</v>
      </c>
      <c r="AF143" s="453">
        <f t="shared" ca="1" si="249"/>
        <v>9.9840685784516853E-2</v>
      </c>
      <c r="AG143" s="453">
        <f t="shared" ca="1" si="249"/>
        <v>0.10323403183179516</v>
      </c>
      <c r="AH143" s="453">
        <f ca="1">AG143+_xlfn.NORM.DIST(RAND(), 0, 1, FALSE)%</f>
        <v>0.10601148345786193</v>
      </c>
      <c r="AI143" s="453">
        <f t="shared" ref="AI143:AL143" ca="1" si="250">AH143+_xlfn.NORM.DIST(RAND(), 0, 1, FALSE)%</f>
        <v>0.10940358039898933</v>
      </c>
      <c r="AJ143" s="453">
        <f t="shared" ca="1" si="250"/>
        <v>0.11335548988353537</v>
      </c>
      <c r="AK143" s="453">
        <f t="shared" ca="1" si="250"/>
        <v>0.11590633793036413</v>
      </c>
      <c r="AL143" s="453">
        <f t="shared" ca="1" si="250"/>
        <v>0.11957733306108316</v>
      </c>
      <c r="AM143" s="449"/>
      <c r="AN143" s="449"/>
      <c r="AO143" s="449"/>
      <c r="AP143" s="449" t="s">
        <v>332</v>
      </c>
      <c r="AQ143" s="451">
        <f>AC129*AQ129</f>
        <v>0</v>
      </c>
      <c r="AR143" s="451">
        <f t="shared" si="238"/>
        <v>0</v>
      </c>
      <c r="AS143" s="451">
        <f t="shared" si="239"/>
        <v>0</v>
      </c>
      <c r="AT143" s="451">
        <f t="shared" si="240"/>
        <v>7000000</v>
      </c>
      <c r="AU143" s="451">
        <f t="shared" ca="1" si="241"/>
        <v>7860561.3813019404</v>
      </c>
      <c r="AV143" s="451">
        <f t="shared" ca="1" si="242"/>
        <v>8854151.6404833011</v>
      </c>
      <c r="AW143" s="451">
        <f t="shared" ca="1" si="243"/>
        <v>9998442.051855484</v>
      </c>
      <c r="AX143" s="451">
        <f t="shared" ca="1" si="244"/>
        <v>11325245.866365833</v>
      </c>
      <c r="AY143" s="451">
        <f t="shared" ca="1" si="245"/>
        <v>12873814.1774508</v>
      </c>
      <c r="AZ143" s="451">
        <f t="shared" ca="1" si="246"/>
        <v>14667656.221468184</v>
      </c>
    </row>
    <row r="144" spans="2:52">
      <c r="B144" s="443" t="s">
        <v>282</v>
      </c>
      <c r="C144" s="447">
        <v>0.02</v>
      </c>
      <c r="D144" s="447">
        <f t="shared" ref="D144:L144" ca="1" si="251">C144+_xlfn.NORM.DIST(RAND(), 0, 1, FALSE)%</f>
        <v>2.3073915199167204E-2</v>
      </c>
      <c r="E144" s="447">
        <f t="shared" ca="1" si="251"/>
        <v>2.7011103856118837E-2</v>
      </c>
      <c r="F144" s="447">
        <f t="shared" ca="1" si="251"/>
        <v>3.0925306994313236E-2</v>
      </c>
      <c r="G144" s="447">
        <f t="shared" ca="1" si="251"/>
        <v>3.4328521263771998E-2</v>
      </c>
      <c r="H144" s="447">
        <f t="shared" ca="1" si="251"/>
        <v>3.8171146834730912E-2</v>
      </c>
      <c r="I144" s="447">
        <f t="shared" ca="1" si="251"/>
        <v>4.2155656394691668E-2</v>
      </c>
      <c r="J144" s="447">
        <f t="shared" ca="1" si="251"/>
        <v>4.490749783173497E-2</v>
      </c>
      <c r="K144" s="447">
        <f t="shared" ca="1" si="251"/>
        <v>4.8785888494544412E-2</v>
      </c>
      <c r="L144" s="447">
        <f t="shared" ca="1" si="251"/>
        <v>5.2554506563744864E-2</v>
      </c>
      <c r="M144" s="443"/>
      <c r="N144" s="443"/>
      <c r="O144" s="443"/>
      <c r="P144" s="443" t="s">
        <v>282</v>
      </c>
      <c r="Q144" s="445">
        <f>C130*Q130</f>
        <v>0</v>
      </c>
      <c r="R144" s="445">
        <f t="shared" si="228"/>
        <v>0</v>
      </c>
      <c r="S144" s="445">
        <f t="shared" si="229"/>
        <v>0</v>
      </c>
      <c r="T144" s="445">
        <f t="shared" si="230"/>
        <v>6350000</v>
      </c>
      <c r="U144" s="445">
        <f t="shared" ca="1" si="231"/>
        <v>6696942.3405004079</v>
      </c>
      <c r="V144" s="445">
        <f t="shared" ca="1" si="232"/>
        <v>7086155.7528034169</v>
      </c>
      <c r="W144" s="445">
        <f t="shared" ca="1" si="233"/>
        <v>7525845.2207618095</v>
      </c>
      <c r="X144" s="445">
        <f t="shared" ca="1" si="234"/>
        <v>8023493.5157851363</v>
      </c>
      <c r="Y144" s="445">
        <f t="shared" ca="1" si="235"/>
        <v>8576636.1297175046</v>
      </c>
      <c r="Z144" s="445">
        <f t="shared" ca="1" si="236"/>
        <v>9201941.2073029857</v>
      </c>
      <c r="AB144" s="449" t="s">
        <v>282</v>
      </c>
      <c r="AC144" s="453">
        <v>0.02</v>
      </c>
      <c r="AD144" s="453">
        <f t="shared" ref="AD144:AL144" ca="1" si="252">AC144+_xlfn.NORM.DIST(RAND(), 0, 1, FALSE)%</f>
        <v>2.3989118966331869E-2</v>
      </c>
      <c r="AE144" s="453">
        <f t="shared" ca="1" si="252"/>
        <v>2.6633146292329154E-2</v>
      </c>
      <c r="AF144" s="453">
        <f t="shared" ca="1" si="252"/>
        <v>2.9887721690355484E-2</v>
      </c>
      <c r="AG144" s="453">
        <f t="shared" ca="1" si="252"/>
        <v>3.2646477945931937E-2</v>
      </c>
      <c r="AH144" s="453">
        <f t="shared" ca="1" si="252"/>
        <v>3.663532925521918E-2</v>
      </c>
      <c r="AI144" s="453">
        <f t="shared" ca="1" si="252"/>
        <v>3.9540824046273286E-2</v>
      </c>
      <c r="AJ144" s="453">
        <f t="shared" ca="1" si="252"/>
        <v>4.3429265368178267E-2</v>
      </c>
      <c r="AK144" s="453">
        <f t="shared" ca="1" si="252"/>
        <v>4.7120585504228048E-2</v>
      </c>
      <c r="AL144" s="453">
        <f t="shared" ca="1" si="252"/>
        <v>5.0997187932930746E-2</v>
      </c>
      <c r="AM144" s="449"/>
      <c r="AN144" s="449"/>
      <c r="AO144" s="449"/>
      <c r="AP144" s="449" t="s">
        <v>282</v>
      </c>
      <c r="AQ144" s="451">
        <f>AC130*AQ130</f>
        <v>0</v>
      </c>
      <c r="AR144" s="451">
        <f t="shared" si="238"/>
        <v>0</v>
      </c>
      <c r="AS144" s="451">
        <f t="shared" si="239"/>
        <v>0</v>
      </c>
      <c r="AT144" s="451">
        <f t="shared" si="240"/>
        <v>6350000</v>
      </c>
      <c r="AU144" s="451">
        <f t="shared" ca="1" si="241"/>
        <v>6677122.5604211641</v>
      </c>
      <c r="AV144" s="451">
        <f t="shared" ca="1" si="242"/>
        <v>7039904.3438237151</v>
      </c>
      <c r="AW144" s="451">
        <f t="shared" ca="1" si="243"/>
        <v>7451067.6420900291</v>
      </c>
      <c r="AX144" s="451">
        <f t="shared" ca="1" si="244"/>
        <v>7908348.4656131305</v>
      </c>
      <c r="AY144" s="451">
        <f t="shared" ca="1" si="245"/>
        <v>8425090.0765750222</v>
      </c>
      <c r="AZ144" s="451">
        <f t="shared" ca="1" si="246"/>
        <v>9007349.04424119</v>
      </c>
    </row>
    <row r="145" spans="2:52">
      <c r="B145" s="443" t="s">
        <v>333</v>
      </c>
      <c r="C145" s="447">
        <v>0.04</v>
      </c>
      <c r="D145" s="447">
        <f t="shared" ref="D145:L145" ca="1" si="253">C145+_xlfn.NORM.DIST(RAND(), 0, 1, FALSE)%</f>
        <v>4.2561786747133047E-2</v>
      </c>
      <c r="E145" s="447">
        <f t="shared" ca="1" si="253"/>
        <v>4.6416464045108352E-2</v>
      </c>
      <c r="F145" s="447">
        <f t="shared" ca="1" si="253"/>
        <v>4.9516769151939463E-2</v>
      </c>
      <c r="G145" s="447">
        <f t="shared" ca="1" si="253"/>
        <v>5.2841516487542296E-2</v>
      </c>
      <c r="H145" s="447">
        <f t="shared" ca="1" si="253"/>
        <v>5.6815644781515705E-2</v>
      </c>
      <c r="I145" s="447">
        <f t="shared" ca="1" si="253"/>
        <v>5.947574067494299E-2</v>
      </c>
      <c r="J145" s="447">
        <f t="shared" ca="1" si="253"/>
        <v>6.3284166299232419E-2</v>
      </c>
      <c r="K145" s="447">
        <f t="shared" ca="1" si="253"/>
        <v>6.6906004645834266E-2</v>
      </c>
      <c r="L145" s="447">
        <f t="shared" ca="1" si="253"/>
        <v>7.054960783088482E-2</v>
      </c>
      <c r="M145" s="443"/>
      <c r="N145" s="443"/>
      <c r="O145" s="443"/>
      <c r="P145" s="443" t="s">
        <v>333</v>
      </c>
      <c r="Q145" s="443"/>
      <c r="R145" s="445">
        <f>D131*R131</f>
        <v>0</v>
      </c>
      <c r="S145" s="445">
        <f t="shared" si="229"/>
        <v>0</v>
      </c>
      <c r="T145" s="445">
        <f t="shared" si="230"/>
        <v>0</v>
      </c>
      <c r="U145" s="445">
        <f t="shared" si="231"/>
        <v>6032500</v>
      </c>
      <c r="V145" s="445">
        <f t="shared" ca="1" si="232"/>
        <v>6497345.576519954</v>
      </c>
      <c r="W145" s="445">
        <f t="shared" ca="1" si="233"/>
        <v>7024425.8732790845</v>
      </c>
      <c r="X145" s="445">
        <f t="shared" ca="1" si="234"/>
        <v>7613379.6074214885</v>
      </c>
      <c r="Y145" s="445">
        <f t="shared" ca="1" si="235"/>
        <v>8281375.2663344601</v>
      </c>
      <c r="Z145" s="445">
        <f t="shared" ca="1" si="236"/>
        <v>9038664.3253404163</v>
      </c>
      <c r="AB145" s="449" t="s">
        <v>333</v>
      </c>
      <c r="AC145" s="453">
        <v>0.04</v>
      </c>
      <c r="AD145" s="453">
        <f t="shared" ref="AD145:AL145" ca="1" si="254">AC145+_xlfn.NORM.DIST(RAND(), 0, 1, FALSE)%</f>
        <v>4.2739747271969164E-2</v>
      </c>
      <c r="AE145" s="453">
        <f t="shared" ca="1" si="254"/>
        <v>4.6007383669788723E-2</v>
      </c>
      <c r="AF145" s="453">
        <f t="shared" ca="1" si="254"/>
        <v>4.9443060016170666E-2</v>
      </c>
      <c r="AG145" s="453">
        <f t="shared" ca="1" si="254"/>
        <v>5.3166515541989631E-2</v>
      </c>
      <c r="AH145" s="453">
        <f t="shared" ca="1" si="254"/>
        <v>5.7140105900923541E-2</v>
      </c>
      <c r="AI145" s="453">
        <f t="shared" ca="1" si="254"/>
        <v>5.9860940698589722E-2</v>
      </c>
      <c r="AJ145" s="453">
        <f t="shared" ca="1" si="254"/>
        <v>6.3685327530991792E-2</v>
      </c>
      <c r="AK145" s="453">
        <f t="shared" ca="1" si="254"/>
        <v>6.7530656908999828E-2</v>
      </c>
      <c r="AL145" s="453">
        <f t="shared" ca="1" si="254"/>
        <v>7.0018028515507633E-2</v>
      </c>
      <c r="AM145" s="449"/>
      <c r="AN145" s="449"/>
      <c r="AO145" s="449"/>
      <c r="AP145" s="449" t="s">
        <v>333</v>
      </c>
      <c r="AQ145" s="449"/>
      <c r="AR145" s="451">
        <f>AD131*AR131</f>
        <v>0</v>
      </c>
      <c r="AS145" s="451">
        <f t="shared" si="239"/>
        <v>0</v>
      </c>
      <c r="AT145" s="451">
        <f t="shared" si="240"/>
        <v>0</v>
      </c>
      <c r="AU145" s="451">
        <f t="shared" si="241"/>
        <v>6032500</v>
      </c>
      <c r="AV145" s="451">
        <f t="shared" ca="1" si="242"/>
        <v>6486644.7721122</v>
      </c>
      <c r="AW145" s="451">
        <f t="shared" ca="1" si="243"/>
        <v>7001295.4805003423</v>
      </c>
      <c r="AX145" s="451">
        <f t="shared" ca="1" si="244"/>
        <v>7576228.0059673861</v>
      </c>
      <c r="AY145" s="451">
        <f t="shared" ca="1" si="245"/>
        <v>8227955.7419044059</v>
      </c>
      <c r="AZ145" s="451">
        <f t="shared" ca="1" si="246"/>
        <v>8968050.4931350276</v>
      </c>
    </row>
    <row r="146" spans="2:52">
      <c r="B146" s="443" t="s">
        <v>290</v>
      </c>
      <c r="C146" s="447">
        <v>0.04</v>
      </c>
      <c r="D146" s="447">
        <f t="shared" ref="D146:J146" ca="1" si="255">C146+_xlfn.NORM.DIST(RAND(), 0, 1, FALSE)%</f>
        <v>4.3964805719446949E-2</v>
      </c>
      <c r="E146" s="447">
        <f t="shared" ca="1" si="255"/>
        <v>4.6983738472306164E-2</v>
      </c>
      <c r="F146" s="447">
        <f t="shared" ca="1" si="255"/>
        <v>5.090169504025787E-2</v>
      </c>
      <c r="G146" s="447">
        <f t="shared" ca="1" si="255"/>
        <v>5.4270169335208451E-2</v>
      </c>
      <c r="H146" s="447">
        <f t="shared" ca="1" si="255"/>
        <v>5.7589058242688576E-2</v>
      </c>
      <c r="I146" s="447">
        <f t="shared" ca="1" si="255"/>
        <v>6.1257036391896037E-2</v>
      </c>
      <c r="J146" s="447">
        <f t="shared" ca="1" si="255"/>
        <v>6.4689790982332213E-2</v>
      </c>
      <c r="K146" s="447">
        <f t="shared" ref="K146:L150" ca="1" si="256">J146+_xlfn.NORM.DIST(RAND(), 0, 1, FALSE)%</f>
        <v>6.738654678418507E-2</v>
      </c>
      <c r="L146" s="447">
        <f t="shared" ca="1" si="256"/>
        <v>6.9851321104033887E-2</v>
      </c>
      <c r="M146" s="443"/>
      <c r="N146" s="443"/>
      <c r="O146" s="443"/>
      <c r="P146" s="443" t="s">
        <v>290</v>
      </c>
      <c r="Q146" s="443"/>
      <c r="R146" s="443"/>
      <c r="S146" s="445">
        <f>E132*S132</f>
        <v>0</v>
      </c>
      <c r="T146" s="445">
        <f t="shared" si="230"/>
        <v>0</v>
      </c>
      <c r="U146" s="445">
        <f t="shared" si="231"/>
        <v>0</v>
      </c>
      <c r="V146" s="445">
        <f t="shared" si="232"/>
        <v>3180000</v>
      </c>
      <c r="W146" s="445">
        <f t="shared" ca="1" si="233"/>
        <v>3440485.2689316198</v>
      </c>
      <c r="X146" s="445">
        <f t="shared" ca="1" si="234"/>
        <v>3735217.7018622421</v>
      </c>
      <c r="Y146" s="445">
        <f t="shared" ca="1" si="235"/>
        <v>4068315.6618174096</v>
      </c>
      <c r="Z146" s="445">
        <f t="shared" ca="1" si="236"/>
        <v>4442342.1098216921</v>
      </c>
      <c r="AB146" s="449" t="s">
        <v>290</v>
      </c>
      <c r="AC146" s="453">
        <v>0.04</v>
      </c>
      <c r="AD146" s="453">
        <f t="shared" ref="AD146:AJ146" ca="1" si="257">AC146+_xlfn.NORM.DIST(RAND(), 0, 1, FALSE)%</f>
        <v>4.3989065797163426E-2</v>
      </c>
      <c r="AE146" s="453">
        <f t="shared" ca="1" si="257"/>
        <v>4.7978470652325599E-2</v>
      </c>
      <c r="AF146" s="453">
        <f t="shared" ca="1" si="257"/>
        <v>5.0536878787998944E-2</v>
      </c>
      <c r="AG146" s="453">
        <f t="shared" ca="1" si="257"/>
        <v>5.437997971510955E-2</v>
      </c>
      <c r="AH146" s="453">
        <f t="shared" ca="1" si="257"/>
        <v>5.7246235403170205E-2</v>
      </c>
      <c r="AI146" s="453">
        <f t="shared" ca="1" si="257"/>
        <v>6.069379197966019E-2</v>
      </c>
      <c r="AJ146" s="453">
        <f t="shared" ca="1" si="257"/>
        <v>6.3540566890613992E-2</v>
      </c>
      <c r="AK146" s="453">
        <f t="shared" ref="AK146:AL150" ca="1" si="258">AJ146+_xlfn.NORM.DIST(RAND(), 0, 1, FALSE)%</f>
        <v>6.7267159333818854E-2</v>
      </c>
      <c r="AL146" s="453">
        <f t="shared" ca="1" si="258"/>
        <v>7.0618715788956898E-2</v>
      </c>
      <c r="AM146" s="449"/>
      <c r="AN146" s="449"/>
      <c r="AO146" s="449"/>
      <c r="AP146" s="449" t="s">
        <v>290</v>
      </c>
      <c r="AQ146" s="449"/>
      <c r="AR146" s="449"/>
      <c r="AS146" s="451">
        <f>AE132*AS132</f>
        <v>0</v>
      </c>
      <c r="AT146" s="451">
        <f t="shared" si="240"/>
        <v>0</v>
      </c>
      <c r="AU146" s="451">
        <f t="shared" si="241"/>
        <v>0</v>
      </c>
      <c r="AV146" s="451">
        <f t="shared" si="242"/>
        <v>3180000</v>
      </c>
      <c r="AW146" s="451">
        <f t="shared" ca="1" si="243"/>
        <v>3432645.9321823041</v>
      </c>
      <c r="AX146" s="451">
        <f t="shared" ca="1" si="244"/>
        <v>3717446.9411669336</v>
      </c>
      <c r="AY146" s="451">
        <f t="shared" ca="1" si="245"/>
        <v>4036682.3953655432</v>
      </c>
      <c r="AZ146" s="451">
        <f t="shared" ca="1" si="246"/>
        <v>4398691.1428525457</v>
      </c>
    </row>
    <row r="147" spans="2:52">
      <c r="B147" s="443" t="s">
        <v>341</v>
      </c>
      <c r="C147" s="447">
        <v>0</v>
      </c>
      <c r="D147" s="448">
        <f t="shared" ref="D147:J147" ca="1" si="259">C147+_xlfn.NORM.DIST(RAND(), 0, 1, FALSE)%</f>
        <v>3.3598071611350244E-3</v>
      </c>
      <c r="E147" s="448">
        <f t="shared" ca="1" si="259"/>
        <v>6.7835864178721599E-3</v>
      </c>
      <c r="F147" s="448">
        <f t="shared" ca="1" si="259"/>
        <v>9.6233025643937681E-3</v>
      </c>
      <c r="G147" s="448">
        <f t="shared" ca="1" si="259"/>
        <v>1.3220355361349932E-2</v>
      </c>
      <c r="H147" s="448">
        <f t="shared" ca="1" si="259"/>
        <v>1.6939282556409533E-2</v>
      </c>
      <c r="I147" s="448">
        <f t="shared" ca="1" si="259"/>
        <v>2.0111562583257987E-2</v>
      </c>
      <c r="J147" s="448">
        <f t="shared" ca="1" si="259"/>
        <v>2.40829647487842E-2</v>
      </c>
      <c r="K147" s="448">
        <f t="shared" ca="1" si="256"/>
        <v>2.8039713833132741E-2</v>
      </c>
      <c r="L147" s="448">
        <f t="shared" ca="1" si="256"/>
        <v>3.1969725575671494E-2</v>
      </c>
      <c r="M147" s="443"/>
      <c r="N147" s="443"/>
      <c r="O147" s="443"/>
      <c r="P147" s="443" t="s">
        <v>341</v>
      </c>
      <c r="Q147" s="445">
        <f>C133*Q133 + C134*Q134</f>
        <v>0</v>
      </c>
      <c r="R147" s="445">
        <f t="shared" ref="R147" si="260">D133*R133 + D134*R134</f>
        <v>0</v>
      </c>
      <c r="S147" s="445">
        <f t="shared" ref="S147" si="261">E133*S133 + E134*S134</f>
        <v>0</v>
      </c>
      <c r="T147" s="445">
        <f t="shared" ref="T147" si="262">F133*T133 + F134*T134</f>
        <v>3610000</v>
      </c>
      <c r="U147" s="445">
        <f t="shared" ref="U147" ca="1" si="263">G133*U133 + G134*U134</f>
        <v>3928569.1450693826</v>
      </c>
      <c r="V147" s="445">
        <f t="shared" ref="V147" ca="1" si="264">H133*V133 + H134*V134</f>
        <v>4241397.0547744352</v>
      </c>
      <c r="W147" s="445">
        <f t="shared" ref="W147" ca="1" si="265">I133*W133 + I134*W134</f>
        <v>4551682.3647575676</v>
      </c>
      <c r="X147" s="445">
        <f t="shared" ref="X147" ca="1" si="266">J133*X133 + J134*X134</f>
        <v>4861860.5699168555</v>
      </c>
      <c r="Y147" s="445">
        <f t="shared" ref="Y147" ca="1" si="267">K133*Y133 + K134*Y134</f>
        <v>5179965.6656315159</v>
      </c>
      <c r="Z147" s="445">
        <f t="shared" ref="Z147" ca="1" si="268">L133*Z133 + L134*Z134</f>
        <v>5510806.3066226467</v>
      </c>
      <c r="AB147" s="449" t="s">
        <v>341</v>
      </c>
      <c r="AC147" s="453">
        <v>0</v>
      </c>
      <c r="AD147" s="454">
        <f t="shared" ref="AD147:AJ147" ca="1" si="269">AC147+_xlfn.NORM.DIST(RAND(), 0, 1, FALSE)%</f>
        <v>3.9741872521122101E-3</v>
      </c>
      <c r="AE147" s="454">
        <f t="shared" ca="1" si="269"/>
        <v>6.9971773119026715E-3</v>
      </c>
      <c r="AF147" s="454">
        <f t="shared" ca="1" si="269"/>
        <v>1.0489417471832699E-2</v>
      </c>
      <c r="AG147" s="454">
        <f t="shared" ca="1" si="269"/>
        <v>1.4294447814776193E-2</v>
      </c>
      <c r="AH147" s="454">
        <f t="shared" ca="1" si="269"/>
        <v>1.7808748881773837E-2</v>
      </c>
      <c r="AI147" s="454">
        <f t="shared" ca="1" si="269"/>
        <v>2.1290739392340319E-2</v>
      </c>
      <c r="AJ147" s="454">
        <f t="shared" ca="1" si="269"/>
        <v>2.4078753638459589E-2</v>
      </c>
      <c r="AK147" s="454">
        <f t="shared" ca="1" si="258"/>
        <v>2.7983902279912178E-2</v>
      </c>
      <c r="AL147" s="454">
        <f t="shared" ca="1" si="258"/>
        <v>3.1129066686125566E-2</v>
      </c>
      <c r="AM147" s="449"/>
      <c r="AN147" s="449"/>
      <c r="AO147" s="449"/>
      <c r="AP147" s="449" t="s">
        <v>341</v>
      </c>
      <c r="AQ147" s="451">
        <f>AC133*AQ133 + AC134*AQ134</f>
        <v>0</v>
      </c>
      <c r="AR147" s="451">
        <f t="shared" ref="AR147" si="270">AD133*AR133 + AD134*AR134</f>
        <v>0</v>
      </c>
      <c r="AS147" s="451">
        <f t="shared" ref="AS147" si="271">AE133*AS133 + AE134*AS134</f>
        <v>0</v>
      </c>
      <c r="AT147" s="451">
        <f t="shared" ref="AT147" si="272">AF133*AT133 + AF134*AT134</f>
        <v>3610000</v>
      </c>
      <c r="AU147" s="451">
        <f t="shared" ref="AU147" ca="1" si="273">AG133*AU133 + AG134*AU134</f>
        <v>3924471.9998118551</v>
      </c>
      <c r="AV147" s="451">
        <f t="shared" ref="AV147" ca="1" si="274">AH133*AV133 + AH134*AV134</f>
        <v>4229902.0966931824</v>
      </c>
      <c r="AW147" s="451">
        <f t="shared" ref="AW147" ca="1" si="275">AI133*AW133 + AI134*AW134</f>
        <v>4528664.5056787021</v>
      </c>
      <c r="AX147" s="451">
        <f t="shared" ref="AX147" ca="1" si="276">AJ133*AX133 + AJ134*AX134</f>
        <v>4826149.5459252652</v>
      </c>
      <c r="AY147" s="451">
        <f t="shared" ref="AY147" ca="1" si="277">AK133*AY133 + AK134*AY134</f>
        <v>5124482.6859871289</v>
      </c>
      <c r="AZ147" s="451">
        <f t="shared" ref="AZ147" ca="1" si="278">AL133*AZ133 + AL134*AZ134</f>
        <v>5433533.2385302354</v>
      </c>
    </row>
    <row r="148" spans="2:52">
      <c r="B148" s="443" t="s">
        <v>342</v>
      </c>
      <c r="C148" s="447">
        <v>0</v>
      </c>
      <c r="D148" s="448">
        <f t="shared" ref="D148:J148" ca="1" si="279">C148+_xlfn.NORM.DIST(RAND(), 0, 1, FALSE)%</f>
        <v>3.4079610667738709E-3</v>
      </c>
      <c r="E148" s="448">
        <f t="shared" ca="1" si="279"/>
        <v>7.2812938394688099E-3</v>
      </c>
      <c r="F148" s="448">
        <f t="shared" ca="1" si="279"/>
        <v>1.1052501465798985E-2</v>
      </c>
      <c r="G148" s="448">
        <f t="shared" ca="1" si="279"/>
        <v>1.5040391030809411E-2</v>
      </c>
      <c r="H148" s="448">
        <f t="shared" ca="1" si="279"/>
        <v>1.8143522705534647E-2</v>
      </c>
      <c r="I148" s="448">
        <f t="shared" ca="1" si="279"/>
        <v>2.0657079897245603E-2</v>
      </c>
      <c r="J148" s="448">
        <f t="shared" ca="1" si="279"/>
        <v>2.3889164042096376E-2</v>
      </c>
      <c r="K148" s="448">
        <f t="shared" ca="1" si="256"/>
        <v>2.6762381520037713E-2</v>
      </c>
      <c r="L148" s="448">
        <f t="shared" ca="1" si="256"/>
        <v>2.9770439927510238E-2</v>
      </c>
      <c r="M148" s="443"/>
      <c r="N148" s="443"/>
      <c r="O148" s="443"/>
      <c r="P148" s="443" t="s">
        <v>342</v>
      </c>
      <c r="Q148" s="445">
        <f>C135*Q135</f>
        <v>0</v>
      </c>
      <c r="R148" s="445">
        <f>D135*R135</f>
        <v>0</v>
      </c>
      <c r="S148" s="445">
        <f>E135*S135</f>
        <v>0</v>
      </c>
      <c r="T148" s="445">
        <f>F135*T135</f>
        <v>0</v>
      </c>
      <c r="U148" s="445">
        <f>G135*U135</f>
        <v>150000</v>
      </c>
      <c r="V148" s="445">
        <f ca="1">H135*V135</f>
        <v>155757.94800367771</v>
      </c>
      <c r="W148" s="445">
        <f ca="1">I135*W135</f>
        <v>162231.37662485646</v>
      </c>
      <c r="X148" s="445">
        <f ca="1">J135*X135</f>
        <v>169391.00300570988</v>
      </c>
      <c r="Y148" s="445">
        <f ca="1">K135*Y135</f>
        <v>177426.67755043515</v>
      </c>
      <c r="Z148" s="445">
        <f ca="1">L135*Z135</f>
        <v>186365.06386057069</v>
      </c>
      <c r="AB148" s="449" t="s">
        <v>342</v>
      </c>
      <c r="AC148" s="453">
        <v>0</v>
      </c>
      <c r="AD148" s="454">
        <f t="shared" ref="AD148:AJ148" ca="1" si="280">AC148+_xlfn.NORM.DIST(RAND(), 0, 1, FALSE)%</f>
        <v>3.7064218790336012E-3</v>
      </c>
      <c r="AE148" s="454">
        <f t="shared" ca="1" si="280"/>
        <v>7.6231939373987145E-3</v>
      </c>
      <c r="AF148" s="454">
        <f t="shared" ca="1" si="280"/>
        <v>1.0335666727778109E-2</v>
      </c>
      <c r="AG148" s="454">
        <f t="shared" ca="1" si="280"/>
        <v>1.3478802069782813E-2</v>
      </c>
      <c r="AH148" s="454">
        <f t="shared" ca="1" si="280"/>
        <v>1.7447942494122598E-2</v>
      </c>
      <c r="AI148" s="454">
        <f t="shared" ca="1" si="280"/>
        <v>2.113688083901567E-2</v>
      </c>
      <c r="AJ148" s="454">
        <f t="shared" ca="1" si="280"/>
        <v>2.4910245402183132E-2</v>
      </c>
      <c r="AK148" s="454">
        <f t="shared" ca="1" si="258"/>
        <v>2.8689658582823914E-2</v>
      </c>
      <c r="AL148" s="454">
        <f t="shared" ca="1" si="258"/>
        <v>3.2271667806134129E-2</v>
      </c>
      <c r="AM148" s="449"/>
      <c r="AN148" s="449"/>
      <c r="AO148" s="449"/>
      <c r="AP148" s="449" t="s">
        <v>342</v>
      </c>
      <c r="AQ148" s="451">
        <f>AC135*AQ135</f>
        <v>0</v>
      </c>
      <c r="AR148" s="451">
        <f>AD135*AR135</f>
        <v>0</v>
      </c>
      <c r="AS148" s="451">
        <f>AE135*AS135</f>
        <v>0</v>
      </c>
      <c r="AT148" s="451">
        <f>AF135*AT135</f>
        <v>0</v>
      </c>
      <c r="AU148" s="451">
        <f>AG135*AU135</f>
        <v>150000</v>
      </c>
      <c r="AV148" s="451">
        <f ca="1">AH135*AV135</f>
        <v>155214.27853698723</v>
      </c>
      <c r="AW148" s="451">
        <f ca="1">AI135*AW135</f>
        <v>161238.81975837381</v>
      </c>
      <c r="AX148" s="451">
        <f ca="1">AJ135*AX135</f>
        <v>168104.49049327293</v>
      </c>
      <c r="AY148" s="451">
        <f ca="1">AK135*AY135</f>
        <v>175910.1469113674</v>
      </c>
      <c r="AZ148" s="451">
        <f ca="1">AL135*AZ135</f>
        <v>184757.04489582658</v>
      </c>
    </row>
    <row r="149" spans="2:52">
      <c r="B149" s="443" t="s">
        <v>343</v>
      </c>
      <c r="C149" s="447">
        <v>0</v>
      </c>
      <c r="D149" s="448">
        <f t="shared" ref="D149:J149" ca="1" si="281">C149+_xlfn.NORM.DIST(RAND(), 0, 1, FALSE)%</f>
        <v>3.9328197156922413E-3</v>
      </c>
      <c r="E149" s="448">
        <f t="shared" ca="1" si="281"/>
        <v>6.5012793859409029E-3</v>
      </c>
      <c r="F149" s="448">
        <f t="shared" ca="1" si="281"/>
        <v>1.0258245025804684E-2</v>
      </c>
      <c r="G149" s="448">
        <f t="shared" ca="1" si="281"/>
        <v>1.4036384510442781E-2</v>
      </c>
      <c r="H149" s="448">
        <f t="shared" ca="1" si="281"/>
        <v>1.7713745148714165E-2</v>
      </c>
      <c r="I149" s="448">
        <f t="shared" ca="1" si="281"/>
        <v>2.1469392601111935E-2</v>
      </c>
      <c r="J149" s="448">
        <f t="shared" ca="1" si="281"/>
        <v>2.4280537624125409E-2</v>
      </c>
      <c r="K149" s="448">
        <f t="shared" ca="1" si="256"/>
        <v>2.8104926365763193E-2</v>
      </c>
      <c r="L149" s="448">
        <f t="shared" ca="1" si="256"/>
        <v>3.1600911668803078E-2</v>
      </c>
      <c r="M149" s="443"/>
      <c r="N149" s="443"/>
      <c r="O149" s="443"/>
      <c r="P149" s="443" t="s">
        <v>343</v>
      </c>
      <c r="Q149" s="445">
        <f>C136*Q136</f>
        <v>0</v>
      </c>
      <c r="R149" s="445">
        <f>D136*R136</f>
        <v>0</v>
      </c>
      <c r="S149" s="445">
        <f>E136*S136</f>
        <v>0</v>
      </c>
      <c r="T149" s="445">
        <f>F136*T136</f>
        <v>0</v>
      </c>
      <c r="U149" s="445">
        <f>G136*U136</f>
        <v>450000</v>
      </c>
      <c r="V149" s="445">
        <f ca="1">H136*V136</f>
        <v>466811.64960938226</v>
      </c>
      <c r="W149" s="445">
        <f ca="1">I136*W136</f>
        <v>486007.486743683</v>
      </c>
      <c r="X149" s="445">
        <f ca="1">J136*X136</f>
        <v>507859.9330461871</v>
      </c>
      <c r="Y149" s="445">
        <f ca="1">K136*Y136</f>
        <v>532155.43929924164</v>
      </c>
      <c r="Z149" s="445">
        <f ca="1">L136*Z136</f>
        <v>559695.19619681244</v>
      </c>
      <c r="AB149" s="449" t="s">
        <v>343</v>
      </c>
      <c r="AC149" s="453">
        <v>0</v>
      </c>
      <c r="AD149" s="454">
        <f t="shared" ref="AD149:AJ149" ca="1" si="282">AC149+_xlfn.NORM.DIST(RAND(), 0, 1, FALSE)%</f>
        <v>3.6692531155959672E-3</v>
      </c>
      <c r="AE149" s="454">
        <f t="shared" ca="1" si="282"/>
        <v>6.3605256421078154E-3</v>
      </c>
      <c r="AF149" s="454">
        <f t="shared" ca="1" si="282"/>
        <v>1.0346095994410392E-2</v>
      </c>
      <c r="AG149" s="454">
        <f t="shared" ca="1" si="282"/>
        <v>1.343396685542959E-2</v>
      </c>
      <c r="AH149" s="454">
        <f t="shared" ca="1" si="282"/>
        <v>1.6679455159493553E-2</v>
      </c>
      <c r="AI149" s="454">
        <f t="shared" ca="1" si="282"/>
        <v>2.0324447753187525E-2</v>
      </c>
      <c r="AJ149" s="454">
        <f t="shared" ca="1" si="282"/>
        <v>2.4313697298462618E-2</v>
      </c>
      <c r="AK149" s="454">
        <f t="shared" ca="1" si="258"/>
        <v>2.7311253194711713E-2</v>
      </c>
      <c r="AL149" s="454">
        <f t="shared" ca="1" si="258"/>
        <v>3.1272742272161778E-2</v>
      </c>
      <c r="AM149" s="449"/>
      <c r="AN149" s="449"/>
      <c r="AO149" s="449"/>
      <c r="AP149" s="449" t="s">
        <v>343</v>
      </c>
      <c r="AQ149" s="451">
        <f>AC136*AQ136</f>
        <v>0</v>
      </c>
      <c r="AR149" s="451">
        <f>AD136*AR136</f>
        <v>0</v>
      </c>
      <c r="AS149" s="451">
        <f>AE136*AS136</f>
        <v>0</v>
      </c>
      <c r="AT149" s="451">
        <f>AF136*AT136</f>
        <v>0</v>
      </c>
      <c r="AU149" s="451">
        <f>AG136*AU136</f>
        <v>450000</v>
      </c>
      <c r="AV149" s="451">
        <f ca="1">AH136*AV136</f>
        <v>465622.23607172701</v>
      </c>
      <c r="AW149" s="451">
        <f ca="1">AI136*AW136</f>
        <v>483329.72106641904</v>
      </c>
      <c r="AX149" s="451">
        <f ca="1">AJ136*AX136</f>
        <v>503509.34647512186</v>
      </c>
      <c r="AY149" s="451">
        <f ca="1">AK136*AY136</f>
        <v>526582.30223882222</v>
      </c>
      <c r="AZ149" s="451">
        <f ca="1">AL136*AZ136</f>
        <v>552324.16724440642</v>
      </c>
    </row>
    <row r="150" spans="2:52">
      <c r="B150" s="443" t="s">
        <v>344</v>
      </c>
      <c r="C150" s="447">
        <v>0</v>
      </c>
      <c r="D150" s="448">
        <f t="shared" ref="D150:J150" ca="1" si="283">C150+_xlfn.NORM.DIST(RAND(), 0, 1, FALSE)%</f>
        <v>2.7974336762092255E-3</v>
      </c>
      <c r="E150" s="448">
        <f t="shared" ca="1" si="283"/>
        <v>6.7867096050241577E-3</v>
      </c>
      <c r="F150" s="448">
        <f t="shared" ca="1" si="283"/>
        <v>1.0418802382689508E-2</v>
      </c>
      <c r="G150" s="448">
        <f t="shared" ca="1" si="283"/>
        <v>1.3354906332842843E-2</v>
      </c>
      <c r="H150" s="448">
        <f t="shared" ca="1" si="283"/>
        <v>1.718949942271503E-2</v>
      </c>
      <c r="I150" s="448">
        <f t="shared" ca="1" si="283"/>
        <v>2.1116506854785097E-2</v>
      </c>
      <c r="J150" s="448">
        <f t="shared" ca="1" si="283"/>
        <v>2.510495110713561E-2</v>
      </c>
      <c r="K150" s="448">
        <f t="shared" ca="1" si="256"/>
        <v>2.8610231367271602E-2</v>
      </c>
      <c r="L150" s="448">
        <f t="shared" ca="1" si="256"/>
        <v>3.2530471066390426E-2</v>
      </c>
      <c r="M150" s="443"/>
      <c r="N150" s="443"/>
      <c r="O150" s="443"/>
      <c r="P150" s="443" t="s">
        <v>344</v>
      </c>
      <c r="Q150" s="445">
        <f>C137*Q137</f>
        <v>0</v>
      </c>
      <c r="R150" s="445">
        <f>D137*R137</f>
        <v>0</v>
      </c>
      <c r="S150" s="445">
        <f>E137*S137</f>
        <v>0</v>
      </c>
      <c r="T150" s="445">
        <f>F137*T137</f>
        <v>0</v>
      </c>
      <c r="U150" s="445">
        <f>G137*U137</f>
        <v>490000</v>
      </c>
      <c r="V150" s="445">
        <f ca="1">H137*V137</f>
        <v>507964.41389746405</v>
      </c>
      <c r="W150" s="445">
        <f ca="1">I137*W137</f>
        <v>528580.07745854335</v>
      </c>
      <c r="X150" s="445">
        <f ca="1">J137*X137</f>
        <v>552155.90466011199</v>
      </c>
      <c r="Y150" s="445">
        <f ca="1">K137*Y137</f>
        <v>579036.15993807302</v>
      </c>
      <c r="Z150" s="445">
        <f ca="1">L137*Z137</f>
        <v>609301.37636812788</v>
      </c>
      <c r="AB150" s="449" t="s">
        <v>344</v>
      </c>
      <c r="AC150" s="453">
        <v>0</v>
      </c>
      <c r="AD150" s="454">
        <f t="shared" ref="AD150:AJ150" ca="1" si="284">AC150+_xlfn.NORM.DIST(RAND(), 0, 1, FALSE)%</f>
        <v>3.8958205438237065E-3</v>
      </c>
      <c r="AE150" s="454">
        <f t="shared" ca="1" si="284"/>
        <v>7.8747309997419784E-3</v>
      </c>
      <c r="AF150" s="454">
        <f t="shared" ca="1" si="284"/>
        <v>1.1065958776685599E-2</v>
      </c>
      <c r="AG150" s="454">
        <f t="shared" ca="1" si="284"/>
        <v>1.3607412310893635E-2</v>
      </c>
      <c r="AH150" s="454">
        <f t="shared" ca="1" si="284"/>
        <v>1.7367754654154258E-2</v>
      </c>
      <c r="AI150" s="454">
        <f t="shared" ca="1" si="284"/>
        <v>2.1260797816333145E-2</v>
      </c>
      <c r="AJ150" s="454">
        <f t="shared" ca="1" si="284"/>
        <v>2.462829426094847E-2</v>
      </c>
      <c r="AK150" s="454">
        <f t="shared" ca="1" si="258"/>
        <v>2.7368012348479312E-2</v>
      </c>
      <c r="AL150" s="454">
        <f t="shared" ca="1" si="258"/>
        <v>3.1250636548061025E-2</v>
      </c>
      <c r="AM150" s="449"/>
      <c r="AN150" s="449"/>
      <c r="AO150" s="449"/>
      <c r="AP150" s="449" t="s">
        <v>344</v>
      </c>
      <c r="AQ150" s="451">
        <f>AC137*AQ137</f>
        <v>0</v>
      </c>
      <c r="AR150" s="451">
        <f>AD137*AR137</f>
        <v>0</v>
      </c>
      <c r="AS150" s="451">
        <f>AE137*AS137</f>
        <v>0</v>
      </c>
      <c r="AT150" s="451">
        <f>AF137*AT137</f>
        <v>0</v>
      </c>
      <c r="AU150" s="451">
        <f>AG137*AU137</f>
        <v>490000</v>
      </c>
      <c r="AV150" s="451">
        <f ca="1">AH137*AV137</f>
        <v>507097.65230501693</v>
      </c>
      <c r="AW150" s="451">
        <f ca="1">AI137*AW137</f>
        <v>526738.8007141829</v>
      </c>
      <c r="AX150" s="451">
        <f ca="1">AJ137*AX137</f>
        <v>549234.37930320669</v>
      </c>
      <c r="AY150" s="451">
        <f ca="1">AK137*AY137</f>
        <v>574579.06800442864</v>
      </c>
      <c r="AZ150" s="451">
        <f ca="1">AL137*AZ137</f>
        <v>602700.54228843935</v>
      </c>
    </row>
    <row r="151" spans="2:52">
      <c r="B151" s="443"/>
      <c r="C151" s="443"/>
      <c r="D151" s="443"/>
      <c r="E151" s="443"/>
      <c r="F151" s="443"/>
      <c r="G151" s="443"/>
      <c r="H151" s="443"/>
      <c r="I151" s="443"/>
      <c r="J151" s="443"/>
      <c r="K151" s="443"/>
      <c r="L151" s="443"/>
      <c r="M151" s="443"/>
      <c r="N151" s="443"/>
      <c r="O151" s="443"/>
      <c r="P151" s="443" t="s">
        <v>354</v>
      </c>
      <c r="Q151" s="445">
        <f>SUM(Q142:Q150)</f>
        <v>0</v>
      </c>
      <c r="R151" s="445">
        <f t="shared" ref="R151:Z151" si="285">SUM(R142:R150)</f>
        <v>0</v>
      </c>
      <c r="S151" s="445">
        <f t="shared" si="285"/>
        <v>0</v>
      </c>
      <c r="T151" s="445">
        <f t="shared" si="285"/>
        <v>24660000</v>
      </c>
      <c r="U151" s="445">
        <f t="shared" ca="1" si="285"/>
        <v>33970336.34656772</v>
      </c>
      <c r="V151" s="445">
        <f t="shared" ca="1" si="285"/>
        <v>40098599.213112667</v>
      </c>
      <c r="W151" s="445">
        <f t="shared" ca="1" si="285"/>
        <v>43681832.875749484</v>
      </c>
      <c r="X151" s="445">
        <f t="shared" ca="1" si="285"/>
        <v>47728009.493078873</v>
      </c>
      <c r="Y151" s="445">
        <f t="shared" ca="1" si="285"/>
        <v>52319400.62689621</v>
      </c>
      <c r="Z151" s="445">
        <f t="shared" ca="1" si="285"/>
        <v>57541032.352336757</v>
      </c>
      <c r="AB151" s="449"/>
      <c r="AC151" s="449"/>
      <c r="AD151" s="449"/>
      <c r="AE151" s="449"/>
      <c r="AF151" s="449"/>
      <c r="AG151" s="449"/>
      <c r="AH151" s="449"/>
      <c r="AI151" s="449"/>
      <c r="AJ151" s="449"/>
      <c r="AK151" s="449"/>
      <c r="AL151" s="449"/>
      <c r="AM151" s="449"/>
      <c r="AN151" s="449"/>
      <c r="AO151" s="449"/>
      <c r="AP151" s="449" t="s">
        <v>354</v>
      </c>
      <c r="AQ151" s="451">
        <f>SUM(AQ142:AQ150)</f>
        <v>0</v>
      </c>
      <c r="AR151" s="451">
        <f t="shared" ref="AR151:AZ151" si="286">SUM(AR142:AR150)</f>
        <v>0</v>
      </c>
      <c r="AS151" s="451">
        <f t="shared" si="286"/>
        <v>0</v>
      </c>
      <c r="AT151" s="451">
        <f t="shared" si="286"/>
        <v>24660000</v>
      </c>
      <c r="AU151" s="451">
        <f t="shared" ca="1" si="286"/>
        <v>33910590.174285084</v>
      </c>
      <c r="AV151" s="451">
        <f t="shared" ca="1" si="286"/>
        <v>39947590.762422733</v>
      </c>
      <c r="AW151" s="451">
        <f t="shared" ca="1" si="286"/>
        <v>43402984.937373176</v>
      </c>
      <c r="AX151" s="451">
        <f t="shared" ca="1" si="286"/>
        <v>47291861.237385623</v>
      </c>
      <c r="AY151" s="451">
        <f t="shared" ca="1" si="286"/>
        <v>51705016.146746971</v>
      </c>
      <c r="AZ151" s="451">
        <f t="shared" ca="1" si="286"/>
        <v>56720737.893095911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3091-270D-4250-8909-6CE72ED1891C}">
  <dimension ref="A1:AA1122"/>
  <sheetViews>
    <sheetView topLeftCell="A6" zoomScale="35" zoomScaleNormal="90" workbookViewId="0">
      <selection activeCell="E2" sqref="E2"/>
    </sheetView>
  </sheetViews>
  <sheetFormatPr defaultRowHeight="14.5"/>
  <cols>
    <col min="1" max="1" width="32.7265625" customWidth="1"/>
    <col min="2" max="2" width="16.54296875" customWidth="1"/>
    <col min="3" max="3" width="18.6328125" customWidth="1"/>
    <col min="4" max="4" width="17.6328125" customWidth="1"/>
    <col min="5" max="5" width="17.7265625" customWidth="1"/>
    <col min="6" max="6" width="17.81640625" customWidth="1"/>
    <col min="7" max="7" width="17.6328125" customWidth="1"/>
    <col min="8" max="8" width="17.36328125" customWidth="1"/>
    <col min="9" max="10" width="17.54296875" customWidth="1"/>
    <col min="11" max="11" width="17.6328125" customWidth="1"/>
    <col min="12" max="12" width="17.36328125" customWidth="1"/>
    <col min="13" max="13" width="16.7265625" bestFit="1" customWidth="1"/>
    <col min="16" max="16" width="47.81640625" customWidth="1"/>
    <col min="17" max="17" width="16.26953125" bestFit="1" customWidth="1"/>
    <col min="18" max="18" width="18.453125" customWidth="1"/>
    <col min="19" max="19" width="17.90625" customWidth="1"/>
    <col min="20" max="20" width="18" customWidth="1"/>
    <col min="21" max="22" width="19.08984375" customWidth="1"/>
    <col min="23" max="23" width="20" customWidth="1"/>
    <col min="24" max="24" width="21.81640625" customWidth="1"/>
    <col min="25" max="25" width="22.54296875" customWidth="1"/>
    <col min="26" max="26" width="19.1796875" customWidth="1"/>
    <col min="27" max="27" width="20.90625" customWidth="1"/>
  </cols>
  <sheetData>
    <row r="1" spans="1:27">
      <c r="A1" s="596"/>
      <c r="B1" s="598"/>
      <c r="C1" s="593"/>
      <c r="D1" s="593"/>
      <c r="E1" s="599"/>
      <c r="F1" s="582"/>
    </row>
    <row r="2" spans="1:27">
      <c r="A2" s="596"/>
      <c r="B2" s="598"/>
      <c r="C2" s="593"/>
      <c r="D2" s="593"/>
      <c r="E2" s="579"/>
      <c r="F2" s="5"/>
    </row>
    <row r="3" spans="1:27">
      <c r="A3" s="596"/>
      <c r="B3" s="598"/>
      <c r="C3" s="593"/>
      <c r="D3" s="593"/>
      <c r="E3" s="580"/>
      <c r="F3" s="5"/>
    </row>
    <row r="4" spans="1:27">
      <c r="A4" s="592"/>
      <c r="B4" s="600"/>
      <c r="C4" s="593"/>
      <c r="D4" s="593"/>
      <c r="E4" s="581"/>
      <c r="F4" s="5"/>
    </row>
    <row r="5" spans="1:27" ht="15" thickBot="1">
      <c r="C5">
        <v>1</v>
      </c>
      <c r="D5">
        <v>2</v>
      </c>
      <c r="E5">
        <v>3</v>
      </c>
      <c r="F5">
        <v>4</v>
      </c>
      <c r="G5">
        <v>5</v>
      </c>
      <c r="H5">
        <v>6</v>
      </c>
      <c r="I5">
        <v>7</v>
      </c>
      <c r="J5">
        <v>8</v>
      </c>
      <c r="K5">
        <v>9</v>
      </c>
      <c r="L5">
        <v>10</v>
      </c>
    </row>
    <row r="6" spans="1:27" ht="19" thickBot="1">
      <c r="A6" s="126" t="s">
        <v>80</v>
      </c>
      <c r="B6" s="25"/>
      <c r="C6" s="26" t="s">
        <v>139</v>
      </c>
      <c r="D6" s="26" t="s">
        <v>140</v>
      </c>
      <c r="E6" s="26" t="s">
        <v>141</v>
      </c>
      <c r="F6" s="26" t="s">
        <v>142</v>
      </c>
      <c r="G6" s="26" t="s">
        <v>143</v>
      </c>
      <c r="H6" s="26" t="s">
        <v>144</v>
      </c>
      <c r="I6" s="26" t="s">
        <v>145</v>
      </c>
      <c r="J6" s="26" t="s">
        <v>146</v>
      </c>
      <c r="K6" s="26" t="s">
        <v>147</v>
      </c>
      <c r="L6" s="27" t="s">
        <v>148</v>
      </c>
      <c r="P6" s="126" t="s">
        <v>387</v>
      </c>
      <c r="Q6" s="25"/>
      <c r="R6" s="26" t="s">
        <v>139</v>
      </c>
      <c r="S6" s="26" t="s">
        <v>140</v>
      </c>
      <c r="T6" s="26" t="s">
        <v>141</v>
      </c>
      <c r="U6" s="26" t="s">
        <v>142</v>
      </c>
      <c r="V6" s="26" t="s">
        <v>143</v>
      </c>
      <c r="W6" s="26" t="s">
        <v>144</v>
      </c>
      <c r="X6" s="26" t="s">
        <v>145</v>
      </c>
      <c r="Y6" s="26" t="s">
        <v>146</v>
      </c>
      <c r="Z6" s="26" t="s">
        <v>147</v>
      </c>
      <c r="AA6" s="27" t="s">
        <v>148</v>
      </c>
    </row>
    <row r="7" spans="1:27" ht="18.5">
      <c r="A7" s="127"/>
      <c r="B7" s="128"/>
      <c r="C7" s="129"/>
      <c r="D7" s="129"/>
      <c r="E7" s="129"/>
      <c r="F7" s="129"/>
      <c r="G7" s="129"/>
      <c r="H7" s="129"/>
      <c r="I7" s="129"/>
      <c r="J7" s="129"/>
      <c r="K7" s="129"/>
      <c r="L7" s="130"/>
      <c r="P7" s="458"/>
      <c r="Q7" s="464"/>
      <c r="R7" s="146"/>
      <c r="S7" s="146"/>
      <c r="T7" s="146"/>
      <c r="U7" s="146"/>
      <c r="V7" s="146"/>
      <c r="W7" s="146"/>
      <c r="X7" s="146"/>
      <c r="Y7" s="146"/>
      <c r="Z7" s="146"/>
      <c r="AA7" s="146"/>
    </row>
    <row r="8" spans="1:27" ht="18.5">
      <c r="A8" s="131" t="s">
        <v>95</v>
      </c>
      <c r="B8" s="132"/>
      <c r="C8" s="48"/>
      <c r="D8" s="48"/>
      <c r="E8" s="48"/>
      <c r="F8" s="48"/>
      <c r="G8" s="48"/>
      <c r="H8" s="48"/>
      <c r="I8" s="48"/>
      <c r="J8" s="48"/>
      <c r="K8" s="48"/>
      <c r="L8" s="49"/>
      <c r="P8" s="459" t="s">
        <v>95</v>
      </c>
      <c r="Q8" s="405"/>
      <c r="R8" s="48"/>
      <c r="S8" s="48"/>
      <c r="T8" s="48"/>
      <c r="U8" s="48"/>
      <c r="V8" s="48"/>
      <c r="W8" s="48"/>
      <c r="X8" s="48"/>
      <c r="Y8" s="48"/>
      <c r="Z8" s="48"/>
      <c r="AA8" s="48"/>
    </row>
    <row r="9" spans="1:27">
      <c r="A9" s="14"/>
      <c r="B9" s="132"/>
      <c r="C9" s="48"/>
      <c r="D9" s="48"/>
      <c r="E9" s="48"/>
      <c r="F9" s="48"/>
      <c r="G9" s="48"/>
      <c r="H9" s="48"/>
      <c r="I9" s="48"/>
      <c r="J9" s="48"/>
      <c r="K9" s="48"/>
      <c r="L9" s="49"/>
      <c r="P9" s="460"/>
      <c r="Q9" s="405"/>
      <c r="R9" s="48"/>
      <c r="S9" s="48"/>
      <c r="T9" s="48"/>
      <c r="U9" s="48"/>
      <c r="V9" s="48"/>
      <c r="W9" s="48"/>
      <c r="X9" s="48"/>
      <c r="Y9" s="48"/>
      <c r="Z9" s="48"/>
      <c r="AA9" s="48"/>
    </row>
    <row r="10" spans="1:27">
      <c r="A10" s="14" t="s">
        <v>273</v>
      </c>
      <c r="B10" s="132"/>
      <c r="C10" s="48">
        <f>Assumptions!$D$7</f>
        <v>254</v>
      </c>
      <c r="D10" s="48">
        <f t="shared" ref="D10:L10" si="0">C10</f>
        <v>254</v>
      </c>
      <c r="E10" s="48">
        <f t="shared" si="0"/>
        <v>254</v>
      </c>
      <c r="F10" s="48">
        <f t="shared" si="0"/>
        <v>254</v>
      </c>
      <c r="G10" s="48">
        <f t="shared" si="0"/>
        <v>254</v>
      </c>
      <c r="H10" s="48">
        <f t="shared" si="0"/>
        <v>254</v>
      </c>
      <c r="I10" s="48">
        <f t="shared" si="0"/>
        <v>254</v>
      </c>
      <c r="J10" s="48">
        <f t="shared" si="0"/>
        <v>254</v>
      </c>
      <c r="K10" s="48">
        <f t="shared" si="0"/>
        <v>254</v>
      </c>
      <c r="L10" s="49">
        <f t="shared" si="0"/>
        <v>254</v>
      </c>
      <c r="P10" s="460" t="s">
        <v>273</v>
      </c>
      <c r="Q10" s="405"/>
      <c r="R10" s="48">
        <f>Assumptions!$D$7</f>
        <v>254</v>
      </c>
      <c r="S10" s="48">
        <f t="shared" ref="S10:AA10" si="1">R10</f>
        <v>254</v>
      </c>
      <c r="T10" s="48">
        <f t="shared" si="1"/>
        <v>254</v>
      </c>
      <c r="U10" s="48">
        <f t="shared" si="1"/>
        <v>254</v>
      </c>
      <c r="V10" s="48">
        <f t="shared" si="1"/>
        <v>254</v>
      </c>
      <c r="W10" s="48">
        <f t="shared" si="1"/>
        <v>254</v>
      </c>
      <c r="X10" s="48">
        <f t="shared" si="1"/>
        <v>254</v>
      </c>
      <c r="Y10" s="48">
        <f t="shared" si="1"/>
        <v>254</v>
      </c>
      <c r="Z10" s="48">
        <f t="shared" si="1"/>
        <v>254</v>
      </c>
      <c r="AA10" s="48">
        <f t="shared" si="1"/>
        <v>254</v>
      </c>
    </row>
    <row r="11" spans="1:27" ht="15.5">
      <c r="A11" s="134"/>
      <c r="B11" s="132"/>
      <c r="C11" s="135"/>
      <c r="D11" s="135"/>
      <c r="E11" s="135"/>
      <c r="F11" s="135"/>
      <c r="G11" s="135"/>
      <c r="H11" s="135"/>
      <c r="I11" s="135"/>
      <c r="J11" s="135"/>
      <c r="K11" s="135"/>
      <c r="L11" s="136"/>
      <c r="P11" s="461"/>
      <c r="Q11" s="405"/>
      <c r="R11" s="135"/>
      <c r="S11" s="135"/>
      <c r="T11" s="135"/>
      <c r="U11" s="135"/>
      <c r="V11" s="135"/>
      <c r="W11" s="135"/>
      <c r="X11" s="135"/>
      <c r="Y11" s="135"/>
      <c r="Z11" s="135"/>
      <c r="AA11" s="135"/>
    </row>
    <row r="12" spans="1:27" ht="18.5">
      <c r="A12" s="131" t="s">
        <v>284</v>
      </c>
      <c r="B12" s="132"/>
      <c r="C12" s="135"/>
      <c r="D12" s="135"/>
      <c r="E12" s="135"/>
      <c r="F12" s="135"/>
      <c r="G12" s="135"/>
      <c r="H12" s="135"/>
      <c r="I12" s="135"/>
      <c r="J12" s="135"/>
      <c r="K12" s="135"/>
      <c r="L12" s="136"/>
      <c r="P12" s="459" t="s">
        <v>284</v>
      </c>
      <c r="Q12" s="40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</row>
    <row r="13" spans="1:27" ht="15.5">
      <c r="A13" s="410" t="s">
        <v>349</v>
      </c>
      <c r="B13" s="132"/>
      <c r="C13" s="135"/>
      <c r="D13" s="135"/>
      <c r="E13" s="135"/>
      <c r="F13" s="135"/>
      <c r="G13" s="135"/>
      <c r="H13" s="135"/>
      <c r="I13" s="135"/>
      <c r="J13" s="135"/>
      <c r="K13" s="135"/>
      <c r="L13" s="136"/>
      <c r="P13" s="461"/>
      <c r="Q13" s="40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</row>
    <row r="14" spans="1:27" ht="15.5">
      <c r="A14" s="409" t="s">
        <v>355</v>
      </c>
      <c r="B14" s="405"/>
      <c r="C14" s="48"/>
      <c r="D14" s="48"/>
      <c r="E14" s="48"/>
      <c r="F14" s="48"/>
      <c r="G14" s="48"/>
      <c r="H14" s="48"/>
      <c r="I14" s="48"/>
      <c r="J14" s="48"/>
      <c r="K14" s="48"/>
      <c r="L14" s="48"/>
      <c r="P14" s="461" t="s">
        <v>355</v>
      </c>
      <c r="Q14" s="405"/>
      <c r="R14" s="48"/>
      <c r="S14" s="48"/>
      <c r="T14" s="48"/>
      <c r="U14" s="48"/>
      <c r="V14" s="48"/>
      <c r="W14" s="48"/>
      <c r="X14" s="48"/>
      <c r="Y14" s="48"/>
      <c r="Z14" s="48"/>
      <c r="AA14" s="48"/>
    </row>
    <row r="15" spans="1:27">
      <c r="A15" s="408" t="s">
        <v>289</v>
      </c>
      <c r="B15" s="405"/>
      <c r="C15" s="133">
        <f>Revenue!Q8</f>
        <v>1540</v>
      </c>
      <c r="D15" s="133">
        <f>Revenue!R8</f>
        <v>1617</v>
      </c>
      <c r="E15" s="133">
        <f ca="1">Revenue!S8</f>
        <v>1702.065434627817</v>
      </c>
      <c r="F15" s="133">
        <f ca="1">Revenue!T8</f>
        <v>1797.0459291381205</v>
      </c>
      <c r="G15" s="133">
        <f ca="1">Revenue!U8</f>
        <v>1902.2921862433916</v>
      </c>
      <c r="H15" s="133">
        <f ca="1">Revenue!V8</f>
        <v>2018.6230383621678</v>
      </c>
      <c r="I15" s="133">
        <f ca="1">Revenue!W8</f>
        <v>2150.0654781279313</v>
      </c>
      <c r="J15" s="133">
        <f ca="1">Revenue!X8</f>
        <v>2297.7602126450038</v>
      </c>
      <c r="K15" s="133">
        <f ca="1">Revenue!Y8</f>
        <v>2464.5299324093085</v>
      </c>
      <c r="L15" s="133">
        <f ca="1">Revenue!Z8</f>
        <v>2653.2324305893717</v>
      </c>
      <c r="P15" s="460" t="s">
        <v>289</v>
      </c>
      <c r="Q15" s="405"/>
      <c r="R15" s="133">
        <f>SUM(C15,C126,C237,C348,C459,C570,C681,C792,C903,C1014)</f>
        <v>1540</v>
      </c>
      <c r="S15" s="133">
        <f t="shared" ref="S15:AA15" si="2">SUM(D15,D126,D237,D348,D459,D570,D681,D792,D903,D1014)</f>
        <v>1617</v>
      </c>
      <c r="T15" s="133">
        <f t="shared" ca="1" si="2"/>
        <v>1702.065434627817</v>
      </c>
      <c r="U15" s="133">
        <f t="shared" ca="1" si="2"/>
        <v>19117.045929138119</v>
      </c>
      <c r="V15" s="133">
        <f t="shared" ca="1" si="2"/>
        <v>20072.245516154711</v>
      </c>
      <c r="W15" s="133">
        <f t="shared" ca="1" si="2"/>
        <v>21123.707114387395</v>
      </c>
      <c r="X15" s="133">
        <f t="shared" ca="1" si="2"/>
        <v>22285.771968807683</v>
      </c>
      <c r="Y15" s="133">
        <f t="shared" ca="1" si="2"/>
        <v>23571.298600609156</v>
      </c>
      <c r="Z15" s="133">
        <f t="shared" ca="1" si="2"/>
        <v>24996.967275389619</v>
      </c>
      <c r="AA15" s="133">
        <f t="shared" ca="1" si="2"/>
        <v>26574.347443618935</v>
      </c>
    </row>
    <row r="16" spans="1:27">
      <c r="A16" s="408" t="s">
        <v>60</v>
      </c>
      <c r="B16" s="405"/>
      <c r="C16" s="403">
        <f>Revenue!C8</f>
        <v>5000</v>
      </c>
      <c r="D16" s="403">
        <f>Revenue!D8</f>
        <v>5230</v>
      </c>
      <c r="E16" s="403">
        <f>Revenue!E8</f>
        <v>5470.58</v>
      </c>
      <c r="F16" s="403">
        <f>Revenue!F8</f>
        <v>5722.2266799999998</v>
      </c>
      <c r="G16" s="403">
        <f>Revenue!G8</f>
        <v>5985.4491072800001</v>
      </c>
      <c r="H16" s="403">
        <f>Revenue!H8</f>
        <v>6260.7797662148805</v>
      </c>
      <c r="I16" s="403">
        <f>Revenue!I8</f>
        <v>6548.7756354607654</v>
      </c>
      <c r="J16" s="403">
        <f>Revenue!J8</f>
        <v>6850.019314691961</v>
      </c>
      <c r="K16" s="403">
        <f>Revenue!K8</f>
        <v>7165.1202031677913</v>
      </c>
      <c r="L16" s="403">
        <f>Revenue!L8</f>
        <v>7494.7157325135104</v>
      </c>
      <c r="P16" s="460" t="s">
        <v>388</v>
      </c>
      <c r="Q16" s="405"/>
      <c r="R16" s="403">
        <f>SUM(C16,C127,C238,C349,C460,C571,C682,C793,C904,C1015)</f>
        <v>5000</v>
      </c>
      <c r="S16" s="403">
        <f t="shared" ref="S16:AA16" si="3">SUM(D16,D127,D238,D349,D460,D571,D682,D793,D904,D1015)</f>
        <v>5230</v>
      </c>
      <c r="T16" s="403">
        <f t="shared" si="3"/>
        <v>5470.58</v>
      </c>
      <c r="U16" s="403">
        <f t="shared" si="3"/>
        <v>50722.22668</v>
      </c>
      <c r="V16" s="403">
        <f t="shared" si="3"/>
        <v>52797.949107280001</v>
      </c>
      <c r="W16" s="403">
        <f t="shared" si="3"/>
        <v>54983.336016214882</v>
      </c>
      <c r="X16" s="403">
        <f t="shared" si="3"/>
        <v>57285.812269835769</v>
      </c>
      <c r="Y16" s="403">
        <f t="shared" si="3"/>
        <v>59713.406242607271</v>
      </c>
      <c r="Z16" s="403">
        <f t="shared" si="3"/>
        <v>62274.804387577569</v>
      </c>
      <c r="AA16" s="403">
        <f t="shared" si="3"/>
        <v>64979.411009608688</v>
      </c>
    </row>
    <row r="17" spans="1:27" ht="15.5">
      <c r="A17" s="408" t="s">
        <v>366</v>
      </c>
      <c r="B17" s="405"/>
      <c r="C17" s="403">
        <f>C15*C16</f>
        <v>7700000</v>
      </c>
      <c r="D17" s="403">
        <f t="shared" ref="D17:L17" si="4">D15*D16</f>
        <v>8456910</v>
      </c>
      <c r="E17" s="403">
        <f t="shared" ca="1" si="4"/>
        <v>9311285.1253662426</v>
      </c>
      <c r="F17" s="403">
        <f t="shared" ca="1" si="4"/>
        <v>10283104.160899542</v>
      </c>
      <c r="G17" s="403">
        <f t="shared" ca="1" si="4"/>
        <v>11386073.067936229</v>
      </c>
      <c r="H17" s="403">
        <f t="shared" ca="1" si="4"/>
        <v>12638154.274193065</v>
      </c>
      <c r="I17" s="403">
        <f t="shared" ca="1" si="4"/>
        <v>14080296.417809498</v>
      </c>
      <c r="J17" s="403">
        <f t="shared" ca="1" si="4"/>
        <v>15739701.837148983</v>
      </c>
      <c r="K17" s="403">
        <f t="shared" ca="1" si="4"/>
        <v>17658653.210017689</v>
      </c>
      <c r="L17" s="403">
        <f t="shared" ca="1" si="4"/>
        <v>19885222.839553226</v>
      </c>
      <c r="N17" s="305"/>
      <c r="P17" s="460" t="s">
        <v>366</v>
      </c>
      <c r="Q17" s="405"/>
      <c r="R17" s="403">
        <f>SUM(C17,C128,C239,C350,C461,C572,C683,C794,C905,C1016)</f>
        <v>7700000</v>
      </c>
      <c r="S17" s="403">
        <f t="shared" ref="S17:AA17" si="5">SUM(D17,D128,D239,D350,D461,D572,D683,D794,D905,D1016)</f>
        <v>8456910</v>
      </c>
      <c r="T17" s="403">
        <f t="shared" ca="1" si="5"/>
        <v>9311285.1253662426</v>
      </c>
      <c r="U17" s="403">
        <f t="shared" ca="1" si="5"/>
        <v>96883104.16089955</v>
      </c>
      <c r="V17" s="403">
        <f t="shared" ca="1" si="5"/>
        <v>105969914.76284719</v>
      </c>
      <c r="W17" s="403">
        <f t="shared" ca="1" si="5"/>
        <v>116195504.90110189</v>
      </c>
      <c r="X17" s="403">
        <f t="shared" ca="1" si="5"/>
        <v>127750117.21120486</v>
      </c>
      <c r="Y17" s="403">
        <f t="shared" ca="1" si="5"/>
        <v>140835545.52625054</v>
      </c>
      <c r="Z17" s="403">
        <f t="shared" ca="1" si="5"/>
        <v>155702688.55790433</v>
      </c>
      <c r="AA17" s="403">
        <f t="shared" ca="1" si="5"/>
        <v>172595336.33082023</v>
      </c>
    </row>
    <row r="18" spans="1:27" ht="15.5">
      <c r="A18" s="409" t="s">
        <v>356</v>
      </c>
      <c r="B18" s="405"/>
      <c r="C18" s="48"/>
      <c r="D18" s="48"/>
      <c r="E18" s="48"/>
      <c r="F18" s="48"/>
      <c r="G18" s="48"/>
      <c r="H18" s="48"/>
      <c r="I18" s="48"/>
      <c r="J18" s="48"/>
      <c r="K18" s="48"/>
      <c r="L18" s="48"/>
      <c r="P18" s="461" t="s">
        <v>356</v>
      </c>
      <c r="Q18" s="405"/>
      <c r="R18" s="48"/>
      <c r="S18" s="48"/>
      <c r="T18" s="48"/>
      <c r="U18" s="48"/>
      <c r="V18" s="48"/>
      <c r="W18" s="48"/>
      <c r="X18" s="48"/>
      <c r="Y18" s="48"/>
      <c r="Z18" s="48"/>
      <c r="AA18" s="48"/>
    </row>
    <row r="19" spans="1:27" ht="15.5">
      <c r="A19" s="408" t="s">
        <v>358</v>
      </c>
      <c r="B19" s="405"/>
      <c r="C19" s="133">
        <f>Revenue!Q9</f>
        <v>1000</v>
      </c>
      <c r="D19" s="133">
        <f>Revenue!R9</f>
        <v>1090</v>
      </c>
      <c r="E19" s="133">
        <f ca="1">Revenue!S9</f>
        <v>1191.131147415326</v>
      </c>
      <c r="F19" s="133">
        <f ca="1">Revenue!T9</f>
        <v>1305.6989866329343</v>
      </c>
      <c r="G19" s="133">
        <f ca="1">Revenue!U9</f>
        <v>1434.6547672600404</v>
      </c>
      <c r="H19" s="133">
        <f ca="1">Revenue!V9</f>
        <v>1581.3161609828687</v>
      </c>
      <c r="I19" s="133">
        <f ca="1">Revenue!W9</f>
        <v>1749.1918489894795</v>
      </c>
      <c r="J19" s="133">
        <f ca="1">Revenue!X9</f>
        <v>1941.7914309682849</v>
      </c>
      <c r="K19" s="133">
        <f ca="1">Revenue!Y9</f>
        <v>2161.34309012827</v>
      </c>
      <c r="L19" s="133">
        <f ca="1">Revenue!Z9</f>
        <v>2414.0286180207199</v>
      </c>
      <c r="N19" s="305"/>
      <c r="P19" s="460" t="s">
        <v>289</v>
      </c>
      <c r="Q19" s="405"/>
      <c r="R19" s="133">
        <f>SUM(C19,C130,C241,C352,C463,C574,C685,C796,C907,C1018)</f>
        <v>1000</v>
      </c>
      <c r="S19" s="133">
        <f t="shared" ref="S19:AA19" si="6">SUM(D19,D130,D241,D352,D463,D574,D685,D796,D907,D1018)</f>
        <v>1090</v>
      </c>
      <c r="T19" s="133">
        <f t="shared" ca="1" si="6"/>
        <v>1191.131147415326</v>
      </c>
      <c r="U19" s="133">
        <f t="shared" ca="1" si="6"/>
        <v>10305.698986632935</v>
      </c>
      <c r="V19" s="133">
        <f t="shared" ca="1" si="6"/>
        <v>11147.606158424947</v>
      </c>
      <c r="W19" s="133">
        <f t="shared" ca="1" si="6"/>
        <v>12102.224775451639</v>
      </c>
      <c r="X19" s="133">
        <f t="shared" ca="1" si="6"/>
        <v>13185.673523896899</v>
      </c>
      <c r="Y19" s="133">
        <f t="shared" ca="1" si="6"/>
        <v>14421.107239999601</v>
      </c>
      <c r="Z19" s="133">
        <f t="shared" ca="1" si="6"/>
        <v>15828.459957107463</v>
      </c>
      <c r="AA19" s="133">
        <f t="shared" ca="1" si="6"/>
        <v>17435.327541558174</v>
      </c>
    </row>
    <row r="20" spans="1:27">
      <c r="A20" s="408" t="s">
        <v>359</v>
      </c>
      <c r="B20" s="405"/>
      <c r="C20" s="403">
        <f>Revenue!C9</f>
        <v>7000</v>
      </c>
      <c r="D20" s="403">
        <f>Revenue!D9</f>
        <v>7322</v>
      </c>
      <c r="E20" s="403">
        <f>Revenue!E9</f>
        <v>7658.8119999999999</v>
      </c>
      <c r="F20" s="403">
        <f>Revenue!F9</f>
        <v>8011.1173520000002</v>
      </c>
      <c r="G20" s="403">
        <f>Revenue!G9</f>
        <v>8379.6287501919996</v>
      </c>
      <c r="H20" s="403">
        <f>Revenue!H9</f>
        <v>8765.0916727008316</v>
      </c>
      <c r="I20" s="403">
        <f>Revenue!I9</f>
        <v>9168.2858896450707</v>
      </c>
      <c r="J20" s="403">
        <f>Revenue!J9</f>
        <v>9590.0270405687443</v>
      </c>
      <c r="K20" s="403">
        <f>Revenue!K9</f>
        <v>10031.168284434907</v>
      </c>
      <c r="L20" s="403">
        <f>Revenue!L9</f>
        <v>10492.602025518912</v>
      </c>
      <c r="P20" s="460" t="s">
        <v>388</v>
      </c>
      <c r="Q20" s="405"/>
      <c r="R20" s="403">
        <f>SUM(C20,C131,C242,C353,C464,C575,C686,C797,C908,C1019)</f>
        <v>7000</v>
      </c>
      <c r="S20" s="403">
        <f t="shared" ref="S20:AA20" si="7">SUM(D20,D131,D242,D353,D464,D575,D686,D797,D908,D1019)</f>
        <v>7322</v>
      </c>
      <c r="T20" s="403">
        <f t="shared" si="7"/>
        <v>7658.8119999999999</v>
      </c>
      <c r="U20" s="403">
        <f t="shared" si="7"/>
        <v>71011.117352000001</v>
      </c>
      <c r="V20" s="403">
        <f t="shared" si="7"/>
        <v>73917.128750192001</v>
      </c>
      <c r="W20" s="403">
        <f t="shared" si="7"/>
        <v>76976.67042270083</v>
      </c>
      <c r="X20" s="403">
        <f t="shared" si="7"/>
        <v>80200.137177770055</v>
      </c>
      <c r="Y20" s="403">
        <f t="shared" si="7"/>
        <v>83598.768739650171</v>
      </c>
      <c r="Z20" s="403">
        <f t="shared" si="7"/>
        <v>87184.72614260859</v>
      </c>
      <c r="AA20" s="403">
        <f t="shared" si="7"/>
        <v>90971.175413452147</v>
      </c>
    </row>
    <row r="21" spans="1:27">
      <c r="A21" s="408" t="s">
        <v>366</v>
      </c>
      <c r="B21" s="405"/>
      <c r="C21" s="403">
        <f>C19*C20</f>
        <v>7000000</v>
      </c>
      <c r="D21" s="403">
        <f t="shared" ref="D21:L21" si="8">D19*D20</f>
        <v>7980980</v>
      </c>
      <c r="E21" s="403">
        <f t="shared" ca="1" si="8"/>
        <v>9122649.5253982674</v>
      </c>
      <c r="F21" s="403">
        <f t="shared" ca="1" si="8"/>
        <v>10460107.808303917</v>
      </c>
      <c r="G21" s="403">
        <f t="shared" ca="1" si="8"/>
        <v>12021874.334332246</v>
      </c>
      <c r="H21" s="403">
        <f t="shared" ca="1" si="8"/>
        <v>13860381.114538191</v>
      </c>
      <c r="I21" s="403">
        <f t="shared" ca="1" si="8"/>
        <v>16037090.947372416</v>
      </c>
      <c r="J21" s="403">
        <f t="shared" ca="1" si="8"/>
        <v>18621832.330130529</v>
      </c>
      <c r="K21" s="403">
        <f t="shared" ca="1" si="8"/>
        <v>21680796.257477239</v>
      </c>
      <c r="L21" s="403">
        <f t="shared" ca="1" si="8"/>
        <v>25329441.567104828</v>
      </c>
      <c r="P21" s="460" t="s">
        <v>366</v>
      </c>
      <c r="Q21" s="405"/>
      <c r="R21" s="403">
        <f>SUM(C21,C132,C243,C354,C465,C576,C687,C798,C909,C1020)</f>
        <v>7000000</v>
      </c>
      <c r="S21" s="403">
        <f t="shared" ref="S21:AA21" si="9">SUM(D21,D132,D243,D354,D465,D576,D687,D798,D909,D1020)</f>
        <v>7980980</v>
      </c>
      <c r="T21" s="403">
        <f t="shared" ca="1" si="9"/>
        <v>9122649.5253982674</v>
      </c>
      <c r="U21" s="403">
        <f t="shared" ca="1" si="9"/>
        <v>73460107.808303922</v>
      </c>
      <c r="V21" s="403">
        <f t="shared" ca="1" si="9"/>
        <v>82740888.073190868</v>
      </c>
      <c r="W21" s="403">
        <f t="shared" ca="1" si="9"/>
        <v>93552182.732680514</v>
      </c>
      <c r="X21" s="403">
        <f t="shared" ca="1" si="9"/>
        <v>106176385.73038541</v>
      </c>
      <c r="Y21" s="403">
        <f t="shared" ca="1" si="9"/>
        <v>120989197.77494906</v>
      </c>
      <c r="Z21" s="403">
        <f t="shared" ca="1" si="9"/>
        <v>138383078.01255542</v>
      </c>
      <c r="AA21" s="403">
        <f t="shared" ca="1" si="9"/>
        <v>158876848.61867696</v>
      </c>
    </row>
    <row r="22" spans="1:27" ht="15.5">
      <c r="A22" s="409" t="s">
        <v>357</v>
      </c>
      <c r="B22" s="405"/>
      <c r="C22" s="48"/>
      <c r="D22" s="48"/>
      <c r="E22" s="48"/>
      <c r="F22" s="48"/>
      <c r="G22" s="48"/>
      <c r="H22" s="48"/>
      <c r="I22" s="48"/>
      <c r="J22" s="48"/>
      <c r="K22" s="48"/>
      <c r="L22" s="48"/>
      <c r="P22" s="461" t="s">
        <v>285</v>
      </c>
      <c r="Q22" s="405"/>
      <c r="R22" s="403">
        <f>SUM(R17,R21)</f>
        <v>14700000</v>
      </c>
      <c r="S22" s="403">
        <f t="shared" ref="S22:AA22" si="10">SUM(S17,S21)</f>
        <v>16437890</v>
      </c>
      <c r="T22" s="403">
        <f t="shared" ca="1" si="10"/>
        <v>18433934.65076451</v>
      </c>
      <c r="U22" s="403">
        <f t="shared" ca="1" si="10"/>
        <v>170343211.96920347</v>
      </c>
      <c r="V22" s="403">
        <f t="shared" ca="1" si="10"/>
        <v>188710802.83603805</v>
      </c>
      <c r="W22" s="403">
        <f t="shared" ca="1" si="10"/>
        <v>209747687.63378239</v>
      </c>
      <c r="X22" s="403">
        <f t="shared" ca="1" si="10"/>
        <v>233926502.94159025</v>
      </c>
      <c r="Y22" s="403">
        <f t="shared" ca="1" si="10"/>
        <v>261824743.30119962</v>
      </c>
      <c r="Z22" s="403">
        <f t="shared" ca="1" si="10"/>
        <v>294085766.57045972</v>
      </c>
      <c r="AA22" s="403">
        <f t="shared" ca="1" si="10"/>
        <v>331472184.94949722</v>
      </c>
    </row>
    <row r="23" spans="1:27" ht="15.5">
      <c r="A23" s="408" t="s">
        <v>358</v>
      </c>
      <c r="B23" s="405"/>
      <c r="C23" s="133">
        <f>Revenue!Q10</f>
        <v>1270</v>
      </c>
      <c r="D23" s="133">
        <f>Revenue!R10</f>
        <v>1295.4000000000001</v>
      </c>
      <c r="E23" s="133">
        <f ca="1">Revenue!S10</f>
        <v>1324.8782303152132</v>
      </c>
      <c r="F23" s="133">
        <f ca="1">Revenue!T10</f>
        <v>1359.299051788817</v>
      </c>
      <c r="G23" s="133">
        <f ca="1">Revenue!U10</f>
        <v>1398.875309447832</v>
      </c>
      <c r="H23" s="133">
        <f ca="1">Revenue!V10</f>
        <v>1445.045272910826</v>
      </c>
      <c r="I23" s="133">
        <f ca="1">Revenue!W10</f>
        <v>1498.1249427487705</v>
      </c>
      <c r="J23" s="133">
        <f ca="1">Revenue!X10</f>
        <v>1559.0779579156692</v>
      </c>
      <c r="K23" s="133">
        <f ca="1">Revenue!Y10</f>
        <v>1627.7145419602341</v>
      </c>
      <c r="L23" s="133">
        <f ca="1">Revenue!Z10</f>
        <v>1705.7959579020765</v>
      </c>
      <c r="N23" s="305"/>
      <c r="P23" s="460"/>
      <c r="Q23" s="405"/>
      <c r="R23" s="48"/>
      <c r="S23" s="48"/>
      <c r="T23" s="48"/>
      <c r="U23" s="48"/>
      <c r="V23" s="48"/>
      <c r="W23" s="48"/>
      <c r="X23" s="48"/>
      <c r="Y23" s="48"/>
      <c r="Z23" s="48"/>
      <c r="AA23" s="48"/>
    </row>
    <row r="24" spans="1:27" ht="15.5">
      <c r="A24" s="408" t="s">
        <v>359</v>
      </c>
      <c r="B24" s="405"/>
      <c r="C24" s="403">
        <f>Revenue!C10</f>
        <v>4000</v>
      </c>
      <c r="D24" s="403">
        <f>Revenue!D10</f>
        <v>4184</v>
      </c>
      <c r="E24" s="403">
        <f>Revenue!E10</f>
        <v>4376.4639999999999</v>
      </c>
      <c r="F24" s="403">
        <f>Revenue!F10</f>
        <v>4577.781344</v>
      </c>
      <c r="G24" s="403">
        <f>Revenue!G10</f>
        <v>4788.3592858239999</v>
      </c>
      <c r="H24" s="403">
        <f>Revenue!H10</f>
        <v>5008.623812971904</v>
      </c>
      <c r="I24" s="403">
        <f>Revenue!I10</f>
        <v>5239.0205083686114</v>
      </c>
      <c r="J24" s="403">
        <f>Revenue!J10</f>
        <v>5480.0154517535675</v>
      </c>
      <c r="K24" s="403">
        <f>Revenue!K10</f>
        <v>5732.0961625342316</v>
      </c>
      <c r="L24" s="403">
        <f>Revenue!L10</f>
        <v>5995.7725860108067</v>
      </c>
      <c r="N24" s="305"/>
      <c r="P24" s="461" t="s">
        <v>293</v>
      </c>
      <c r="Q24" s="405"/>
      <c r="R24" s="48"/>
      <c r="S24" s="48"/>
      <c r="T24" s="48"/>
      <c r="U24" s="48"/>
      <c r="V24" s="48"/>
      <c r="W24" s="48"/>
      <c r="X24" s="48"/>
      <c r="Y24" s="48"/>
      <c r="Z24" s="48"/>
      <c r="AA24" s="48"/>
    </row>
    <row r="25" spans="1:27" ht="15.5">
      <c r="A25" s="408" t="s">
        <v>366</v>
      </c>
      <c r="B25" s="405"/>
      <c r="C25" s="403">
        <f>C23*C24</f>
        <v>5080000</v>
      </c>
      <c r="D25" s="403">
        <f t="shared" ref="D25:L25" si="11">D23*D24</f>
        <v>5419953.6000000006</v>
      </c>
      <c r="E25" s="403">
        <f t="shared" ca="1" si="11"/>
        <v>5798281.8793582385</v>
      </c>
      <c r="F25" s="403">
        <f t="shared" ca="1" si="11"/>
        <v>6222573.8401957359</v>
      </c>
      <c r="G25" s="403">
        <f t="shared" ca="1" si="11"/>
        <v>6698317.5777044483</v>
      </c>
      <c r="H25" s="403">
        <f t="shared" ca="1" si="11"/>
        <v>7237688.1647236468</v>
      </c>
      <c r="I25" s="403">
        <f t="shared" ca="1" si="11"/>
        <v>7848707.299159361</v>
      </c>
      <c r="J25" s="403">
        <f t="shared" ca="1" si="11"/>
        <v>8543771.2998662665</v>
      </c>
      <c r="K25" s="403">
        <f t="shared" ca="1" si="11"/>
        <v>9330216.2796714231</v>
      </c>
      <c r="L25" s="403">
        <f t="shared" ca="1" si="11"/>
        <v>10227564.641717315</v>
      </c>
      <c r="N25" s="305"/>
      <c r="P25" s="460" t="s">
        <v>289</v>
      </c>
      <c r="Q25" s="405"/>
      <c r="R25" s="133">
        <f>SUM(C23,C134,C245,C356,C467,C578,C689,C800,C911,C1022)</f>
        <v>1270</v>
      </c>
      <c r="S25" s="133">
        <f t="shared" ref="S25:AA25" si="12">SUM(D23,D134,D245,D356,D467,D578,D689,D800,D911,D1022)</f>
        <v>1295.4000000000001</v>
      </c>
      <c r="T25" s="133">
        <f t="shared" ca="1" si="12"/>
        <v>1324.8782303152132</v>
      </c>
      <c r="U25" s="133">
        <f t="shared" ca="1" si="12"/>
        <v>12789.299051788817</v>
      </c>
      <c r="V25" s="133">
        <f t="shared" ca="1" si="12"/>
        <v>13252.228934356919</v>
      </c>
      <c r="W25" s="133">
        <f t="shared" ca="1" si="12"/>
        <v>13777.853715200878</v>
      </c>
      <c r="X25" s="133">
        <f t="shared" ca="1" si="12"/>
        <v>14375.746644410874</v>
      </c>
      <c r="Y25" s="133">
        <f t="shared" ca="1" si="12"/>
        <v>15055.582371280834</v>
      </c>
      <c r="Z25" s="133">
        <f t="shared" ca="1" si="12"/>
        <v>15822.422300431506</v>
      </c>
      <c r="AA25" s="133">
        <f t="shared" ca="1" si="12"/>
        <v>16686.804243424962</v>
      </c>
    </row>
    <row r="26" spans="1:27" ht="15.5">
      <c r="A26" s="409" t="s">
        <v>360</v>
      </c>
      <c r="B26" s="405"/>
      <c r="C26" s="48"/>
      <c r="D26" s="48"/>
      <c r="E26" s="48"/>
      <c r="F26" s="48"/>
      <c r="G26" s="48"/>
      <c r="H26" s="48"/>
      <c r="I26" s="48"/>
      <c r="J26" s="48"/>
      <c r="K26" s="48"/>
      <c r="L26" s="48"/>
      <c r="P26" s="460" t="s">
        <v>388</v>
      </c>
      <c r="Q26" s="405"/>
      <c r="R26" s="403">
        <f>SUM(C24,C135,C246,C357,C468,C579,C690,C801,C912,C1023)</f>
        <v>4000</v>
      </c>
      <c r="S26" s="403">
        <f t="shared" ref="S26:AA26" si="13">SUM(D24,D135,D246,D357,D468,D579,D690,D801,D912,D1023)</f>
        <v>4184</v>
      </c>
      <c r="T26" s="403">
        <f t="shared" si="13"/>
        <v>4376.4639999999999</v>
      </c>
      <c r="U26" s="403">
        <f t="shared" si="13"/>
        <v>48577.781344000003</v>
      </c>
      <c r="V26" s="403">
        <f t="shared" si="13"/>
        <v>50560.859285824001</v>
      </c>
      <c r="W26" s="403">
        <f t="shared" si="13"/>
        <v>52649.580062971901</v>
      </c>
      <c r="X26" s="403">
        <f t="shared" si="13"/>
        <v>54851.193142743621</v>
      </c>
      <c r="Y26" s="403">
        <f t="shared" si="13"/>
        <v>57173.543819668885</v>
      </c>
      <c r="Z26" s="403">
        <f t="shared" si="13"/>
        <v>59625.127444544007</v>
      </c>
      <c r="AA26" s="403">
        <f t="shared" si="13"/>
        <v>55514.670641484983</v>
      </c>
    </row>
    <row r="27" spans="1:27">
      <c r="A27" s="408" t="s">
        <v>358</v>
      </c>
      <c r="B27" s="405"/>
      <c r="C27" s="133">
        <f>Revenue!Q11</f>
        <v>0</v>
      </c>
      <c r="D27" s="133">
        <f>Revenue!R11</f>
        <v>635</v>
      </c>
      <c r="E27" s="133">
        <f ca="1">Revenue!S11</f>
        <v>661.97591586681756</v>
      </c>
      <c r="F27" s="133">
        <f ca="1">Revenue!T11</f>
        <v>692.69999635378997</v>
      </c>
      <c r="G27" s="133">
        <f ca="1">Revenue!U11</f>
        <v>726.8009516704509</v>
      </c>
      <c r="H27" s="133">
        <f ca="1">Revenue!V11</f>
        <v>764.38274989454214</v>
      </c>
      <c r="I27" s="133">
        <f ca="1">Revenue!W11</f>
        <v>806.5493438164641</v>
      </c>
      <c r="J27" s="133">
        <f ca="1">Revenue!X11</f>
        <v>853.65642953465942</v>
      </c>
      <c r="K27" s="133">
        <f ca="1">Revenue!Y11</f>
        <v>906.17048677439436</v>
      </c>
      <c r="L27" s="133">
        <f ca="1">Revenue!Z11</f>
        <v>964.92939808724577</v>
      </c>
      <c r="P27" s="460"/>
      <c r="Q27" s="405"/>
      <c r="R27" s="465"/>
      <c r="S27" s="465"/>
      <c r="T27" s="465"/>
      <c r="U27" s="465"/>
      <c r="V27" s="465"/>
      <c r="W27" s="465"/>
      <c r="X27" s="465"/>
      <c r="Y27" s="465"/>
      <c r="Z27" s="465"/>
      <c r="AA27" s="466"/>
    </row>
    <row r="28" spans="1:27" ht="15.5">
      <c r="A28" s="408" t="s">
        <v>359</v>
      </c>
      <c r="B28" s="405"/>
      <c r="C28" s="403">
        <f>Revenue!C11</f>
        <v>0</v>
      </c>
      <c r="D28" s="403">
        <f>Revenue!D11</f>
        <v>9500</v>
      </c>
      <c r="E28" s="403">
        <f>Revenue!E11</f>
        <v>9937</v>
      </c>
      <c r="F28" s="403">
        <f>Revenue!F11</f>
        <v>10394.102000000001</v>
      </c>
      <c r="G28" s="403">
        <f>Revenue!G11</f>
        <v>10872.230692000001</v>
      </c>
      <c r="H28" s="403">
        <f>Revenue!H11</f>
        <v>11372.353303832002</v>
      </c>
      <c r="I28" s="403">
        <f>Revenue!I11</f>
        <v>11895.481555808274</v>
      </c>
      <c r="J28" s="403">
        <f>Revenue!J11</f>
        <v>12442.673707375454</v>
      </c>
      <c r="K28" s="403">
        <f>Revenue!K11</f>
        <v>13015.036697914726</v>
      </c>
      <c r="L28" s="403">
        <f>Revenue!L11</f>
        <v>13613.728386018804</v>
      </c>
      <c r="P28" s="461" t="s">
        <v>286</v>
      </c>
      <c r="Q28" s="405"/>
      <c r="R28" s="403">
        <f>SUM(C25,C136,C247,C358,C469,C580,C691,C802,C913,C1024)</f>
        <v>5080000</v>
      </c>
      <c r="S28" s="403">
        <f>SUM(D25,D136,D247,D358,D469,D580,D691,D802,D913,D1024)</f>
        <v>5419953.6000000006</v>
      </c>
      <c r="T28" s="403">
        <f ca="1">SUM(E25,E136,E247,E358,E469,E580,E691,E802,E913,E1024)</f>
        <v>5798281.8793582385</v>
      </c>
      <c r="U28" s="403">
        <f ca="1">SUM(F25,F136,F247,F358,F469,F580,F691,F802,F913,F1024)</f>
        <v>62102573.840195738</v>
      </c>
      <c r="V28" s="403">
        <f ca="1">SUM(G25,G136,G247,G358,G469,G580,G691,G802,G913,G1024)</f>
        <v>66977151.355258897</v>
      </c>
      <c r="W28" s="403">
        <f ca="1">SUM(H25,H136,H247,H358,H469,H580,H691,H802,H913,H1024)</f>
        <v>72505447.695981354</v>
      </c>
      <c r="X28" s="403">
        <f ca="1">SUM(I25,I136,I247,I358,I469,I580,I691,I802,I913,I1024)</f>
        <v>78804151.912104279</v>
      </c>
      <c r="Y28" s="403">
        <f ca="1">SUM(J25,J136,J247,J358,J469,J580,J691,J802,J913,J1024)</f>
        <v>86007648.021679103</v>
      </c>
      <c r="Z28" s="403">
        <f ca="1">SUM(K25,K136,K247,K358,K469,K580,K691,K802,K913,K1024)</f>
        <v>94241559.344533548</v>
      </c>
      <c r="AA28" s="403">
        <f ca="1">SUM(L25,L136,L247,L358,L469,L580,L691,L802,L913,L1024)</f>
        <v>92904868.834285945</v>
      </c>
    </row>
    <row r="29" spans="1:27" ht="15.5">
      <c r="A29" s="408" t="s">
        <v>366</v>
      </c>
      <c r="B29" s="405"/>
      <c r="C29" s="403">
        <f>C27*C28</f>
        <v>0</v>
      </c>
      <c r="D29" s="403">
        <f t="shared" ref="D29:L29" si="14">D27*D28</f>
        <v>6032500</v>
      </c>
      <c r="E29" s="403">
        <f t="shared" ca="1" si="14"/>
        <v>6578054.675968566</v>
      </c>
      <c r="F29" s="403">
        <f t="shared" ca="1" si="14"/>
        <v>7199994.4175009215</v>
      </c>
      <c r="G29" s="403">
        <f t="shared" ca="1" si="14"/>
        <v>7901947.6137262853</v>
      </c>
      <c r="H29" s="403">
        <f t="shared" ca="1" si="14"/>
        <v>8692830.6911553871</v>
      </c>
      <c r="I29" s="403">
        <f t="shared" ca="1" si="14"/>
        <v>9594292.8432180155</v>
      </c>
      <c r="J29" s="403">
        <f t="shared" ca="1" si="14"/>
        <v>10621768.410902914</v>
      </c>
      <c r="K29" s="403">
        <f t="shared" ca="1" si="14"/>
        <v>11793842.139935993</v>
      </c>
      <c r="L29" s="403">
        <f t="shared" ca="1" si="14"/>
        <v>13136286.737244377</v>
      </c>
      <c r="N29" s="305"/>
      <c r="P29" s="461"/>
      <c r="Q29" s="405"/>
      <c r="R29" s="135"/>
      <c r="S29" s="135"/>
      <c r="T29" s="135"/>
      <c r="U29" s="135"/>
      <c r="V29" s="135"/>
      <c r="W29" s="135"/>
      <c r="X29" s="135"/>
      <c r="Y29" s="135"/>
      <c r="Z29" s="135"/>
      <c r="AA29" s="135"/>
    </row>
    <row r="30" spans="1:27" ht="15.5">
      <c r="A30" s="409" t="s">
        <v>362</v>
      </c>
      <c r="B30" s="405"/>
      <c r="C30" s="48"/>
      <c r="D30" s="48"/>
      <c r="E30" s="48"/>
      <c r="F30" s="48"/>
      <c r="G30" s="48"/>
      <c r="H30" s="48"/>
      <c r="I30" s="48"/>
      <c r="J30" s="48"/>
      <c r="K30" s="48"/>
      <c r="L30" s="48"/>
      <c r="P30" s="461" t="s">
        <v>294</v>
      </c>
      <c r="Q30" s="405"/>
      <c r="R30" s="48"/>
      <c r="S30" s="48"/>
      <c r="T30" s="48"/>
      <c r="U30" s="48"/>
      <c r="V30" s="48"/>
      <c r="W30" s="48"/>
      <c r="X30" s="48"/>
      <c r="Y30" s="48"/>
      <c r="Z30" s="48"/>
      <c r="AA30" s="48"/>
    </row>
    <row r="31" spans="1:27" ht="15.5">
      <c r="A31" s="408" t="s">
        <v>358</v>
      </c>
      <c r="B31" s="405"/>
      <c r="C31" s="133">
        <f>Revenue!Q12</f>
        <v>0</v>
      </c>
      <c r="D31" s="133">
        <f>Revenue!R12</f>
        <v>0</v>
      </c>
      <c r="E31" s="133">
        <f>Revenue!S12</f>
        <v>318</v>
      </c>
      <c r="F31" s="133">
        <f ca="1">Revenue!T12</f>
        <v>332.9379066227595</v>
      </c>
      <c r="G31" s="133">
        <f ca="1">Revenue!U12</f>
        <v>349.53121283318501</v>
      </c>
      <c r="H31" s="133">
        <f ca="1">Revenue!V12</f>
        <v>367.85597514175265</v>
      </c>
      <c r="I31" s="133">
        <f ca="1">Revenue!W12</f>
        <v>388.16850390541219</v>
      </c>
      <c r="J31" s="133">
        <f ca="1">Revenue!X12</f>
        <v>411.015003151305</v>
      </c>
      <c r="K31" s="133">
        <f ca="1">Revenue!Y12</f>
        <v>436.35246282630555</v>
      </c>
      <c r="L31" s="133">
        <f ca="1">Revenue!Z12</f>
        <v>464.93706054385768</v>
      </c>
      <c r="N31" s="305"/>
      <c r="P31" s="460" t="s">
        <v>289</v>
      </c>
      <c r="Q31" s="405"/>
      <c r="R31" s="133">
        <f>SUM(C27,C138,C249,C360,C471,C582,C693,C804,C915,C1026)</f>
        <v>0</v>
      </c>
      <c r="S31" s="133">
        <f t="shared" ref="S31:AA31" si="15">SUM(D27,D138,D249,D360,D471,D582,D693,D804,D915,D1026)</f>
        <v>635</v>
      </c>
      <c r="T31" s="133">
        <f t="shared" ca="1" si="15"/>
        <v>661.97591586681756</v>
      </c>
      <c r="U31" s="133">
        <f t="shared" ca="1" si="15"/>
        <v>692.69999635378997</v>
      </c>
      <c r="V31" s="133">
        <f t="shared" ca="1" si="15"/>
        <v>6441.8009516704515</v>
      </c>
      <c r="W31" s="133">
        <f t="shared" ca="1" si="15"/>
        <v>6787.5704552124535</v>
      </c>
      <c r="X31" s="133">
        <f t="shared" ca="1" si="15"/>
        <v>7176.1164063085607</v>
      </c>
      <c r="Y31" s="133">
        <f t="shared" ca="1" si="15"/>
        <v>7610.1510143559017</v>
      </c>
      <c r="Z31" s="133">
        <f t="shared" ca="1" si="15"/>
        <v>8095.877362249581</v>
      </c>
      <c r="AA31" s="133">
        <f t="shared" ca="1" si="15"/>
        <v>8641.4238535648255</v>
      </c>
    </row>
    <row r="32" spans="1:27">
      <c r="A32" s="408" t="s">
        <v>359</v>
      </c>
      <c r="B32" s="405"/>
      <c r="C32" s="403">
        <f>Revenue!C12</f>
        <v>0</v>
      </c>
      <c r="D32" s="403">
        <f>Revenue!D12</f>
        <v>0</v>
      </c>
      <c r="E32" s="403">
        <f>Revenue!E12</f>
        <v>10000</v>
      </c>
      <c r="F32" s="403">
        <f>Revenue!F12</f>
        <v>10460</v>
      </c>
      <c r="G32" s="403">
        <f>Revenue!G12</f>
        <v>10941.16</v>
      </c>
      <c r="H32" s="403">
        <f>Revenue!H12</f>
        <v>11444.45336</v>
      </c>
      <c r="I32" s="403">
        <f>Revenue!I12</f>
        <v>11970.89821456</v>
      </c>
      <c r="J32" s="403">
        <f>Revenue!J12</f>
        <v>12521.559532429761</v>
      </c>
      <c r="K32" s="403">
        <f>Revenue!K12</f>
        <v>13097.551270921531</v>
      </c>
      <c r="L32" s="403">
        <f>Revenue!L12</f>
        <v>13700.038629383922</v>
      </c>
      <c r="P32" s="460" t="s">
        <v>60</v>
      </c>
      <c r="Q32" s="405"/>
      <c r="R32" s="403">
        <f>SUM(C28,C139,C250,C361,C472,C583,C694,C805,C916,C1027)</f>
        <v>0</v>
      </c>
      <c r="S32" s="403">
        <f t="shared" ref="S32:AA32" si="16">SUM(D28,D139,D250,D361,D472,D583,D694,D805,D916,D1027)</f>
        <v>9500</v>
      </c>
      <c r="T32" s="403">
        <f t="shared" si="16"/>
        <v>9937</v>
      </c>
      <c r="U32" s="403">
        <f t="shared" si="16"/>
        <v>10394.102000000001</v>
      </c>
      <c r="V32" s="403">
        <f t="shared" si="16"/>
        <v>96372.230691999997</v>
      </c>
      <c r="W32" s="403">
        <f t="shared" si="16"/>
        <v>100316.103303832</v>
      </c>
      <c r="X32" s="403">
        <f t="shared" si="16"/>
        <v>104468.33843080828</v>
      </c>
      <c r="Y32" s="403">
        <f t="shared" si="16"/>
        <v>108843.04331268795</v>
      </c>
      <c r="Z32" s="403">
        <f t="shared" si="16"/>
        <v>113455.47186095382</v>
      </c>
      <c r="AA32" s="403">
        <f t="shared" si="16"/>
        <v>118322.12833639738</v>
      </c>
    </row>
    <row r="33" spans="1:27">
      <c r="A33" s="408" t="s">
        <v>366</v>
      </c>
      <c r="B33" s="405"/>
      <c r="C33" s="403">
        <f>C31*C32</f>
        <v>0</v>
      </c>
      <c r="D33" s="403">
        <f t="shared" ref="D33:L33" si="17">D31*D32</f>
        <v>0</v>
      </c>
      <c r="E33" s="403">
        <f t="shared" si="17"/>
        <v>3180000</v>
      </c>
      <c r="F33" s="403">
        <f t="shared" ca="1" si="17"/>
        <v>3482530.5032740645</v>
      </c>
      <c r="G33" s="403">
        <f t="shared" ca="1" si="17"/>
        <v>3824276.9246019307</v>
      </c>
      <c r="H33" s="403">
        <f t="shared" ca="1" si="17"/>
        <v>4209910.5507071074</v>
      </c>
      <c r="I33" s="403">
        <f t="shared" ca="1" si="17"/>
        <v>4646725.650349725</v>
      </c>
      <c r="J33" s="403">
        <f t="shared" ca="1" si="17"/>
        <v>5146548.8306808714</v>
      </c>
      <c r="K33" s="403">
        <f t="shared" ca="1" si="17"/>
        <v>5715148.7540604183</v>
      </c>
      <c r="L33" s="403">
        <f t="shared" ca="1" si="17"/>
        <v>6369655.6896830611</v>
      </c>
      <c r="P33" s="460"/>
      <c r="Q33" s="405"/>
      <c r="R33" s="403"/>
      <c r="S33" s="403"/>
      <c r="T33" s="403"/>
      <c r="U33" s="403"/>
      <c r="V33" s="403"/>
      <c r="W33" s="403"/>
      <c r="X33" s="403"/>
      <c r="Y33" s="403"/>
      <c r="Z33" s="403"/>
      <c r="AA33" s="403"/>
    </row>
    <row r="34" spans="1:27" ht="15.5">
      <c r="A34" s="409" t="s">
        <v>361</v>
      </c>
      <c r="B34" s="405"/>
      <c r="C34" s="48"/>
      <c r="D34" s="48"/>
      <c r="E34" s="48"/>
      <c r="F34" s="48"/>
      <c r="G34" s="48"/>
      <c r="H34" s="48"/>
      <c r="I34" s="48"/>
      <c r="J34" s="48"/>
      <c r="K34" s="48"/>
      <c r="L34" s="48"/>
      <c r="P34" s="461" t="s">
        <v>287</v>
      </c>
      <c r="Q34" s="405"/>
      <c r="R34" s="403">
        <f>SUM(C29,C140,C251,C362,C473,C584,C695,C806,C917,C1028)</f>
        <v>0</v>
      </c>
      <c r="S34" s="403">
        <f t="shared" ref="S34:AA34" si="18">SUM(D29,D140,D251,D362,D473,D584,D695,D806,D917,D1028)</f>
        <v>6032500</v>
      </c>
      <c r="T34" s="403">
        <f t="shared" ca="1" si="18"/>
        <v>6578054.675968566</v>
      </c>
      <c r="U34" s="403">
        <f t="shared" ca="1" si="18"/>
        <v>7199994.4175009215</v>
      </c>
      <c r="V34" s="403">
        <f t="shared" ca="1" si="18"/>
        <v>62194447.613726288</v>
      </c>
      <c r="W34" s="403">
        <f t="shared" ca="1" si="18"/>
        <v>68216525.369148925</v>
      </c>
      <c r="X34" s="403">
        <f t="shared" ca="1" si="18"/>
        <v>75104872.967694476</v>
      </c>
      <c r="Y34" s="403">
        <f t="shared" ca="1" si="18"/>
        <v>82977491.402859271</v>
      </c>
      <c r="Z34" s="403">
        <f t="shared" ca="1" si="18"/>
        <v>92003354.965685144</v>
      </c>
      <c r="AA34" s="403">
        <f t="shared" ca="1" si="18"/>
        <v>102398578.84656528</v>
      </c>
    </row>
    <row r="35" spans="1:27" ht="15.5">
      <c r="A35" s="408" t="s">
        <v>358</v>
      </c>
      <c r="B35" s="405"/>
      <c r="C35" s="133">
        <f>Revenue!Q13</f>
        <v>1900</v>
      </c>
      <c r="D35" s="133">
        <f>Revenue!R13</f>
        <v>1900</v>
      </c>
      <c r="E35" s="133">
        <f ca="1">Revenue!S13</f>
        <v>1904.5976786050896</v>
      </c>
      <c r="F35" s="133">
        <f ca="1">Revenue!T13</f>
        <v>1916.1631488703702</v>
      </c>
      <c r="G35" s="133">
        <f ca="1">Revenue!U13</f>
        <v>1934.3376596886028</v>
      </c>
      <c r="H35" s="133">
        <f ca="1">Revenue!V13</f>
        <v>1958.9943305045249</v>
      </c>
      <c r="I35" s="133">
        <f ca="1">Revenue!W13</f>
        <v>1991.7705169709561</v>
      </c>
      <c r="J35" s="133">
        <f ca="1">Revenue!X13</f>
        <v>2032.92092755507</v>
      </c>
      <c r="K35" s="133">
        <f ca="1">Revenue!Y13</f>
        <v>2079.9933541900546</v>
      </c>
      <c r="L35" s="133">
        <f ca="1">Revenue!Z13</f>
        <v>2135.5770055908611</v>
      </c>
      <c r="N35" s="305"/>
      <c r="P35" s="460"/>
      <c r="Q35" s="405"/>
      <c r="R35" s="48"/>
      <c r="S35" s="48"/>
      <c r="T35" s="48"/>
      <c r="U35" s="48"/>
      <c r="V35" s="48"/>
      <c r="W35" s="48"/>
      <c r="X35" s="48"/>
      <c r="Y35" s="48"/>
      <c r="Z35" s="48"/>
      <c r="AA35" s="48"/>
    </row>
    <row r="36" spans="1:27" ht="15.5">
      <c r="A36" s="408" t="s">
        <v>359</v>
      </c>
      <c r="B36" s="405"/>
      <c r="C36" s="403">
        <f>Revenue!C13</f>
        <v>1900</v>
      </c>
      <c r="D36" s="403">
        <f>Revenue!D13</f>
        <v>1987.4</v>
      </c>
      <c r="E36" s="403">
        <f>Revenue!E13</f>
        <v>2078.8204000000001</v>
      </c>
      <c r="F36" s="403">
        <f>Revenue!F13</f>
        <v>2174.4461384000001</v>
      </c>
      <c r="G36" s="403">
        <f>Revenue!G13</f>
        <v>2274.4706607664002</v>
      </c>
      <c r="H36" s="403">
        <f>Revenue!H13</f>
        <v>2379.0963111616547</v>
      </c>
      <c r="I36" s="403">
        <f>Revenue!I13</f>
        <v>2488.5347414750909</v>
      </c>
      <c r="J36" s="403">
        <f>Revenue!J13</f>
        <v>2603.007339582945</v>
      </c>
      <c r="K36" s="403">
        <f>Revenue!K13</f>
        <v>2722.7456772037604</v>
      </c>
      <c r="L36" s="403">
        <f>Revenue!L13</f>
        <v>2847.9919783551336</v>
      </c>
      <c r="N36" s="305"/>
      <c r="P36" s="461" t="s">
        <v>295</v>
      </c>
      <c r="Q36" s="405"/>
      <c r="R36" s="48"/>
      <c r="S36" s="48"/>
      <c r="T36" s="48"/>
      <c r="U36" s="48"/>
      <c r="V36" s="48"/>
      <c r="W36" s="48"/>
      <c r="X36" s="48"/>
      <c r="Y36" s="48"/>
      <c r="Z36" s="48"/>
      <c r="AA36" s="48"/>
    </row>
    <row r="37" spans="1:27" ht="15.5">
      <c r="A37" s="408" t="s">
        <v>366</v>
      </c>
      <c r="B37" s="405"/>
      <c r="C37" s="403">
        <f>C35*C36</f>
        <v>3610000</v>
      </c>
      <c r="D37" s="403">
        <f t="shared" ref="D37:L37" si="19">D35*D36</f>
        <v>3776060</v>
      </c>
      <c r="E37" s="403">
        <f t="shared" ca="1" si="19"/>
        <v>3959316.5080769039</v>
      </c>
      <c r="F37" s="403">
        <f t="shared" ca="1" si="19"/>
        <v>4166593.5596055607</v>
      </c>
      <c r="G37" s="403">
        <f t="shared" ca="1" si="19"/>
        <v>4399594.2549772682</v>
      </c>
      <c r="H37" s="403">
        <f t="shared" ca="1" si="19"/>
        <v>4660636.185289911</v>
      </c>
      <c r="I37" s="403">
        <f t="shared" ca="1" si="19"/>
        <v>4956590.1285280259</v>
      </c>
      <c r="J37" s="403">
        <f t="shared" ca="1" si="19"/>
        <v>5291708.0952176154</v>
      </c>
      <c r="K37" s="403">
        <f t="shared" ca="1" si="19"/>
        <v>5663292.9137335215</v>
      </c>
      <c r="L37" s="403">
        <f t="shared" ca="1" si="19"/>
        <v>6082106.1810824489</v>
      </c>
      <c r="N37" s="305"/>
      <c r="P37" s="460" t="s">
        <v>289</v>
      </c>
      <c r="Q37" s="405"/>
      <c r="R37" s="133">
        <f>SUM(C31,C142,C253,C364,C475,C586,C697,C808,C919,C1030)</f>
        <v>0</v>
      </c>
      <c r="S37" s="133">
        <f t="shared" ref="S37:AA39" si="20">SUM(D31,D142,D253,D364,D475,D586,D697,D808,D919,D1030)</f>
        <v>0</v>
      </c>
      <c r="T37" s="133">
        <f t="shared" si="20"/>
        <v>318</v>
      </c>
      <c r="U37" s="133">
        <f t="shared" ca="1" si="20"/>
        <v>332.9379066227595</v>
      </c>
      <c r="V37" s="133">
        <f t="shared" ca="1" si="20"/>
        <v>349.53121283318501</v>
      </c>
      <c r="W37" s="133">
        <f t="shared" ca="1" si="20"/>
        <v>3229.8559751417524</v>
      </c>
      <c r="X37" s="133">
        <f t="shared" ca="1" si="20"/>
        <v>3423.1844868304211</v>
      </c>
      <c r="Y37" s="133">
        <f t="shared" ca="1" si="20"/>
        <v>3641.1187403862514</v>
      </c>
      <c r="Z37" s="133">
        <f t="shared" ca="1" si="20"/>
        <v>3885.5766643587417</v>
      </c>
      <c r="AA37" s="133">
        <f t="shared" ca="1" si="20"/>
        <v>4161.3129621300686</v>
      </c>
    </row>
    <row r="38" spans="1:27" ht="15.5">
      <c r="A38" s="409" t="s">
        <v>363</v>
      </c>
      <c r="B38" s="405"/>
      <c r="C38" s="48"/>
      <c r="D38" s="48"/>
      <c r="E38" s="48"/>
      <c r="F38" s="48"/>
      <c r="G38" s="48"/>
      <c r="H38" s="48"/>
      <c r="I38" s="48"/>
      <c r="J38" s="48"/>
      <c r="K38" s="48"/>
      <c r="L38" s="48"/>
      <c r="P38" s="460" t="s">
        <v>60</v>
      </c>
      <c r="Q38" s="405"/>
      <c r="R38" s="403">
        <f t="shared" ref="R38:R39" si="21">SUM(C32,C143,C254,C365,C476,C587,C698,C809,C920,C1031)</f>
        <v>0</v>
      </c>
      <c r="S38" s="403">
        <f t="shared" si="20"/>
        <v>0</v>
      </c>
      <c r="T38" s="403">
        <f t="shared" si="20"/>
        <v>10000</v>
      </c>
      <c r="U38" s="403">
        <f t="shared" si="20"/>
        <v>10460</v>
      </c>
      <c r="V38" s="403">
        <f t="shared" si="20"/>
        <v>10941.16</v>
      </c>
      <c r="W38" s="403">
        <f t="shared" si="20"/>
        <v>101444.45336</v>
      </c>
      <c r="X38" s="403">
        <f t="shared" si="20"/>
        <v>105595.89821456</v>
      </c>
      <c r="Y38" s="403">
        <f t="shared" si="20"/>
        <v>109966.67203242976</v>
      </c>
      <c r="Z38" s="403">
        <f t="shared" si="20"/>
        <v>114571.62453967154</v>
      </c>
      <c r="AA38" s="403">
        <f t="shared" si="20"/>
        <v>119426.81248521454</v>
      </c>
    </row>
    <row r="39" spans="1:27">
      <c r="A39" s="408" t="s">
        <v>358</v>
      </c>
      <c r="B39" s="405"/>
      <c r="C39" s="133">
        <f>Revenue!Q15</f>
        <v>0</v>
      </c>
      <c r="D39" s="133">
        <f>Revenue!R15</f>
        <v>300</v>
      </c>
      <c r="E39" s="133">
        <f ca="1">Revenue!S15</f>
        <v>301.11277676803013</v>
      </c>
      <c r="F39" s="133">
        <f ca="1">Revenue!T15</f>
        <v>303.20057605817976</v>
      </c>
      <c r="G39" s="133">
        <f ca="1">Revenue!U15</f>
        <v>306.22802074107932</v>
      </c>
      <c r="H39" s="133">
        <f ca="1">Revenue!V15</f>
        <v>310.47046268128281</v>
      </c>
      <c r="I39" s="133">
        <f ca="1">Revenue!W15</f>
        <v>315.55677085327437</v>
      </c>
      <c r="J39" s="133">
        <f ca="1">Revenue!X15</f>
        <v>321.87588100527364</v>
      </c>
      <c r="K39" s="133">
        <f ca="1">Revenue!Y15</f>
        <v>329.15906661554277</v>
      </c>
      <c r="L39" s="133">
        <f ca="1">Revenue!Z15</f>
        <v>337.79284309919763</v>
      </c>
      <c r="P39" s="460"/>
      <c r="Q39" s="405"/>
      <c r="R39" s="465"/>
      <c r="S39" s="465"/>
      <c r="T39" s="465"/>
      <c r="U39" s="465"/>
      <c r="V39" s="465"/>
      <c r="W39" s="465"/>
      <c r="X39" s="465"/>
      <c r="Y39" s="465"/>
      <c r="Z39" s="465"/>
      <c r="AA39" s="466"/>
    </row>
    <row r="40" spans="1:27" ht="15.5">
      <c r="A40" s="408" t="s">
        <v>359</v>
      </c>
      <c r="B40" s="405"/>
      <c r="C40" s="403">
        <f>Revenue!C15</f>
        <v>0</v>
      </c>
      <c r="D40" s="403">
        <f>Revenue!D15</f>
        <v>500</v>
      </c>
      <c r="E40" s="403">
        <f>Revenue!E15</f>
        <v>523</v>
      </c>
      <c r="F40" s="403">
        <f>Revenue!F15</f>
        <v>547.05799999999999</v>
      </c>
      <c r="G40" s="403">
        <f>Revenue!G15</f>
        <v>572.222668</v>
      </c>
      <c r="H40" s="403">
        <f>Revenue!H15</f>
        <v>598.54491072799999</v>
      </c>
      <c r="I40" s="403">
        <f>Revenue!I15</f>
        <v>626.07797662148801</v>
      </c>
      <c r="J40" s="403">
        <f>Revenue!J15</f>
        <v>654.87756354607643</v>
      </c>
      <c r="K40" s="403">
        <f>Revenue!K15</f>
        <v>685.00193146919594</v>
      </c>
      <c r="L40" s="403">
        <f>Revenue!L15</f>
        <v>716.51202031677894</v>
      </c>
      <c r="P40" s="461" t="s">
        <v>288</v>
      </c>
      <c r="Q40" s="405"/>
      <c r="R40" s="403">
        <f>SUM(C33,C144,C255,C366,C477,C588,C699,C810,C921,C1032)</f>
        <v>0</v>
      </c>
      <c r="S40" s="403">
        <f>SUM(D33,D144,D255,D366,D477,D588,D699,D810,D921,D1032)</f>
        <v>0</v>
      </c>
      <c r="T40" s="403">
        <f>SUM(E33,E144,E255,E366,E477,E588,E699,E810,E921,E1032)</f>
        <v>3180000</v>
      </c>
      <c r="U40" s="403">
        <f ca="1">SUM(F33,F144,F255,F366,F477,F588,F699,F810,F921,F1032)</f>
        <v>3482530.5032740645</v>
      </c>
      <c r="V40" s="403">
        <f ca="1">SUM(G33,G144,G255,G366,G477,G588,G699,G810,G921,G1032)</f>
        <v>3824276.9246019307</v>
      </c>
      <c r="W40" s="403">
        <f ca="1">SUM(H33,H144,H255,H366,H477,H588,H699,H810,H921,H1032)</f>
        <v>32829910.550707109</v>
      </c>
      <c r="X40" s="403">
        <f ca="1">SUM(I33,I144,I255,I366,I477,I588,I699,I810,I921,I1032)</f>
        <v>36212519.081381783</v>
      </c>
      <c r="Y40" s="403">
        <f ca="1">SUM(J33,J144,J255,J366,J477,J588,J699,J810,J921,J1032)</f>
        <v>40088678.315297857</v>
      </c>
      <c r="Z40" s="403">
        <f ca="1">SUM(K33,K144,K255,K366,K477,K588,K699,K810,K921,K1032)</f>
        <v>44526772.935147643</v>
      </c>
      <c r="AA40" s="403">
        <f ca="1">SUM(L33,L144,L255,L366,L477,L588,L699,L810,L921,L1032)</f>
        <v>49635843.555091627</v>
      </c>
    </row>
    <row r="41" spans="1:27" ht="15.5">
      <c r="A41" s="408" t="s">
        <v>366</v>
      </c>
      <c r="B41" s="405"/>
      <c r="C41" s="403">
        <f>C39*C40</f>
        <v>0</v>
      </c>
      <c r="D41" s="403">
        <f t="shared" ref="D41:L41" si="22">D39*D40</f>
        <v>150000</v>
      </c>
      <c r="E41" s="403">
        <f t="shared" ca="1" si="22"/>
        <v>157481.98224967977</v>
      </c>
      <c r="F41" s="403">
        <f t="shared" ca="1" si="22"/>
        <v>165868.3007372357</v>
      </c>
      <c r="G41" s="403">
        <f t="shared" ca="1" si="22"/>
        <v>175230.61504481974</v>
      </c>
      <c r="H41" s="403">
        <f t="shared" ca="1" si="22"/>
        <v>185830.51536924927</v>
      </c>
      <c r="I41" s="403">
        <f t="shared" ca="1" si="22"/>
        <v>197563.14460502856</v>
      </c>
      <c r="J41" s="403">
        <f t="shared" ca="1" si="22"/>
        <v>210789.29271698042</v>
      </c>
      <c r="K41" s="403">
        <f t="shared" ca="1" si="22"/>
        <v>225474.59639224454</v>
      </c>
      <c r="L41" s="403">
        <f t="shared" ca="1" si="22"/>
        <v>242032.63245755481</v>
      </c>
      <c r="N41" s="305"/>
      <c r="P41" s="461"/>
      <c r="Q41" s="405"/>
      <c r="R41" s="135"/>
      <c r="S41" s="135"/>
      <c r="T41" s="135"/>
      <c r="U41" s="135"/>
      <c r="V41" s="135"/>
      <c r="W41" s="135"/>
      <c r="X41" s="135"/>
      <c r="Y41" s="135"/>
      <c r="Z41" s="135"/>
      <c r="AA41" s="135"/>
    </row>
    <row r="42" spans="1:27" ht="15.5">
      <c r="A42" s="409" t="s">
        <v>364</v>
      </c>
      <c r="B42" s="405"/>
      <c r="C42" s="48"/>
      <c r="D42" s="48"/>
      <c r="E42" s="48"/>
      <c r="F42" s="48"/>
      <c r="G42" s="48"/>
      <c r="H42" s="48"/>
      <c r="I42" s="48"/>
      <c r="J42" s="48"/>
      <c r="K42" s="48"/>
      <c r="L42" s="48"/>
      <c r="N42" s="305"/>
      <c r="P42" s="461" t="s">
        <v>389</v>
      </c>
      <c r="Q42" s="405"/>
      <c r="R42" s="48"/>
      <c r="S42" s="48"/>
      <c r="T42" s="48"/>
      <c r="U42" s="48"/>
      <c r="V42" s="48"/>
      <c r="W42" s="48"/>
      <c r="X42" s="48"/>
      <c r="Y42" s="48"/>
      <c r="Z42" s="48"/>
      <c r="AA42" s="48"/>
    </row>
    <row r="43" spans="1:27" ht="15.5">
      <c r="A43" s="408" t="s">
        <v>358</v>
      </c>
      <c r="B43" s="405"/>
      <c r="C43" s="133">
        <f>Revenue!Q16</f>
        <v>0</v>
      </c>
      <c r="D43" s="133">
        <f>Revenue!R16</f>
        <v>1500</v>
      </c>
      <c r="E43" s="133">
        <f ca="1">Revenue!S16</f>
        <v>1505.3138275405563</v>
      </c>
      <c r="F43" s="133">
        <f ca="1">Revenue!T16</f>
        <v>1514.5466968647304</v>
      </c>
      <c r="G43" s="133">
        <f ca="1">Revenue!U16</f>
        <v>1529.6970939151583</v>
      </c>
      <c r="H43" s="133">
        <f ca="1">Revenue!V16</f>
        <v>1550.8970809506304</v>
      </c>
      <c r="I43" s="133">
        <f ca="1">Revenue!W16</f>
        <v>1578.5656712522593</v>
      </c>
      <c r="J43" s="133">
        <f ca="1">Revenue!X16</f>
        <v>1612.4646137182972</v>
      </c>
      <c r="K43" s="133">
        <f ca="1">Revenue!Y16</f>
        <v>1653.0737429193464</v>
      </c>
      <c r="L43" s="133">
        <f ca="1">Revenue!Z16</f>
        <v>1700.0830440409957</v>
      </c>
      <c r="N43" s="305"/>
      <c r="P43" s="460" t="s">
        <v>289</v>
      </c>
      <c r="Q43" s="405"/>
      <c r="R43" s="133">
        <f>SUM(C35,C146,C257,C368,C479,C590,C701,C812,C923,C1034)</f>
        <v>1900</v>
      </c>
      <c r="S43" s="133">
        <f t="shared" ref="S43:AA43" si="23">SUM(D35,D146,D257,D368,D479,D590,D701,D812,D923,D1034)</f>
        <v>1900</v>
      </c>
      <c r="T43" s="133">
        <f t="shared" ca="1" si="23"/>
        <v>1904.5976786050896</v>
      </c>
      <c r="U43" s="133">
        <f t="shared" ca="1" si="23"/>
        <v>19016.163148870372</v>
      </c>
      <c r="V43" s="133">
        <f t="shared" ca="1" si="23"/>
        <v>19214.060914604503</v>
      </c>
      <c r="W43" s="133">
        <f t="shared" ca="1" si="23"/>
        <v>19482.621451924904</v>
      </c>
      <c r="X43" s="133">
        <f t="shared" ca="1" si="23"/>
        <v>19821.862042224231</v>
      </c>
      <c r="Y43" s="133">
        <f t="shared" ca="1" si="23"/>
        <v>20235.995801277553</v>
      </c>
      <c r="Z43" s="133">
        <f t="shared" ca="1" si="23"/>
        <v>20723.522625345253</v>
      </c>
      <c r="AA43" s="133">
        <f t="shared" ca="1" si="23"/>
        <v>21298.223073400324</v>
      </c>
    </row>
    <row r="44" spans="1:27">
      <c r="A44" s="408" t="s">
        <v>359</v>
      </c>
      <c r="B44" s="405"/>
      <c r="C44" s="403">
        <f>Revenue!C16</f>
        <v>0</v>
      </c>
      <c r="D44" s="403">
        <f>Revenue!D16</f>
        <v>300</v>
      </c>
      <c r="E44" s="403">
        <f>Revenue!E16</f>
        <v>313.8</v>
      </c>
      <c r="F44" s="403">
        <f>Revenue!F16</f>
        <v>328.23480000000001</v>
      </c>
      <c r="G44" s="403">
        <f>Revenue!G16</f>
        <v>343.3336008</v>
      </c>
      <c r="H44" s="403">
        <f>Revenue!H16</f>
        <v>359.12694643680004</v>
      </c>
      <c r="I44" s="403">
        <f>Revenue!I16</f>
        <v>375.64678597289287</v>
      </c>
      <c r="J44" s="403">
        <f>Revenue!J16</f>
        <v>392.92653812764598</v>
      </c>
      <c r="K44" s="403">
        <f>Revenue!K16</f>
        <v>411.00115888151771</v>
      </c>
      <c r="L44" s="403">
        <f>Revenue!L16</f>
        <v>429.90721219006753</v>
      </c>
      <c r="P44" s="460" t="s">
        <v>60</v>
      </c>
      <c r="Q44" s="405"/>
      <c r="R44" s="403">
        <f>SUM(C36,C147,C258,C369,C480,C591,C702,C813,C924,C1035)</f>
        <v>1900</v>
      </c>
      <c r="S44" s="403">
        <f t="shared" ref="S44:AA44" si="24">SUM(D36,D147,D258,D369,D480,D591,D702,D813,D924,D1035)</f>
        <v>1987.4</v>
      </c>
      <c r="T44" s="403">
        <f t="shared" si="24"/>
        <v>2078.8204000000001</v>
      </c>
      <c r="U44" s="403">
        <f t="shared" si="24"/>
        <v>19274.446138400002</v>
      </c>
      <c r="V44" s="403">
        <f t="shared" si="24"/>
        <v>20063.220660766401</v>
      </c>
      <c r="W44" s="403">
        <f t="shared" si="24"/>
        <v>20893.667686161651</v>
      </c>
      <c r="X44" s="403">
        <f t="shared" si="24"/>
        <v>21768.608662537594</v>
      </c>
      <c r="Y44" s="403">
        <f t="shared" si="24"/>
        <v>22691.094372190761</v>
      </c>
      <c r="Z44" s="403">
        <f t="shared" si="24"/>
        <v>23664.425667279473</v>
      </c>
      <c r="AA44" s="403">
        <f t="shared" si="24"/>
        <v>24692.176183651296</v>
      </c>
    </row>
    <row r="45" spans="1:27">
      <c r="A45" s="408" t="s">
        <v>366</v>
      </c>
      <c r="B45" s="405"/>
      <c r="C45" s="403">
        <f>C43*C44</f>
        <v>0</v>
      </c>
      <c r="D45" s="403">
        <f t="shared" ref="D45:L45" si="25">D43*D44</f>
        <v>450000</v>
      </c>
      <c r="E45" s="403">
        <f t="shared" ca="1" si="25"/>
        <v>472367.47908222658</v>
      </c>
      <c r="F45" s="403">
        <f t="shared" ca="1" si="25"/>
        <v>497126.93213605543</v>
      </c>
      <c r="G45" s="403">
        <f t="shared" ca="1" si="25"/>
        <v>525196.41138718708</v>
      </c>
      <c r="H45" s="403">
        <f t="shared" ca="1" si="25"/>
        <v>556968.93291954661</v>
      </c>
      <c r="I45" s="403">
        <f t="shared" ca="1" si="25"/>
        <v>592983.12085305341</v>
      </c>
      <c r="J45" s="403">
        <f t="shared" ca="1" si="25"/>
        <v>633580.13852166245</v>
      </c>
      <c r="K45" s="403">
        <f t="shared" ca="1" si="25"/>
        <v>679415.2240564595</v>
      </c>
      <c r="L45" s="403">
        <f t="shared" ca="1" si="25"/>
        <v>730877.96195526829</v>
      </c>
      <c r="P45" s="460"/>
      <c r="Q45" s="405"/>
      <c r="R45" s="465"/>
      <c r="S45" s="403"/>
      <c r="T45" s="403"/>
      <c r="U45" s="403"/>
      <c r="V45" s="403"/>
      <c r="W45" s="403"/>
      <c r="X45" s="403"/>
      <c r="Y45" s="403"/>
      <c r="Z45" s="403"/>
      <c r="AA45" s="403"/>
    </row>
    <row r="46" spans="1:27" ht="15.5">
      <c r="A46" s="409" t="s">
        <v>365</v>
      </c>
      <c r="B46" s="405"/>
      <c r="C46" s="48"/>
      <c r="D46" s="48"/>
      <c r="E46" s="48"/>
      <c r="F46" s="48"/>
      <c r="G46" s="48"/>
      <c r="H46" s="48"/>
      <c r="I46" s="48"/>
      <c r="J46" s="48"/>
      <c r="K46" s="48"/>
      <c r="L46" s="48"/>
      <c r="P46" s="461" t="s">
        <v>390</v>
      </c>
      <c r="Q46" s="405"/>
      <c r="R46" s="403">
        <f>SUM(C37,C148,C259,C370,C481,C592,C703,C814,C925,C1036)</f>
        <v>3610000</v>
      </c>
      <c r="S46" s="403">
        <f t="shared" ref="S46:AA46" si="26">SUM(D37,D148,D259,D370,D481,D592,D703,D814,D925,D1036)</f>
        <v>3776060</v>
      </c>
      <c r="T46" s="403">
        <f t="shared" ca="1" si="26"/>
        <v>3959316.5080769039</v>
      </c>
      <c r="U46" s="403">
        <f t="shared" ca="1" si="26"/>
        <v>36656593.559605561</v>
      </c>
      <c r="V46" s="403">
        <f t="shared" ca="1" si="26"/>
        <v>38553383.392749406</v>
      </c>
      <c r="W46" s="403">
        <f t="shared" ca="1" si="26"/>
        <v>40709473.852450669</v>
      </c>
      <c r="X46" s="403">
        <f t="shared" ca="1" si="26"/>
        <v>43152193.330979347</v>
      </c>
      <c r="Y46" s="403">
        <f t="shared" ca="1" si="26"/>
        <v>45920758.712839179</v>
      </c>
      <c r="Z46" s="403">
        <f t="shared" ca="1" si="26"/>
        <v>49045006.132261612</v>
      </c>
      <c r="AA46" s="403">
        <f t="shared" ca="1" si="26"/>
        <v>52595807.778622106</v>
      </c>
    </row>
    <row r="47" spans="1:27" ht="15.5">
      <c r="A47" s="408" t="s">
        <v>358</v>
      </c>
      <c r="B47" s="405"/>
      <c r="C47" s="133">
        <f>Revenue!Q17</f>
        <v>0</v>
      </c>
      <c r="D47" s="133">
        <f>Revenue!R17</f>
        <v>700</v>
      </c>
      <c r="E47" s="133">
        <f ca="1">Revenue!S17</f>
        <v>702.53078209146599</v>
      </c>
      <c r="F47" s="133">
        <f ca="1">Revenue!T17</f>
        <v>707.83707715854007</v>
      </c>
      <c r="G47" s="133">
        <f ca="1">Revenue!U17</f>
        <v>715.58259405629792</v>
      </c>
      <c r="H47" s="133">
        <f ca="1">Revenue!V17</f>
        <v>725.98916921224338</v>
      </c>
      <c r="I47" s="133">
        <f ca="1">Revenue!W17</f>
        <v>738.65898529022991</v>
      </c>
      <c r="J47" s="133">
        <f ca="1">Revenue!X17</f>
        <v>754.49558861611206</v>
      </c>
      <c r="K47" s="133">
        <f ca="1">Revenue!Y17</f>
        <v>773.53003457352258</v>
      </c>
      <c r="L47" s="133">
        <f ca="1">Revenue!Z17</f>
        <v>795.71830461311492</v>
      </c>
      <c r="N47" s="305"/>
      <c r="P47" s="461"/>
      <c r="Q47" s="40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</row>
    <row r="48" spans="1:27" ht="15.5">
      <c r="A48" s="408" t="s">
        <v>359</v>
      </c>
      <c r="B48" s="405"/>
      <c r="C48" s="403">
        <f>Revenue!C17</f>
        <v>0</v>
      </c>
      <c r="D48" s="403">
        <f>Revenue!D17</f>
        <v>700</v>
      </c>
      <c r="E48" s="403">
        <f>Revenue!E17</f>
        <v>732.2</v>
      </c>
      <c r="F48" s="403">
        <f>Revenue!F17</f>
        <v>765.88120000000004</v>
      </c>
      <c r="G48" s="403">
        <f>Revenue!G17</f>
        <v>801.11173520000011</v>
      </c>
      <c r="H48" s="403">
        <f>Revenue!H17</f>
        <v>837.96287501920017</v>
      </c>
      <c r="I48" s="403">
        <f>Revenue!I17</f>
        <v>876.50916727008337</v>
      </c>
      <c r="J48" s="403">
        <f>Revenue!J17</f>
        <v>916.82858896450728</v>
      </c>
      <c r="K48" s="403">
        <f>Revenue!K17</f>
        <v>959.00270405687468</v>
      </c>
      <c r="L48" s="403">
        <f>Revenue!L17</f>
        <v>1003.1168284434909</v>
      </c>
      <c r="N48" s="305"/>
      <c r="P48" s="461" t="s">
        <v>391</v>
      </c>
      <c r="Q48" s="405"/>
      <c r="R48" s="48"/>
      <c r="S48" s="48"/>
      <c r="T48" s="48"/>
      <c r="U48" s="48"/>
      <c r="V48" s="48"/>
      <c r="W48" s="48"/>
      <c r="X48" s="48"/>
      <c r="Y48" s="48"/>
      <c r="Z48" s="48"/>
      <c r="AA48" s="48"/>
    </row>
    <row r="49" spans="1:27" ht="15.5">
      <c r="A49" s="408" t="s">
        <v>366</v>
      </c>
      <c r="B49" s="405"/>
      <c r="C49" s="403">
        <f>C47*C48</f>
        <v>0</v>
      </c>
      <c r="D49" s="403">
        <f t="shared" ref="D49:L49" si="27">D47*D48</f>
        <v>490000</v>
      </c>
      <c r="E49" s="403">
        <f t="shared" ca="1" si="27"/>
        <v>514393.03864737146</v>
      </c>
      <c r="F49" s="403">
        <f t="shared" ca="1" si="27"/>
        <v>542119.11005867529</v>
      </c>
      <c r="G49" s="403">
        <f t="shared" ca="1" si="27"/>
        <v>573261.61360335816</v>
      </c>
      <c r="H49" s="403">
        <f t="shared" ca="1" si="27"/>
        <v>608351.97146589204</v>
      </c>
      <c r="I49" s="403">
        <f t="shared" ca="1" si="27"/>
        <v>647441.37209330418</v>
      </c>
      <c r="J49" s="403">
        <f t="shared" ca="1" si="27"/>
        <v>691743.12589085533</v>
      </c>
      <c r="K49" s="403">
        <f t="shared" ca="1" si="27"/>
        <v>741817.39482521592</v>
      </c>
      <c r="L49" s="403">
        <f t="shared" ca="1" si="27"/>
        <v>798198.42205793946</v>
      </c>
      <c r="N49" s="305"/>
      <c r="P49" s="460" t="s">
        <v>289</v>
      </c>
      <c r="Q49" s="405"/>
      <c r="R49" s="133">
        <f>SUM(C39,C150,C261,C372,C483,C594,C705,C816,C927,C1038)</f>
        <v>0</v>
      </c>
      <c r="S49" s="133">
        <f t="shared" ref="S49:AA49" si="28">SUM(D39,D150,D261,D372,D483,D594,D705,D816,D927,D1038)</f>
        <v>300</v>
      </c>
      <c r="T49" s="133">
        <f t="shared" ca="1" si="28"/>
        <v>301.11277676803013</v>
      </c>
      <c r="U49" s="133">
        <f t="shared" ca="1" si="28"/>
        <v>703.20057605817976</v>
      </c>
      <c r="V49" s="133">
        <f t="shared" ca="1" si="28"/>
        <v>4258.7677662458218</v>
      </c>
      <c r="W49" s="133">
        <f t="shared" ca="1" si="28"/>
        <v>7399.9925916785196</v>
      </c>
      <c r="X49" s="133">
        <f t="shared" ca="1" si="28"/>
        <v>10147.82050001298</v>
      </c>
      <c r="Y49" s="133">
        <f t="shared" ca="1" si="28"/>
        <v>12555.160786081</v>
      </c>
      <c r="Z49" s="133">
        <f t="shared" ca="1" si="28"/>
        <v>14666.404554150626</v>
      </c>
      <c r="AA49" s="133">
        <f t="shared" ca="1" si="28"/>
        <v>16522.411349763846</v>
      </c>
    </row>
    <row r="50" spans="1:27">
      <c r="A50" s="408"/>
      <c r="B50" s="405"/>
      <c r="C50" s="48"/>
      <c r="D50" s="48"/>
      <c r="E50" s="48"/>
      <c r="F50" s="48"/>
      <c r="G50" s="48"/>
      <c r="H50" s="48"/>
      <c r="I50" s="48"/>
      <c r="J50" s="48"/>
      <c r="K50" s="48"/>
      <c r="L50" s="48"/>
      <c r="P50" s="460" t="s">
        <v>60</v>
      </c>
      <c r="Q50" s="405"/>
      <c r="R50" s="403">
        <f>SUM(C40,C151,C262,C373,C484,C595,C706,C817,C928,C1039)</f>
        <v>0</v>
      </c>
      <c r="S50" s="403">
        <f t="shared" ref="S50:AA50" si="29">SUM(D40,D151,D262,D373,D484,D595,D706,D817,D928,D1039)</f>
        <v>500</v>
      </c>
      <c r="T50" s="403">
        <f t="shared" si="29"/>
        <v>523</v>
      </c>
      <c r="U50" s="403">
        <f t="shared" si="29"/>
        <v>547.05799999999999</v>
      </c>
      <c r="V50" s="403">
        <f t="shared" si="29"/>
        <v>5072.2226680000003</v>
      </c>
      <c r="W50" s="403">
        <f t="shared" si="29"/>
        <v>5098.5449107280001</v>
      </c>
      <c r="X50" s="403">
        <f t="shared" si="29"/>
        <v>5126.0779766214882</v>
      </c>
      <c r="Y50" s="403">
        <f t="shared" si="29"/>
        <v>5154.877563546077</v>
      </c>
      <c r="Z50" s="403">
        <f t="shared" si="29"/>
        <v>5185.0019314691963</v>
      </c>
      <c r="AA50" s="403">
        <f t="shared" si="29"/>
        <v>5216.5120203167789</v>
      </c>
    </row>
    <row r="51" spans="1:27" ht="15.5">
      <c r="A51" s="409" t="s">
        <v>367</v>
      </c>
      <c r="B51" s="405"/>
      <c r="C51" s="403">
        <f>SUM(C49,C45,C41,C37,C33,C29,C25,C21,C17)</f>
        <v>23390000</v>
      </c>
      <c r="D51" s="403">
        <f t="shared" ref="D51:L51" si="30">SUM(D49,D45,D41,D37,D33,D29,D25,D21,D17)</f>
        <v>32756403.600000001</v>
      </c>
      <c r="E51" s="403">
        <f t="shared" ca="1" si="30"/>
        <v>39093830.214147493</v>
      </c>
      <c r="F51" s="403">
        <f t="shared" ca="1" si="30"/>
        <v>43020018.632711709</v>
      </c>
      <c r="G51" s="403">
        <f t="shared" ca="1" si="30"/>
        <v>47505772.413313769</v>
      </c>
      <c r="H51" s="403">
        <f t="shared" ca="1" si="30"/>
        <v>52650752.400361992</v>
      </c>
      <c r="I51" s="403">
        <f t="shared" ca="1" si="30"/>
        <v>58601690.923988432</v>
      </c>
      <c r="J51" s="403">
        <f t="shared" ca="1" si="30"/>
        <v>65501443.361076668</v>
      </c>
      <c r="K51" s="403">
        <f t="shared" ca="1" si="30"/>
        <v>73488656.770170212</v>
      </c>
      <c r="L51" s="403">
        <f t="shared" ca="1" si="30"/>
        <v>82801386.672856018</v>
      </c>
      <c r="P51" s="460"/>
      <c r="Q51" s="405"/>
      <c r="R51" s="465"/>
      <c r="S51" s="403"/>
      <c r="T51" s="403"/>
      <c r="U51" s="403"/>
      <c r="V51" s="403"/>
      <c r="W51" s="403"/>
      <c r="X51" s="403"/>
      <c r="Y51" s="403"/>
      <c r="Z51" s="403"/>
      <c r="AA51" s="403"/>
    </row>
    <row r="52" spans="1:27" ht="15.5">
      <c r="A52" s="408"/>
      <c r="B52" s="405"/>
      <c r="C52" s="48"/>
      <c r="D52" s="48"/>
      <c r="E52" s="48"/>
      <c r="F52" s="48"/>
      <c r="G52" s="48"/>
      <c r="H52" s="48"/>
      <c r="I52" s="48"/>
      <c r="J52" s="48"/>
      <c r="K52" s="48"/>
      <c r="L52" s="48"/>
      <c r="P52" s="461" t="s">
        <v>393</v>
      </c>
      <c r="Q52" s="405"/>
      <c r="R52" s="403">
        <f>SUM(C41,C152,C263,C374,C485,C596,C707,C818,C929,C1040)</f>
        <v>0</v>
      </c>
      <c r="S52" s="403">
        <f t="shared" ref="S52:AA52" si="31">SUM(D41,D152,D263,D374,D485,D596,D707,D818,D929,D1040)</f>
        <v>150000</v>
      </c>
      <c r="T52" s="403">
        <f t="shared" ca="1" si="31"/>
        <v>157481.98224967977</v>
      </c>
      <c r="U52" s="403">
        <f t="shared" ca="1" si="31"/>
        <v>165868.3007372357</v>
      </c>
      <c r="V52" s="403">
        <f t="shared" ca="1" si="31"/>
        <v>2151500.4877971909</v>
      </c>
      <c r="W52" s="403">
        <f t="shared" ca="1" si="31"/>
        <v>3730591.5798678682</v>
      </c>
      <c r="X52" s="403">
        <f t="shared" ca="1" si="31"/>
        <v>5113695.009184882</v>
      </c>
      <c r="Y52" s="403">
        <f t="shared" ca="1" si="31"/>
        <v>6327431.7452548426</v>
      </c>
      <c r="Z52" s="403">
        <f t="shared" ca="1" si="31"/>
        <v>7394097.3401597859</v>
      </c>
      <c r="AA52" s="403">
        <f t="shared" ca="1" si="31"/>
        <v>8334341.8857898777</v>
      </c>
    </row>
    <row r="53" spans="1:27" ht="18.5">
      <c r="A53" s="411" t="s">
        <v>152</v>
      </c>
      <c r="B53" s="405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305"/>
      <c r="P53" s="461"/>
      <c r="Q53" s="40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</row>
    <row r="54" spans="1:27" ht="15.5">
      <c r="A54" s="409" t="s">
        <v>296</v>
      </c>
      <c r="B54" s="405"/>
      <c r="C54" s="403">
        <f>Assumptions!$Q$45*(C17+C21)</f>
        <v>5145000</v>
      </c>
      <c r="D54" s="403">
        <f>Assumptions!$Q$45*(D17+D21)</f>
        <v>5753261.5</v>
      </c>
      <c r="E54" s="403">
        <f ca="1">Assumptions!$Q$45*(E17+E21)</f>
        <v>6451877.1277675778</v>
      </c>
      <c r="F54" s="403">
        <f ca="1">Assumptions!$Q$45*(F17+F21)</f>
        <v>7260124.1892212098</v>
      </c>
      <c r="G54" s="403">
        <f ca="1">Assumptions!$Q$45*(G17+G21)</f>
        <v>8192781.5907939663</v>
      </c>
      <c r="H54" s="403">
        <f ca="1">Assumptions!$Q$45*(H17+H21)</f>
        <v>9274487.3860559389</v>
      </c>
      <c r="I54" s="403">
        <f ca="1">Assumptions!$Q$45*(I17+I21)</f>
        <v>10541085.57781367</v>
      </c>
      <c r="J54" s="403">
        <f ca="1">Assumptions!$Q$45*(J17+J21)</f>
        <v>12026536.958547829</v>
      </c>
      <c r="K54" s="403">
        <f ca="1">Assumptions!$Q$45*(K17+K21)</f>
        <v>13768807.313623223</v>
      </c>
      <c r="L54" s="403">
        <f ca="1">Assumptions!$Q$45*(L17+L21)</f>
        <v>15825132.542330317</v>
      </c>
      <c r="N54" s="305"/>
      <c r="P54" s="461" t="s">
        <v>392</v>
      </c>
      <c r="Q54" s="405"/>
      <c r="R54" s="48"/>
      <c r="S54" s="48"/>
      <c r="T54" s="48"/>
      <c r="U54" s="48"/>
      <c r="V54" s="48"/>
      <c r="W54" s="48"/>
      <c r="X54" s="48"/>
      <c r="Y54" s="48"/>
      <c r="Z54" s="48"/>
      <c r="AA54" s="48"/>
    </row>
    <row r="55" spans="1:27" ht="15.5">
      <c r="A55" s="409" t="s">
        <v>297</v>
      </c>
      <c r="B55" s="405"/>
      <c r="C55" s="403">
        <f>Assumptions!$Q$47*C25</f>
        <v>1778000</v>
      </c>
      <c r="D55" s="403">
        <f>Assumptions!$Q$47*D25</f>
        <v>1896983.76</v>
      </c>
      <c r="E55" s="403">
        <f ca="1">Assumptions!$Q$47*E25</f>
        <v>2029398.6577753834</v>
      </c>
      <c r="F55" s="403">
        <f ca="1">Assumptions!$Q$47*F25</f>
        <v>2177900.8440685077</v>
      </c>
      <c r="G55" s="403">
        <f ca="1">Assumptions!$Q$47*G25</f>
        <v>2344411.1521965568</v>
      </c>
      <c r="H55" s="403">
        <f ca="1">Assumptions!$Q$47*H25</f>
        <v>2533190.8576532761</v>
      </c>
      <c r="I55" s="403">
        <f ca="1">Assumptions!$Q$47*I25</f>
        <v>2747047.5547057763</v>
      </c>
      <c r="J55" s="403">
        <f ca="1">Assumptions!$Q$47*J25</f>
        <v>2990319.9549531932</v>
      </c>
      <c r="K55" s="403">
        <f ca="1">Assumptions!$Q$47*K25</f>
        <v>3265575.6978849978</v>
      </c>
      <c r="L55" s="403">
        <f ca="1">Assumptions!$Q$47*L25</f>
        <v>3579647.6246010601</v>
      </c>
      <c r="N55" s="305"/>
      <c r="P55" s="460" t="s">
        <v>289</v>
      </c>
      <c r="Q55" s="405"/>
      <c r="R55" s="133">
        <f>SUM(C43,C154,C265,C376,C487,C598,C709,C820,C931,C1042)</f>
        <v>0</v>
      </c>
      <c r="S55" s="133">
        <f t="shared" ref="S55:AA56" si="32">SUM(D43,D154,D265,D376,D487,D598,D709,D820,D931,D1042)</f>
        <v>1500</v>
      </c>
      <c r="T55" s="133">
        <f t="shared" ca="1" si="32"/>
        <v>1505.3138275405563</v>
      </c>
      <c r="U55" s="133">
        <f t="shared" ca="1" si="32"/>
        <v>1514.5466968647304</v>
      </c>
      <c r="V55" s="133">
        <f t="shared" ca="1" si="32"/>
        <v>3929.6970939151583</v>
      </c>
      <c r="W55" s="133">
        <f t="shared" ca="1" si="32"/>
        <v>3983.3228807086089</v>
      </c>
      <c r="X55" s="133">
        <f t="shared" ca="1" si="32"/>
        <v>4052.2857405761615</v>
      </c>
      <c r="Y55" s="133">
        <f t="shared" ca="1" si="32"/>
        <v>4136.5911977034712</v>
      </c>
      <c r="Z55" s="133">
        <f t="shared" ca="1" si="32"/>
        <v>4237.4324663817551</v>
      </c>
      <c r="AA55" s="133">
        <f t="shared" ca="1" si="32"/>
        <v>4355.2764677729365</v>
      </c>
    </row>
    <row r="56" spans="1:27" ht="15.5">
      <c r="A56" s="409" t="s">
        <v>298</v>
      </c>
      <c r="B56" s="405"/>
      <c r="C56" s="403">
        <f>Assumptions!$Q$48*C29</f>
        <v>0</v>
      </c>
      <c r="D56" s="403">
        <f>Assumptions!$Q$48*D29</f>
        <v>2413000</v>
      </c>
      <c r="E56" s="403">
        <f ca="1">Assumptions!$Q$48*E29</f>
        <v>2631221.8703874266</v>
      </c>
      <c r="F56" s="403">
        <f ca="1">Assumptions!$Q$48*F29</f>
        <v>2879997.7670003688</v>
      </c>
      <c r="G56" s="403">
        <f ca="1">Assumptions!$Q$48*G29</f>
        <v>3160779.0454905145</v>
      </c>
      <c r="H56" s="403">
        <f ca="1">Assumptions!$Q$48*H29</f>
        <v>3477132.2764621549</v>
      </c>
      <c r="I56" s="403">
        <f ca="1">Assumptions!$Q$48*I29</f>
        <v>3837717.1372872065</v>
      </c>
      <c r="J56" s="403">
        <f ca="1">Assumptions!$Q$48*J29</f>
        <v>4248707.364361166</v>
      </c>
      <c r="K56" s="403">
        <f ca="1">Assumptions!$Q$48*K29</f>
        <v>4717536.8559743976</v>
      </c>
      <c r="L56" s="403">
        <f ca="1">Assumptions!$Q$48*L29</f>
        <v>5254514.6948977513</v>
      </c>
      <c r="P56" s="460" t="s">
        <v>60</v>
      </c>
      <c r="Q56" s="405"/>
      <c r="R56" s="403">
        <f t="shared" ref="R56:R57" si="33">SUM(C44,C155,C266,C377,C488,C599,C710,C821,C932,C1043)</f>
        <v>0</v>
      </c>
      <c r="S56" s="403">
        <f t="shared" si="32"/>
        <v>300</v>
      </c>
      <c r="T56" s="403">
        <f t="shared" si="32"/>
        <v>313.8</v>
      </c>
      <c r="U56" s="403">
        <f t="shared" si="32"/>
        <v>328.23480000000001</v>
      </c>
      <c r="V56" s="403">
        <f t="shared" si="32"/>
        <v>4843.3336008000006</v>
      </c>
      <c r="W56" s="403">
        <f t="shared" si="32"/>
        <v>5040.3769464367997</v>
      </c>
      <c r="X56" s="403">
        <f t="shared" si="32"/>
        <v>5247.9024109728925</v>
      </c>
      <c r="Y56" s="403">
        <f t="shared" si="32"/>
        <v>5466.6302015651463</v>
      </c>
      <c r="Z56" s="403">
        <f t="shared" si="32"/>
        <v>5697.3398516730485</v>
      </c>
      <c r="AA56" s="403">
        <f t="shared" si="32"/>
        <v>5940.8756306310443</v>
      </c>
    </row>
    <row r="57" spans="1:27" ht="15.5">
      <c r="A57" s="409" t="s">
        <v>299</v>
      </c>
      <c r="B57" s="405"/>
      <c r="C57" s="403">
        <f>Assumptions!$Q$49*C33</f>
        <v>0</v>
      </c>
      <c r="D57" s="403">
        <f>Assumptions!$Q$49*D33</f>
        <v>0</v>
      </c>
      <c r="E57" s="403">
        <f>Assumptions!$Q$49*E33</f>
        <v>1272000</v>
      </c>
      <c r="F57" s="403">
        <f ca="1">Assumptions!$Q$49*F33</f>
        <v>1393012.201309626</v>
      </c>
      <c r="G57" s="403">
        <f ca="1">Assumptions!$Q$49*G33</f>
        <v>1529710.7698407723</v>
      </c>
      <c r="H57" s="403">
        <f ca="1">Assumptions!$Q$49*H33</f>
        <v>1683964.2202828431</v>
      </c>
      <c r="I57" s="403">
        <f ca="1">Assumptions!$Q$49*I33</f>
        <v>1858690.26013989</v>
      </c>
      <c r="J57" s="403">
        <f ca="1">Assumptions!$Q$49*J33</f>
        <v>2058619.5322723486</v>
      </c>
      <c r="K57" s="403">
        <f ca="1">Assumptions!$Q$49*K33</f>
        <v>2286059.5016241674</v>
      </c>
      <c r="L57" s="403">
        <f ca="1">Assumptions!$Q$49*L33</f>
        <v>2547862.2758732247</v>
      </c>
      <c r="P57" s="460"/>
      <c r="Q57" s="405"/>
      <c r="R57" s="465"/>
      <c r="S57" s="403"/>
      <c r="T57" s="403"/>
      <c r="U57" s="403"/>
      <c r="V57" s="403"/>
      <c r="W57" s="403"/>
      <c r="X57" s="403"/>
      <c r="Y57" s="403"/>
      <c r="Z57" s="403"/>
      <c r="AA57" s="403"/>
    </row>
    <row r="58" spans="1:27" ht="15.5">
      <c r="A58" s="409" t="s">
        <v>368</v>
      </c>
      <c r="B58" s="405"/>
      <c r="C58" s="403">
        <f>Assumptions!$Q$50*C37</f>
        <v>1263500</v>
      </c>
      <c r="D58" s="403">
        <f>Assumptions!$Q$50*D37</f>
        <v>1321621</v>
      </c>
      <c r="E58" s="403">
        <f ca="1">Assumptions!$Q$50*E37</f>
        <v>1385760.7778269162</v>
      </c>
      <c r="F58" s="403">
        <f ca="1">Assumptions!$Q$50*F37</f>
        <v>1458307.7458619461</v>
      </c>
      <c r="G58" s="403">
        <f ca="1">Assumptions!$Q$50*G37</f>
        <v>1539857.9892420438</v>
      </c>
      <c r="H58" s="403">
        <f ca="1">Assumptions!$Q$50*H37</f>
        <v>1631222.6648514688</v>
      </c>
      <c r="I58" s="403">
        <f ca="1">Assumptions!$Q$50*I37</f>
        <v>1734806.5449848089</v>
      </c>
      <c r="J58" s="403">
        <f ca="1">Assumptions!$Q$50*J37</f>
        <v>1852097.8333261653</v>
      </c>
      <c r="K58" s="403">
        <f ca="1">Assumptions!$Q$50*K37</f>
        <v>1982152.5198067324</v>
      </c>
      <c r="L58" s="403">
        <f ca="1">Assumptions!$Q$50*L37</f>
        <v>2128737.1633788571</v>
      </c>
      <c r="P58" s="461" t="s">
        <v>394</v>
      </c>
      <c r="Q58" s="405"/>
      <c r="R58" s="403">
        <f>SUM(C45,C156,C267,C378,C489,C600,C711,C822,C933,C1044)</f>
        <v>0</v>
      </c>
      <c r="S58" s="403">
        <f t="shared" ref="S58:AA58" si="34">SUM(D45,D156,D267,D378,D489,D600,D711,D822,D933,D1044)</f>
        <v>450000</v>
      </c>
      <c r="T58" s="403">
        <f t="shared" ca="1" si="34"/>
        <v>472367.47908222658</v>
      </c>
      <c r="U58" s="403">
        <f t="shared" ca="1" si="34"/>
        <v>497126.93213605543</v>
      </c>
      <c r="V58" s="403">
        <f t="shared" ca="1" si="34"/>
        <v>1725196.411387187</v>
      </c>
      <c r="W58" s="403">
        <f t="shared" ca="1" si="34"/>
        <v>1822198.6590718916</v>
      </c>
      <c r="X58" s="403">
        <f t="shared" ca="1" si="34"/>
        <v>1932264.7004083993</v>
      </c>
      <c r="Y58" s="403">
        <f t="shared" ca="1" si="34"/>
        <v>2056792.9648621313</v>
      </c>
      <c r="Z58" s="403">
        <f t="shared" ca="1" si="34"/>
        <v>2197889.1656167507</v>
      </c>
      <c r="AA58" s="403">
        <f t="shared" ca="1" si="34"/>
        <v>2357588.2929888116</v>
      </c>
    </row>
    <row r="59" spans="1:27" ht="15.5">
      <c r="A59" s="409" t="s">
        <v>369</v>
      </c>
      <c r="B59" s="405"/>
      <c r="C59" s="403">
        <f>Assumptions!$Q$51*C41</f>
        <v>0</v>
      </c>
      <c r="D59" s="403">
        <f>Assumptions!$Q$51*D41</f>
        <v>52500</v>
      </c>
      <c r="E59" s="403">
        <f ca="1">Assumptions!$Q$51*E41</f>
        <v>55118.693787387914</v>
      </c>
      <c r="F59" s="403">
        <f ca="1">Assumptions!$Q$51*F41</f>
        <v>58053.905258032486</v>
      </c>
      <c r="G59" s="403">
        <f ca="1">Assumptions!$Q$51*G41</f>
        <v>61330.715265686908</v>
      </c>
      <c r="H59" s="403">
        <f ca="1">Assumptions!$Q$51*H41</f>
        <v>65040.680379237245</v>
      </c>
      <c r="I59" s="403">
        <f ca="1">Assumptions!$Q$51*I41</f>
        <v>69147.10061175999</v>
      </c>
      <c r="J59" s="403">
        <f ca="1">Assumptions!$Q$51*J41</f>
        <v>73776.252450943139</v>
      </c>
      <c r="K59" s="403">
        <f ca="1">Assumptions!$Q$51*K41</f>
        <v>78916.108737285584</v>
      </c>
      <c r="L59" s="403">
        <f ca="1">Assumptions!$Q$51*L41</f>
        <v>84711.421360144173</v>
      </c>
      <c r="N59" s="305"/>
      <c r="P59" s="461"/>
      <c r="Q59" s="405"/>
      <c r="R59" s="135"/>
      <c r="S59" s="135"/>
      <c r="T59" s="135"/>
      <c r="U59" s="135"/>
      <c r="V59" s="135"/>
      <c r="W59" s="135"/>
      <c r="X59" s="135"/>
      <c r="Y59" s="135"/>
      <c r="Z59" s="135"/>
      <c r="AA59" s="135"/>
    </row>
    <row r="60" spans="1:27" ht="15.5">
      <c r="A60" s="409" t="s">
        <v>370</v>
      </c>
      <c r="B60" s="405"/>
      <c r="C60" s="403">
        <f>Assumptions!$Q$52*C45</f>
        <v>0</v>
      </c>
      <c r="D60" s="403">
        <f>Assumptions!$Q$52*D45</f>
        <v>157500</v>
      </c>
      <c r="E60" s="403">
        <f ca="1">Assumptions!$Q$52*E45</f>
        <v>165328.61767877929</v>
      </c>
      <c r="F60" s="403">
        <f ca="1">Assumptions!$Q$52*F45</f>
        <v>173994.42624761938</v>
      </c>
      <c r="G60" s="403">
        <f ca="1">Assumptions!$Q$52*G45</f>
        <v>183818.74398551547</v>
      </c>
      <c r="H60" s="403">
        <f ca="1">Assumptions!$Q$52*H45</f>
        <v>194939.1265218413</v>
      </c>
      <c r="I60" s="403">
        <f ca="1">Assumptions!$Q$52*I45</f>
        <v>207544.09229856869</v>
      </c>
      <c r="J60" s="403">
        <f ca="1">Assumptions!$Q$52*J45</f>
        <v>221753.04848258186</v>
      </c>
      <c r="K60" s="403">
        <f ca="1">Assumptions!$Q$52*K45</f>
        <v>237795.3284197608</v>
      </c>
      <c r="L60" s="403">
        <f ca="1">Assumptions!$Q$52*L45</f>
        <v>255807.28668434388</v>
      </c>
      <c r="N60" s="305"/>
      <c r="P60" s="461" t="s">
        <v>395</v>
      </c>
      <c r="Q60" s="405"/>
      <c r="R60" s="48"/>
      <c r="S60" s="48"/>
      <c r="T60" s="48"/>
      <c r="U60" s="48"/>
      <c r="V60" s="48"/>
      <c r="W60" s="48"/>
      <c r="X60" s="48"/>
      <c r="Y60" s="48"/>
      <c r="Z60" s="48"/>
      <c r="AA60" s="48"/>
    </row>
    <row r="61" spans="1:27" ht="15.5">
      <c r="A61" s="409" t="s">
        <v>371</v>
      </c>
      <c r="B61" s="405"/>
      <c r="C61" s="403">
        <f>Assumptions!$Q$53*C49</f>
        <v>0</v>
      </c>
      <c r="D61" s="403">
        <f>Assumptions!$Q$53*D49</f>
        <v>171500</v>
      </c>
      <c r="E61" s="403">
        <f ca="1">Assumptions!$Q$53*E49</f>
        <v>180037.56352657999</v>
      </c>
      <c r="F61" s="403">
        <f ca="1">Assumptions!$Q$53*F49</f>
        <v>189741.68852053635</v>
      </c>
      <c r="G61" s="403">
        <f ca="1">Assumptions!$Q$53*G49</f>
        <v>200641.56476117534</v>
      </c>
      <c r="H61" s="403">
        <f ca="1">Assumptions!$Q$53*H49</f>
        <v>212923.19001306221</v>
      </c>
      <c r="I61" s="403">
        <f ca="1">Assumptions!$Q$53*I49</f>
        <v>226604.48023265644</v>
      </c>
      <c r="J61" s="403">
        <f ca="1">Assumptions!$Q$53*J49</f>
        <v>242110.09406179935</v>
      </c>
      <c r="K61" s="403">
        <f ca="1">Assumptions!$Q$53*K49</f>
        <v>259636.08818882555</v>
      </c>
      <c r="L61" s="403">
        <f ca="1">Assumptions!$Q$53*L49</f>
        <v>279369.44772027881</v>
      </c>
      <c r="N61" s="305"/>
      <c r="P61" s="460" t="s">
        <v>289</v>
      </c>
      <c r="Q61" s="405"/>
      <c r="R61" s="133">
        <f>SUM(C47,C158,C269,C380,C491,C602,C713,C824,C935,C1046)</f>
        <v>0</v>
      </c>
      <c r="S61" s="133">
        <f t="shared" ref="S61:AA61" si="35">SUM(D47,D158,D269,D380,D491,D602,D713,D824,D935,D1046)</f>
        <v>700</v>
      </c>
      <c r="T61" s="133">
        <f t="shared" ca="1" si="35"/>
        <v>702.53078209146599</v>
      </c>
      <c r="U61" s="133">
        <f t="shared" ca="1" si="35"/>
        <v>707.83707715854007</v>
      </c>
      <c r="V61" s="133">
        <f t="shared" ca="1" si="35"/>
        <v>14215.582594056297</v>
      </c>
      <c r="W61" s="133">
        <f t="shared" ca="1" si="35"/>
        <v>14417.287721925781</v>
      </c>
      <c r="X61" s="133">
        <f t="shared" ca="1" si="35"/>
        <v>14666.422156702902</v>
      </c>
      <c r="Y61" s="133">
        <f t="shared" ca="1" si="35"/>
        <v>14972.629337995351</v>
      </c>
      <c r="Z61" s="133">
        <f t="shared" ca="1" si="35"/>
        <v>15335.730278255967</v>
      </c>
      <c r="AA61" s="133">
        <f t="shared" ca="1" si="35"/>
        <v>15756.505311786277</v>
      </c>
    </row>
    <row r="62" spans="1:27" ht="15.5">
      <c r="A62" s="409" t="s">
        <v>354</v>
      </c>
      <c r="B62" s="405"/>
      <c r="C62" s="403">
        <f>SUM(C54:C61)</f>
        <v>8186500</v>
      </c>
      <c r="D62" s="403">
        <f t="shared" ref="D62:L62" si="36">SUM(D54:D61)</f>
        <v>11766366.26</v>
      </c>
      <c r="E62" s="403">
        <f t="shared" ca="1" si="36"/>
        <v>14170743.308750054</v>
      </c>
      <c r="F62" s="403">
        <f t="shared" ca="1" si="36"/>
        <v>15591132.767487843</v>
      </c>
      <c r="G62" s="403">
        <f t="shared" ca="1" si="36"/>
        <v>17213331.571576234</v>
      </c>
      <c r="H62" s="403">
        <f t="shared" ca="1" si="36"/>
        <v>19072900.402219821</v>
      </c>
      <c r="I62" s="403">
        <f t="shared" ca="1" si="36"/>
        <v>21222642.748074338</v>
      </c>
      <c r="J62" s="403">
        <f t="shared" ca="1" si="36"/>
        <v>23713921.038456026</v>
      </c>
      <c r="K62" s="403">
        <f t="shared" ca="1" si="36"/>
        <v>26596479.414259393</v>
      </c>
      <c r="L62" s="403">
        <f t="shared" ca="1" si="36"/>
        <v>29955782.456845976</v>
      </c>
      <c r="P62" s="460" t="s">
        <v>60</v>
      </c>
      <c r="Q62" s="405"/>
      <c r="R62" s="403">
        <f>SUM(C48,C159,C270,C381,C492,C603,C714,C825,C936,C1047)</f>
        <v>0</v>
      </c>
      <c r="S62" s="403">
        <f t="shared" ref="S62:AA62" si="37">SUM(D48,D159,D270,D381,D492,D603,D714,D825,D936,D1047)</f>
        <v>700</v>
      </c>
      <c r="T62" s="403">
        <f t="shared" si="37"/>
        <v>732.2</v>
      </c>
      <c r="U62" s="403">
        <f t="shared" si="37"/>
        <v>765.88120000000004</v>
      </c>
      <c r="V62" s="403">
        <f t="shared" si="37"/>
        <v>3501.1117352000001</v>
      </c>
      <c r="W62" s="403">
        <f t="shared" si="37"/>
        <v>3646.7128750192005</v>
      </c>
      <c r="X62" s="403">
        <f t="shared" si="37"/>
        <v>3799.8625422700838</v>
      </c>
      <c r="Y62" s="403">
        <f t="shared" si="37"/>
        <v>3961.0507870270076</v>
      </c>
      <c r="Z62" s="403">
        <f t="shared" si="37"/>
        <v>4130.8059197317934</v>
      </c>
      <c r="AA62" s="403">
        <f t="shared" si="37"/>
        <v>4309.6978795080777</v>
      </c>
    </row>
    <row r="63" spans="1:27">
      <c r="A63" s="408"/>
      <c r="B63" s="405"/>
      <c r="C63" s="48"/>
      <c r="D63" s="48"/>
      <c r="E63" s="48"/>
      <c r="F63" s="48"/>
      <c r="G63" s="48"/>
      <c r="H63" s="48"/>
      <c r="I63" s="48"/>
      <c r="J63" s="48"/>
      <c r="K63" s="48"/>
      <c r="L63" s="48"/>
      <c r="P63" s="460"/>
      <c r="Q63" s="405"/>
      <c r="R63" s="465"/>
      <c r="S63" s="403"/>
      <c r="T63" s="403"/>
      <c r="U63" s="403"/>
      <c r="V63" s="403"/>
      <c r="W63" s="403"/>
      <c r="X63" s="403"/>
      <c r="Y63" s="403"/>
      <c r="Z63" s="403"/>
      <c r="AA63" s="403"/>
    </row>
    <row r="64" spans="1:27" ht="15.5">
      <c r="A64" s="409" t="s">
        <v>154</v>
      </c>
      <c r="B64" s="405"/>
      <c r="C64" s="403">
        <f>C51-C62</f>
        <v>15203500</v>
      </c>
      <c r="D64" s="403">
        <f t="shared" ref="D64:L64" si="38">D51-D62</f>
        <v>20990037.340000004</v>
      </c>
      <c r="E64" s="403">
        <f t="shared" ca="1" si="38"/>
        <v>24923086.905397438</v>
      </c>
      <c r="F64" s="403">
        <f t="shared" ca="1" si="38"/>
        <v>27428885.865223866</v>
      </c>
      <c r="G64" s="403">
        <f t="shared" ca="1" si="38"/>
        <v>30292440.841737535</v>
      </c>
      <c r="H64" s="403">
        <f t="shared" ca="1" si="38"/>
        <v>33577851.998142168</v>
      </c>
      <c r="I64" s="403">
        <f t="shared" ca="1" si="38"/>
        <v>37379048.175914094</v>
      </c>
      <c r="J64" s="403">
        <f t="shared" ca="1" si="38"/>
        <v>41787522.322620645</v>
      </c>
      <c r="K64" s="403">
        <f t="shared" ca="1" si="38"/>
        <v>46892177.355910823</v>
      </c>
      <c r="L64" s="403">
        <f t="shared" ca="1" si="38"/>
        <v>52845604.216010042</v>
      </c>
      <c r="P64" s="461" t="s">
        <v>396</v>
      </c>
      <c r="Q64" s="405"/>
      <c r="R64" s="403">
        <f>SUM(C49,C160,C271,C382,C493,C604,C715,C826,C937,C1048)</f>
        <v>0</v>
      </c>
      <c r="S64" s="403">
        <f t="shared" ref="S64:AA64" si="39">SUM(D49,D160,D271,D382,D493,D604,D715,D826,D937,D1048)</f>
        <v>490000</v>
      </c>
      <c r="T64" s="403">
        <f t="shared" ca="1" si="39"/>
        <v>514393.03864737146</v>
      </c>
      <c r="U64" s="403">
        <f t="shared" ca="1" si="39"/>
        <v>542119.11005867529</v>
      </c>
      <c r="V64" s="403">
        <f t="shared" ca="1" si="39"/>
        <v>4623261.6136033582</v>
      </c>
      <c r="W64" s="403">
        <f t="shared" ca="1" si="39"/>
        <v>4881211.2518241657</v>
      </c>
      <c r="X64" s="403">
        <f t="shared" ca="1" si="39"/>
        <v>5171540.7744594049</v>
      </c>
      <c r="Y64" s="403">
        <f t="shared" ca="1" si="39"/>
        <v>5501281.8749534814</v>
      </c>
      <c r="Z64" s="403">
        <f t="shared" ca="1" si="39"/>
        <v>5874522.3934672903</v>
      </c>
      <c r="AA64" s="403">
        <f t="shared" ca="1" si="39"/>
        <v>6295963.5648774132</v>
      </c>
    </row>
    <row r="65" spans="1:27" ht="15.5">
      <c r="A65" s="408"/>
      <c r="B65" s="405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305"/>
      <c r="P65" s="461"/>
      <c r="Q65" s="405"/>
      <c r="R65" s="135"/>
      <c r="S65" s="135"/>
      <c r="T65" s="135"/>
      <c r="U65" s="135"/>
      <c r="V65" s="135"/>
      <c r="W65" s="135"/>
      <c r="X65" s="135"/>
      <c r="Y65" s="135"/>
      <c r="Z65" s="135"/>
      <c r="AA65" s="135"/>
    </row>
    <row r="66" spans="1:27" ht="18.5">
      <c r="A66" s="411" t="s">
        <v>96</v>
      </c>
      <c r="B66" s="405"/>
      <c r="C66" s="48"/>
      <c r="D66" s="48"/>
      <c r="E66" s="48"/>
      <c r="F66" s="48"/>
      <c r="G66" s="48"/>
      <c r="H66" s="48"/>
      <c r="I66" s="48"/>
      <c r="J66" s="48"/>
      <c r="K66" s="48"/>
      <c r="L66" s="48"/>
      <c r="P66" s="461" t="s">
        <v>149</v>
      </c>
      <c r="Q66" s="405"/>
      <c r="R66" s="403">
        <v>0</v>
      </c>
      <c r="S66" s="403">
        <v>0</v>
      </c>
      <c r="T66" s="403">
        <v>0</v>
      </c>
      <c r="U66" s="403">
        <v>0</v>
      </c>
      <c r="V66" s="403">
        <v>0</v>
      </c>
      <c r="W66" s="403">
        <v>0</v>
      </c>
      <c r="X66" s="403">
        <v>0</v>
      </c>
      <c r="Y66" s="403">
        <v>0</v>
      </c>
      <c r="Z66" s="403">
        <v>0</v>
      </c>
      <c r="AA66" s="403">
        <v>0</v>
      </c>
    </row>
    <row r="67" spans="1:27" ht="15.5">
      <c r="A67" s="408"/>
      <c r="B67" s="405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305"/>
      <c r="P67" s="461"/>
      <c r="Q67" s="405"/>
      <c r="R67" s="48"/>
      <c r="S67" s="48"/>
      <c r="T67" s="48"/>
      <c r="U67" s="48"/>
      <c r="V67" s="48"/>
      <c r="W67" s="48"/>
      <c r="X67" s="48"/>
      <c r="Y67" s="48"/>
      <c r="Z67" s="48"/>
      <c r="AA67" s="48"/>
    </row>
    <row r="68" spans="1:27" ht="15.5">
      <c r="A68" s="409" t="s">
        <v>28</v>
      </c>
      <c r="B68" s="405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305"/>
      <c r="P68" s="461" t="s">
        <v>150</v>
      </c>
      <c r="Q68" s="405"/>
      <c r="R68" s="403">
        <f>SUM(R22,R28,R34,R40,R46,R52,R58,R64)-R66</f>
        <v>23390000</v>
      </c>
      <c r="S68" s="403">
        <f t="shared" ref="S68:AA68" si="40">SUM(S22,S28,S34,S40,S46,S52,S58,S64)-S66</f>
        <v>32756403.600000001</v>
      </c>
      <c r="T68" s="403">
        <f t="shared" ca="1" si="40"/>
        <v>39093830.214147493</v>
      </c>
      <c r="U68" s="403">
        <f t="shared" ca="1" si="40"/>
        <v>280990018.63271171</v>
      </c>
      <c r="V68" s="403">
        <f t="shared" ca="1" si="40"/>
        <v>368760020.63516229</v>
      </c>
      <c r="W68" s="403">
        <f t="shared" ca="1" si="40"/>
        <v>434443046.59283429</v>
      </c>
      <c r="X68" s="403">
        <f t="shared" ca="1" si="40"/>
        <v>479417740.71780288</v>
      </c>
      <c r="Y68" s="403">
        <f t="shared" ca="1" si="40"/>
        <v>530704826.33894545</v>
      </c>
      <c r="Z68" s="403">
        <f t="shared" ca="1" si="40"/>
        <v>589368968.84733152</v>
      </c>
      <c r="AA68" s="403">
        <f t="shared" ca="1" si="40"/>
        <v>645995177.70771825</v>
      </c>
    </row>
    <row r="69" spans="1:27" ht="15.5">
      <c r="A69" s="409"/>
      <c r="B69" s="405"/>
      <c r="C69" s="48"/>
      <c r="D69" s="48"/>
      <c r="E69" s="48"/>
      <c r="F69" s="48"/>
      <c r="G69" s="48"/>
      <c r="H69" s="48"/>
      <c r="I69" s="48"/>
      <c r="J69" s="48"/>
      <c r="K69" s="48"/>
      <c r="L69" s="48"/>
      <c r="N69" s="305"/>
      <c r="P69" s="460"/>
      <c r="Q69" s="405"/>
      <c r="R69" s="48"/>
      <c r="S69" s="48"/>
      <c r="T69" s="48"/>
      <c r="U69" s="48"/>
      <c r="V69" s="48"/>
      <c r="W69" s="48"/>
      <c r="X69" s="48"/>
      <c r="Y69" s="48"/>
      <c r="Z69" s="48"/>
      <c r="AA69" s="48"/>
    </row>
    <row r="70" spans="1:27" ht="18.5">
      <c r="A70" s="408" t="s">
        <v>37</v>
      </c>
      <c r="B70" s="405"/>
      <c r="C70" s="403">
        <f>Assumptions!AO15</f>
        <v>5000</v>
      </c>
      <c r="D70" s="403">
        <v>0</v>
      </c>
      <c r="E70" s="403">
        <v>0</v>
      </c>
      <c r="F70" s="403">
        <v>0</v>
      </c>
      <c r="G70" s="403">
        <v>0</v>
      </c>
      <c r="H70" s="403">
        <v>0</v>
      </c>
      <c r="I70" s="403">
        <v>0</v>
      </c>
      <c r="J70" s="403">
        <v>0</v>
      </c>
      <c r="K70" s="403">
        <v>0</v>
      </c>
      <c r="L70" s="403">
        <v>0</v>
      </c>
      <c r="P70" s="459" t="s">
        <v>151</v>
      </c>
      <c r="Q70" s="405"/>
      <c r="R70" s="403">
        <f>R68</f>
        <v>23390000</v>
      </c>
      <c r="S70" s="403">
        <f t="shared" ref="S70:AA70" si="41">S68</f>
        <v>32756403.600000001</v>
      </c>
      <c r="T70" s="403">
        <f t="shared" ca="1" si="41"/>
        <v>39093830.214147493</v>
      </c>
      <c r="U70" s="403">
        <f t="shared" ca="1" si="41"/>
        <v>280990018.63271171</v>
      </c>
      <c r="V70" s="403">
        <f t="shared" ca="1" si="41"/>
        <v>368760020.63516229</v>
      </c>
      <c r="W70" s="403">
        <f t="shared" ca="1" si="41"/>
        <v>434443046.59283429</v>
      </c>
      <c r="X70" s="403">
        <f t="shared" ca="1" si="41"/>
        <v>479417740.71780288</v>
      </c>
      <c r="Y70" s="403">
        <f t="shared" ca="1" si="41"/>
        <v>530704826.33894545</v>
      </c>
      <c r="Z70" s="403">
        <f t="shared" ca="1" si="41"/>
        <v>589368968.84733152</v>
      </c>
      <c r="AA70" s="403">
        <f t="shared" ca="1" si="41"/>
        <v>645995177.70771825</v>
      </c>
    </row>
    <row r="71" spans="1:27" ht="18.5">
      <c r="A71" s="408" t="s">
        <v>309</v>
      </c>
      <c r="B71" s="405"/>
      <c r="C71" s="403">
        <f>Assumptions!AO16</f>
        <v>15000</v>
      </c>
      <c r="D71" s="403">
        <v>0</v>
      </c>
      <c r="E71" s="403">
        <v>0</v>
      </c>
      <c r="F71" s="403">
        <v>0</v>
      </c>
      <c r="G71" s="403">
        <v>0</v>
      </c>
      <c r="H71" s="403">
        <v>0</v>
      </c>
      <c r="I71" s="403">
        <v>0</v>
      </c>
      <c r="J71" s="403">
        <v>0</v>
      </c>
      <c r="K71" s="403">
        <v>0</v>
      </c>
      <c r="L71" s="403">
        <v>0</v>
      </c>
      <c r="N71" s="304"/>
      <c r="P71" s="460"/>
      <c r="Q71" s="405"/>
      <c r="R71" s="48"/>
      <c r="S71" s="48"/>
      <c r="T71" s="48"/>
      <c r="U71" s="48"/>
      <c r="V71" s="48"/>
      <c r="W71" s="48"/>
      <c r="X71" s="48"/>
      <c r="Y71" s="48"/>
      <c r="Z71" s="48"/>
      <c r="AA71" s="48"/>
    </row>
    <row r="72" spans="1:27" ht="18.5">
      <c r="A72" s="408" t="s">
        <v>40</v>
      </c>
      <c r="B72" s="405"/>
      <c r="C72" s="403">
        <f>Assumptions!AO17</f>
        <v>1000</v>
      </c>
      <c r="D72" s="403">
        <v>0</v>
      </c>
      <c r="E72" s="403">
        <v>0</v>
      </c>
      <c r="F72" s="403">
        <v>0</v>
      </c>
      <c r="G72" s="403">
        <v>0</v>
      </c>
      <c r="H72" s="403">
        <v>0</v>
      </c>
      <c r="I72" s="403">
        <v>0</v>
      </c>
      <c r="J72" s="403">
        <v>0</v>
      </c>
      <c r="K72" s="403">
        <v>0</v>
      </c>
      <c r="L72" s="403">
        <v>0</v>
      </c>
      <c r="P72" s="459" t="s">
        <v>152</v>
      </c>
      <c r="Q72" s="405"/>
      <c r="R72" s="48"/>
      <c r="S72" s="48"/>
      <c r="T72" s="48"/>
      <c r="U72" s="48"/>
      <c r="V72" s="48"/>
      <c r="W72" s="48"/>
      <c r="X72" s="48"/>
      <c r="Y72" s="48"/>
      <c r="Z72" s="48"/>
      <c r="AA72" s="48"/>
    </row>
    <row r="73" spans="1:27" ht="15.5">
      <c r="A73" s="408" t="s">
        <v>41</v>
      </c>
      <c r="B73" s="405"/>
      <c r="C73" s="403">
        <f>Assumptions!AO18</f>
        <v>5000</v>
      </c>
      <c r="D73" s="403">
        <v>0</v>
      </c>
      <c r="E73" s="403">
        <v>0</v>
      </c>
      <c r="F73" s="403">
        <v>0</v>
      </c>
      <c r="G73" s="403">
        <v>0</v>
      </c>
      <c r="H73" s="403">
        <v>0</v>
      </c>
      <c r="I73" s="403">
        <v>0</v>
      </c>
      <c r="J73" s="403">
        <v>0</v>
      </c>
      <c r="K73" s="403">
        <v>0</v>
      </c>
      <c r="L73" s="403">
        <v>0</v>
      </c>
      <c r="P73" s="461" t="s">
        <v>296</v>
      </c>
      <c r="Q73" s="405"/>
      <c r="R73" s="403">
        <f>SUM(C54,C165,C276,C387,C498,C609,C720,C831,C942,C1053)</f>
        <v>5145000</v>
      </c>
      <c r="S73" s="403">
        <f t="shared" ref="S73:AA81" si="42">SUM(D54,D165,D276,D387,D498,D609,D720,D831,D942,D1053)</f>
        <v>5753261.5</v>
      </c>
      <c r="T73" s="403">
        <f t="shared" ca="1" si="42"/>
        <v>6451877.1277675778</v>
      </c>
      <c r="U73" s="403">
        <f t="shared" ca="1" si="42"/>
        <v>59620124.189221211</v>
      </c>
      <c r="V73" s="403">
        <f t="shared" ca="1" si="42"/>
        <v>66048780.992613308</v>
      </c>
      <c r="W73" s="403">
        <f t="shared" ca="1" si="42"/>
        <v>73411690.671823829</v>
      </c>
      <c r="X73" s="403">
        <f t="shared" ca="1" si="42"/>
        <v>81874276.029556572</v>
      </c>
      <c r="Y73" s="403">
        <f t="shared" ca="1" si="42"/>
        <v>91638660.155419856</v>
      </c>
      <c r="Z73" s="403">
        <f t="shared" ca="1" si="42"/>
        <v>102930018.29966091</v>
      </c>
      <c r="AA73" s="403">
        <f t="shared" ca="1" si="42"/>
        <v>116015264.732324</v>
      </c>
    </row>
    <row r="74" spans="1:27" ht="15.5">
      <c r="A74" s="408" t="s">
        <v>43</v>
      </c>
      <c r="B74" s="405"/>
      <c r="C74" s="403">
        <f>Assumptions!AO19</f>
        <v>1000</v>
      </c>
      <c r="D74" s="403">
        <v>0</v>
      </c>
      <c r="E74" s="403">
        <v>0</v>
      </c>
      <c r="F74" s="403">
        <v>0</v>
      </c>
      <c r="G74" s="403">
        <v>0</v>
      </c>
      <c r="H74" s="403">
        <v>0</v>
      </c>
      <c r="I74" s="403">
        <v>0</v>
      </c>
      <c r="J74" s="403">
        <v>0</v>
      </c>
      <c r="K74" s="403">
        <v>0</v>
      </c>
      <c r="L74" s="403">
        <v>0</v>
      </c>
      <c r="P74" s="461" t="s">
        <v>297</v>
      </c>
      <c r="Q74" s="405"/>
      <c r="R74" s="403">
        <f t="shared" ref="R74:R81" si="43">SUM(C55,C166,C277,C388,C499,C610,C721,C832,C943,C1054)</f>
        <v>1778000</v>
      </c>
      <c r="S74" s="403">
        <f t="shared" si="42"/>
        <v>1896983.76</v>
      </c>
      <c r="T74" s="403">
        <f t="shared" ca="1" si="42"/>
        <v>2029398.6577753834</v>
      </c>
      <c r="U74" s="403">
        <f t="shared" ca="1" si="42"/>
        <v>21735900.844068509</v>
      </c>
      <c r="V74" s="403">
        <f t="shared" ca="1" si="42"/>
        <v>23442002.974340614</v>
      </c>
      <c r="W74" s="403">
        <f t="shared" ca="1" si="42"/>
        <v>25376906.693593476</v>
      </c>
      <c r="X74" s="403">
        <f t="shared" ca="1" si="42"/>
        <v>27581453.1692365</v>
      </c>
      <c r="Y74" s="403">
        <f t="shared" ca="1" si="42"/>
        <v>30102676.807587679</v>
      </c>
      <c r="Z74" s="403">
        <f t="shared" ca="1" si="42"/>
        <v>32984545.770586744</v>
      </c>
      <c r="AA74" s="403">
        <f t="shared" ca="1" si="42"/>
        <v>32516704.092000082</v>
      </c>
    </row>
    <row r="75" spans="1:27" ht="15.5">
      <c r="A75" s="408" t="s">
        <v>45</v>
      </c>
      <c r="B75" s="405"/>
      <c r="C75" s="403">
        <f>Assumptions!AO20</f>
        <v>3000</v>
      </c>
      <c r="D75" s="403">
        <v>0</v>
      </c>
      <c r="E75" s="403">
        <v>0</v>
      </c>
      <c r="F75" s="403">
        <v>0</v>
      </c>
      <c r="G75" s="403">
        <v>0</v>
      </c>
      <c r="H75" s="403">
        <v>0</v>
      </c>
      <c r="I75" s="403">
        <v>0</v>
      </c>
      <c r="J75" s="403">
        <v>0</v>
      </c>
      <c r="K75" s="403">
        <v>0</v>
      </c>
      <c r="L75" s="403">
        <v>0</v>
      </c>
      <c r="P75" s="461" t="s">
        <v>298</v>
      </c>
      <c r="Q75" s="405"/>
      <c r="R75" s="403">
        <f t="shared" si="43"/>
        <v>0</v>
      </c>
      <c r="S75" s="403">
        <f t="shared" si="42"/>
        <v>2413000</v>
      </c>
      <c r="T75" s="403">
        <f t="shared" ca="1" si="42"/>
        <v>2631221.8703874266</v>
      </c>
      <c r="U75" s="403">
        <f t="shared" ca="1" si="42"/>
        <v>2879997.7670003688</v>
      </c>
      <c r="V75" s="403">
        <f t="shared" ca="1" si="42"/>
        <v>24877779.045490514</v>
      </c>
      <c r="W75" s="403">
        <f t="shared" ca="1" si="42"/>
        <v>27286610.147659577</v>
      </c>
      <c r="X75" s="403">
        <f t="shared" ca="1" si="42"/>
        <v>30041949.187077798</v>
      </c>
      <c r="Y75" s="403">
        <f t="shared" ca="1" si="42"/>
        <v>33190996.561143711</v>
      </c>
      <c r="Z75" s="403">
        <f t="shared" ca="1" si="42"/>
        <v>36801341.986274064</v>
      </c>
      <c r="AA75" s="403">
        <f t="shared" ca="1" si="42"/>
        <v>40959431.538626105</v>
      </c>
    </row>
    <row r="76" spans="1:27" ht="15.5">
      <c r="A76" s="408" t="s">
        <v>35</v>
      </c>
      <c r="B76" s="405"/>
      <c r="C76" s="403">
        <f>Assumptions!AO21</f>
        <v>5000</v>
      </c>
      <c r="D76" s="403">
        <v>0</v>
      </c>
      <c r="E76" s="403">
        <v>0</v>
      </c>
      <c r="F76" s="403">
        <v>0</v>
      </c>
      <c r="G76" s="403">
        <v>0</v>
      </c>
      <c r="H76" s="403">
        <v>0</v>
      </c>
      <c r="I76" s="403">
        <v>0</v>
      </c>
      <c r="J76" s="403">
        <v>0</v>
      </c>
      <c r="K76" s="403">
        <v>0</v>
      </c>
      <c r="L76" s="403">
        <v>0</v>
      </c>
      <c r="P76" s="461" t="s">
        <v>299</v>
      </c>
      <c r="Q76" s="405"/>
      <c r="R76" s="403">
        <f t="shared" si="43"/>
        <v>0</v>
      </c>
      <c r="S76" s="403">
        <f t="shared" si="42"/>
        <v>0</v>
      </c>
      <c r="T76" s="403">
        <f t="shared" si="42"/>
        <v>1272000</v>
      </c>
      <c r="U76" s="403">
        <f t="shared" ca="1" si="42"/>
        <v>1393012.201309626</v>
      </c>
      <c r="V76" s="403">
        <f t="shared" ca="1" si="42"/>
        <v>1529710.7698407723</v>
      </c>
      <c r="W76" s="403">
        <f t="shared" ca="1" si="42"/>
        <v>13131964.220282843</v>
      </c>
      <c r="X76" s="403">
        <f t="shared" ca="1" si="42"/>
        <v>14485007.632552713</v>
      </c>
      <c r="Y76" s="403">
        <f t="shared" ca="1" si="42"/>
        <v>16035471.326119142</v>
      </c>
      <c r="Z76" s="403">
        <f t="shared" ca="1" si="42"/>
        <v>17810709.174059059</v>
      </c>
      <c r="AA76" s="403">
        <f t="shared" ca="1" si="42"/>
        <v>19854337.422036655</v>
      </c>
    </row>
    <row r="77" spans="1:27" ht="18.5">
      <c r="A77" s="408"/>
      <c r="B77" s="405"/>
      <c r="C77" s="403"/>
      <c r="D77" s="403"/>
      <c r="E77" s="403"/>
      <c r="F77" s="403"/>
      <c r="G77" s="403"/>
      <c r="H77" s="403"/>
      <c r="I77" s="403"/>
      <c r="J77" s="403"/>
      <c r="K77" s="403"/>
      <c r="L77" s="403"/>
      <c r="N77" s="304"/>
      <c r="P77" s="461" t="s">
        <v>412</v>
      </c>
      <c r="Q77" s="405"/>
      <c r="R77" s="403">
        <f t="shared" si="43"/>
        <v>1263500</v>
      </c>
      <c r="S77" s="403">
        <f t="shared" si="42"/>
        <v>1321621</v>
      </c>
      <c r="T77" s="403">
        <f t="shared" ca="1" si="42"/>
        <v>1385760.7778269162</v>
      </c>
      <c r="U77" s="403">
        <f t="shared" ca="1" si="42"/>
        <v>12829807.745861946</v>
      </c>
      <c r="V77" s="403">
        <f t="shared" ca="1" si="42"/>
        <v>13493684.187462289</v>
      </c>
      <c r="W77" s="403">
        <f t="shared" ca="1" si="42"/>
        <v>14248315.848357733</v>
      </c>
      <c r="X77" s="403">
        <f t="shared" ca="1" si="42"/>
        <v>15103267.665842773</v>
      </c>
      <c r="Y77" s="403">
        <f t="shared" ca="1" si="42"/>
        <v>16072265.549493711</v>
      </c>
      <c r="Z77" s="403">
        <f t="shared" ca="1" si="42"/>
        <v>17165752.146291565</v>
      </c>
      <c r="AA77" s="403">
        <f t="shared" ca="1" si="42"/>
        <v>18408532.722517733</v>
      </c>
    </row>
    <row r="78" spans="1:27" ht="15.5">
      <c r="A78" s="409" t="s">
        <v>155</v>
      </c>
      <c r="B78" s="405"/>
      <c r="C78" s="403">
        <f t="shared" ref="C78:L78" si="44">SUM(C70:C76)</f>
        <v>35000</v>
      </c>
      <c r="D78" s="403">
        <f t="shared" si="44"/>
        <v>0</v>
      </c>
      <c r="E78" s="403">
        <f t="shared" si="44"/>
        <v>0</v>
      </c>
      <c r="F78" s="403">
        <f t="shared" si="44"/>
        <v>0</v>
      </c>
      <c r="G78" s="403">
        <f t="shared" si="44"/>
        <v>0</v>
      </c>
      <c r="H78" s="403">
        <f t="shared" si="44"/>
        <v>0</v>
      </c>
      <c r="I78" s="403">
        <f t="shared" si="44"/>
        <v>0</v>
      </c>
      <c r="J78" s="403">
        <f t="shared" si="44"/>
        <v>0</v>
      </c>
      <c r="K78" s="403">
        <f t="shared" si="44"/>
        <v>0</v>
      </c>
      <c r="L78" s="403">
        <f t="shared" si="44"/>
        <v>0</v>
      </c>
      <c r="N78" s="305"/>
      <c r="P78" s="461" t="s">
        <v>413</v>
      </c>
      <c r="Q78" s="405"/>
      <c r="R78" s="403">
        <f t="shared" si="43"/>
        <v>0</v>
      </c>
      <c r="S78" s="403">
        <f t="shared" si="42"/>
        <v>52500</v>
      </c>
      <c r="T78" s="403">
        <f t="shared" ca="1" si="42"/>
        <v>55118.693787387914</v>
      </c>
      <c r="U78" s="403">
        <f t="shared" ca="1" si="42"/>
        <v>58053.905258032486</v>
      </c>
      <c r="V78" s="403">
        <f t="shared" ca="1" si="42"/>
        <v>753025.17072901689</v>
      </c>
      <c r="W78" s="403">
        <f t="shared" ca="1" si="42"/>
        <v>1305707.0529537539</v>
      </c>
      <c r="X78" s="403">
        <f t="shared" ca="1" si="42"/>
        <v>1789793.2532147083</v>
      </c>
      <c r="Y78" s="403">
        <f t="shared" ca="1" si="42"/>
        <v>2214601.1108391951</v>
      </c>
      <c r="Z78" s="403">
        <f t="shared" ca="1" si="42"/>
        <v>2587934.0690559251</v>
      </c>
      <c r="AA78" s="403">
        <f t="shared" ca="1" si="42"/>
        <v>2917019.6600264576</v>
      </c>
    </row>
    <row r="79" spans="1:27" ht="15.5">
      <c r="A79" s="408"/>
      <c r="B79" s="405"/>
      <c r="C79" s="403"/>
      <c r="D79" s="403"/>
      <c r="E79" s="403"/>
      <c r="F79" s="403"/>
      <c r="G79" s="403"/>
      <c r="H79" s="403"/>
      <c r="I79" s="403"/>
      <c r="J79" s="403"/>
      <c r="K79" s="403"/>
      <c r="L79" s="403"/>
      <c r="N79" s="305"/>
      <c r="P79" s="461" t="s">
        <v>414</v>
      </c>
      <c r="Q79" s="405"/>
      <c r="R79" s="403">
        <f t="shared" si="43"/>
        <v>0</v>
      </c>
      <c r="S79" s="403">
        <f t="shared" si="42"/>
        <v>157500</v>
      </c>
      <c r="T79" s="403">
        <f t="shared" ca="1" si="42"/>
        <v>165328.61767877929</v>
      </c>
      <c r="U79" s="403">
        <f t="shared" ca="1" si="42"/>
        <v>173994.42624761938</v>
      </c>
      <c r="V79" s="403">
        <f t="shared" ca="1" si="42"/>
        <v>603818.74398551544</v>
      </c>
      <c r="W79" s="403">
        <f t="shared" ca="1" si="42"/>
        <v>637769.53067516186</v>
      </c>
      <c r="X79" s="403">
        <f t="shared" ca="1" si="42"/>
        <v>676292.64514293976</v>
      </c>
      <c r="Y79" s="403">
        <f t="shared" ca="1" si="42"/>
        <v>719877.53770174587</v>
      </c>
      <c r="Z79" s="403">
        <f t="shared" ca="1" si="42"/>
        <v>769261.2079658627</v>
      </c>
      <c r="AA79" s="403">
        <f t="shared" ca="1" si="42"/>
        <v>825155.90254608425</v>
      </c>
    </row>
    <row r="80" spans="1:27" ht="15.5">
      <c r="A80" s="409" t="s">
        <v>13</v>
      </c>
      <c r="B80" s="405"/>
      <c r="C80" s="403"/>
      <c r="D80" s="403"/>
      <c r="E80" s="403"/>
      <c r="F80" s="403"/>
      <c r="G80" s="403"/>
      <c r="H80" s="403"/>
      <c r="I80" s="403"/>
      <c r="J80" s="403"/>
      <c r="K80" s="403"/>
      <c r="L80" s="403"/>
      <c r="N80" s="305"/>
      <c r="P80" s="461" t="s">
        <v>371</v>
      </c>
      <c r="Q80" s="405"/>
      <c r="R80" s="403">
        <f t="shared" si="43"/>
        <v>0</v>
      </c>
      <c r="S80" s="403">
        <f t="shared" si="42"/>
        <v>171500</v>
      </c>
      <c r="T80" s="403">
        <f t="shared" ca="1" si="42"/>
        <v>180037.56352657999</v>
      </c>
      <c r="U80" s="403">
        <f t="shared" ca="1" si="42"/>
        <v>189741.68852053635</v>
      </c>
      <c r="V80" s="403">
        <f t="shared" ca="1" si="42"/>
        <v>1618141.5647611753</v>
      </c>
      <c r="W80" s="403">
        <f t="shared" ca="1" si="42"/>
        <v>1708423.9381384582</v>
      </c>
      <c r="X80" s="403">
        <f t="shared" ca="1" si="42"/>
        <v>1810039.2710607916</v>
      </c>
      <c r="Y80" s="403">
        <f t="shared" ca="1" si="42"/>
        <v>1925448.6562337186</v>
      </c>
      <c r="Z80" s="403">
        <f t="shared" ca="1" si="42"/>
        <v>2056082.8377135519</v>
      </c>
      <c r="AA80" s="403">
        <f t="shared" ca="1" si="42"/>
        <v>2203587.2477070945</v>
      </c>
    </row>
    <row r="81" spans="1:27" ht="15.5">
      <c r="A81" s="408"/>
      <c r="B81" s="405"/>
      <c r="C81" s="403"/>
      <c r="D81" s="403"/>
      <c r="E81" s="403"/>
      <c r="F81" s="403"/>
      <c r="G81" s="403"/>
      <c r="H81" s="403"/>
      <c r="I81" s="403"/>
      <c r="J81" s="403"/>
      <c r="K81" s="403"/>
      <c r="L81" s="403"/>
      <c r="N81" s="305"/>
      <c r="P81" s="461"/>
      <c r="Q81" s="405"/>
      <c r="R81" s="403"/>
      <c r="S81" s="403"/>
      <c r="T81" s="403"/>
      <c r="U81" s="403"/>
      <c r="V81" s="403"/>
      <c r="W81" s="403"/>
      <c r="X81" s="403"/>
      <c r="Y81" s="403"/>
      <c r="Z81" s="403"/>
      <c r="AA81" s="403"/>
    </row>
    <row r="82" spans="1:27" ht="15.5">
      <c r="A82" s="408" t="s">
        <v>14</v>
      </c>
      <c r="B82" s="405"/>
      <c r="C82" s="403">
        <f>Assumptions!AC15</f>
        <v>6000</v>
      </c>
      <c r="D82" s="403">
        <f>C82*(1+Revenue!C3)</f>
        <v>6276</v>
      </c>
      <c r="E82" s="403">
        <f>D82*(1+Revenue!D3)</f>
        <v>6564.6959999999999</v>
      </c>
      <c r="F82" s="403">
        <f>E82*(1+Revenue!E3)</f>
        <v>6866.6720160000004</v>
      </c>
      <c r="G82" s="403">
        <f>F82*(1+Revenue!F3)</f>
        <v>7182.5389287360003</v>
      </c>
      <c r="H82" s="403">
        <f>G82*(1+Revenue!G3)</f>
        <v>7512.935719457857</v>
      </c>
      <c r="I82" s="403">
        <f>H82*(1+Revenue!H3)</f>
        <v>7858.5307625529185</v>
      </c>
      <c r="J82" s="403">
        <f>I82*(1+Revenue!I3)</f>
        <v>8220.0231776303535</v>
      </c>
      <c r="K82" s="403">
        <f>J82*(1+Revenue!J3)</f>
        <v>8598.144243801351</v>
      </c>
      <c r="L82" s="403">
        <f>K82*(1+Revenue!K3)</f>
        <v>8993.6588790162132</v>
      </c>
      <c r="N82" s="305"/>
      <c r="P82" s="461"/>
      <c r="Q82" s="405"/>
      <c r="R82" s="403"/>
      <c r="S82" s="403"/>
      <c r="T82" s="403"/>
      <c r="U82" s="403"/>
      <c r="V82" s="403"/>
      <c r="W82" s="403"/>
      <c r="X82" s="403"/>
      <c r="Y82" s="403"/>
      <c r="Z82" s="403"/>
      <c r="AA82" s="403"/>
    </row>
    <row r="83" spans="1:27" ht="15.5">
      <c r="A83" s="408" t="s">
        <v>15</v>
      </c>
      <c r="B83" s="405"/>
      <c r="C83" s="403">
        <f>Assumptions!AC16</f>
        <v>12000</v>
      </c>
      <c r="D83" s="403">
        <f>C83*(1+Revenue!C3)</f>
        <v>12552</v>
      </c>
      <c r="E83" s="403">
        <f>D83*(1+Revenue!D3)</f>
        <v>13129.392</v>
      </c>
      <c r="F83" s="403">
        <f>E83*(1+Revenue!E3)</f>
        <v>13733.344032000001</v>
      </c>
      <c r="G83" s="403">
        <f>F83*(1+Revenue!F3)</f>
        <v>14365.077857472001</v>
      </c>
      <c r="H83" s="403">
        <f>G83*(1+Revenue!G3)</f>
        <v>15025.871438915714</v>
      </c>
      <c r="I83" s="403">
        <f>H83*(1+Revenue!H3)</f>
        <v>15717.061525105837</v>
      </c>
      <c r="J83" s="403">
        <f>I83*(1+Revenue!I3)</f>
        <v>16440.046355260707</v>
      </c>
      <c r="K83" s="403">
        <f>J83*(1+Revenue!J3)</f>
        <v>17196.288487602702</v>
      </c>
      <c r="L83" s="403">
        <f>K83*(1+Revenue!K3)</f>
        <v>17987.317758032426</v>
      </c>
      <c r="N83" s="305"/>
      <c r="P83" s="461" t="s">
        <v>153</v>
      </c>
      <c r="Q83" s="405"/>
      <c r="R83" s="403">
        <f>SUM(R73:R80)</f>
        <v>8186500</v>
      </c>
      <c r="S83" s="403">
        <f t="shared" ref="S83:AA83" si="45">SUM(S73:S80)</f>
        <v>11766366.26</v>
      </c>
      <c r="T83" s="403">
        <f t="shared" ca="1" si="45"/>
        <v>14170743.308750054</v>
      </c>
      <c r="U83" s="403">
        <f t="shared" ca="1" si="45"/>
        <v>98880632.767487839</v>
      </c>
      <c r="V83" s="403">
        <f t="shared" ca="1" si="45"/>
        <v>132366943.44922321</v>
      </c>
      <c r="W83" s="403">
        <f t="shared" ca="1" si="45"/>
        <v>157107388.10348484</v>
      </c>
      <c r="X83" s="403">
        <f t="shared" ca="1" si="45"/>
        <v>173362078.85368481</v>
      </c>
      <c r="Y83" s="403">
        <f t="shared" ca="1" si="45"/>
        <v>191899997.70453879</v>
      </c>
      <c r="Z83" s="403">
        <f t="shared" ca="1" si="45"/>
        <v>213105645.49160764</v>
      </c>
      <c r="AA83" s="403">
        <f t="shared" ca="1" si="45"/>
        <v>233700033.31778419</v>
      </c>
    </row>
    <row r="84" spans="1:27" ht="15.5">
      <c r="A84" s="408" t="s">
        <v>17</v>
      </c>
      <c r="B84" s="405"/>
      <c r="C84" s="403">
        <f>Assumptions!AC17</f>
        <v>1200</v>
      </c>
      <c r="D84" s="403">
        <f>C84*(1+Revenue!C3)</f>
        <v>1255.2</v>
      </c>
      <c r="E84" s="403">
        <f>D84*(1+Revenue!D3)</f>
        <v>1312.9392</v>
      </c>
      <c r="F84" s="403">
        <f>E84*(1+Revenue!E3)</f>
        <v>1373.3344032</v>
      </c>
      <c r="G84" s="403">
        <f>F84*(1+Revenue!F3)</f>
        <v>1436.5077857472002</v>
      </c>
      <c r="H84" s="403">
        <f>G84*(1+Revenue!G3)</f>
        <v>1502.5871438915715</v>
      </c>
      <c r="I84" s="403">
        <f>H84*(1+Revenue!H3)</f>
        <v>1571.7061525105839</v>
      </c>
      <c r="J84" s="403">
        <f>I84*(1+Revenue!I3)</f>
        <v>1644.0046355260708</v>
      </c>
      <c r="K84" s="403">
        <f>J84*(1+Revenue!J3)</f>
        <v>1719.6288487602701</v>
      </c>
      <c r="L84" s="403">
        <f>K84*(1+Revenue!K3)</f>
        <v>1798.7317758032425</v>
      </c>
      <c r="N84" s="305"/>
      <c r="P84" s="460"/>
      <c r="Q84" s="405"/>
      <c r="R84" s="48"/>
      <c r="S84" s="48"/>
      <c r="T84" s="48"/>
      <c r="U84" s="48"/>
      <c r="V84" s="48"/>
      <c r="W84" s="48"/>
      <c r="X84" s="48"/>
      <c r="Y84" s="48"/>
      <c r="Z84" s="48"/>
      <c r="AA84" s="48"/>
    </row>
    <row r="85" spans="1:27" ht="18.5">
      <c r="A85" s="408" t="s">
        <v>19</v>
      </c>
      <c r="B85" s="405"/>
      <c r="C85" s="403">
        <f>Assumptions!$AC$18 * (Revenue!Q8+Revenue!Q9 + Revenue!Q10+Revenue!Q11)</f>
        <v>45720</v>
      </c>
      <c r="D85" s="403">
        <f>Assumptions!$AC$18 * (Revenue!R8+Revenue!R9+Revenue!Q10+Revenue!Q11)*(1+Revenue!C3)</f>
        <v>49919.304000000004</v>
      </c>
      <c r="E85" s="403">
        <f ca="1">Assumptions!$AC$18 * (Revenue!S8+Revenue!S9+Revenue!R10+Revenue!R11)*(1+Revenue!D3)</f>
        <v>60545.784297805534</v>
      </c>
      <c r="F85" s="403">
        <f ca="1">Assumptions!$AC$18 * (Revenue!T8+Revenue!T9+Revenue!S10+Revenue!S11)*(1+Revenue!E3)</f>
        <v>63884.647425635136</v>
      </c>
      <c r="G85" s="403">
        <f ca="1">Assumptions!$AC$18 * (Revenue!U8+Revenue!U9+Revenue!T10+Revenue!T11)*(1+Revenue!F3)</f>
        <v>67642.050212661081</v>
      </c>
      <c r="H85" s="403">
        <f ca="1">Assumptions!$AC$18 * (Revenue!V8+Revenue!V9+Revenue!U10+Revenue!U11)*(1+Revenue!G3)</f>
        <v>71867.925259735566</v>
      </c>
      <c r="I85" s="403">
        <f ca="1">Assumptions!$AC$18 * (Revenue!W8+Revenue!W9+Revenue!V10+Revenue!V11)*(1+Revenue!H3)</f>
        <v>76676.218512230727</v>
      </c>
      <c r="J85" s="403">
        <f ca="1">Assumptions!$AC$18 * (Revenue!X8+Revenue!X9+Revenue!W10+Revenue!W11)*(1+Revenue!I3)</f>
        <v>82143.12387560081</v>
      </c>
      <c r="K85" s="403">
        <f ca="1">Assumptions!$AC$18 * (Revenue!Y8+Revenue!Y9+Revenue!X10+Revenue!X11)*(1+Revenue!J3)</f>
        <v>88348.600210168224</v>
      </c>
      <c r="L85" s="403">
        <f ca="1">Assumptions!$AC$18 * (Revenue!Z8+Revenue!Z9+Revenue!Y10+Revenue!Y11)*(1+Revenue!K3)</f>
        <v>95409.585562830936</v>
      </c>
      <c r="N85" s="305"/>
      <c r="P85" s="459" t="s">
        <v>154</v>
      </c>
      <c r="Q85" s="405"/>
      <c r="R85" s="403">
        <f>R70-R83</f>
        <v>15203500</v>
      </c>
      <c r="S85" s="403">
        <f t="shared" ref="S85:AA85" si="46">S70-S83</f>
        <v>20990037.340000004</v>
      </c>
      <c r="T85" s="403">
        <f t="shared" ca="1" si="46"/>
        <v>24923086.905397438</v>
      </c>
      <c r="U85" s="403">
        <f t="shared" ca="1" si="46"/>
        <v>182109385.86522388</v>
      </c>
      <c r="V85" s="403">
        <f t="shared" ca="1" si="46"/>
        <v>236393077.18593907</v>
      </c>
      <c r="W85" s="403">
        <f t="shared" ca="1" si="46"/>
        <v>277335658.48934948</v>
      </c>
      <c r="X85" s="403">
        <f t="shared" ca="1" si="46"/>
        <v>306055661.8641181</v>
      </c>
      <c r="Y85" s="403">
        <f t="shared" ca="1" si="46"/>
        <v>338804828.63440669</v>
      </c>
      <c r="Z85" s="403">
        <f t="shared" ca="1" si="46"/>
        <v>376263323.35572386</v>
      </c>
      <c r="AA85" s="403">
        <f t="shared" ca="1" si="46"/>
        <v>412295144.38993406</v>
      </c>
    </row>
    <row r="86" spans="1:27" ht="15.5">
      <c r="A86" s="408" t="s">
        <v>20</v>
      </c>
      <c r="B86" s="405"/>
      <c r="C86" s="403">
        <f>Assumptions!$AC$19*C51</f>
        <v>5145800</v>
      </c>
      <c r="D86" s="403">
        <f>Assumptions!$AC$19*D51*(1 + Revenue!C3)</f>
        <v>7537903.5964320004</v>
      </c>
      <c r="E86" s="403">
        <f ca="1">Assumptions!$AC$19*E51*(1 + Revenue!D3)</f>
        <v>8996272.2088796198</v>
      </c>
      <c r="F86" s="403">
        <f ca="1">Assumptions!$AC$19*F51*(1 + Revenue!E3)</f>
        <v>9899766.6877596192</v>
      </c>
      <c r="G86" s="403">
        <f ca="1">Assumptions!$AC$19*G51*(1 + Revenue!F3)</f>
        <v>10932028.347751765</v>
      </c>
      <c r="H86" s="403">
        <f ca="1">Assumptions!$AC$19*H51*(1 + Revenue!G3)</f>
        <v>12115991.142371302</v>
      </c>
      <c r="I86" s="403">
        <f ca="1">Assumptions!$AC$19*I51*(1 + Revenue!H3)</f>
        <v>13485421.115428219</v>
      </c>
      <c r="J86" s="403">
        <f ca="1">Assumptions!$AC$19*J51*(1 + Revenue!I3)</f>
        <v>15073192.146250963</v>
      </c>
      <c r="K86" s="403">
        <f ca="1">Assumptions!$AC$19*K51*(1 + Revenue!J3)</f>
        <v>16911209.69595157</v>
      </c>
      <c r="L86" s="403">
        <f ca="1">Assumptions!$AC$19*L51*(1 + Revenue!K3)</f>
        <v>19054255.101157628</v>
      </c>
      <c r="N86" s="305"/>
      <c r="P86" s="460"/>
      <c r="Q86" s="405"/>
      <c r="R86" s="48"/>
      <c r="S86" s="48"/>
      <c r="T86" s="48"/>
      <c r="U86" s="48"/>
      <c r="V86" s="48"/>
      <c r="W86" s="48"/>
      <c r="X86" s="48"/>
      <c r="Y86" s="48"/>
      <c r="Z86" s="48"/>
      <c r="AA86" s="48"/>
    </row>
    <row r="87" spans="1:27" ht="18.5">
      <c r="A87" s="408" t="s">
        <v>22</v>
      </c>
      <c r="B87" s="405"/>
      <c r="C87" s="403">
        <f>Assumptions!AC20</f>
        <v>6000</v>
      </c>
      <c r="D87" s="403">
        <f>C87*(1+Revenue!C3)</f>
        <v>6276</v>
      </c>
      <c r="E87" s="403">
        <f>D87*(1+Revenue!D3)</f>
        <v>6564.6959999999999</v>
      </c>
      <c r="F87" s="403">
        <f>E87*(1+Revenue!E3)</f>
        <v>6866.6720160000004</v>
      </c>
      <c r="G87" s="403">
        <f>F87*(1+Revenue!F3)</f>
        <v>7182.5389287360003</v>
      </c>
      <c r="H87" s="403">
        <f>G87*(1+Revenue!G3)</f>
        <v>7512.935719457857</v>
      </c>
      <c r="I87" s="403">
        <f>H87*(1+Revenue!H3)</f>
        <v>7858.5307625529185</v>
      </c>
      <c r="J87" s="403">
        <f>I87*(1+Revenue!I3)</f>
        <v>8220.0231776303535</v>
      </c>
      <c r="K87" s="403">
        <f>J87*(1+Revenue!J3)</f>
        <v>8598.144243801351</v>
      </c>
      <c r="L87" s="403">
        <f>K87*(1+Revenue!K3)</f>
        <v>8993.6588790162132</v>
      </c>
      <c r="N87" s="305"/>
      <c r="P87" s="459" t="s">
        <v>96</v>
      </c>
      <c r="Q87" s="405"/>
      <c r="R87" s="48"/>
      <c r="S87" s="48"/>
      <c r="T87" s="48"/>
      <c r="U87" s="48"/>
      <c r="V87" s="48"/>
      <c r="W87" s="48"/>
      <c r="X87" s="48"/>
      <c r="Y87" s="48"/>
      <c r="Z87" s="48"/>
      <c r="AA87" s="48"/>
    </row>
    <row r="88" spans="1:27" ht="15.5">
      <c r="A88" s="408" t="s">
        <v>25</v>
      </c>
      <c r="B88" s="405"/>
      <c r="C88" s="403">
        <f>Assumptions!AC21</f>
        <v>1000</v>
      </c>
      <c r="D88" s="403">
        <f>C88*(1+Revenue!C3)</f>
        <v>1046</v>
      </c>
      <c r="E88" s="403">
        <f>D88*(1+Revenue!D3)</f>
        <v>1094.116</v>
      </c>
      <c r="F88" s="403">
        <f>E88*(1+Revenue!E3)</f>
        <v>1144.445336</v>
      </c>
      <c r="G88" s="403">
        <f>F88*(1+Revenue!F3)</f>
        <v>1197.089821456</v>
      </c>
      <c r="H88" s="403">
        <f>G88*(1+Revenue!G3)</f>
        <v>1252.155953242976</v>
      </c>
      <c r="I88" s="403">
        <f>H88*(1+Revenue!H3)</f>
        <v>1309.7551270921529</v>
      </c>
      <c r="J88" s="403">
        <f>I88*(1+Revenue!I3)</f>
        <v>1370.0038629383919</v>
      </c>
      <c r="K88" s="403">
        <f>J88*(1+Revenue!J3)</f>
        <v>1433.0240406335579</v>
      </c>
      <c r="L88" s="403">
        <f>K88*(1+Revenue!K3)</f>
        <v>1498.9431465027017</v>
      </c>
      <c r="N88" s="305"/>
      <c r="P88" s="460"/>
      <c r="Q88" s="405"/>
      <c r="R88" s="48"/>
      <c r="S88" s="48"/>
      <c r="T88" s="48"/>
      <c r="U88" s="48"/>
      <c r="V88" s="48"/>
      <c r="W88" s="48"/>
      <c r="X88" s="48"/>
      <c r="Y88" s="48"/>
      <c r="Z88" s="48"/>
      <c r="AA88" s="48"/>
    </row>
    <row r="89" spans="1:27" ht="15.5">
      <c r="A89" s="408" t="s">
        <v>27</v>
      </c>
      <c r="B89" s="405"/>
      <c r="C89" s="403">
        <f>Assumptions!AC22</f>
        <v>1000</v>
      </c>
      <c r="D89" s="403">
        <f>C89*(1+Revenue!C3)</f>
        <v>1046</v>
      </c>
      <c r="E89" s="403">
        <f>D89*(1+Revenue!D3)</f>
        <v>1094.116</v>
      </c>
      <c r="F89" s="403">
        <f>E89*(1+Revenue!E3)</f>
        <v>1144.445336</v>
      </c>
      <c r="G89" s="403">
        <f>F89*(1+Revenue!F3)</f>
        <v>1197.089821456</v>
      </c>
      <c r="H89" s="403">
        <f>G89*(1+Revenue!G3)</f>
        <v>1252.155953242976</v>
      </c>
      <c r="I89" s="403">
        <f>H89*(1+Revenue!H3)</f>
        <v>1309.7551270921529</v>
      </c>
      <c r="J89" s="403">
        <f>I89*(1+Revenue!I3)</f>
        <v>1370.0038629383919</v>
      </c>
      <c r="K89" s="403">
        <f>J89*(1+Revenue!J3)</f>
        <v>1433.0240406335579</v>
      </c>
      <c r="L89" s="403">
        <f>K89*(1+Revenue!K3)</f>
        <v>1498.9431465027017</v>
      </c>
      <c r="P89" s="461" t="s">
        <v>28</v>
      </c>
      <c r="Q89" s="405"/>
      <c r="R89" s="48"/>
      <c r="S89" s="48"/>
      <c r="T89" s="48"/>
      <c r="U89" s="48"/>
      <c r="V89" s="48"/>
      <c r="W89" s="48"/>
      <c r="X89" s="48"/>
      <c r="Y89" s="48"/>
      <c r="Z89" s="48"/>
      <c r="AA89" s="48"/>
    </row>
    <row r="90" spans="1:27" ht="18.5">
      <c r="A90" s="408" t="s">
        <v>278</v>
      </c>
      <c r="B90" s="405"/>
      <c r="C90" s="403">
        <f>Assumptions!$AC$23 + (Revenue!Q10+Revenue!Q11+Revenue!Q12)*Assumptions!$AC$24</f>
        <v>6950</v>
      </c>
      <c r="D90" s="403">
        <f>(Assumptions!$AC$23 + (Revenue!R10+Revenue!R11+Revenue!R12)*Assumptions!$AC$24)*(1 + Revenue!C3)</f>
        <v>10723.592000000001</v>
      </c>
      <c r="E90" s="403">
        <f ca="1">(Assumptions!$AC$23 + (Revenue!S10+Revenue!S11+Revenue!S12)*Assumptions!$AC$24)*(1 + Revenue!D3)</f>
        <v>12681.987184532021</v>
      </c>
      <c r="F90" s="403">
        <f ca="1">(Assumptions!$AC$23 + (Revenue!T10+Revenue!T11+Revenue!T12)*Assumptions!$AC$24)*(1 + Revenue!E3)</f>
        <v>13100.820273422867</v>
      </c>
      <c r="G90" s="403">
        <f ca="1">(Assumptions!$AC$23 + (Revenue!U10+Revenue!U11+Revenue!U12)*Assumptions!$AC$24)*(1 + Revenue!F3)</f>
        <v>13572.93508876618</v>
      </c>
      <c r="H90" s="403">
        <f ca="1">(Assumptions!$AC$23 + (Revenue!V10+Revenue!V11+Revenue!V12)*Assumptions!$AC$24)*(1 + Revenue!G3)</f>
        <v>14106.795309263443</v>
      </c>
      <c r="I90" s="403">
        <f ca="1">(Assumptions!$AC$23 + (Revenue!W10+Revenue!W11+Revenue!W12)*Assumptions!$AC$24)*(1 + Revenue!H3)</f>
        <v>14711.167794161485</v>
      </c>
      <c r="J90" s="403">
        <f ca="1">(Assumptions!$AC$23 + (Revenue!X10+Revenue!X11+Revenue!X12)*Assumptions!$AC$24)*(1 + Revenue!I3)</f>
        <v>15395.809312846543</v>
      </c>
      <c r="K90" s="403">
        <f ca="1">(Assumptions!$AC$23 + (Revenue!Y10+Revenue!Y11+Revenue!Y12)*Assumptions!$AC$24)*(1 + Revenue!J3)</f>
        <v>16161.942080863688</v>
      </c>
      <c r="L90" s="403">
        <f ca="1">(Assumptions!$AC$23 + (Revenue!Z10+Revenue!Z11+Revenue!Z12)*Assumptions!$AC$24)*(1 + Revenue!K3)</f>
        <v>17027.114438468532</v>
      </c>
      <c r="N90" s="304"/>
      <c r="P90" s="461"/>
      <c r="Q90" s="405"/>
      <c r="R90" s="48"/>
      <c r="S90" s="48"/>
      <c r="T90" s="48"/>
      <c r="U90" s="48"/>
      <c r="V90" s="48"/>
      <c r="W90" s="48"/>
      <c r="X90" s="48"/>
      <c r="Y90" s="48"/>
      <c r="Z90" s="48"/>
      <c r="AA90" s="48"/>
    </row>
    <row r="91" spans="1:27">
      <c r="A91" s="408" t="s">
        <v>29</v>
      </c>
      <c r="B91" s="405"/>
      <c r="C91" s="403">
        <f>Assumptions!AC25</f>
        <v>31200</v>
      </c>
      <c r="D91" s="403">
        <f>C91*(1+Revenue!C3)*(1+Assumptions!$J$10)</f>
        <v>36225.072000000007</v>
      </c>
      <c r="E91" s="403">
        <f>D91*(1+Revenue!D3)*(1+Assumptions!$J$10)</f>
        <v>42059.482096320011</v>
      </c>
      <c r="F91" s="403">
        <f>E91*(1+Revenue!E3)*(1+Assumptions!$J$10)</f>
        <v>48833.582282753319</v>
      </c>
      <c r="G91" s="403">
        <f>F91*(1+Revenue!F3)*(1+Assumptions!$J$10)</f>
        <v>56698.719045213569</v>
      </c>
      <c r="H91" s="403">
        <f>G91*(1+Revenue!G3)*(1+Assumptions!$J$10)</f>
        <v>65830.614734635674</v>
      </c>
      <c r="I91" s="403">
        <f>H91*(1+Revenue!H3)*(1+Assumptions!$J$10)</f>
        <v>76433.293543796099</v>
      </c>
      <c r="J91" s="403">
        <f>I91*(1+Revenue!I3)*(1+Assumptions!$J$10)</f>
        <v>88743.639801959915</v>
      </c>
      <c r="K91" s="403">
        <f>J91*(1+Revenue!J3)*(1+Assumptions!$J$10)</f>
        <v>103036.6904284636</v>
      </c>
      <c r="L91" s="403">
        <f>K91*(1+Revenue!K3)*(1+Assumptions!$J$10)</f>
        <v>119631.77978887195</v>
      </c>
      <c r="P91" s="460" t="s">
        <v>37</v>
      </c>
      <c r="Q91" s="405"/>
      <c r="R91" s="403">
        <f>SUM(C70,C181,C292,C403,C514,C625,C736,C847,C958,C1069)</f>
        <v>5000</v>
      </c>
      <c r="S91" s="403">
        <f t="shared" ref="S91:AA97" si="47">SUM(D70,D181,D292,D403,D514,D625,D736,D847,D958,D1069)</f>
        <v>0</v>
      </c>
      <c r="T91" s="403">
        <f t="shared" si="47"/>
        <v>0</v>
      </c>
      <c r="U91" s="403">
        <f t="shared" si="47"/>
        <v>45000</v>
      </c>
      <c r="V91" s="403">
        <f t="shared" si="47"/>
        <v>0</v>
      </c>
      <c r="W91" s="403">
        <f t="shared" si="47"/>
        <v>0</v>
      </c>
      <c r="X91" s="403">
        <f t="shared" si="47"/>
        <v>0</v>
      </c>
      <c r="Y91" s="403">
        <f t="shared" si="47"/>
        <v>0</v>
      </c>
      <c r="Z91" s="403">
        <f t="shared" si="47"/>
        <v>0</v>
      </c>
      <c r="AA91" s="403">
        <f t="shared" si="47"/>
        <v>0</v>
      </c>
    </row>
    <row r="92" spans="1:27" ht="18.5">
      <c r="A92" s="408" t="s">
        <v>279</v>
      </c>
      <c r="B92" s="405"/>
      <c r="C92" s="403">
        <f>Assumptions!AC26</f>
        <v>120000</v>
      </c>
      <c r="D92" s="403">
        <f>C92*(1+Revenue!C3)*(1+Assumptions!$J$11)</f>
        <v>138072</v>
      </c>
      <c r="E92" s="403">
        <f>D92*(1+Revenue!D3)*(1+Assumptions!$J$11)</f>
        <v>158865.64320000002</v>
      </c>
      <c r="F92" s="403">
        <f>E92*(1+Revenue!E3)*(1+Assumptions!$J$11)</f>
        <v>182790.80906592004</v>
      </c>
      <c r="G92" s="403">
        <f>F92*(1+Revenue!F3)*(1+Assumptions!$J$11)</f>
        <v>210319.10491124762</v>
      </c>
      <c r="H92" s="403">
        <f>G92*(1+Revenue!G3)*(1+Assumptions!$J$11)</f>
        <v>241993.16211088153</v>
      </c>
      <c r="I92" s="403">
        <f>H92*(1+Revenue!H3)*(1+Assumptions!$J$11)</f>
        <v>278437.33232478035</v>
      </c>
      <c r="J92" s="403">
        <f>I92*(1+Revenue!I3)*(1+Assumptions!$J$11)</f>
        <v>320369.99457289232</v>
      </c>
      <c r="K92" s="403">
        <f>J92*(1+Revenue!J3)*(1+Assumptions!$J$11)</f>
        <v>368617.71575556998</v>
      </c>
      <c r="L92" s="403">
        <f>K92*(1+Revenue!K3)*(1+Assumptions!$J$11)</f>
        <v>424131.54374835885</v>
      </c>
      <c r="N92" s="304"/>
      <c r="P92" s="460" t="s">
        <v>309</v>
      </c>
      <c r="Q92" s="405"/>
      <c r="R92" s="403">
        <f t="shared" ref="R92:R97" si="48">SUM(C71,C182,C293,C404,C515,C626,C737,C848,C959,C1070)</f>
        <v>15000</v>
      </c>
      <c r="S92" s="403">
        <f t="shared" si="47"/>
        <v>0</v>
      </c>
      <c r="T92" s="403">
        <f t="shared" si="47"/>
        <v>0</v>
      </c>
      <c r="U92" s="403">
        <f t="shared" si="47"/>
        <v>135000</v>
      </c>
      <c r="V92" s="403">
        <f t="shared" si="47"/>
        <v>0</v>
      </c>
      <c r="W92" s="403">
        <f t="shared" si="47"/>
        <v>0</v>
      </c>
      <c r="X92" s="403">
        <f t="shared" si="47"/>
        <v>0</v>
      </c>
      <c r="Y92" s="403">
        <f t="shared" si="47"/>
        <v>0</v>
      </c>
      <c r="Z92" s="403">
        <f t="shared" si="47"/>
        <v>0</v>
      </c>
      <c r="AA92" s="403">
        <f t="shared" si="47"/>
        <v>0</v>
      </c>
    </row>
    <row r="93" spans="1:27">
      <c r="A93" s="408" t="s">
        <v>31</v>
      </c>
      <c r="B93" s="405"/>
      <c r="C93" s="403">
        <f>Assumptions!AC27</f>
        <v>1200</v>
      </c>
      <c r="D93" s="403">
        <f>C93*(1+Revenue!C3)</f>
        <v>1255.2</v>
      </c>
      <c r="E93" s="403">
        <f>D93*(1+Revenue!D3)</f>
        <v>1312.9392</v>
      </c>
      <c r="F93" s="403">
        <f>E93*(1+Revenue!E3)</f>
        <v>1373.3344032</v>
      </c>
      <c r="G93" s="403">
        <f>F93*(1+Revenue!F3)</f>
        <v>1436.5077857472002</v>
      </c>
      <c r="H93" s="403">
        <f>G93*(1+Revenue!G3)</f>
        <v>1502.5871438915715</v>
      </c>
      <c r="I93" s="403">
        <f>H93*(1+Revenue!H3)</f>
        <v>1571.7061525105839</v>
      </c>
      <c r="J93" s="403">
        <f>I93*(1+Revenue!I3)</f>
        <v>1644.0046355260708</v>
      </c>
      <c r="K93" s="403">
        <f>J93*(1+Revenue!J3)</f>
        <v>1719.6288487602701</v>
      </c>
      <c r="L93" s="403">
        <f>K93*(1+Revenue!K3)</f>
        <v>1798.7317758032425</v>
      </c>
      <c r="P93" s="460" t="s">
        <v>40</v>
      </c>
      <c r="Q93" s="405"/>
      <c r="R93" s="403">
        <f t="shared" si="48"/>
        <v>1000</v>
      </c>
      <c r="S93" s="403">
        <f t="shared" si="47"/>
        <v>0</v>
      </c>
      <c r="T93" s="403">
        <f t="shared" si="47"/>
        <v>0</v>
      </c>
      <c r="U93" s="403">
        <f t="shared" si="47"/>
        <v>9000</v>
      </c>
      <c r="V93" s="403">
        <f t="shared" si="47"/>
        <v>0</v>
      </c>
      <c r="W93" s="403">
        <f t="shared" si="47"/>
        <v>0</v>
      </c>
      <c r="X93" s="403">
        <f t="shared" si="47"/>
        <v>0</v>
      </c>
      <c r="Y93" s="403">
        <f t="shared" si="47"/>
        <v>0</v>
      </c>
      <c r="Z93" s="403">
        <f t="shared" si="47"/>
        <v>0</v>
      </c>
      <c r="AA93" s="403">
        <f t="shared" si="47"/>
        <v>0</v>
      </c>
    </row>
    <row r="94" spans="1:27" ht="15.5">
      <c r="A94" s="408" t="s">
        <v>33</v>
      </c>
      <c r="B94" s="405"/>
      <c r="C94" s="403">
        <f>Assumptions!AC28</f>
        <v>1000</v>
      </c>
      <c r="D94" s="403">
        <f>C94*(1+Revenue!C3)</f>
        <v>1046</v>
      </c>
      <c r="E94" s="403">
        <f>D94*(1+Revenue!D3)</f>
        <v>1094.116</v>
      </c>
      <c r="F94" s="403">
        <f>E94*(1+Revenue!E3)</f>
        <v>1144.445336</v>
      </c>
      <c r="G94" s="403">
        <f>F94*(1+Revenue!F3)</f>
        <v>1197.089821456</v>
      </c>
      <c r="H94" s="403">
        <f>G94*(1+Revenue!G3)</f>
        <v>1252.155953242976</v>
      </c>
      <c r="I94" s="403">
        <f>H94*(1+Revenue!H3)</f>
        <v>1309.7551270921529</v>
      </c>
      <c r="J94" s="403">
        <f>I94*(1+Revenue!I3)</f>
        <v>1370.0038629383919</v>
      </c>
      <c r="K94" s="403">
        <f>J94*(1+Revenue!J3)</f>
        <v>1433.0240406335579</v>
      </c>
      <c r="L94" s="403">
        <f>K94*(1+Revenue!K3)</f>
        <v>1498.9431465027017</v>
      </c>
      <c r="N94" s="305"/>
      <c r="P94" s="460" t="s">
        <v>41</v>
      </c>
      <c r="Q94" s="405"/>
      <c r="R94" s="403">
        <f t="shared" si="48"/>
        <v>5000</v>
      </c>
      <c r="S94" s="403">
        <f t="shared" si="47"/>
        <v>0</v>
      </c>
      <c r="T94" s="403">
        <f t="shared" si="47"/>
        <v>0</v>
      </c>
      <c r="U94" s="403">
        <f t="shared" si="47"/>
        <v>45000</v>
      </c>
      <c r="V94" s="403">
        <f t="shared" si="47"/>
        <v>0</v>
      </c>
      <c r="W94" s="403">
        <f t="shared" si="47"/>
        <v>0</v>
      </c>
      <c r="X94" s="403">
        <f t="shared" si="47"/>
        <v>0</v>
      </c>
      <c r="Y94" s="403">
        <f t="shared" si="47"/>
        <v>0</v>
      </c>
      <c r="Z94" s="403">
        <f t="shared" si="47"/>
        <v>0</v>
      </c>
      <c r="AA94" s="403">
        <f t="shared" si="47"/>
        <v>0</v>
      </c>
    </row>
    <row r="95" spans="1:27" ht="15.5">
      <c r="A95" s="408" t="s">
        <v>35</v>
      </c>
      <c r="B95" s="405"/>
      <c r="C95" s="403">
        <f>Assumptions!AC29</f>
        <v>5000</v>
      </c>
      <c r="D95" s="403">
        <f>C95*(1+Revenue!C3)</f>
        <v>5230</v>
      </c>
      <c r="E95" s="403">
        <f>D95*(1+Revenue!D3)</f>
        <v>5470.58</v>
      </c>
      <c r="F95" s="403">
        <f>E95*(1+Revenue!E3)</f>
        <v>5722.2266799999998</v>
      </c>
      <c r="G95" s="403">
        <f>F95*(1+Revenue!F3)</f>
        <v>5985.4491072800001</v>
      </c>
      <c r="H95" s="403">
        <f>G95*(1+Revenue!G3)</f>
        <v>6260.7797662148805</v>
      </c>
      <c r="I95" s="403">
        <f>H95*(1+Revenue!H3)</f>
        <v>6548.7756354607654</v>
      </c>
      <c r="J95" s="403">
        <f>I95*(1+Revenue!I3)</f>
        <v>6850.019314691961</v>
      </c>
      <c r="K95" s="403">
        <f>J95*(1+Revenue!J3)</f>
        <v>7165.1202031677913</v>
      </c>
      <c r="L95" s="403">
        <f>K95*(1+Revenue!K3)</f>
        <v>7494.7157325135104</v>
      </c>
      <c r="N95" s="305"/>
      <c r="P95" s="460" t="s">
        <v>43</v>
      </c>
      <c r="Q95" s="405"/>
      <c r="R95" s="403">
        <f t="shared" si="48"/>
        <v>1000</v>
      </c>
      <c r="S95" s="403">
        <f t="shared" si="47"/>
        <v>0</v>
      </c>
      <c r="T95" s="403">
        <f t="shared" si="47"/>
        <v>0</v>
      </c>
      <c r="U95" s="403">
        <f t="shared" si="47"/>
        <v>9000</v>
      </c>
      <c r="V95" s="403">
        <f t="shared" si="47"/>
        <v>0</v>
      </c>
      <c r="W95" s="403">
        <f t="shared" si="47"/>
        <v>0</v>
      </c>
      <c r="X95" s="403">
        <f t="shared" si="47"/>
        <v>0</v>
      </c>
      <c r="Y95" s="403">
        <f t="shared" si="47"/>
        <v>0</v>
      </c>
      <c r="Z95" s="403">
        <f t="shared" si="47"/>
        <v>0</v>
      </c>
      <c r="AA95" s="403">
        <f t="shared" si="47"/>
        <v>0</v>
      </c>
    </row>
    <row r="96" spans="1:27">
      <c r="A96" s="408"/>
      <c r="B96" s="405"/>
      <c r="C96" s="403"/>
      <c r="D96" s="403"/>
      <c r="E96" s="403"/>
      <c r="F96" s="403"/>
      <c r="G96" s="403"/>
      <c r="H96" s="403"/>
      <c r="I96" s="403"/>
      <c r="J96" s="403"/>
      <c r="K96" s="403"/>
      <c r="L96" s="403"/>
      <c r="P96" s="460" t="s">
        <v>45</v>
      </c>
      <c r="Q96" s="405"/>
      <c r="R96" s="403">
        <f t="shared" si="48"/>
        <v>3000</v>
      </c>
      <c r="S96" s="403">
        <f t="shared" si="47"/>
        <v>0</v>
      </c>
      <c r="T96" s="403">
        <f t="shared" si="47"/>
        <v>0</v>
      </c>
      <c r="U96" s="403">
        <f t="shared" si="47"/>
        <v>27000</v>
      </c>
      <c r="V96" s="403">
        <f t="shared" si="47"/>
        <v>0</v>
      </c>
      <c r="W96" s="403">
        <f t="shared" si="47"/>
        <v>0</v>
      </c>
      <c r="X96" s="403">
        <f t="shared" si="47"/>
        <v>0</v>
      </c>
      <c r="Y96" s="403">
        <f t="shared" si="47"/>
        <v>0</v>
      </c>
      <c r="Z96" s="403">
        <f t="shared" si="47"/>
        <v>0</v>
      </c>
      <c r="AA96" s="403">
        <f t="shared" si="47"/>
        <v>0</v>
      </c>
    </row>
    <row r="97" spans="1:27" ht="15.5">
      <c r="A97" s="409" t="s">
        <v>156</v>
      </c>
      <c r="B97" s="405"/>
      <c r="C97" s="403">
        <f t="shared" ref="C97:L97" si="49">SUM(C82:C95)</f>
        <v>5384070</v>
      </c>
      <c r="D97" s="403">
        <f t="shared" si="49"/>
        <v>7808825.9644320002</v>
      </c>
      <c r="E97" s="403">
        <f t="shared" ca="1" si="49"/>
        <v>9308062.6960582808</v>
      </c>
      <c r="F97" s="403">
        <f t="shared" ca="1" si="49"/>
        <v>10247745.466365749</v>
      </c>
      <c r="G97" s="403">
        <f t="shared" ca="1" si="49"/>
        <v>11321441.046867739</v>
      </c>
      <c r="H97" s="403">
        <f t="shared" ca="1" si="49"/>
        <v>12552863.80457738</v>
      </c>
      <c r="I97" s="403">
        <f t="shared" ca="1" si="49"/>
        <v>13976734.70397516</v>
      </c>
      <c r="J97" s="403">
        <f t="shared" ca="1" si="49"/>
        <v>15626972.846699344</v>
      </c>
      <c r="K97" s="403">
        <f t="shared" ca="1" si="49"/>
        <v>17536670.671424426</v>
      </c>
      <c r="L97" s="403">
        <f t="shared" ca="1" si="49"/>
        <v>19762018.768935852</v>
      </c>
      <c r="P97" s="460" t="s">
        <v>35</v>
      </c>
      <c r="Q97" s="405"/>
      <c r="R97" s="403">
        <f t="shared" si="48"/>
        <v>5000</v>
      </c>
      <c r="S97" s="403">
        <f t="shared" si="47"/>
        <v>0</v>
      </c>
      <c r="T97" s="403">
        <f t="shared" si="47"/>
        <v>0</v>
      </c>
      <c r="U97" s="403">
        <f t="shared" si="47"/>
        <v>45000</v>
      </c>
      <c r="V97" s="403">
        <f t="shared" si="47"/>
        <v>0</v>
      </c>
      <c r="W97" s="403">
        <f t="shared" si="47"/>
        <v>0</v>
      </c>
      <c r="X97" s="403">
        <f t="shared" si="47"/>
        <v>0</v>
      </c>
      <c r="Y97" s="403">
        <f t="shared" si="47"/>
        <v>0</v>
      </c>
      <c r="Z97" s="403">
        <f t="shared" si="47"/>
        <v>0</v>
      </c>
      <c r="AA97" s="403">
        <f t="shared" si="47"/>
        <v>0</v>
      </c>
    </row>
    <row r="98" spans="1:27" ht="15.5">
      <c r="A98" s="409"/>
      <c r="B98" s="405"/>
      <c r="C98" s="403"/>
      <c r="D98" s="403"/>
      <c r="E98" s="403"/>
      <c r="F98" s="403"/>
      <c r="G98" s="403"/>
      <c r="H98" s="403"/>
      <c r="I98" s="403"/>
      <c r="J98" s="403"/>
      <c r="K98" s="403"/>
      <c r="L98" s="403"/>
      <c r="P98" s="460"/>
      <c r="Q98" s="405"/>
      <c r="R98" s="403"/>
      <c r="S98" s="403"/>
      <c r="T98" s="403"/>
      <c r="U98" s="403"/>
      <c r="V98" s="403"/>
      <c r="W98" s="403"/>
      <c r="X98" s="403"/>
      <c r="Y98" s="403"/>
      <c r="Z98" s="403"/>
      <c r="AA98" s="403"/>
    </row>
    <row r="99" spans="1:27" ht="15.5">
      <c r="A99" s="409" t="s">
        <v>36</v>
      </c>
      <c r="B99" s="405"/>
      <c r="C99" s="403"/>
      <c r="D99" s="403"/>
      <c r="E99" s="403"/>
      <c r="F99" s="403"/>
      <c r="G99" s="403"/>
      <c r="H99" s="403"/>
      <c r="I99" s="403"/>
      <c r="J99" s="403"/>
      <c r="K99" s="403"/>
      <c r="L99" s="403"/>
      <c r="P99" s="461" t="s">
        <v>155</v>
      </c>
      <c r="Q99" s="405"/>
      <c r="R99" s="403">
        <f>SUM(R91:R97)</f>
        <v>35000</v>
      </c>
      <c r="S99" s="403">
        <f t="shared" ref="S99:AA99" si="50">SUM(S91:S97)</f>
        <v>0</v>
      </c>
      <c r="T99" s="403">
        <f t="shared" si="50"/>
        <v>0</v>
      </c>
      <c r="U99" s="403">
        <f t="shared" si="50"/>
        <v>315000</v>
      </c>
      <c r="V99" s="403">
        <f t="shared" si="50"/>
        <v>0</v>
      </c>
      <c r="W99" s="403">
        <f t="shared" si="50"/>
        <v>0</v>
      </c>
      <c r="X99" s="403">
        <f t="shared" si="50"/>
        <v>0</v>
      </c>
      <c r="Y99" s="403">
        <f t="shared" si="50"/>
        <v>0</v>
      </c>
      <c r="Z99" s="403">
        <f t="shared" si="50"/>
        <v>0</v>
      </c>
      <c r="AA99" s="403">
        <f t="shared" si="50"/>
        <v>0</v>
      </c>
    </row>
    <row r="100" spans="1:27">
      <c r="A100" s="408" t="s">
        <v>38</v>
      </c>
      <c r="B100" s="405"/>
      <c r="C100" s="403">
        <f>Assumptions!AO22</f>
        <v>5000</v>
      </c>
      <c r="D100" s="403">
        <f>C100*(1+Revenue!C3)</f>
        <v>5230</v>
      </c>
      <c r="E100" s="403">
        <f>D100*(1+Revenue!D3)</f>
        <v>5470.58</v>
      </c>
      <c r="F100" s="403">
        <f>E100*(1+Revenue!E3)</f>
        <v>5722.2266799999998</v>
      </c>
      <c r="G100" s="403">
        <f>F100*(1+Revenue!F3)</f>
        <v>5985.4491072800001</v>
      </c>
      <c r="H100" s="403">
        <f>G100*(1+Revenue!G3)</f>
        <v>6260.7797662148805</v>
      </c>
      <c r="I100" s="403">
        <f>H100*(1+Revenue!H3)</f>
        <v>6548.7756354607654</v>
      </c>
      <c r="J100" s="403">
        <f>I100*(1+Revenue!I3)</f>
        <v>6850.019314691961</v>
      </c>
      <c r="K100" s="403">
        <f>J100*(1+Revenue!J3)</f>
        <v>7165.1202031677913</v>
      </c>
      <c r="L100" s="403">
        <f>K100*(1+Revenue!K3)</f>
        <v>7494.7157325135104</v>
      </c>
      <c r="P100" s="460"/>
      <c r="Q100" s="405"/>
      <c r="R100" s="48"/>
      <c r="S100" s="48"/>
      <c r="T100" s="48"/>
      <c r="U100" s="48"/>
      <c r="V100" s="48"/>
      <c r="W100" s="48"/>
      <c r="X100" s="48"/>
      <c r="Y100" s="48"/>
      <c r="Z100" s="48"/>
      <c r="AA100" s="48"/>
    </row>
    <row r="101" spans="1:27" ht="15.5">
      <c r="A101" s="408" t="s">
        <v>39</v>
      </c>
      <c r="B101" s="405"/>
      <c r="C101" s="403">
        <f>Assumptions!AO23</f>
        <v>500</v>
      </c>
      <c r="D101" s="403">
        <f t="shared" ref="D101:L101" si="51">C101</f>
        <v>500</v>
      </c>
      <c r="E101" s="403">
        <f t="shared" si="51"/>
        <v>500</v>
      </c>
      <c r="F101" s="403">
        <f t="shared" si="51"/>
        <v>500</v>
      </c>
      <c r="G101" s="403">
        <f t="shared" si="51"/>
        <v>500</v>
      </c>
      <c r="H101" s="403">
        <f t="shared" si="51"/>
        <v>500</v>
      </c>
      <c r="I101" s="403">
        <f t="shared" si="51"/>
        <v>500</v>
      </c>
      <c r="J101" s="403">
        <f t="shared" si="51"/>
        <v>500</v>
      </c>
      <c r="K101" s="403">
        <f t="shared" si="51"/>
        <v>500</v>
      </c>
      <c r="L101" s="403">
        <f t="shared" si="51"/>
        <v>500</v>
      </c>
      <c r="P101" s="461" t="s">
        <v>13</v>
      </c>
      <c r="Q101" s="405"/>
      <c r="R101" s="48"/>
      <c r="S101" s="48"/>
      <c r="T101" s="48"/>
      <c r="U101" s="48"/>
      <c r="V101" s="48"/>
      <c r="W101" s="48"/>
      <c r="X101" s="48"/>
      <c r="Y101" s="48"/>
      <c r="Z101" s="48"/>
      <c r="AA101" s="48"/>
    </row>
    <row r="102" spans="1:27">
      <c r="A102" s="408"/>
      <c r="B102" s="405"/>
      <c r="C102" s="403"/>
      <c r="D102" s="403"/>
      <c r="E102" s="403"/>
      <c r="F102" s="403"/>
      <c r="G102" s="403"/>
      <c r="H102" s="403"/>
      <c r="I102" s="403"/>
      <c r="J102" s="403"/>
      <c r="K102" s="403"/>
      <c r="L102" s="403"/>
      <c r="P102" s="460"/>
      <c r="Q102" s="405"/>
      <c r="R102" s="48"/>
      <c r="S102" s="48"/>
      <c r="T102" s="48"/>
      <c r="U102" s="48"/>
      <c r="V102" s="48"/>
      <c r="W102" s="48"/>
      <c r="X102" s="48"/>
      <c r="Y102" s="48"/>
      <c r="Z102" s="48"/>
      <c r="AA102" s="48"/>
    </row>
    <row r="103" spans="1:27" ht="15.5">
      <c r="A103" s="409" t="s">
        <v>157</v>
      </c>
      <c r="B103" s="405"/>
      <c r="C103" s="403">
        <f t="shared" ref="C103:L103" si="52">SUM(C100:C101)</f>
        <v>5500</v>
      </c>
      <c r="D103" s="403">
        <f t="shared" si="52"/>
        <v>5730</v>
      </c>
      <c r="E103" s="403">
        <f t="shared" si="52"/>
        <v>5970.58</v>
      </c>
      <c r="F103" s="403">
        <f t="shared" si="52"/>
        <v>6222.2266799999998</v>
      </c>
      <c r="G103" s="403">
        <f t="shared" si="52"/>
        <v>6485.4491072800001</v>
      </c>
      <c r="H103" s="403">
        <f t="shared" si="52"/>
        <v>6760.7797662148805</v>
      </c>
      <c r="I103" s="403">
        <f t="shared" si="52"/>
        <v>7048.7756354607654</v>
      </c>
      <c r="J103" s="403">
        <f t="shared" si="52"/>
        <v>7350.019314691961</v>
      </c>
      <c r="K103" s="403">
        <f t="shared" si="52"/>
        <v>7665.1202031677913</v>
      </c>
      <c r="L103" s="403">
        <f t="shared" si="52"/>
        <v>7994.7157325135104</v>
      </c>
      <c r="P103" s="460" t="s">
        <v>14</v>
      </c>
      <c r="Q103" s="405"/>
      <c r="R103" s="403">
        <f>SUM(C82,C193,C304,C415,C526,C637,C748,C859,C970,C1081)</f>
        <v>6000</v>
      </c>
      <c r="S103" s="403">
        <f t="shared" ref="S103:AA116" si="53">SUM(D82,D193,D304,D415,D526,D637,D748,D859,D970,D1081)</f>
        <v>6276</v>
      </c>
      <c r="T103" s="403">
        <f t="shared" si="53"/>
        <v>6564.6959999999999</v>
      </c>
      <c r="U103" s="403">
        <f t="shared" si="53"/>
        <v>6866.6720160000004</v>
      </c>
      <c r="V103" s="403">
        <f t="shared" si="53"/>
        <v>7182.5389287360003</v>
      </c>
      <c r="W103" s="403">
        <f t="shared" si="53"/>
        <v>7512.935719457857</v>
      </c>
      <c r="X103" s="403">
        <f t="shared" si="53"/>
        <v>7858.5307625529185</v>
      </c>
      <c r="Y103" s="403">
        <f t="shared" si="53"/>
        <v>8220.0231776303535</v>
      </c>
      <c r="Z103" s="403">
        <f t="shared" si="53"/>
        <v>8598.144243801351</v>
      </c>
      <c r="AA103" s="403">
        <f t="shared" si="53"/>
        <v>8993.6588790162132</v>
      </c>
    </row>
    <row r="104" spans="1:27" ht="15.5">
      <c r="A104" s="408"/>
      <c r="B104" s="405"/>
      <c r="C104" s="403"/>
      <c r="D104" s="403"/>
      <c r="E104" s="403"/>
      <c r="F104" s="403"/>
      <c r="G104" s="403"/>
      <c r="H104" s="403"/>
      <c r="I104" s="403"/>
      <c r="J104" s="403"/>
      <c r="K104" s="403"/>
      <c r="L104" s="403"/>
      <c r="N104" s="305"/>
      <c r="P104" s="460" t="s">
        <v>15</v>
      </c>
      <c r="Q104" s="405"/>
      <c r="R104" s="403">
        <f t="shared" ref="R104:R116" si="54">SUM(C83,C194,C305,C416,C527,C638,C749,C860,C971,C1082)</f>
        <v>12000</v>
      </c>
      <c r="S104" s="403">
        <f t="shared" si="53"/>
        <v>12552</v>
      </c>
      <c r="T104" s="403">
        <f t="shared" si="53"/>
        <v>13129.392</v>
      </c>
      <c r="U104" s="403">
        <f t="shared" si="53"/>
        <v>13733.344032000001</v>
      </c>
      <c r="V104" s="403">
        <f t="shared" si="53"/>
        <v>14365.077857472001</v>
      </c>
      <c r="W104" s="403">
        <f t="shared" si="53"/>
        <v>15025.871438915714</v>
      </c>
      <c r="X104" s="403">
        <f t="shared" si="53"/>
        <v>15717.061525105837</v>
      </c>
      <c r="Y104" s="403">
        <f t="shared" si="53"/>
        <v>16440.046355260707</v>
      </c>
      <c r="Z104" s="403">
        <f t="shared" si="53"/>
        <v>17196.288487602702</v>
      </c>
      <c r="AA104" s="403">
        <f t="shared" si="53"/>
        <v>17987.317758032426</v>
      </c>
    </row>
    <row r="105" spans="1:27" ht="15.5">
      <c r="A105" s="409" t="s">
        <v>112</v>
      </c>
      <c r="B105" s="405"/>
      <c r="C105" s="403">
        <f t="shared" ref="C105:L105" si="55">C78+C97+C103</f>
        <v>5424570</v>
      </c>
      <c r="D105" s="403">
        <f t="shared" si="55"/>
        <v>7814555.9644320002</v>
      </c>
      <c r="E105" s="403">
        <f t="shared" ca="1" si="55"/>
        <v>9314033.2760582808</v>
      </c>
      <c r="F105" s="403">
        <f t="shared" ca="1" si="55"/>
        <v>10253967.693045748</v>
      </c>
      <c r="G105" s="403">
        <f t="shared" ca="1" si="55"/>
        <v>11327926.495975019</v>
      </c>
      <c r="H105" s="403">
        <f t="shared" ca="1" si="55"/>
        <v>12559624.584343595</v>
      </c>
      <c r="I105" s="403">
        <f t="shared" ca="1" si="55"/>
        <v>13983783.47961062</v>
      </c>
      <c r="J105" s="403">
        <f t="shared" ca="1" si="55"/>
        <v>15634322.866014035</v>
      </c>
      <c r="K105" s="403">
        <f t="shared" ca="1" si="55"/>
        <v>17544335.791627593</v>
      </c>
      <c r="L105" s="403">
        <f t="shared" ca="1" si="55"/>
        <v>19770013.484668367</v>
      </c>
      <c r="P105" s="460" t="s">
        <v>17</v>
      </c>
      <c r="Q105" s="405"/>
      <c r="R105" s="403">
        <f t="shared" si="54"/>
        <v>1200</v>
      </c>
      <c r="S105" s="403">
        <f t="shared" si="53"/>
        <v>1255.2</v>
      </c>
      <c r="T105" s="403">
        <f t="shared" si="53"/>
        <v>1312.9392</v>
      </c>
      <c r="U105" s="403">
        <f t="shared" si="53"/>
        <v>1373.3344032</v>
      </c>
      <c r="V105" s="403">
        <f t="shared" si="53"/>
        <v>1436.5077857472002</v>
      </c>
      <c r="W105" s="403">
        <f t="shared" si="53"/>
        <v>1502.5871438915715</v>
      </c>
      <c r="X105" s="403">
        <f t="shared" si="53"/>
        <v>1571.7061525105839</v>
      </c>
      <c r="Y105" s="403">
        <f t="shared" si="53"/>
        <v>1644.0046355260708</v>
      </c>
      <c r="Z105" s="403">
        <f t="shared" si="53"/>
        <v>1719.6288487602701</v>
      </c>
      <c r="AA105" s="403">
        <f t="shared" si="53"/>
        <v>1798.7317758032425</v>
      </c>
    </row>
    <row r="106" spans="1:27" ht="15.5">
      <c r="A106" s="408"/>
      <c r="B106" s="405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N106" s="305"/>
      <c r="P106" s="460" t="s">
        <v>19</v>
      </c>
      <c r="Q106" s="405"/>
      <c r="R106" s="403">
        <f t="shared" si="54"/>
        <v>45720</v>
      </c>
      <c r="S106" s="403">
        <f t="shared" si="53"/>
        <v>49919.304000000004</v>
      </c>
      <c r="T106" s="403">
        <f t="shared" ca="1" si="53"/>
        <v>60545.784297805534</v>
      </c>
      <c r="U106" s="403">
        <f t="shared" ca="1" si="53"/>
        <v>2997584.6474256353</v>
      </c>
      <c r="V106" s="403">
        <f t="shared" ca="1" si="53"/>
        <v>3802233.4032403189</v>
      </c>
      <c r="W106" s="403">
        <f t="shared" ca="1" si="53"/>
        <v>4014157.6594358715</v>
      </c>
      <c r="X106" s="403">
        <f t="shared" ca="1" si="53"/>
        <v>4253441.9870112063</v>
      </c>
      <c r="Y106" s="403">
        <f t="shared" ca="1" si="53"/>
        <v>4523918.848754284</v>
      </c>
      <c r="Z106" s="403">
        <f t="shared" ca="1" si="53"/>
        <v>4829405.8987183338</v>
      </c>
      <c r="AA106" s="403">
        <f t="shared" ca="1" si="53"/>
        <v>5173934.5393266911</v>
      </c>
    </row>
    <row r="107" spans="1:27" ht="15.5">
      <c r="A107" s="409" t="s">
        <v>372</v>
      </c>
      <c r="B107" s="405"/>
      <c r="C107" s="403">
        <f>C64-C105</f>
        <v>9778930</v>
      </c>
      <c r="D107" s="403">
        <f t="shared" ref="D107:L107" si="56">D64-D105</f>
        <v>13175481.375568002</v>
      </c>
      <c r="E107" s="403">
        <f t="shared" ca="1" si="56"/>
        <v>15609053.629339157</v>
      </c>
      <c r="F107" s="403">
        <f t="shared" ca="1" si="56"/>
        <v>17174918.172178119</v>
      </c>
      <c r="G107" s="403">
        <f t="shared" ca="1" si="56"/>
        <v>18964514.345762514</v>
      </c>
      <c r="H107" s="403">
        <f t="shared" ca="1" si="56"/>
        <v>21018227.413798571</v>
      </c>
      <c r="I107" s="403">
        <f t="shared" ca="1" si="56"/>
        <v>23395264.696303472</v>
      </c>
      <c r="J107" s="403">
        <f t="shared" ca="1" si="56"/>
        <v>26153199.456606612</v>
      </c>
      <c r="K107" s="403">
        <f t="shared" ca="1" si="56"/>
        <v>29347841.564283229</v>
      </c>
      <c r="L107" s="403">
        <f t="shared" ca="1" si="56"/>
        <v>33075590.731341675</v>
      </c>
      <c r="P107" s="460" t="s">
        <v>20</v>
      </c>
      <c r="Q107" s="405"/>
      <c r="R107" s="403">
        <f t="shared" si="54"/>
        <v>5145800</v>
      </c>
      <c r="S107" s="403">
        <f t="shared" si="53"/>
        <v>7537903.5964320004</v>
      </c>
      <c r="T107" s="403">
        <f t="shared" ca="1" si="53"/>
        <v>8996272.2088796198</v>
      </c>
      <c r="U107" s="403">
        <f t="shared" ca="1" si="53"/>
        <v>62253166.687759623</v>
      </c>
      <c r="V107" s="403">
        <f t="shared" ca="1" si="53"/>
        <v>84496672.105425358</v>
      </c>
      <c r="W107" s="403">
        <f t="shared" ca="1" si="53"/>
        <v>99572111.076120377</v>
      </c>
      <c r="X107" s="403">
        <f t="shared" ca="1" si="53"/>
        <v>109918993.00653344</v>
      </c>
      <c r="Y107" s="403">
        <f t="shared" ca="1" si="53"/>
        <v>121721937.26246279</v>
      </c>
      <c r="Z107" s="403">
        <f t="shared" ca="1" si="53"/>
        <v>135227116.18521193</v>
      </c>
      <c r="AA107" s="403">
        <f t="shared" ca="1" si="53"/>
        <v>148259728.79273173</v>
      </c>
    </row>
    <row r="108" spans="1:27">
      <c r="A108" s="408"/>
      <c r="B108" s="405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P108" s="460" t="s">
        <v>22</v>
      </c>
      <c r="Q108" s="405"/>
      <c r="R108" s="403">
        <f t="shared" si="54"/>
        <v>6000</v>
      </c>
      <c r="S108" s="403">
        <f t="shared" si="53"/>
        <v>6276</v>
      </c>
      <c r="T108" s="403">
        <f t="shared" si="53"/>
        <v>6564.6959999999999</v>
      </c>
      <c r="U108" s="403">
        <f t="shared" si="53"/>
        <v>6866.6720160000004</v>
      </c>
      <c r="V108" s="403">
        <f t="shared" si="53"/>
        <v>7182.5389287360003</v>
      </c>
      <c r="W108" s="403">
        <f t="shared" si="53"/>
        <v>7512.935719457857</v>
      </c>
      <c r="X108" s="403">
        <f t="shared" si="53"/>
        <v>7858.5307625529185</v>
      </c>
      <c r="Y108" s="403">
        <f t="shared" si="53"/>
        <v>8220.0231776303535</v>
      </c>
      <c r="Z108" s="403">
        <f t="shared" si="53"/>
        <v>8598.144243801351</v>
      </c>
      <c r="AA108" s="403">
        <f t="shared" si="53"/>
        <v>8993.6588790162132</v>
      </c>
    </row>
    <row r="109" spans="1:27">
      <c r="A109" s="408" t="s">
        <v>159</v>
      </c>
      <c r="B109" s="405"/>
      <c r="C109" s="403">
        <f>'Depreciation Schedule'!G10</f>
        <v>19951.582477468037</v>
      </c>
      <c r="D109" s="403">
        <f>'Depreciation Schedule'!H10</f>
        <v>19951.582477468037</v>
      </c>
      <c r="E109" s="403">
        <f>'Depreciation Schedule'!I10</f>
        <v>19951.582477468037</v>
      </c>
      <c r="F109" s="403">
        <f>'Depreciation Schedule'!J10</f>
        <v>19951.582477468037</v>
      </c>
      <c r="G109" s="403">
        <f>'Depreciation Schedule'!K10</f>
        <v>19951.582477468037</v>
      </c>
      <c r="H109" s="403">
        <f>'Depreciation Schedule'!L10</f>
        <v>19951.582477468037</v>
      </c>
      <c r="I109" s="403">
        <f>'Depreciation Schedule'!M10</f>
        <v>19951.582477468037</v>
      </c>
      <c r="J109" s="403">
        <f>'Depreciation Schedule'!N10</f>
        <v>19951.582477468037</v>
      </c>
      <c r="K109" s="403">
        <f>'Depreciation Schedule'!O10</f>
        <v>19951.582477468037</v>
      </c>
      <c r="L109" s="403">
        <f>'Depreciation Schedule'!P10</f>
        <v>19951.582477468037</v>
      </c>
      <c r="P109" s="460" t="s">
        <v>25</v>
      </c>
      <c r="Q109" s="405"/>
      <c r="R109" s="403">
        <f t="shared" si="54"/>
        <v>1000</v>
      </c>
      <c r="S109" s="403">
        <f t="shared" si="53"/>
        <v>1046</v>
      </c>
      <c r="T109" s="403">
        <f t="shared" si="53"/>
        <v>1094.116</v>
      </c>
      <c r="U109" s="403">
        <f t="shared" si="53"/>
        <v>10144.445336000001</v>
      </c>
      <c r="V109" s="403">
        <f t="shared" si="53"/>
        <v>10559.589821456</v>
      </c>
      <c r="W109" s="403">
        <f t="shared" si="53"/>
        <v>10996.667203242978</v>
      </c>
      <c r="X109" s="403">
        <f t="shared" si="53"/>
        <v>11457.162453967154</v>
      </c>
      <c r="Y109" s="403">
        <f t="shared" si="53"/>
        <v>11942.681248521454</v>
      </c>
      <c r="Z109" s="403">
        <f t="shared" si="53"/>
        <v>12454.96087751551</v>
      </c>
      <c r="AA109" s="403">
        <f t="shared" si="53"/>
        <v>12995.882201921739</v>
      </c>
    </row>
    <row r="110" spans="1:27">
      <c r="A110" s="408" t="s">
        <v>160</v>
      </c>
      <c r="B110" s="405"/>
      <c r="C110" s="403">
        <v>0</v>
      </c>
      <c r="D110" s="403">
        <v>0</v>
      </c>
      <c r="E110" s="403">
        <v>0</v>
      </c>
      <c r="F110" s="403">
        <v>0</v>
      </c>
      <c r="G110" s="403">
        <v>0</v>
      </c>
      <c r="H110" s="403">
        <v>0</v>
      </c>
      <c r="I110" s="403">
        <v>0</v>
      </c>
      <c r="J110" s="403">
        <v>0</v>
      </c>
      <c r="K110" s="403">
        <v>0</v>
      </c>
      <c r="L110" s="403">
        <v>0</v>
      </c>
      <c r="P110" s="460" t="s">
        <v>27</v>
      </c>
      <c r="Q110" s="405"/>
      <c r="R110" s="403">
        <f t="shared" si="54"/>
        <v>1000</v>
      </c>
      <c r="S110" s="403">
        <f t="shared" si="53"/>
        <v>1046</v>
      </c>
      <c r="T110" s="403">
        <f t="shared" si="53"/>
        <v>1094.116</v>
      </c>
      <c r="U110" s="403">
        <f t="shared" si="53"/>
        <v>10144.445336000001</v>
      </c>
      <c r="V110" s="403">
        <f t="shared" si="53"/>
        <v>10559.589821456</v>
      </c>
      <c r="W110" s="403">
        <f t="shared" si="53"/>
        <v>10996.667203242978</v>
      </c>
      <c r="X110" s="403">
        <f t="shared" si="53"/>
        <v>11457.162453967154</v>
      </c>
      <c r="Y110" s="403">
        <f t="shared" si="53"/>
        <v>11942.681248521454</v>
      </c>
      <c r="Z110" s="403">
        <f t="shared" si="53"/>
        <v>12454.96087751551</v>
      </c>
      <c r="AA110" s="403">
        <f t="shared" si="53"/>
        <v>12995.882201921739</v>
      </c>
    </row>
    <row r="111" spans="1:27">
      <c r="A111" s="408"/>
      <c r="B111" s="405"/>
      <c r="C111" s="403"/>
      <c r="D111" s="403"/>
      <c r="E111" s="403"/>
      <c r="F111" s="403"/>
      <c r="G111" s="403"/>
      <c r="H111" s="403"/>
      <c r="I111" s="403"/>
      <c r="J111" s="403"/>
      <c r="K111" s="403"/>
      <c r="L111" s="403"/>
      <c r="P111" s="460" t="s">
        <v>278</v>
      </c>
      <c r="Q111" s="405"/>
      <c r="R111" s="403">
        <f t="shared" si="54"/>
        <v>6950</v>
      </c>
      <c r="S111" s="403">
        <f t="shared" si="53"/>
        <v>10723.592000000001</v>
      </c>
      <c r="T111" s="403">
        <f t="shared" ca="1" si="53"/>
        <v>12681.987184532021</v>
      </c>
      <c r="U111" s="403">
        <f t="shared" ca="1" si="53"/>
        <v>118850.82027342287</v>
      </c>
      <c r="V111" s="403">
        <f t="shared" ca="1" si="53"/>
        <v>155618.4852676008</v>
      </c>
      <c r="W111" s="403">
        <f t="shared" ca="1" si="53"/>
        <v>175133.13822321201</v>
      </c>
      <c r="X111" s="403">
        <f t="shared" ca="1" si="53"/>
        <v>181266.34941154305</v>
      </c>
      <c r="Y111" s="403">
        <f t="shared" ca="1" si="53"/>
        <v>188190.25304919507</v>
      </c>
      <c r="Z111" s="403">
        <f t="shared" ca="1" si="53"/>
        <v>195973.43024510893</v>
      </c>
      <c r="AA111" s="403">
        <f t="shared" ca="1" si="53"/>
        <v>204737.29976664999</v>
      </c>
    </row>
    <row r="112" spans="1:27" ht="15.5">
      <c r="A112" s="409" t="s">
        <v>373</v>
      </c>
      <c r="B112" s="405"/>
      <c r="C112" s="403">
        <f>C107-C109-C110</f>
        <v>9758978.4175225329</v>
      </c>
      <c r="D112" s="403">
        <f t="shared" ref="D112:L112" si="57">D107-D109-D110</f>
        <v>13155529.793090535</v>
      </c>
      <c r="E112" s="403">
        <f t="shared" ca="1" si="57"/>
        <v>15589102.04686169</v>
      </c>
      <c r="F112" s="403">
        <f t="shared" ca="1" si="57"/>
        <v>17154966.58970065</v>
      </c>
      <c r="G112" s="403">
        <f t="shared" ca="1" si="57"/>
        <v>18944562.763285045</v>
      </c>
      <c r="H112" s="403">
        <f t="shared" ca="1" si="57"/>
        <v>20998275.831321102</v>
      </c>
      <c r="I112" s="403">
        <f t="shared" ca="1" si="57"/>
        <v>23375313.113826003</v>
      </c>
      <c r="J112" s="403">
        <f t="shared" ca="1" si="57"/>
        <v>26133247.874129143</v>
      </c>
      <c r="K112" s="403">
        <f t="shared" ca="1" si="57"/>
        <v>29327889.98180576</v>
      </c>
      <c r="L112" s="403">
        <f t="shared" ca="1" si="57"/>
        <v>33055639.148864206</v>
      </c>
      <c r="P112" s="460" t="s">
        <v>29</v>
      </c>
      <c r="Q112" s="405"/>
      <c r="R112" s="403">
        <f t="shared" si="54"/>
        <v>31200</v>
      </c>
      <c r="S112" s="403">
        <f t="shared" si="53"/>
        <v>36225.072000000007</v>
      </c>
      <c r="T112" s="403">
        <f t="shared" si="53"/>
        <v>42059.482096320011</v>
      </c>
      <c r="U112" s="403">
        <f t="shared" si="53"/>
        <v>48833.582282753319</v>
      </c>
      <c r="V112" s="403">
        <f t="shared" si="53"/>
        <v>56698.719045213569</v>
      </c>
      <c r="W112" s="403">
        <f t="shared" si="53"/>
        <v>65830.614734635674</v>
      </c>
      <c r="X112" s="403">
        <f t="shared" si="53"/>
        <v>76433.293543796099</v>
      </c>
      <c r="Y112" s="403">
        <f t="shared" si="53"/>
        <v>88743.639801959915</v>
      </c>
      <c r="Z112" s="403">
        <f t="shared" si="53"/>
        <v>103036.6904284636</v>
      </c>
      <c r="AA112" s="403">
        <f t="shared" si="53"/>
        <v>119631.77978887195</v>
      </c>
    </row>
    <row r="113" spans="1:27">
      <c r="A113" s="408"/>
      <c r="B113" s="405"/>
      <c r="C113" s="403"/>
      <c r="D113" s="403"/>
      <c r="E113" s="403"/>
      <c r="F113" s="403"/>
      <c r="G113" s="403"/>
      <c r="H113" s="403"/>
      <c r="I113" s="403"/>
      <c r="J113" s="403"/>
      <c r="K113" s="403"/>
      <c r="L113" s="403"/>
      <c r="P113" s="460" t="s">
        <v>279</v>
      </c>
      <c r="Q113" s="405"/>
      <c r="R113" s="403">
        <f t="shared" si="54"/>
        <v>120000</v>
      </c>
      <c r="S113" s="403">
        <f t="shared" si="53"/>
        <v>138072</v>
      </c>
      <c r="T113" s="403">
        <f t="shared" si="53"/>
        <v>158865.64320000002</v>
      </c>
      <c r="U113" s="403">
        <f t="shared" si="53"/>
        <v>182790.80906592004</v>
      </c>
      <c r="V113" s="403">
        <f t="shared" si="53"/>
        <v>210319.10491124762</v>
      </c>
      <c r="W113" s="403">
        <f t="shared" si="53"/>
        <v>241993.16211088153</v>
      </c>
      <c r="X113" s="403">
        <f t="shared" si="53"/>
        <v>278437.33232478035</v>
      </c>
      <c r="Y113" s="403">
        <f t="shared" si="53"/>
        <v>320369.99457289232</v>
      </c>
      <c r="Z113" s="403">
        <f t="shared" si="53"/>
        <v>368617.71575556998</v>
      </c>
      <c r="AA113" s="403">
        <f t="shared" si="53"/>
        <v>424131.54374835885</v>
      </c>
    </row>
    <row r="114" spans="1:27">
      <c r="A114" s="408" t="s">
        <v>162</v>
      </c>
      <c r="B114" s="405"/>
      <c r="C114" s="403">
        <f>'Loan Repayment Schedule'!H24</f>
        <v>159081.42419551167</v>
      </c>
      <c r="D114" s="403">
        <f>'Loan Repayment Schedule'!I24</f>
        <v>150945.33102522913</v>
      </c>
      <c r="E114" s="403">
        <f>'Loan Repayment Schedule'!J24</f>
        <v>141501.32412120837</v>
      </c>
      <c r="F114" s="403">
        <f>'Loan Repayment Schedule'!K24</f>
        <v>130539.15044195918</v>
      </c>
      <c r="G114" s="403">
        <f>'Loan Repayment Schedule'!L24</f>
        <v>117814.75781970649</v>
      </c>
      <c r="H114" s="403">
        <f>'Loan Repayment Schedule'!M24</f>
        <v>103044.86159814546</v>
      </c>
      <c r="I114" s="403">
        <f>'Loan Repayment Schedule'!N24</f>
        <v>85900.637832668654</v>
      </c>
      <c r="J114" s="403">
        <f>'Loan Repayment Schedule'!O24</f>
        <v>66000.402644037444</v>
      </c>
      <c r="K114" s="403">
        <f>'Loan Repayment Schedule'!P24</f>
        <v>42901.1147450836</v>
      </c>
      <c r="L114" s="403">
        <f>'Loan Repayment Schedule'!Q24</f>
        <v>16088.511960188747</v>
      </c>
      <c r="P114" s="460" t="s">
        <v>31</v>
      </c>
      <c r="Q114" s="405"/>
      <c r="R114" s="403">
        <f t="shared" si="54"/>
        <v>1200</v>
      </c>
      <c r="S114" s="403">
        <f t="shared" si="53"/>
        <v>1255.2</v>
      </c>
      <c r="T114" s="403">
        <f t="shared" si="53"/>
        <v>1312.9392</v>
      </c>
      <c r="U114" s="403">
        <f t="shared" si="53"/>
        <v>12173.3344032</v>
      </c>
      <c r="V114" s="403">
        <f t="shared" si="53"/>
        <v>12671.507785747199</v>
      </c>
      <c r="W114" s="403">
        <f t="shared" si="53"/>
        <v>13196.000643891573</v>
      </c>
      <c r="X114" s="403">
        <f t="shared" si="53"/>
        <v>13748.594944760584</v>
      </c>
      <c r="Y114" s="403">
        <f t="shared" si="53"/>
        <v>14331.217498225746</v>
      </c>
      <c r="Z114" s="403">
        <f t="shared" si="53"/>
        <v>14945.953053018618</v>
      </c>
      <c r="AA114" s="403">
        <f t="shared" si="53"/>
        <v>15595.058642306083</v>
      </c>
    </row>
    <row r="115" spans="1:27">
      <c r="A115" s="408"/>
      <c r="B115" s="405"/>
      <c r="C115" s="403"/>
      <c r="D115" s="403"/>
      <c r="E115" s="403"/>
      <c r="F115" s="403"/>
      <c r="G115" s="403"/>
      <c r="H115" s="403"/>
      <c r="I115" s="403"/>
      <c r="J115" s="403"/>
      <c r="K115" s="403"/>
      <c r="L115" s="403"/>
      <c r="P115" s="460" t="s">
        <v>33</v>
      </c>
      <c r="Q115" s="405"/>
      <c r="R115" s="403">
        <f t="shared" si="54"/>
        <v>1000</v>
      </c>
      <c r="S115" s="403">
        <f t="shared" si="53"/>
        <v>1046</v>
      </c>
      <c r="T115" s="403">
        <f t="shared" si="53"/>
        <v>1094.116</v>
      </c>
      <c r="U115" s="403">
        <f t="shared" si="53"/>
        <v>10144.445336000001</v>
      </c>
      <c r="V115" s="403">
        <f t="shared" si="53"/>
        <v>10539.589821456</v>
      </c>
      <c r="W115" s="403">
        <f t="shared" si="53"/>
        <v>10956.267203242976</v>
      </c>
      <c r="X115" s="403">
        <f t="shared" si="53"/>
        <v>11395.954453967153</v>
      </c>
      <c r="Y115" s="403">
        <f t="shared" si="53"/>
        <v>11860.249088521454</v>
      </c>
      <c r="Z115" s="403">
        <f t="shared" si="53"/>
        <v>12350.880074315512</v>
      </c>
      <c r="AA115" s="403">
        <f t="shared" si="53"/>
        <v>12869.719782657739</v>
      </c>
    </row>
    <row r="116" spans="1:27" ht="15.5">
      <c r="A116" s="409" t="s">
        <v>374</v>
      </c>
      <c r="B116" s="405"/>
      <c r="C116" s="403">
        <f>C112-C114</f>
        <v>9599896.9933270216</v>
      </c>
      <c r="D116" s="403">
        <f t="shared" ref="D116:L116" si="58">D112-D114</f>
        <v>13004584.462065306</v>
      </c>
      <c r="E116" s="403">
        <f t="shared" ca="1" si="58"/>
        <v>15447600.722740481</v>
      </c>
      <c r="F116" s="403">
        <f t="shared" ca="1" si="58"/>
        <v>17024427.439258691</v>
      </c>
      <c r="G116" s="403">
        <f t="shared" ca="1" si="58"/>
        <v>18826748.00546534</v>
      </c>
      <c r="H116" s="403">
        <f t="shared" ca="1" si="58"/>
        <v>20895230.969722956</v>
      </c>
      <c r="I116" s="403">
        <f t="shared" ca="1" si="58"/>
        <v>23289412.475993335</v>
      </c>
      <c r="J116" s="403">
        <f t="shared" ca="1" si="58"/>
        <v>26067247.471485104</v>
      </c>
      <c r="K116" s="403">
        <f t="shared" ca="1" si="58"/>
        <v>29284988.867060676</v>
      </c>
      <c r="L116" s="403">
        <f t="shared" ca="1" si="58"/>
        <v>33039550.636904016</v>
      </c>
      <c r="P116" s="460" t="s">
        <v>35</v>
      </c>
      <c r="Q116" s="405"/>
      <c r="R116" s="403">
        <f t="shared" si="54"/>
        <v>5000</v>
      </c>
      <c r="S116" s="403">
        <f t="shared" si="53"/>
        <v>5230</v>
      </c>
      <c r="T116" s="403">
        <f t="shared" si="53"/>
        <v>5470.58</v>
      </c>
      <c r="U116" s="403">
        <f t="shared" si="53"/>
        <v>46722.22668</v>
      </c>
      <c r="V116" s="403">
        <f t="shared" si="53"/>
        <v>48371.949107280001</v>
      </c>
      <c r="W116" s="403">
        <f t="shared" si="53"/>
        <v>50117.367016214877</v>
      </c>
      <c r="X116" s="403">
        <f t="shared" si="53"/>
        <v>51965.420246335772</v>
      </c>
      <c r="Y116" s="403">
        <f t="shared" si="53"/>
        <v>53923.634610367022</v>
      </c>
      <c r="Z116" s="403">
        <f t="shared" si="53"/>
        <v>56000.175809321743</v>
      </c>
      <c r="AA116" s="403">
        <f t="shared" si="53"/>
        <v>58203.908528969805</v>
      </c>
    </row>
    <row r="117" spans="1:27">
      <c r="A117" s="408"/>
      <c r="B117" s="405"/>
      <c r="C117" s="403"/>
      <c r="D117" s="403"/>
      <c r="E117" s="403"/>
      <c r="F117" s="403"/>
      <c r="G117" s="403"/>
      <c r="H117" s="403"/>
      <c r="I117" s="403"/>
      <c r="J117" s="403"/>
      <c r="K117" s="403"/>
      <c r="L117" s="403"/>
      <c r="P117" s="460"/>
      <c r="Q117" s="405"/>
      <c r="R117" s="403"/>
      <c r="S117" s="403"/>
      <c r="T117" s="403"/>
      <c r="U117" s="403"/>
      <c r="V117" s="403"/>
      <c r="W117" s="403"/>
      <c r="X117" s="403"/>
      <c r="Y117" s="403"/>
      <c r="Z117" s="403"/>
      <c r="AA117" s="403"/>
    </row>
    <row r="118" spans="1:27" ht="15.5">
      <c r="A118" s="408" t="s">
        <v>164</v>
      </c>
      <c r="B118" s="405"/>
      <c r="C118" s="403">
        <f>C116*Assumptions!$Y$15</f>
        <v>2879969.0979981064</v>
      </c>
      <c r="D118" s="403">
        <f>D116*Assumptions!$Y$15</f>
        <v>3901375.3386195917</v>
      </c>
      <c r="E118" s="403">
        <f ca="1">E116*Assumptions!$Y$15</f>
        <v>4634280.2168221436</v>
      </c>
      <c r="F118" s="403">
        <f ca="1">F116*Assumptions!$Y$15</f>
        <v>5107328.2317776075</v>
      </c>
      <c r="G118" s="403">
        <f ca="1">G116*Assumptions!$Y$15</f>
        <v>5648024.4016396021</v>
      </c>
      <c r="H118" s="403">
        <f ca="1">H116*Assumptions!$Y$15</f>
        <v>6268569.2909168871</v>
      </c>
      <c r="I118" s="403">
        <f ca="1">I116*Assumptions!$Y$15</f>
        <v>6986823.7427980006</v>
      </c>
      <c r="J118" s="403">
        <f ca="1">J116*Assumptions!$Y$15</f>
        <v>7820174.2414455311</v>
      </c>
      <c r="K118" s="403">
        <f ca="1">K116*Assumptions!$Y$15</f>
        <v>8785496.6601182017</v>
      </c>
      <c r="L118" s="403">
        <f ca="1">L116*Assumptions!$Y$15</f>
        <v>9911865.1910712048</v>
      </c>
      <c r="P118" s="461" t="s">
        <v>156</v>
      </c>
      <c r="Q118" s="405"/>
      <c r="R118" s="403">
        <f>SUM(R103:R116)</f>
        <v>5384070</v>
      </c>
      <c r="S118" s="403">
        <f t="shared" ref="S118:AA118" si="59">SUM(S103:S116)</f>
        <v>7808825.9644320002</v>
      </c>
      <c r="T118" s="403">
        <f t="shared" ca="1" si="59"/>
        <v>9308062.6960582808</v>
      </c>
      <c r="U118" s="403">
        <f t="shared" ca="1" si="59"/>
        <v>65719395.466365762</v>
      </c>
      <c r="V118" s="403">
        <f t="shared" ca="1" si="59"/>
        <v>88844410.707747817</v>
      </c>
      <c r="W118" s="403">
        <f t="shared" ca="1" si="59"/>
        <v>104197042.94991654</v>
      </c>
      <c r="X118" s="403">
        <f t="shared" ca="1" si="59"/>
        <v>114841602.09258048</v>
      </c>
      <c r="Y118" s="403">
        <f t="shared" ca="1" si="59"/>
        <v>126981684.55968133</v>
      </c>
      <c r="Z118" s="403">
        <f t="shared" ca="1" si="59"/>
        <v>140868469.05687508</v>
      </c>
      <c r="AA118" s="403">
        <f t="shared" ca="1" si="59"/>
        <v>154332597.77401194</v>
      </c>
    </row>
    <row r="119" spans="1:27" ht="15.5">
      <c r="A119" s="408"/>
      <c r="B119" s="405"/>
      <c r="C119" s="403"/>
      <c r="D119" s="403"/>
      <c r="E119" s="403"/>
      <c r="F119" s="403"/>
      <c r="G119" s="403"/>
      <c r="H119" s="403"/>
      <c r="I119" s="403"/>
      <c r="J119" s="403"/>
      <c r="K119" s="403"/>
      <c r="L119" s="403"/>
      <c r="P119" s="461"/>
      <c r="Q119" s="405"/>
      <c r="R119" s="48"/>
      <c r="S119" s="48"/>
      <c r="T119" s="48"/>
      <c r="U119" s="48"/>
      <c r="V119" s="48"/>
      <c r="W119" s="48"/>
      <c r="X119" s="48"/>
      <c r="Y119" s="48"/>
      <c r="Z119" s="48"/>
      <c r="AA119" s="48"/>
    </row>
    <row r="120" spans="1:27" ht="15.5">
      <c r="A120" s="409" t="s">
        <v>97</v>
      </c>
      <c r="B120" s="405"/>
      <c r="C120" s="403">
        <f>C116-C118</f>
        <v>6719927.8953289147</v>
      </c>
      <c r="D120" s="403">
        <f t="shared" ref="D120:L120" si="60">D116-D118</f>
        <v>9103209.1234457139</v>
      </c>
      <c r="E120" s="403">
        <f t="shared" ca="1" si="60"/>
        <v>10813320.505918337</v>
      </c>
      <c r="F120" s="403">
        <f t="shared" ca="1" si="60"/>
        <v>11917099.207481083</v>
      </c>
      <c r="G120" s="403">
        <f t="shared" ca="1" si="60"/>
        <v>13178723.603825737</v>
      </c>
      <c r="H120" s="403">
        <f t="shared" ca="1" si="60"/>
        <v>14626661.67880607</v>
      </c>
      <c r="I120" s="403">
        <f t="shared" ca="1" si="60"/>
        <v>16302588.733195335</v>
      </c>
      <c r="J120" s="403">
        <f t="shared" ca="1" si="60"/>
        <v>18247073.230039574</v>
      </c>
      <c r="K120" s="403">
        <f t="shared" ca="1" si="60"/>
        <v>20499492.206942476</v>
      </c>
      <c r="L120" s="403">
        <f t="shared" ca="1" si="60"/>
        <v>23127685.445832811</v>
      </c>
      <c r="P120" s="461" t="s">
        <v>36</v>
      </c>
      <c r="Q120" s="405"/>
      <c r="R120" s="48"/>
      <c r="S120" s="48"/>
      <c r="T120" s="48"/>
      <c r="U120" s="48"/>
      <c r="V120" s="48"/>
      <c r="W120" s="48"/>
      <c r="X120" s="48"/>
      <c r="Y120" s="48"/>
      <c r="Z120" s="48"/>
      <c r="AA120" s="48"/>
    </row>
    <row r="121" spans="1:27">
      <c r="A121" s="408"/>
      <c r="B121" s="405"/>
      <c r="C121" s="403"/>
      <c r="D121" s="403"/>
      <c r="E121" s="403"/>
      <c r="F121" s="403"/>
      <c r="G121" s="403"/>
      <c r="H121" s="403"/>
      <c r="I121" s="403"/>
      <c r="J121" s="403"/>
      <c r="K121" s="403"/>
      <c r="L121" s="403"/>
      <c r="P121" s="460" t="s">
        <v>38</v>
      </c>
      <c r="Q121" s="405"/>
      <c r="R121" s="403">
        <f>SUM(C100,C211,C322,C433,C544,C655,C766,C877,C988,C1099)</f>
        <v>5000</v>
      </c>
      <c r="S121" s="403">
        <f t="shared" ref="S121:AA136" si="61">SUM(D100,D211,D322,D433,D544,D655,D766,D877,D988,D1099)</f>
        <v>5230</v>
      </c>
      <c r="T121" s="403">
        <f t="shared" si="61"/>
        <v>5470.58</v>
      </c>
      <c r="U121" s="403">
        <f t="shared" si="61"/>
        <v>50722.22668</v>
      </c>
      <c r="V121" s="403">
        <f t="shared" si="61"/>
        <v>52797.949107280001</v>
      </c>
      <c r="W121" s="403">
        <f t="shared" si="61"/>
        <v>54983.336016214882</v>
      </c>
      <c r="X121" s="403">
        <f t="shared" si="61"/>
        <v>57285.812269835769</v>
      </c>
      <c r="Y121" s="403">
        <f t="shared" si="61"/>
        <v>59713.406242607271</v>
      </c>
      <c r="Z121" s="403">
        <f t="shared" si="61"/>
        <v>62274.804387577569</v>
      </c>
      <c r="AA121" s="403">
        <f t="shared" si="61"/>
        <v>64979.411009608688</v>
      </c>
    </row>
    <row r="122" spans="1:27" ht="16" thickBot="1">
      <c r="A122" s="412" t="s">
        <v>165</v>
      </c>
      <c r="B122" s="406"/>
      <c r="C122" s="407">
        <f>C120</f>
        <v>6719927.8953289147</v>
      </c>
      <c r="D122" s="407">
        <f t="shared" ref="D122:L122" si="62">C122+D120</f>
        <v>15823137.018774629</v>
      </c>
      <c r="E122" s="407">
        <f t="shared" ca="1" si="62"/>
        <v>26636457.524692968</v>
      </c>
      <c r="F122" s="407">
        <f t="shared" ca="1" si="62"/>
        <v>38553556.732174054</v>
      </c>
      <c r="G122" s="407">
        <f t="shared" ca="1" si="62"/>
        <v>51732280.335999787</v>
      </c>
      <c r="H122" s="407">
        <f t="shared" ca="1" si="62"/>
        <v>66358942.014805853</v>
      </c>
      <c r="I122" s="407">
        <f t="shared" ca="1" si="62"/>
        <v>82661530.748001188</v>
      </c>
      <c r="J122" s="407">
        <f t="shared" ca="1" si="62"/>
        <v>100908603.97804075</v>
      </c>
      <c r="K122" s="407">
        <f t="shared" ca="1" si="62"/>
        <v>121408096.18498322</v>
      </c>
      <c r="L122" s="407">
        <f t="shared" ca="1" si="62"/>
        <v>144535781.63081604</v>
      </c>
      <c r="P122" s="460" t="s">
        <v>39</v>
      </c>
      <c r="Q122" s="405"/>
      <c r="R122" s="403">
        <f t="shared" ref="R122:R143" si="63">SUM(C101,C212,C323,C434,C545,C656,C767,C878,C989,C1100)</f>
        <v>500</v>
      </c>
      <c r="S122" s="403">
        <f t="shared" si="61"/>
        <v>500</v>
      </c>
      <c r="T122" s="403">
        <f t="shared" si="61"/>
        <v>500</v>
      </c>
      <c r="U122" s="403">
        <f t="shared" si="61"/>
        <v>5000</v>
      </c>
      <c r="V122" s="403">
        <f t="shared" si="61"/>
        <v>28687</v>
      </c>
      <c r="W122" s="403">
        <f t="shared" si="61"/>
        <v>29946.828750000001</v>
      </c>
      <c r="X122" s="403">
        <f t="shared" si="61"/>
        <v>31285.285145875005</v>
      </c>
      <c r="Y122" s="403">
        <f t="shared" si="61"/>
        <v>32708.697261653815</v>
      </c>
      <c r="Z122" s="403">
        <f t="shared" si="61"/>
        <v>34223.973454133717</v>
      </c>
      <c r="AA122" s="403">
        <f t="shared" si="61"/>
        <v>35838.658510629757</v>
      </c>
    </row>
    <row r="123" spans="1:27" ht="16" thickTop="1">
      <c r="B123" s="419"/>
      <c r="C123" s="420"/>
      <c r="D123" s="420"/>
      <c r="E123" s="420"/>
      <c r="F123" s="420"/>
      <c r="G123" s="420"/>
      <c r="H123" s="420"/>
      <c r="I123" s="420"/>
      <c r="J123" s="420"/>
      <c r="K123" s="420"/>
      <c r="L123" s="420"/>
      <c r="N123" s="305"/>
      <c r="P123" s="460"/>
      <c r="Q123" s="405"/>
      <c r="R123" s="403"/>
      <c r="S123" s="403"/>
      <c r="T123" s="403"/>
      <c r="U123" s="403"/>
      <c r="V123" s="403"/>
      <c r="W123" s="403"/>
      <c r="X123" s="403"/>
      <c r="Y123" s="403"/>
      <c r="Z123" s="403"/>
      <c r="AA123" s="403"/>
    </row>
    <row r="124" spans="1:27" ht="15.5">
      <c r="A124" s="413" t="s">
        <v>305</v>
      </c>
      <c r="B124" s="405"/>
      <c r="C124" s="135"/>
      <c r="D124" s="135"/>
      <c r="E124" s="135"/>
      <c r="F124" s="135"/>
      <c r="G124" s="135"/>
      <c r="H124" s="135"/>
      <c r="I124" s="135"/>
      <c r="J124" s="135"/>
      <c r="K124" s="135"/>
      <c r="L124" s="136"/>
      <c r="N124" s="305"/>
      <c r="P124" s="461" t="s">
        <v>157</v>
      </c>
      <c r="Q124" s="405"/>
      <c r="R124" s="403">
        <f t="shared" si="63"/>
        <v>5500</v>
      </c>
      <c r="S124" s="403">
        <f t="shared" si="61"/>
        <v>5730</v>
      </c>
      <c r="T124" s="403">
        <f t="shared" si="61"/>
        <v>5970.58</v>
      </c>
      <c r="U124" s="403">
        <f t="shared" si="61"/>
        <v>55722.22668</v>
      </c>
      <c r="V124" s="403">
        <f t="shared" si="61"/>
        <v>81484.949107280001</v>
      </c>
      <c r="W124" s="403">
        <f t="shared" si="61"/>
        <v>84930.164766214875</v>
      </c>
      <c r="X124" s="403">
        <f t="shared" si="61"/>
        <v>88571.09741571077</v>
      </c>
      <c r="Y124" s="403">
        <f t="shared" si="61"/>
        <v>92422.103504261089</v>
      </c>
      <c r="Z124" s="403">
        <f t="shared" si="61"/>
        <v>96498.7778417113</v>
      </c>
      <c r="AA124" s="403">
        <f t="shared" si="61"/>
        <v>100818.06952023845</v>
      </c>
    </row>
    <row r="125" spans="1:27" ht="15.5">
      <c r="A125" s="414" t="s">
        <v>355</v>
      </c>
      <c r="B125" s="405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N125" s="305"/>
      <c r="P125" s="460"/>
      <c r="Q125" s="405"/>
      <c r="R125" s="403"/>
      <c r="S125" s="403"/>
      <c r="T125" s="403"/>
      <c r="U125" s="403"/>
      <c r="V125" s="403"/>
      <c r="W125" s="403"/>
      <c r="X125" s="403"/>
      <c r="Y125" s="403"/>
      <c r="Z125" s="403"/>
      <c r="AA125" s="403"/>
    </row>
    <row r="126" spans="1:27" ht="15.5">
      <c r="A126" s="415" t="s">
        <v>289</v>
      </c>
      <c r="B126" s="405"/>
      <c r="C126" s="133">
        <f>Revenue!Q38</f>
        <v>0</v>
      </c>
      <c r="D126" s="133">
        <f>Revenue!R38</f>
        <v>0</v>
      </c>
      <c r="E126" s="133">
        <f>Revenue!S38</f>
        <v>0</v>
      </c>
      <c r="F126" s="133">
        <f>Revenue!T38</f>
        <v>1540</v>
      </c>
      <c r="G126" s="133">
        <f ca="1">Revenue!U38</f>
        <v>1617.3792220513183</v>
      </c>
      <c r="H126" s="133">
        <f ca="1">Revenue!V38</f>
        <v>1703.2301999696856</v>
      </c>
      <c r="I126" s="133">
        <f ca="1">Revenue!W38</f>
        <v>1798.896134352193</v>
      </c>
      <c r="J126" s="133">
        <f ca="1">Revenue!X38</f>
        <v>1907.024276071322</v>
      </c>
      <c r="K126" s="133">
        <f ca="1">Revenue!Y38</f>
        <v>2028.5331151473042</v>
      </c>
      <c r="L126" s="133">
        <f ca="1">Revenue!Z38</f>
        <v>2164.952997288271</v>
      </c>
      <c r="P126" s="461" t="s">
        <v>112</v>
      </c>
      <c r="Q126" s="405"/>
      <c r="R126" s="403">
        <f t="shared" si="63"/>
        <v>5424570</v>
      </c>
      <c r="S126" s="403">
        <f t="shared" si="61"/>
        <v>7814555.9644320002</v>
      </c>
      <c r="T126" s="403">
        <f t="shared" ca="1" si="61"/>
        <v>9314033.2760582808</v>
      </c>
      <c r="U126" s="403">
        <f t="shared" ca="1" si="61"/>
        <v>66090117.69304575</v>
      </c>
      <c r="V126" s="403">
        <f t="shared" ca="1" si="61"/>
        <v>88925895.656855106</v>
      </c>
      <c r="W126" s="403">
        <f t="shared" ca="1" si="61"/>
        <v>104281973.11468273</v>
      </c>
      <c r="X126" s="403">
        <f t="shared" ca="1" si="61"/>
        <v>114930173.1899962</v>
      </c>
      <c r="Y126" s="403">
        <f t="shared" ca="1" si="61"/>
        <v>127074106.66318558</v>
      </c>
      <c r="Z126" s="403">
        <f t="shared" ca="1" si="61"/>
        <v>140964967.83471677</v>
      </c>
      <c r="AA126" s="403">
        <f t="shared" ca="1" si="61"/>
        <v>154433415.8435322</v>
      </c>
    </row>
    <row r="127" spans="1:27">
      <c r="A127" s="415" t="s">
        <v>60</v>
      </c>
      <c r="B127" s="405"/>
      <c r="C127" s="403">
        <f>Revenue!C38</f>
        <v>0</v>
      </c>
      <c r="D127" s="403">
        <f>Revenue!D38</f>
        <v>0</v>
      </c>
      <c r="E127" s="403">
        <f>Revenue!E38</f>
        <v>0</v>
      </c>
      <c r="F127" s="403">
        <f>Revenue!F38</f>
        <v>5000</v>
      </c>
      <c r="G127" s="403">
        <f>Revenue!G38</f>
        <v>5100</v>
      </c>
      <c r="H127" s="403">
        <f>Revenue!H38</f>
        <v>5202</v>
      </c>
      <c r="I127" s="403">
        <f>Revenue!I38</f>
        <v>5306.04</v>
      </c>
      <c r="J127" s="403">
        <f>Revenue!J38</f>
        <v>5412.1607999999997</v>
      </c>
      <c r="K127" s="403">
        <f>Revenue!K38</f>
        <v>5520.4040159999995</v>
      </c>
      <c r="L127" s="403">
        <f>Revenue!L38</f>
        <v>5630.8120963199999</v>
      </c>
      <c r="P127" s="460"/>
      <c r="Q127" s="405"/>
      <c r="R127" s="403"/>
      <c r="S127" s="403"/>
      <c r="T127" s="403"/>
      <c r="U127" s="403"/>
      <c r="V127" s="403"/>
      <c r="W127" s="403"/>
      <c r="X127" s="403"/>
      <c r="Y127" s="403"/>
      <c r="Z127" s="403"/>
      <c r="AA127" s="403"/>
    </row>
    <row r="128" spans="1:27" ht="15.5">
      <c r="A128" s="415" t="s">
        <v>366</v>
      </c>
      <c r="B128" s="405"/>
      <c r="C128" s="403">
        <f t="shared" ref="C128:L128" si="64">C126*C127</f>
        <v>0</v>
      </c>
      <c r="D128" s="403">
        <f t="shared" si="64"/>
        <v>0</v>
      </c>
      <c r="E128" s="403">
        <f t="shared" si="64"/>
        <v>0</v>
      </c>
      <c r="F128" s="403">
        <f t="shared" si="64"/>
        <v>7700000</v>
      </c>
      <c r="G128" s="403">
        <f t="shared" ca="1" si="64"/>
        <v>8248634.0324617233</v>
      </c>
      <c r="H128" s="403">
        <f t="shared" ca="1" si="64"/>
        <v>8860203.5002423041</v>
      </c>
      <c r="I128" s="403">
        <f t="shared" ca="1" si="64"/>
        <v>9545014.8447181098</v>
      </c>
      <c r="J128" s="403">
        <f t="shared" ca="1" si="64"/>
        <v>10321122.031601585</v>
      </c>
      <c r="K128" s="403">
        <f t="shared" ca="1" si="64"/>
        <v>11198322.355448168</v>
      </c>
      <c r="L128" s="403">
        <f t="shared" ca="1" si="64"/>
        <v>12190443.525095036</v>
      </c>
      <c r="P128" s="461" t="s">
        <v>158</v>
      </c>
      <c r="Q128" s="405"/>
      <c r="R128" s="403">
        <f t="shared" si="63"/>
        <v>9778930</v>
      </c>
      <c r="S128" s="403">
        <f t="shared" si="61"/>
        <v>13175481.375568002</v>
      </c>
      <c r="T128" s="403">
        <f t="shared" ca="1" si="61"/>
        <v>15609053.629339157</v>
      </c>
      <c r="U128" s="403">
        <f t="shared" ca="1" si="61"/>
        <v>116019268.17217812</v>
      </c>
      <c r="V128" s="403">
        <f t="shared" ca="1" si="61"/>
        <v>147467181.529084</v>
      </c>
      <c r="W128" s="403">
        <f t="shared" ca="1" si="61"/>
        <v>173053685.37466687</v>
      </c>
      <c r="X128" s="403">
        <f t="shared" ca="1" si="61"/>
        <v>191125488.67412183</v>
      </c>
      <c r="Y128" s="403">
        <f t="shared" ca="1" si="61"/>
        <v>211730721.97122109</v>
      </c>
      <c r="Z128" s="403">
        <f t="shared" ca="1" si="61"/>
        <v>235298355.52100706</v>
      </c>
      <c r="AA128" s="403">
        <f t="shared" ca="1" si="61"/>
        <v>257861728.5464018</v>
      </c>
    </row>
    <row r="129" spans="1:27" ht="15.5">
      <c r="A129" s="416" t="s">
        <v>356</v>
      </c>
      <c r="B129" s="405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N129" s="305"/>
      <c r="P129" s="460"/>
      <c r="Q129" s="405"/>
      <c r="R129" s="403"/>
      <c r="S129" s="403"/>
      <c r="T129" s="403"/>
      <c r="U129" s="403"/>
      <c r="V129" s="403"/>
      <c r="W129" s="403"/>
      <c r="X129" s="403"/>
      <c r="Y129" s="403"/>
      <c r="Z129" s="403"/>
      <c r="AA129" s="403"/>
    </row>
    <row r="130" spans="1:27">
      <c r="A130" s="417" t="s">
        <v>358</v>
      </c>
      <c r="B130" s="405"/>
      <c r="C130" s="133">
        <f>Revenue!Q39</f>
        <v>0</v>
      </c>
      <c r="D130" s="133">
        <f>Revenue!R39</f>
        <v>0</v>
      </c>
      <c r="E130" s="133">
        <f>Revenue!S39</f>
        <v>0</v>
      </c>
      <c r="F130" s="133">
        <f>Revenue!T39</f>
        <v>1000</v>
      </c>
      <c r="G130" s="133">
        <f ca="1">Revenue!U39</f>
        <v>1041.103651370124</v>
      </c>
      <c r="H130" s="133">
        <f ca="1">Revenue!V39</f>
        <v>1087.9864012163141</v>
      </c>
      <c r="I130" s="133">
        <f ca="1">Revenue!W39</f>
        <v>1139.9115055215868</v>
      </c>
      <c r="J130" s="133">
        <f ca="1">Revenue!X39</f>
        <v>1198.5640950430839</v>
      </c>
      <c r="K130" s="133">
        <f ca="1">Revenue!Y39</f>
        <v>1264.2584586632001</v>
      </c>
      <c r="L130" s="133">
        <f ca="1">Revenue!Z39</f>
        <v>1338.1204537503206</v>
      </c>
      <c r="P130" s="460" t="s">
        <v>159</v>
      </c>
      <c r="Q130" s="405"/>
      <c r="R130" s="403">
        <f t="shared" si="63"/>
        <v>19951.582477468037</v>
      </c>
      <c r="S130" s="403">
        <f t="shared" si="61"/>
        <v>19951.582477468037</v>
      </c>
      <c r="T130" s="403">
        <f t="shared" si="61"/>
        <v>19951.582477468037</v>
      </c>
      <c r="U130" s="403">
        <f t="shared" si="61"/>
        <v>19951.582477468037</v>
      </c>
      <c r="V130" s="403">
        <f t="shared" si="61"/>
        <v>19951.582477468037</v>
      </c>
      <c r="W130" s="403">
        <f t="shared" si="61"/>
        <v>19951.582477468037</v>
      </c>
      <c r="X130" s="403">
        <f t="shared" si="61"/>
        <v>19951.582477468037</v>
      </c>
      <c r="Y130" s="403">
        <f t="shared" si="61"/>
        <v>19951.582477468037</v>
      </c>
      <c r="Z130" s="403">
        <f t="shared" si="61"/>
        <v>19951.582477468037</v>
      </c>
      <c r="AA130" s="403">
        <f t="shared" si="61"/>
        <v>19951.582477468037</v>
      </c>
    </row>
    <row r="131" spans="1:27" ht="15.5">
      <c r="A131" s="417" t="s">
        <v>359</v>
      </c>
      <c r="B131" s="405"/>
      <c r="C131" s="403">
        <f>Revenue!C39</f>
        <v>0</v>
      </c>
      <c r="D131" s="403">
        <f>Revenue!D39</f>
        <v>0</v>
      </c>
      <c r="E131" s="403">
        <f>Revenue!E39</f>
        <v>0</v>
      </c>
      <c r="F131" s="403">
        <f>Revenue!F39</f>
        <v>7000</v>
      </c>
      <c r="G131" s="403">
        <f>Revenue!G39</f>
        <v>7140</v>
      </c>
      <c r="H131" s="403">
        <f>Revenue!H39</f>
        <v>7282.8</v>
      </c>
      <c r="I131" s="403">
        <f>Revenue!I39</f>
        <v>7428.4560000000001</v>
      </c>
      <c r="J131" s="403">
        <f>Revenue!J39</f>
        <v>7577.0251200000002</v>
      </c>
      <c r="K131" s="403">
        <f>Revenue!K39</f>
        <v>7728.5656224000004</v>
      </c>
      <c r="L131" s="403">
        <f>Revenue!L39</f>
        <v>7883.1369348480002</v>
      </c>
      <c r="N131" s="305"/>
      <c r="P131" s="460" t="s">
        <v>160</v>
      </c>
      <c r="Q131" s="405"/>
      <c r="R131" s="403">
        <f>SUM(C110,C221,C332,C443,C554,C665,C776,C887,C998,C1109)</f>
        <v>0</v>
      </c>
      <c r="S131" s="403">
        <f t="shared" ref="S131:AA131" si="65">SUM(D110,D221,D332,D443,D554,D665,D776,D887,D998,D1109)</f>
        <v>0</v>
      </c>
      <c r="T131" s="403">
        <f t="shared" si="65"/>
        <v>0</v>
      </c>
      <c r="U131" s="403">
        <f t="shared" si="65"/>
        <v>0</v>
      </c>
      <c r="V131" s="403">
        <f t="shared" si="65"/>
        <v>0</v>
      </c>
      <c r="W131" s="403">
        <f t="shared" si="65"/>
        <v>0</v>
      </c>
      <c r="X131" s="403">
        <f t="shared" si="65"/>
        <v>0</v>
      </c>
      <c r="Y131" s="403">
        <f t="shared" si="65"/>
        <v>0</v>
      </c>
      <c r="Z131" s="403">
        <f t="shared" si="65"/>
        <v>0</v>
      </c>
      <c r="AA131" s="403">
        <f t="shared" si="65"/>
        <v>0</v>
      </c>
    </row>
    <row r="132" spans="1:27">
      <c r="A132" s="418" t="s">
        <v>366</v>
      </c>
      <c r="B132" s="405"/>
      <c r="C132" s="403">
        <f t="shared" ref="C132:L132" si="66">C130*C131</f>
        <v>0</v>
      </c>
      <c r="D132" s="403">
        <f t="shared" si="66"/>
        <v>0</v>
      </c>
      <c r="E132" s="403">
        <f t="shared" si="66"/>
        <v>0</v>
      </c>
      <c r="F132" s="403">
        <f t="shared" si="66"/>
        <v>7000000</v>
      </c>
      <c r="G132" s="403">
        <f t="shared" ca="1" si="66"/>
        <v>7433480.0707826857</v>
      </c>
      <c r="H132" s="403">
        <f t="shared" ca="1" si="66"/>
        <v>7923587.3627781728</v>
      </c>
      <c r="I132" s="403">
        <f t="shared" ca="1" si="66"/>
        <v>8467782.4626608659</v>
      </c>
      <c r="J132" s="403">
        <f t="shared" ca="1" si="66"/>
        <v>9081550.2560715135</v>
      </c>
      <c r="K132" s="403">
        <f t="shared" ca="1" si="66"/>
        <v>9770904.4614528213</v>
      </c>
      <c r="L132" s="403">
        <f t="shared" ca="1" si="66"/>
        <v>10548586.772234717</v>
      </c>
      <c r="P132" s="460"/>
      <c r="Q132" s="405"/>
      <c r="R132" s="403"/>
      <c r="S132" s="403"/>
      <c r="T132" s="403"/>
      <c r="U132" s="403"/>
      <c r="V132" s="403"/>
      <c r="W132" s="403"/>
      <c r="X132" s="403"/>
      <c r="Y132" s="403"/>
      <c r="Z132" s="403"/>
      <c r="AA132" s="403"/>
    </row>
    <row r="133" spans="1:27" ht="15.5">
      <c r="A133" s="416" t="s">
        <v>357</v>
      </c>
      <c r="B133" s="405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N133" s="305"/>
      <c r="P133" s="461" t="s">
        <v>161</v>
      </c>
      <c r="Q133" s="405"/>
      <c r="R133" s="403">
        <f t="shared" si="63"/>
        <v>9758978.4175225329</v>
      </c>
      <c r="S133" s="403">
        <f t="shared" si="61"/>
        <v>13155529.793090535</v>
      </c>
      <c r="T133" s="403">
        <f t="shared" ca="1" si="61"/>
        <v>15589102.04686169</v>
      </c>
      <c r="U133" s="403">
        <f t="shared" ca="1" si="61"/>
        <v>115999316.58970065</v>
      </c>
      <c r="V133" s="403">
        <f t="shared" ca="1" si="61"/>
        <v>147447229.94660652</v>
      </c>
      <c r="W133" s="403">
        <f t="shared" ca="1" si="61"/>
        <v>173033733.79218936</v>
      </c>
      <c r="X133" s="403">
        <f t="shared" ca="1" si="61"/>
        <v>191105537.09164438</v>
      </c>
      <c r="Y133" s="403">
        <f t="shared" ca="1" si="61"/>
        <v>211710770.38874361</v>
      </c>
      <c r="Z133" s="403">
        <f t="shared" ca="1" si="61"/>
        <v>235278403.93852961</v>
      </c>
      <c r="AA133" s="403">
        <f t="shared" ca="1" si="61"/>
        <v>257841776.96392435</v>
      </c>
    </row>
    <row r="134" spans="1:27">
      <c r="A134" s="417" t="s">
        <v>358</v>
      </c>
      <c r="B134" s="405"/>
      <c r="C134" s="133">
        <f>Revenue!Q40</f>
        <v>0</v>
      </c>
      <c r="D134" s="133">
        <f>Revenue!R40</f>
        <v>0</v>
      </c>
      <c r="E134" s="133">
        <f>Revenue!S40</f>
        <v>0</v>
      </c>
      <c r="F134" s="133">
        <f>Revenue!T40</f>
        <v>1270</v>
      </c>
      <c r="G134" s="133">
        <f ca="1">Revenue!U40</f>
        <v>1347.7153797632241</v>
      </c>
      <c r="H134" s="133">
        <f ca="1">Revenue!V40</f>
        <v>1435.1174237279934</v>
      </c>
      <c r="I134" s="133">
        <f ca="1">Revenue!W40</f>
        <v>1532.6502532849534</v>
      </c>
      <c r="J134" s="133">
        <f ca="1">Revenue!X40</f>
        <v>1642.79651505376</v>
      </c>
      <c r="K134" s="133">
        <f ca="1">Revenue!Y40</f>
        <v>1766.3292138907707</v>
      </c>
      <c r="L134" s="133">
        <f ca="1">Revenue!Z40</f>
        <v>1904.7381331260538</v>
      </c>
      <c r="P134" s="462"/>
      <c r="Q134" s="405"/>
      <c r="R134" s="403"/>
      <c r="S134" s="403"/>
      <c r="T134" s="403"/>
      <c r="U134" s="403"/>
      <c r="V134" s="403"/>
      <c r="W134" s="403"/>
      <c r="X134" s="403"/>
      <c r="Y134" s="403"/>
      <c r="Z134" s="403"/>
      <c r="AA134" s="403"/>
    </row>
    <row r="135" spans="1:27">
      <c r="A135" s="417" t="s">
        <v>359</v>
      </c>
      <c r="B135" s="405"/>
      <c r="C135" s="403">
        <f>Revenue!C40</f>
        <v>0</v>
      </c>
      <c r="D135" s="403">
        <f>Revenue!D40</f>
        <v>0</v>
      </c>
      <c r="E135" s="403">
        <f>Revenue!E40</f>
        <v>0</v>
      </c>
      <c r="F135" s="403">
        <f>Revenue!F40</f>
        <v>5000</v>
      </c>
      <c r="G135" s="403">
        <f>Revenue!G40</f>
        <v>5100</v>
      </c>
      <c r="H135" s="403">
        <f>Revenue!H40</f>
        <v>5202</v>
      </c>
      <c r="I135" s="403">
        <f>Revenue!I40</f>
        <v>5306.04</v>
      </c>
      <c r="J135" s="403">
        <f>Revenue!J40</f>
        <v>5412.1607999999997</v>
      </c>
      <c r="K135" s="403">
        <f>Revenue!K40</f>
        <v>5520.4040159999995</v>
      </c>
      <c r="L135" s="403">
        <f>Revenue!L40</f>
        <v>5630.8120963199999</v>
      </c>
      <c r="P135" s="460" t="s">
        <v>162</v>
      </c>
      <c r="Q135" s="405"/>
      <c r="R135" s="403">
        <f t="shared" si="63"/>
        <v>159081.42419551167</v>
      </c>
      <c r="S135" s="403">
        <f t="shared" si="61"/>
        <v>150945.33102522913</v>
      </c>
      <c r="T135" s="403">
        <f t="shared" si="61"/>
        <v>141501.32412120837</v>
      </c>
      <c r="U135" s="403">
        <f t="shared" si="61"/>
        <v>130539.15044195918</v>
      </c>
      <c r="V135" s="403">
        <f t="shared" si="61"/>
        <v>117814.75781970649</v>
      </c>
      <c r="W135" s="403">
        <f t="shared" si="61"/>
        <v>103044.86159814546</v>
      </c>
      <c r="X135" s="403">
        <f t="shared" si="61"/>
        <v>85900.637832668654</v>
      </c>
      <c r="Y135" s="403">
        <f t="shared" si="61"/>
        <v>66000.402644037444</v>
      </c>
      <c r="Z135" s="403">
        <f t="shared" si="61"/>
        <v>42901.1147450836</v>
      </c>
      <c r="AA135" s="403">
        <f t="shared" si="61"/>
        <v>16088.511960188747</v>
      </c>
    </row>
    <row r="136" spans="1:27">
      <c r="A136" s="418" t="s">
        <v>366</v>
      </c>
      <c r="B136" s="405"/>
      <c r="C136" s="403">
        <f t="shared" ref="C136:L136" si="67">C134*C135</f>
        <v>0</v>
      </c>
      <c r="D136" s="403">
        <f t="shared" si="67"/>
        <v>0</v>
      </c>
      <c r="E136" s="403">
        <f t="shared" si="67"/>
        <v>0</v>
      </c>
      <c r="F136" s="403">
        <f t="shared" si="67"/>
        <v>6350000</v>
      </c>
      <c r="G136" s="403">
        <f t="shared" ca="1" si="67"/>
        <v>6873348.4367924426</v>
      </c>
      <c r="H136" s="403">
        <f t="shared" ca="1" si="67"/>
        <v>7465480.8382330211</v>
      </c>
      <c r="I136" s="403">
        <f t="shared" ca="1" si="67"/>
        <v>8132303.5499400934</v>
      </c>
      <c r="J136" s="403">
        <f t="shared" ca="1" si="67"/>
        <v>8891078.9011505693</v>
      </c>
      <c r="K136" s="403">
        <f t="shared" ca="1" si="67"/>
        <v>9750850.8859407324</v>
      </c>
      <c r="L136" s="403">
        <f t="shared" ca="1" si="67"/>
        <v>10725222.520328159</v>
      </c>
      <c r="P136" s="460"/>
      <c r="Q136" s="405"/>
      <c r="R136" s="403"/>
      <c r="S136" s="403"/>
      <c r="T136" s="403"/>
      <c r="U136" s="403"/>
      <c r="V136" s="403"/>
      <c r="W136" s="403"/>
      <c r="X136" s="403"/>
      <c r="Y136" s="403"/>
      <c r="Z136" s="403"/>
      <c r="AA136" s="403"/>
    </row>
    <row r="137" spans="1:27" ht="15.5">
      <c r="A137" s="416" t="s">
        <v>360</v>
      </c>
      <c r="B137" s="405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P137" s="461" t="s">
        <v>163</v>
      </c>
      <c r="Q137" s="405"/>
      <c r="R137" s="403">
        <f t="shared" si="63"/>
        <v>9599896.9933270216</v>
      </c>
      <c r="S137" s="403">
        <f t="shared" ref="S137:S143" si="68">SUM(D116,D227,D338,D449,D560,D671,D782,D893,D1004,D1115)</f>
        <v>13004584.462065306</v>
      </c>
      <c r="T137" s="403">
        <f t="shared" ref="T137:T143" ca="1" si="69">SUM(E116,E227,E338,E449,E560,E671,E782,E893,E1004,E1115)</f>
        <v>15447600.722740481</v>
      </c>
      <c r="U137" s="403">
        <f t="shared" ref="U137:U143" ca="1" si="70">SUM(F116,F227,F338,F449,F560,F671,F782,F893,F1004,F1115)</f>
        <v>115868777.43925869</v>
      </c>
      <c r="V137" s="403">
        <f t="shared" ref="V137:V143" ca="1" si="71">SUM(G116,G227,G338,G449,G560,G671,G782,G893,G1004,G1115)</f>
        <v>147329415.1887868</v>
      </c>
      <c r="W137" s="403">
        <f t="shared" ref="W137:W143" ca="1" si="72">SUM(H116,H227,H338,H449,H560,H671,H782,H893,H1004,H1115)</f>
        <v>172930688.93059123</v>
      </c>
      <c r="X137" s="403">
        <f t="shared" ref="X137:X143" ca="1" si="73">SUM(I116,I227,I338,I449,I560,I671,I782,I893,I1004,I1115)</f>
        <v>191019636.45381171</v>
      </c>
      <c r="Y137" s="403">
        <f t="shared" ref="Y137:Y143" ca="1" si="74">SUM(J116,J227,J338,J449,J560,J671,J782,J893,J1004,J1115)</f>
        <v>211644769.98609957</v>
      </c>
      <c r="Z137" s="403">
        <f t="shared" ref="Z137:Z143" ca="1" si="75">SUM(K116,K227,K338,K449,K560,K671,K782,K893,K1004,K1115)</f>
        <v>235235502.82378453</v>
      </c>
      <c r="AA137" s="403">
        <f t="shared" ref="AA137:AA143" ca="1" si="76">SUM(L116,L227,L338,L449,L560,L671,L782,L893,L1004,L1115)</f>
        <v>257825688.45196414</v>
      </c>
    </row>
    <row r="138" spans="1:27" ht="15.5">
      <c r="A138" s="417" t="s">
        <v>358</v>
      </c>
      <c r="B138" s="405"/>
      <c r="C138" s="133">
        <f>Revenue!Q41</f>
        <v>0</v>
      </c>
      <c r="D138" s="133">
        <f>Revenue!R41</f>
        <v>0</v>
      </c>
      <c r="E138" s="133">
        <f>Revenue!S41</f>
        <v>0</v>
      </c>
      <c r="F138" s="133">
        <f>Revenue!T41</f>
        <v>0</v>
      </c>
      <c r="G138" s="133">
        <f>Revenue!U41</f>
        <v>635</v>
      </c>
      <c r="H138" s="133">
        <f ca="1">Revenue!V41</f>
        <v>674.82605771415069</v>
      </c>
      <c r="I138" s="133">
        <f ca="1">Revenue!W41</f>
        <v>719.77277739400836</v>
      </c>
      <c r="J138" s="133">
        <f ca="1">Revenue!X41</f>
        <v>769.96231417560398</v>
      </c>
      <c r="K138" s="133">
        <f ca="1">Revenue!Y41</f>
        <v>826.1177650850824</v>
      </c>
      <c r="L138" s="133">
        <f ca="1">Revenue!Z41</f>
        <v>889.02565259272455</v>
      </c>
      <c r="N138" s="305"/>
      <c r="P138" s="462"/>
      <c r="Q138" s="405"/>
      <c r="R138" s="403"/>
      <c r="S138" s="403"/>
      <c r="T138" s="403"/>
      <c r="U138" s="403"/>
      <c r="V138" s="403"/>
      <c r="W138" s="403"/>
      <c r="X138" s="403"/>
      <c r="Y138" s="403"/>
      <c r="Z138" s="403"/>
      <c r="AA138" s="403"/>
    </row>
    <row r="139" spans="1:27">
      <c r="A139" s="417" t="s">
        <v>359</v>
      </c>
      <c r="B139" s="405"/>
      <c r="C139" s="403">
        <f>Revenue!C41</f>
        <v>0</v>
      </c>
      <c r="D139" s="403">
        <f>Revenue!D41</f>
        <v>0</v>
      </c>
      <c r="E139" s="403">
        <f>Revenue!E41</f>
        <v>0</v>
      </c>
      <c r="F139" s="403">
        <f>Revenue!F41</f>
        <v>0</v>
      </c>
      <c r="G139" s="403">
        <f>Revenue!G41</f>
        <v>9500</v>
      </c>
      <c r="H139" s="403">
        <f>Revenue!H41</f>
        <v>9690</v>
      </c>
      <c r="I139" s="403">
        <f>Revenue!I41</f>
        <v>9883.7999999999993</v>
      </c>
      <c r="J139" s="403">
        <f>Revenue!J41</f>
        <v>10081.475999999999</v>
      </c>
      <c r="K139" s="403">
        <f>Revenue!K41</f>
        <v>10283.105519999999</v>
      </c>
      <c r="L139" s="403">
        <f>Revenue!L41</f>
        <v>10488.7676304</v>
      </c>
      <c r="N139" s="41"/>
      <c r="P139" s="460" t="s">
        <v>164</v>
      </c>
      <c r="Q139" s="405"/>
      <c r="R139" s="403">
        <f t="shared" si="63"/>
        <v>2879969.0979981064</v>
      </c>
      <c r="S139" s="403">
        <f t="shared" si="68"/>
        <v>3901375.3386195917</v>
      </c>
      <c r="T139" s="403">
        <f t="shared" ca="1" si="69"/>
        <v>4634280.2168221436</v>
      </c>
      <c r="U139" s="403">
        <f t="shared" ca="1" si="70"/>
        <v>31484732.301777609</v>
      </c>
      <c r="V139" s="403">
        <f t="shared" ca="1" si="71"/>
        <v>39857072.149762295</v>
      </c>
      <c r="W139" s="403">
        <f t="shared" ca="1" si="72"/>
        <v>46733687.395399742</v>
      </c>
      <c r="X139" s="403">
        <f t="shared" ca="1" si="73"/>
        <v>51638342.71680025</v>
      </c>
      <c r="Y139" s="403">
        <f t="shared" ca="1" si="74"/>
        <v>57231860.085303038</v>
      </c>
      <c r="Z139" s="403">
        <f t="shared" ca="1" si="75"/>
        <v>63629675.541013718</v>
      </c>
      <c r="AA139" s="403">
        <f t="shared" ca="1" si="76"/>
        <v>69761757.808848441</v>
      </c>
    </row>
    <row r="140" spans="1:27">
      <c r="A140" s="418" t="s">
        <v>366</v>
      </c>
      <c r="B140" s="405"/>
      <c r="C140" s="403">
        <f t="shared" ref="C140:L140" si="77">C138*C139</f>
        <v>0</v>
      </c>
      <c r="D140" s="403">
        <f t="shared" si="77"/>
        <v>0</v>
      </c>
      <c r="E140" s="403">
        <f t="shared" si="77"/>
        <v>0</v>
      </c>
      <c r="F140" s="403">
        <f t="shared" si="77"/>
        <v>0</v>
      </c>
      <c r="G140" s="403">
        <f t="shared" si="77"/>
        <v>6032500</v>
      </c>
      <c r="H140" s="403">
        <f t="shared" ca="1" si="77"/>
        <v>6539064.4992501205</v>
      </c>
      <c r="I140" s="403">
        <f t="shared" ca="1" si="77"/>
        <v>7114090.177206899</v>
      </c>
      <c r="J140" s="403">
        <f t="shared" ca="1" si="77"/>
        <v>7762356.5912658107</v>
      </c>
      <c r="K140" s="403">
        <f t="shared" ca="1" si="77"/>
        <v>8495056.1503164731</v>
      </c>
      <c r="L140" s="403">
        <f t="shared" ca="1" si="77"/>
        <v>9324783.4875098057</v>
      </c>
      <c r="P140" s="460"/>
      <c r="Q140" s="405"/>
      <c r="R140" s="403"/>
      <c r="S140" s="403"/>
      <c r="T140" s="403"/>
      <c r="U140" s="403"/>
      <c r="V140" s="403"/>
      <c r="W140" s="403"/>
      <c r="X140" s="403"/>
      <c r="Y140" s="403"/>
      <c r="Z140" s="403"/>
      <c r="AA140" s="403"/>
    </row>
    <row r="141" spans="1:27" ht="15.5">
      <c r="A141" s="416" t="s">
        <v>362</v>
      </c>
      <c r="B141" s="405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P141" s="461" t="s">
        <v>97</v>
      </c>
      <c r="Q141" s="405"/>
      <c r="R141" s="403">
        <f t="shared" si="63"/>
        <v>6719927.8953289147</v>
      </c>
      <c r="S141" s="403">
        <f t="shared" si="68"/>
        <v>9103209.1234457139</v>
      </c>
      <c r="T141" s="403">
        <f t="shared" ca="1" si="69"/>
        <v>10813320.505918337</v>
      </c>
      <c r="U141" s="403">
        <f t="shared" ca="1" si="70"/>
        <v>84384045.137481093</v>
      </c>
      <c r="V141" s="403">
        <f t="shared" ca="1" si="71"/>
        <v>107472343.03902452</v>
      </c>
      <c r="W141" s="403">
        <f t="shared" ca="1" si="72"/>
        <v>126197001.53519148</v>
      </c>
      <c r="X141" s="403">
        <f t="shared" ca="1" si="73"/>
        <v>139381293.73701146</v>
      </c>
      <c r="Y141" s="403">
        <f t="shared" ca="1" si="74"/>
        <v>154412909.90079659</v>
      </c>
      <c r="Z141" s="403">
        <f t="shared" ca="1" si="75"/>
        <v>171605827.28277084</v>
      </c>
      <c r="AA141" s="403">
        <f t="shared" ca="1" si="76"/>
        <v>188063930.64311573</v>
      </c>
    </row>
    <row r="142" spans="1:27" ht="15.5">
      <c r="A142" s="417" t="s">
        <v>358</v>
      </c>
      <c r="B142" s="405"/>
      <c r="C142" s="133">
        <f>Revenue!Q42</f>
        <v>0</v>
      </c>
      <c r="D142" s="133">
        <f>Revenue!R42</f>
        <v>0</v>
      </c>
      <c r="E142" s="133">
        <f>Revenue!S42</f>
        <v>0</v>
      </c>
      <c r="F142" s="133">
        <f>Revenue!T42</f>
        <v>0</v>
      </c>
      <c r="G142" s="133">
        <f>Revenue!U42</f>
        <v>0</v>
      </c>
      <c r="H142" s="133">
        <f>Revenue!V42</f>
        <v>318</v>
      </c>
      <c r="I142" s="133">
        <f ca="1">Revenue!W42</f>
        <v>336.00793805688903</v>
      </c>
      <c r="J142" s="133">
        <f ca="1">Revenue!X42</f>
        <v>356.37471323746365</v>
      </c>
      <c r="K142" s="133">
        <f ca="1">Revenue!Y42</f>
        <v>379.06359726633508</v>
      </c>
      <c r="L142" s="133">
        <f ca="1">Revenue!Z42</f>
        <v>404.70846574934126</v>
      </c>
      <c r="N142" s="305"/>
      <c r="P142" s="462"/>
      <c r="Q142" s="405"/>
      <c r="R142" s="403"/>
      <c r="S142" s="403"/>
      <c r="T142" s="403"/>
      <c r="U142" s="403"/>
      <c r="V142" s="403"/>
      <c r="W142" s="403"/>
      <c r="X142" s="403"/>
      <c r="Y142" s="403"/>
      <c r="Z142" s="403"/>
      <c r="AA142" s="403"/>
    </row>
    <row r="143" spans="1:27" ht="16" thickBot="1">
      <c r="A143" s="417" t="s">
        <v>359</v>
      </c>
      <c r="B143" s="405"/>
      <c r="C143" s="403">
        <f>Revenue!C42</f>
        <v>0</v>
      </c>
      <c r="D143" s="403">
        <f>Revenue!D42</f>
        <v>0</v>
      </c>
      <c r="E143" s="403">
        <f>Revenue!E42</f>
        <v>0</v>
      </c>
      <c r="F143" s="403">
        <f>Revenue!F42</f>
        <v>0</v>
      </c>
      <c r="G143" s="403">
        <f>Revenue!G42</f>
        <v>0</v>
      </c>
      <c r="H143" s="403">
        <f>Revenue!H42</f>
        <v>10000</v>
      </c>
      <c r="I143" s="403">
        <f>Revenue!I42</f>
        <v>10200</v>
      </c>
      <c r="J143" s="403">
        <f>Revenue!J42</f>
        <v>10404</v>
      </c>
      <c r="K143" s="403">
        <f>Revenue!K42</f>
        <v>10612.08</v>
      </c>
      <c r="L143" s="403">
        <f>Revenue!L42</f>
        <v>10824.321599999999</v>
      </c>
      <c r="N143" s="41"/>
      <c r="P143" s="463" t="s">
        <v>165</v>
      </c>
      <c r="Q143" s="406"/>
      <c r="R143" s="407">
        <f>R141</f>
        <v>6719927.8953289147</v>
      </c>
      <c r="S143" s="407">
        <f>S141+R143</f>
        <v>15823137.018774629</v>
      </c>
      <c r="T143" s="407">
        <f t="shared" ref="T143:AA143" ca="1" si="78">T141+S143</f>
        <v>26636457.524692968</v>
      </c>
      <c r="U143" s="407">
        <f t="shared" ca="1" si="78"/>
        <v>111020502.66217406</v>
      </c>
      <c r="V143" s="407">
        <f t="shared" ca="1" si="78"/>
        <v>218492845.70119858</v>
      </c>
      <c r="W143" s="407">
        <f t="shared" ca="1" si="78"/>
        <v>344689847.23639005</v>
      </c>
      <c r="X143" s="407">
        <f t="shared" ca="1" si="78"/>
        <v>484071140.97340155</v>
      </c>
      <c r="Y143" s="407">
        <f t="shared" ca="1" si="78"/>
        <v>638484050.8741982</v>
      </c>
      <c r="Z143" s="407">
        <f t="shared" ca="1" si="78"/>
        <v>810089878.15696907</v>
      </c>
      <c r="AA143" s="407">
        <f t="shared" ca="1" si="78"/>
        <v>998153808.80008483</v>
      </c>
    </row>
    <row r="144" spans="1:27">
      <c r="A144" s="418" t="s">
        <v>366</v>
      </c>
      <c r="B144" s="405"/>
      <c r="C144" s="403">
        <f t="shared" ref="C144:L144" si="79">C142*C143</f>
        <v>0</v>
      </c>
      <c r="D144" s="403">
        <f t="shared" si="79"/>
        <v>0</v>
      </c>
      <c r="E144" s="403">
        <f t="shared" si="79"/>
        <v>0</v>
      </c>
      <c r="F144" s="403">
        <f t="shared" si="79"/>
        <v>0</v>
      </c>
      <c r="G144" s="403">
        <f t="shared" si="79"/>
        <v>0</v>
      </c>
      <c r="H144" s="403">
        <f t="shared" si="79"/>
        <v>3180000</v>
      </c>
      <c r="I144" s="403">
        <f t="shared" ca="1" si="79"/>
        <v>3427280.9681802681</v>
      </c>
      <c r="J144" s="403">
        <f t="shared" ca="1" si="79"/>
        <v>3707722.5165225719</v>
      </c>
      <c r="K144" s="403">
        <f t="shared" ca="1" si="79"/>
        <v>4022653.2192781293</v>
      </c>
      <c r="L144" s="403">
        <f t="shared" ca="1" si="79"/>
        <v>4380694.5875134543</v>
      </c>
    </row>
    <row r="145" spans="1:14" ht="15.5">
      <c r="A145" s="416" t="s">
        <v>361</v>
      </c>
      <c r="B145" s="405"/>
      <c r="C145" s="48"/>
      <c r="D145" s="48"/>
      <c r="E145" s="48"/>
      <c r="F145" s="48"/>
      <c r="G145" s="48"/>
      <c r="H145" s="48"/>
      <c r="I145" s="48"/>
      <c r="J145" s="48"/>
      <c r="K145" s="48"/>
      <c r="L145" s="48"/>
    </row>
    <row r="146" spans="1:14" ht="15.5">
      <c r="A146" s="417" t="s">
        <v>358</v>
      </c>
      <c r="B146" s="405"/>
      <c r="C146" s="133">
        <f>Revenue!Q43</f>
        <v>0</v>
      </c>
      <c r="D146" s="133">
        <f>Revenue!R43</f>
        <v>0</v>
      </c>
      <c r="E146" s="133">
        <f>Revenue!S43</f>
        <v>0</v>
      </c>
      <c r="F146" s="133">
        <f>Revenue!T43</f>
        <v>1900</v>
      </c>
      <c r="G146" s="133">
        <f ca="1">Revenue!U43</f>
        <v>1917.7566253411192</v>
      </c>
      <c r="H146" s="133">
        <f ca="1">Revenue!V43</f>
        <v>1942.8402820663841</v>
      </c>
      <c r="I146" s="133">
        <f ca="1">Revenue!W43</f>
        <v>1973.0356448999835</v>
      </c>
      <c r="J146" s="133">
        <f ca="1">Revenue!X43</f>
        <v>2011.570689100407</v>
      </c>
      <c r="K146" s="133">
        <f ca="1">Revenue!Y43</f>
        <v>2058.8664956615221</v>
      </c>
      <c r="L146" s="133">
        <f ca="1">Revenue!Z43</f>
        <v>2112.3993144654401</v>
      </c>
      <c r="N146" s="305"/>
    </row>
    <row r="147" spans="1:14">
      <c r="A147" s="417" t="s">
        <v>359</v>
      </c>
      <c r="B147" s="405"/>
      <c r="C147" s="403">
        <f>Revenue!C43</f>
        <v>0</v>
      </c>
      <c r="D147" s="403">
        <f>Revenue!D43</f>
        <v>0</v>
      </c>
      <c r="E147" s="403">
        <f>Revenue!E43</f>
        <v>0</v>
      </c>
      <c r="F147" s="403">
        <f>Revenue!F43</f>
        <v>1900</v>
      </c>
      <c r="G147" s="403">
        <f>Revenue!G43</f>
        <v>1938</v>
      </c>
      <c r="H147" s="403">
        <f>Revenue!H43</f>
        <v>1976.76</v>
      </c>
      <c r="I147" s="403">
        <f>Revenue!I43</f>
        <v>2016.2952</v>
      </c>
      <c r="J147" s="403">
        <f>Revenue!J43</f>
        <v>2056.6211039999998</v>
      </c>
      <c r="K147" s="403">
        <f>Revenue!K43</f>
        <v>2097.75352608</v>
      </c>
      <c r="L147" s="403">
        <f>Revenue!L43</f>
        <v>2139.7085966016002</v>
      </c>
      <c r="N147" s="41"/>
    </row>
    <row r="148" spans="1:14" ht="15.5">
      <c r="A148" s="418" t="s">
        <v>366</v>
      </c>
      <c r="B148" s="405"/>
      <c r="C148" s="403">
        <f t="shared" ref="C148:L148" si="80">C146*C147</f>
        <v>0</v>
      </c>
      <c r="D148" s="403">
        <f t="shared" si="80"/>
        <v>0</v>
      </c>
      <c r="E148" s="403">
        <f t="shared" si="80"/>
        <v>0</v>
      </c>
      <c r="F148" s="403">
        <f t="shared" si="80"/>
        <v>3610000</v>
      </c>
      <c r="G148" s="403">
        <f t="shared" ca="1" si="80"/>
        <v>3716612.3399110888</v>
      </c>
      <c r="H148" s="403">
        <f t="shared" ca="1" si="80"/>
        <v>3840528.9559775456</v>
      </c>
      <c r="I148" s="403">
        <f t="shared" ca="1" si="80"/>
        <v>3978222.3002407411</v>
      </c>
      <c r="J148" s="403">
        <f t="shared" ca="1" si="80"/>
        <v>4137038.7313917195</v>
      </c>
      <c r="K148" s="403">
        <f t="shared" ca="1" si="80"/>
        <v>4318994.451001931</v>
      </c>
      <c r="L148" s="403">
        <f t="shared" ca="1" si="80"/>
        <v>4519918.9726170292</v>
      </c>
      <c r="N148" s="305"/>
    </row>
    <row r="149" spans="1:14" ht="15.5">
      <c r="A149" s="416" t="s">
        <v>363</v>
      </c>
      <c r="B149" s="405"/>
      <c r="C149" s="48"/>
      <c r="D149" s="48"/>
      <c r="E149" s="48"/>
      <c r="F149" s="48"/>
      <c r="G149" s="48"/>
      <c r="H149" s="48"/>
      <c r="I149" s="48"/>
      <c r="J149" s="48"/>
      <c r="K149" s="48"/>
      <c r="L149" s="48"/>
    </row>
    <row r="150" spans="1:14">
      <c r="A150" s="417" t="s">
        <v>358</v>
      </c>
      <c r="B150" s="405"/>
      <c r="C150" s="133">
        <f>Revenue!Q44</f>
        <v>0</v>
      </c>
      <c r="D150" s="133">
        <f>Revenue!R44</f>
        <v>0</v>
      </c>
      <c r="E150" s="133">
        <f>Revenue!S44</f>
        <v>0</v>
      </c>
      <c r="F150" s="133">
        <f>Revenue!T44</f>
        <v>0</v>
      </c>
      <c r="G150" s="133">
        <f>Revenue!U44</f>
        <v>400</v>
      </c>
      <c r="H150" s="133">
        <f ca="1">Revenue!V44</f>
        <v>757.23187486750112</v>
      </c>
      <c r="I150" s="133">
        <f ca="1">Revenue!W44</f>
        <v>1072.580796182584</v>
      </c>
      <c r="J150" s="133">
        <f ca="1">Revenue!X44</f>
        <v>1351.6834367837196</v>
      </c>
      <c r="K150" s="133">
        <f ca="1">Revenue!Y44</f>
        <v>1598.8861759535744</v>
      </c>
      <c r="L150" s="133">
        <f ca="1">Revenue!Z44</f>
        <v>1817.4202797279663</v>
      </c>
    </row>
    <row r="151" spans="1:14">
      <c r="A151" s="417" t="s">
        <v>359</v>
      </c>
      <c r="B151" s="405"/>
      <c r="C151" s="403">
        <f>Revenue!C44</f>
        <v>0</v>
      </c>
      <c r="D151" s="403">
        <f>Revenue!D44</f>
        <v>0</v>
      </c>
      <c r="E151" s="403">
        <f>Revenue!E44</f>
        <v>0</v>
      </c>
      <c r="F151" s="403">
        <f>Revenue!F44</f>
        <v>0</v>
      </c>
      <c r="G151" s="403">
        <f>Revenue!G44</f>
        <v>500</v>
      </c>
      <c r="H151" s="403">
        <f>Revenue!H44</f>
        <v>500</v>
      </c>
      <c r="I151" s="403">
        <f>Revenue!I44</f>
        <v>500</v>
      </c>
      <c r="J151" s="403">
        <f>Revenue!J44</f>
        <v>500</v>
      </c>
      <c r="K151" s="403">
        <f>Revenue!K44</f>
        <v>500</v>
      </c>
      <c r="L151" s="403">
        <f>Revenue!L44</f>
        <v>500</v>
      </c>
    </row>
    <row r="152" spans="1:14">
      <c r="A152" s="418" t="s">
        <v>366</v>
      </c>
      <c r="B152" s="405"/>
      <c r="C152" s="403">
        <f t="shared" ref="C152:L152" si="81">C150*C151</f>
        <v>0</v>
      </c>
      <c r="D152" s="403">
        <f t="shared" si="81"/>
        <v>0</v>
      </c>
      <c r="E152" s="403">
        <f t="shared" si="81"/>
        <v>0</v>
      </c>
      <c r="F152" s="403">
        <f t="shared" si="81"/>
        <v>0</v>
      </c>
      <c r="G152" s="403">
        <f t="shared" si="81"/>
        <v>200000</v>
      </c>
      <c r="H152" s="403">
        <f t="shared" ca="1" si="81"/>
        <v>378615.93743375054</v>
      </c>
      <c r="I152" s="403">
        <f t="shared" ca="1" si="81"/>
        <v>536290.39809129201</v>
      </c>
      <c r="J152" s="403">
        <f t="shared" ca="1" si="81"/>
        <v>675841.71839185979</v>
      </c>
      <c r="K152" s="403">
        <f t="shared" ca="1" si="81"/>
        <v>799443.08797678724</v>
      </c>
      <c r="L152" s="403">
        <f t="shared" ca="1" si="81"/>
        <v>908710.13986398315</v>
      </c>
    </row>
    <row r="153" spans="1:14" ht="15.5">
      <c r="A153" s="416" t="s">
        <v>364</v>
      </c>
      <c r="B153" s="405"/>
      <c r="C153" s="48"/>
      <c r="D153" s="48"/>
      <c r="E153" s="48"/>
      <c r="F153" s="48"/>
      <c r="G153" s="48"/>
      <c r="H153" s="48"/>
      <c r="I153" s="48"/>
      <c r="J153" s="48"/>
      <c r="K153" s="48"/>
      <c r="L153" s="48"/>
    </row>
    <row r="154" spans="1:14">
      <c r="A154" s="417" t="s">
        <v>358</v>
      </c>
      <c r="B154" s="405"/>
      <c r="C154" s="133">
        <f>Revenue!Q45</f>
        <v>0</v>
      </c>
      <c r="D154" s="133">
        <f>Revenue!R45</f>
        <v>0</v>
      </c>
      <c r="E154" s="133">
        <f>Revenue!S45</f>
        <v>0</v>
      </c>
      <c r="F154" s="133">
        <f>Revenue!T45</f>
        <v>0</v>
      </c>
      <c r="G154" s="133">
        <f>Revenue!U45</f>
        <v>300</v>
      </c>
      <c r="H154" s="133">
        <f ca="1">Revenue!V45</f>
        <v>303.83333578567766</v>
      </c>
      <c r="I154" s="133">
        <f ca="1">Revenue!W45</f>
        <v>308.83754968245165</v>
      </c>
      <c r="J154" s="133">
        <f ca="1">Revenue!X45</f>
        <v>315.09698912168767</v>
      </c>
      <c r="K154" s="133">
        <f ca="1">Revenue!Y45</f>
        <v>322.6242129556133</v>
      </c>
      <c r="L154" s="133">
        <f ca="1">Revenue!Z45</f>
        <v>331.45916799043778</v>
      </c>
    </row>
    <row r="155" spans="1:14">
      <c r="A155" s="417" t="s">
        <v>359</v>
      </c>
      <c r="B155" s="405"/>
      <c r="C155" s="403">
        <f>Revenue!C45</f>
        <v>0</v>
      </c>
      <c r="D155" s="403">
        <f>Revenue!D45</f>
        <v>0</v>
      </c>
      <c r="E155" s="403">
        <f>Revenue!E45</f>
        <v>0</v>
      </c>
      <c r="F155" s="403">
        <f>Revenue!F45</f>
        <v>0</v>
      </c>
      <c r="G155" s="403">
        <f>Revenue!G45</f>
        <v>500</v>
      </c>
      <c r="H155" s="403">
        <f>Revenue!H45</f>
        <v>510</v>
      </c>
      <c r="I155" s="403">
        <f>Revenue!I45</f>
        <v>520.20000000000005</v>
      </c>
      <c r="J155" s="403">
        <f>Revenue!J45</f>
        <v>530.60400000000004</v>
      </c>
      <c r="K155" s="403">
        <f>Revenue!K45</f>
        <v>541.21608000000003</v>
      </c>
      <c r="L155" s="403">
        <f>Revenue!L45</f>
        <v>552.0404016</v>
      </c>
    </row>
    <row r="156" spans="1:14">
      <c r="A156" s="418" t="s">
        <v>366</v>
      </c>
      <c r="B156" s="405"/>
      <c r="C156" s="403">
        <f t="shared" ref="C156:L156" si="82">C154*C155</f>
        <v>0</v>
      </c>
      <c r="D156" s="403">
        <f t="shared" si="82"/>
        <v>0</v>
      </c>
      <c r="E156" s="403">
        <f t="shared" si="82"/>
        <v>0</v>
      </c>
      <c r="F156" s="403">
        <f t="shared" si="82"/>
        <v>0</v>
      </c>
      <c r="G156" s="403">
        <f t="shared" si="82"/>
        <v>150000</v>
      </c>
      <c r="H156" s="403">
        <f t="shared" ca="1" si="82"/>
        <v>154955.00125069561</v>
      </c>
      <c r="I156" s="403">
        <f t="shared" ca="1" si="82"/>
        <v>160657.29334481136</v>
      </c>
      <c r="J156" s="403">
        <f t="shared" ca="1" si="82"/>
        <v>167191.72281592397</v>
      </c>
      <c r="K156" s="403">
        <f t="shared" ca="1" si="82"/>
        <v>174609.41184892226</v>
      </c>
      <c r="L156" s="403">
        <f t="shared" ca="1" si="82"/>
        <v>182978.85221144313</v>
      </c>
    </row>
    <row r="157" spans="1:14" ht="15.5">
      <c r="A157" s="416" t="s">
        <v>365</v>
      </c>
      <c r="B157" s="405"/>
      <c r="C157" s="48"/>
      <c r="D157" s="48"/>
      <c r="E157" s="48"/>
      <c r="F157" s="48"/>
      <c r="G157" s="48"/>
      <c r="H157" s="48"/>
      <c r="I157" s="48"/>
      <c r="J157" s="48"/>
      <c r="K157" s="48"/>
      <c r="L157" s="48"/>
    </row>
    <row r="158" spans="1:14">
      <c r="A158" s="417" t="s">
        <v>358</v>
      </c>
      <c r="B158" s="405"/>
      <c r="C158" s="133">
        <f>Revenue!Q46</f>
        <v>0</v>
      </c>
      <c r="D158" s="133">
        <f>Revenue!R46</f>
        <v>0</v>
      </c>
      <c r="E158" s="133">
        <f>Revenue!S46</f>
        <v>0</v>
      </c>
      <c r="F158" s="133">
        <f>Revenue!T46</f>
        <v>0</v>
      </c>
      <c r="G158" s="133">
        <f>Revenue!U46</f>
        <v>1500</v>
      </c>
      <c r="H158" s="133">
        <f ca="1">Revenue!V46</f>
        <v>1519.2837869772859</v>
      </c>
      <c r="I158" s="133">
        <f ca="1">Revenue!W46</f>
        <v>1542.8120673141811</v>
      </c>
      <c r="J158" s="133">
        <f ca="1">Revenue!X46</f>
        <v>1572.3232621246655</v>
      </c>
      <c r="K158" s="133">
        <f ca="1">Revenue!Y46</f>
        <v>1606.4348054965112</v>
      </c>
      <c r="L158" s="133">
        <f ca="1">Revenue!Z46</f>
        <v>1645.5641581595335</v>
      </c>
    </row>
    <row r="159" spans="1:14">
      <c r="A159" s="417" t="s">
        <v>359</v>
      </c>
      <c r="B159" s="405"/>
      <c r="C159" s="403">
        <f>Revenue!C46</f>
        <v>0</v>
      </c>
      <c r="D159" s="403">
        <f>Revenue!D46</f>
        <v>0</v>
      </c>
      <c r="E159" s="403">
        <f>Revenue!E46</f>
        <v>0</v>
      </c>
      <c r="F159" s="403">
        <f>Revenue!F46</f>
        <v>0</v>
      </c>
      <c r="G159" s="403">
        <f>Revenue!G46</f>
        <v>300</v>
      </c>
      <c r="H159" s="403">
        <f>Revenue!H46</f>
        <v>306</v>
      </c>
      <c r="I159" s="403">
        <f>Revenue!I46</f>
        <v>312.12</v>
      </c>
      <c r="J159" s="403">
        <f>Revenue!J46</f>
        <v>318.36240000000004</v>
      </c>
      <c r="K159" s="403">
        <f>Revenue!K46</f>
        <v>324.72964800000005</v>
      </c>
      <c r="L159" s="403">
        <f>Revenue!L46</f>
        <v>331.22424096000009</v>
      </c>
    </row>
    <row r="160" spans="1:14">
      <c r="A160" s="417" t="s">
        <v>366</v>
      </c>
      <c r="B160" s="405"/>
      <c r="C160" s="403">
        <f t="shared" ref="C160:L160" si="83">C158*C159</f>
        <v>0</v>
      </c>
      <c r="D160" s="403">
        <f t="shared" si="83"/>
        <v>0</v>
      </c>
      <c r="E160" s="403">
        <f t="shared" si="83"/>
        <v>0</v>
      </c>
      <c r="F160" s="403">
        <f t="shared" si="83"/>
        <v>0</v>
      </c>
      <c r="G160" s="403">
        <f t="shared" si="83"/>
        <v>450000</v>
      </c>
      <c r="H160" s="403">
        <f t="shared" ca="1" si="83"/>
        <v>464900.8388150495</v>
      </c>
      <c r="I160" s="403">
        <f t="shared" ca="1" si="83"/>
        <v>481542.50245010224</v>
      </c>
      <c r="J160" s="403">
        <f t="shared" ca="1" si="83"/>
        <v>500568.60730583768</v>
      </c>
      <c r="K160" s="403">
        <f t="shared" ca="1" si="83"/>
        <v>521657.00892383064</v>
      </c>
      <c r="L160" s="403">
        <f t="shared" ca="1" si="83"/>
        <v>545050.739237373</v>
      </c>
    </row>
    <row r="161" spans="1:12">
      <c r="A161" s="418"/>
      <c r="B161" s="405"/>
      <c r="C161" s="48"/>
      <c r="D161" s="48"/>
      <c r="E161" s="48"/>
      <c r="F161" s="48"/>
      <c r="G161" s="48"/>
      <c r="H161" s="48"/>
      <c r="I161" s="48"/>
      <c r="J161" s="48"/>
      <c r="K161" s="48"/>
      <c r="L161" s="138"/>
    </row>
    <row r="162" spans="1:12" ht="15.5">
      <c r="A162" s="409" t="s">
        <v>367</v>
      </c>
      <c r="B162" s="405"/>
      <c r="C162" s="403">
        <f>SUM(C160,C156,C152,C148,C144,C140,C136,C132,C128)</f>
        <v>0</v>
      </c>
      <c r="D162" s="403">
        <f t="shared" ref="D162:L162" si="84">SUM(D160,D156,D152,D148,D144,D140,D136,D132,D128)</f>
        <v>0</v>
      </c>
      <c r="E162" s="403">
        <f t="shared" si="84"/>
        <v>0</v>
      </c>
      <c r="F162" s="403">
        <f t="shared" si="84"/>
        <v>24660000</v>
      </c>
      <c r="G162" s="403">
        <f t="shared" ca="1" si="84"/>
        <v>33104574.879947938</v>
      </c>
      <c r="H162" s="403">
        <f t="shared" ca="1" si="84"/>
        <v>38807336.933980659</v>
      </c>
      <c r="I162" s="403">
        <f t="shared" ca="1" si="84"/>
        <v>41843184.49683319</v>
      </c>
      <c r="J162" s="403">
        <f t="shared" ca="1" si="84"/>
        <v>45244471.076517396</v>
      </c>
      <c r="K162" s="403">
        <f t="shared" ca="1" si="84"/>
        <v>49052491.03218779</v>
      </c>
      <c r="L162" s="403">
        <f t="shared" ca="1" si="84"/>
        <v>53326389.596611001</v>
      </c>
    </row>
    <row r="163" spans="1:12">
      <c r="A163" s="408"/>
      <c r="B163" s="405"/>
      <c r="C163" s="48"/>
      <c r="D163" s="48"/>
      <c r="E163" s="48"/>
      <c r="F163" s="48"/>
      <c r="G163" s="48"/>
      <c r="H163" s="48"/>
      <c r="I163" s="48"/>
      <c r="J163" s="48"/>
      <c r="K163" s="48"/>
      <c r="L163" s="48"/>
    </row>
    <row r="164" spans="1:12" ht="18.5">
      <c r="A164" s="411" t="s">
        <v>152</v>
      </c>
      <c r="B164" s="405"/>
      <c r="C164" s="48"/>
      <c r="D164" s="48"/>
      <c r="E164" s="48"/>
      <c r="F164" s="48"/>
      <c r="G164" s="48"/>
      <c r="H164" s="48"/>
      <c r="I164" s="48"/>
      <c r="J164" s="48"/>
      <c r="K164" s="48"/>
      <c r="L164" s="48"/>
    </row>
    <row r="165" spans="1:12" ht="15.5">
      <c r="A165" s="409" t="s">
        <v>296</v>
      </c>
      <c r="B165" s="405"/>
      <c r="C165" s="403">
        <f>Assumptions!$Q$45*(C128+C132)</f>
        <v>0</v>
      </c>
      <c r="D165" s="403">
        <f>Assumptions!$Q$45*(D128+D132)</f>
        <v>0</v>
      </c>
      <c r="E165" s="403">
        <f>Assumptions!$Q$45*(E128+E132)</f>
        <v>0</v>
      </c>
      <c r="F165" s="403">
        <f>Assumptions!$Q$45*(F128+F132)</f>
        <v>5145000</v>
      </c>
      <c r="G165" s="403">
        <f ca="1">Assumptions!$Q$45*(G128+G132)</f>
        <v>5488739.9361355426</v>
      </c>
      <c r="H165" s="403">
        <f ca="1">Assumptions!$Q$45*(H128+H132)</f>
        <v>5874326.8020571666</v>
      </c>
      <c r="I165" s="403">
        <f ca="1">Assumptions!$Q$45*(I128+I132)</f>
        <v>6304479.057582642</v>
      </c>
      <c r="J165" s="403">
        <f ca="1">Assumptions!$Q$45*(J128+J132)</f>
        <v>6790935.3006855845</v>
      </c>
      <c r="K165" s="403">
        <f ca="1">Assumptions!$Q$45*(K128+K132)</f>
        <v>7339229.3859153464</v>
      </c>
      <c r="L165" s="403">
        <f ca="1">Assumptions!$Q$45*(L128+L132)</f>
        <v>7958660.6040654136</v>
      </c>
    </row>
    <row r="166" spans="1:12" ht="15.5">
      <c r="A166" s="409" t="s">
        <v>297</v>
      </c>
      <c r="B166" s="405"/>
      <c r="C166" s="403">
        <f>Assumptions!$Q$47*C136</f>
        <v>0</v>
      </c>
      <c r="D166" s="403">
        <f>Assumptions!$Q$47*D136</f>
        <v>0</v>
      </c>
      <c r="E166" s="403">
        <f>Assumptions!$Q$47*E136</f>
        <v>0</v>
      </c>
      <c r="F166" s="403">
        <f>Assumptions!$Q$47*F136</f>
        <v>2222500</v>
      </c>
      <c r="G166" s="403">
        <f ca="1">Assumptions!$Q$47*G136</f>
        <v>2405671.9528773548</v>
      </c>
      <c r="H166" s="403">
        <f ca="1">Assumptions!$Q$47*H136</f>
        <v>2612918.2933815573</v>
      </c>
      <c r="I166" s="403">
        <f ca="1">Assumptions!$Q$47*I136</f>
        <v>2846306.2424790324</v>
      </c>
      <c r="J166" s="403">
        <f ca="1">Assumptions!$Q$47*J136</f>
        <v>3111877.615402699</v>
      </c>
      <c r="K166" s="403">
        <f ca="1">Assumptions!$Q$47*K136</f>
        <v>3412797.8100792561</v>
      </c>
      <c r="L166" s="403">
        <f ca="1">Assumptions!$Q$47*L136</f>
        <v>3753827.8821148551</v>
      </c>
    </row>
    <row r="167" spans="1:12" ht="15.5">
      <c r="A167" s="409" t="s">
        <v>298</v>
      </c>
      <c r="B167" s="405"/>
      <c r="C167" s="403">
        <f>Assumptions!$Q$48*C140</f>
        <v>0</v>
      </c>
      <c r="D167" s="403">
        <f>Assumptions!$Q$48*D140</f>
        <v>0</v>
      </c>
      <c r="E167" s="403">
        <f>Assumptions!$Q$48*E140</f>
        <v>0</v>
      </c>
      <c r="F167" s="403">
        <f>Assumptions!$Q$48*F140</f>
        <v>0</v>
      </c>
      <c r="G167" s="403">
        <f>Assumptions!$Q$48*G140</f>
        <v>2413000</v>
      </c>
      <c r="H167" s="403">
        <f ca="1">Assumptions!$Q$48*H140</f>
        <v>2615625.7997000483</v>
      </c>
      <c r="I167" s="403">
        <f ca="1">Assumptions!$Q$48*I140</f>
        <v>2845636.07088276</v>
      </c>
      <c r="J167" s="403">
        <f ca="1">Assumptions!$Q$48*J140</f>
        <v>3104942.6365063246</v>
      </c>
      <c r="K167" s="403">
        <f ca="1">Assumptions!$Q$48*K140</f>
        <v>3398022.4601265895</v>
      </c>
      <c r="L167" s="403">
        <f ca="1">Assumptions!$Q$48*L140</f>
        <v>3729913.3950039223</v>
      </c>
    </row>
    <row r="168" spans="1:12" ht="15.5">
      <c r="A168" s="409" t="s">
        <v>299</v>
      </c>
      <c r="B168" s="405"/>
      <c r="C168" s="403">
        <f>Assumptions!$Q$49*C144</f>
        <v>0</v>
      </c>
      <c r="D168" s="403">
        <f>Assumptions!$Q$49*D144</f>
        <v>0</v>
      </c>
      <c r="E168" s="403">
        <f>Assumptions!$Q$49*E144</f>
        <v>0</v>
      </c>
      <c r="F168" s="403">
        <f>Assumptions!$Q$49*F144</f>
        <v>0</v>
      </c>
      <c r="G168" s="403">
        <f>Assumptions!$Q$49*G144</f>
        <v>0</v>
      </c>
      <c r="H168" s="403">
        <f>Assumptions!$Q$49*H144</f>
        <v>1272000</v>
      </c>
      <c r="I168" s="403">
        <f ca="1">Assumptions!$Q$49*I144</f>
        <v>1370912.3872721074</v>
      </c>
      <c r="J168" s="403">
        <f ca="1">Assumptions!$Q$49*J144</f>
        <v>1483089.0066090289</v>
      </c>
      <c r="K168" s="403">
        <f ca="1">Assumptions!$Q$49*K144</f>
        <v>1609061.2877112518</v>
      </c>
      <c r="L168" s="403">
        <f ca="1">Assumptions!$Q$49*L144</f>
        <v>1752277.8350053818</v>
      </c>
    </row>
    <row r="169" spans="1:12" ht="15.5">
      <c r="A169" s="409" t="s">
        <v>368</v>
      </c>
      <c r="B169" s="405"/>
      <c r="C169" s="403">
        <f>Assumptions!$Q$50*C148</f>
        <v>0</v>
      </c>
      <c r="D169" s="403">
        <f>Assumptions!$Q$50*D148</f>
        <v>0</v>
      </c>
      <c r="E169" s="403">
        <f>Assumptions!$Q$50*E148</f>
        <v>0</v>
      </c>
      <c r="F169" s="403">
        <f>Assumptions!$Q$50*F148</f>
        <v>1263500</v>
      </c>
      <c r="G169" s="403">
        <f ca="1">Assumptions!$Q$50*G148</f>
        <v>1300814.3189688809</v>
      </c>
      <c r="H169" s="403">
        <f ca="1">Assumptions!$Q$50*H148</f>
        <v>1344185.1345921408</v>
      </c>
      <c r="I169" s="403">
        <f ca="1">Assumptions!$Q$50*I148</f>
        <v>1392377.8050842592</v>
      </c>
      <c r="J169" s="403">
        <f ca="1">Assumptions!$Q$50*J148</f>
        <v>1447963.5559871017</v>
      </c>
      <c r="K169" s="403">
        <f ca="1">Assumptions!$Q$50*K148</f>
        <v>1511648.0578506757</v>
      </c>
      <c r="L169" s="403">
        <f ca="1">Assumptions!$Q$50*L148</f>
        <v>1581971.6404159602</v>
      </c>
    </row>
    <row r="170" spans="1:12" ht="15.5">
      <c r="A170" s="409" t="s">
        <v>369</v>
      </c>
      <c r="B170" s="405"/>
      <c r="C170" s="403">
        <f>Assumptions!$Q$51*C152</f>
        <v>0</v>
      </c>
      <c r="D170" s="403">
        <f>Assumptions!$Q$51*D152</f>
        <v>0</v>
      </c>
      <c r="E170" s="403">
        <f>Assumptions!$Q$51*E152</f>
        <v>0</v>
      </c>
      <c r="F170" s="403">
        <f>Assumptions!$Q$51*F152</f>
        <v>0</v>
      </c>
      <c r="G170" s="403">
        <f>Assumptions!$Q$51*G152</f>
        <v>70000</v>
      </c>
      <c r="H170" s="403">
        <f ca="1">Assumptions!$Q$51*H152</f>
        <v>132515.57810181269</v>
      </c>
      <c r="I170" s="403">
        <f ca="1">Assumptions!$Q$51*I152</f>
        <v>187701.6393319522</v>
      </c>
      <c r="J170" s="403">
        <f ca="1">Assumptions!$Q$51*J152</f>
        <v>236544.60143715091</v>
      </c>
      <c r="K170" s="403">
        <f ca="1">Assumptions!$Q$51*K152</f>
        <v>279805.08079187549</v>
      </c>
      <c r="L170" s="403">
        <f ca="1">Assumptions!$Q$51*L152</f>
        <v>318048.54895239411</v>
      </c>
    </row>
    <row r="171" spans="1:12" ht="15.5">
      <c r="A171" s="409" t="s">
        <v>370</v>
      </c>
      <c r="B171" s="405"/>
      <c r="C171" s="403">
        <f>Assumptions!$Q$52*C156</f>
        <v>0</v>
      </c>
      <c r="D171" s="403">
        <f>Assumptions!$Q$52*D156</f>
        <v>0</v>
      </c>
      <c r="E171" s="403">
        <f>Assumptions!$Q$52*E156</f>
        <v>0</v>
      </c>
      <c r="F171" s="403">
        <f>Assumptions!$Q$52*F156</f>
        <v>0</v>
      </c>
      <c r="G171" s="403">
        <f>Assumptions!$Q$52*G156</f>
        <v>52500</v>
      </c>
      <c r="H171" s="403">
        <f ca="1">Assumptions!$Q$52*H156</f>
        <v>54234.25043774346</v>
      </c>
      <c r="I171" s="403">
        <f ca="1">Assumptions!$Q$52*I156</f>
        <v>56230.052670683974</v>
      </c>
      <c r="J171" s="403">
        <f ca="1">Assumptions!$Q$52*J156</f>
        <v>58517.102985573387</v>
      </c>
      <c r="K171" s="403">
        <f ca="1">Assumptions!$Q$52*K156</f>
        <v>61113.29414712279</v>
      </c>
      <c r="L171" s="403">
        <f ca="1">Assumptions!$Q$52*L156</f>
        <v>64042.598274005089</v>
      </c>
    </row>
    <row r="172" spans="1:12" ht="15.5">
      <c r="A172" s="409" t="s">
        <v>371</v>
      </c>
      <c r="B172" s="405"/>
      <c r="C172" s="403">
        <f>Assumptions!$Q$53*C160</f>
        <v>0</v>
      </c>
      <c r="D172" s="403">
        <f>Assumptions!$Q$53*D160</f>
        <v>0</v>
      </c>
      <c r="E172" s="403">
        <f>Assumptions!$Q$53*E160</f>
        <v>0</v>
      </c>
      <c r="F172" s="403">
        <f>Assumptions!$Q$53*F160</f>
        <v>0</v>
      </c>
      <c r="G172" s="403">
        <f>Assumptions!$Q$53*G160</f>
        <v>157500</v>
      </c>
      <c r="H172" s="403">
        <f ca="1">Assumptions!$Q$53*H160</f>
        <v>162715.29358526733</v>
      </c>
      <c r="I172" s="403">
        <f ca="1">Assumptions!$Q$53*I160</f>
        <v>168539.87585753578</v>
      </c>
      <c r="J172" s="403">
        <f ca="1">Assumptions!$Q$53*J160</f>
        <v>175199.01255704317</v>
      </c>
      <c r="K172" s="403">
        <f ca="1">Assumptions!$Q$53*K160</f>
        <v>182579.9531233407</v>
      </c>
      <c r="L172" s="403">
        <f ca="1">Assumptions!$Q$53*L160</f>
        <v>190767.75873308053</v>
      </c>
    </row>
    <row r="173" spans="1:12" ht="15.5">
      <c r="A173" s="409" t="s">
        <v>354</v>
      </c>
      <c r="B173" s="405"/>
      <c r="C173" s="403">
        <f t="shared" ref="C173:L173" si="85">SUM(C165:C172)</f>
        <v>0</v>
      </c>
      <c r="D173" s="403">
        <f t="shared" si="85"/>
        <v>0</v>
      </c>
      <c r="E173" s="403">
        <f t="shared" si="85"/>
        <v>0</v>
      </c>
      <c r="F173" s="403">
        <f t="shared" si="85"/>
        <v>8631000</v>
      </c>
      <c r="G173" s="403">
        <f t="shared" ca="1" si="85"/>
        <v>11888226.207981778</v>
      </c>
      <c r="H173" s="403">
        <f t="shared" ca="1" si="85"/>
        <v>14068521.151855735</v>
      </c>
      <c r="I173" s="403">
        <f t="shared" ca="1" si="85"/>
        <v>15172183.131160971</v>
      </c>
      <c r="J173" s="403">
        <f t="shared" ca="1" si="85"/>
        <v>16409068.832170505</v>
      </c>
      <c r="K173" s="403">
        <f t="shared" ca="1" si="85"/>
        <v>17794257.32974546</v>
      </c>
      <c r="L173" s="403">
        <f t="shared" ca="1" si="85"/>
        <v>19349510.262565006</v>
      </c>
    </row>
    <row r="174" spans="1:12">
      <c r="A174" s="408"/>
      <c r="B174" s="405"/>
      <c r="C174" s="403"/>
      <c r="D174" s="403"/>
      <c r="E174" s="403"/>
      <c r="F174" s="403"/>
      <c r="G174" s="403"/>
      <c r="H174" s="403"/>
      <c r="I174" s="403"/>
      <c r="J174" s="403"/>
      <c r="K174" s="403"/>
      <c r="L174" s="403"/>
    </row>
    <row r="175" spans="1:12" ht="15.5">
      <c r="A175" s="409" t="s">
        <v>154</v>
      </c>
      <c r="B175" s="405"/>
      <c r="C175" s="403">
        <f>C162-C173</f>
        <v>0</v>
      </c>
      <c r="D175" s="403">
        <f t="shared" ref="D175:L175" si="86">D162-D173</f>
        <v>0</v>
      </c>
      <c r="E175" s="403">
        <f t="shared" si="86"/>
        <v>0</v>
      </c>
      <c r="F175" s="403">
        <f t="shared" si="86"/>
        <v>16029000</v>
      </c>
      <c r="G175" s="403">
        <f t="shared" ca="1" si="86"/>
        <v>21216348.671966158</v>
      </c>
      <c r="H175" s="403">
        <f t="shared" ca="1" si="86"/>
        <v>24738815.782124922</v>
      </c>
      <c r="I175" s="403">
        <f t="shared" ca="1" si="86"/>
        <v>26671001.36567222</v>
      </c>
      <c r="J175" s="403">
        <f t="shared" ca="1" si="86"/>
        <v>28835402.244346891</v>
      </c>
      <c r="K175" s="403">
        <f t="shared" ca="1" si="86"/>
        <v>31258233.702442329</v>
      </c>
      <c r="L175" s="403">
        <f t="shared" ca="1" si="86"/>
        <v>33976879.334045991</v>
      </c>
    </row>
    <row r="176" spans="1:12">
      <c r="A176" s="408"/>
      <c r="B176" s="405"/>
      <c r="C176" s="403"/>
      <c r="D176" s="403"/>
      <c r="E176" s="403"/>
      <c r="F176" s="403"/>
      <c r="G176" s="403"/>
      <c r="H176" s="403"/>
      <c r="I176" s="403"/>
      <c r="J176" s="403"/>
      <c r="K176" s="403"/>
      <c r="L176" s="403"/>
    </row>
    <row r="177" spans="1:12" ht="18.5">
      <c r="A177" s="411" t="s">
        <v>96</v>
      </c>
      <c r="B177" s="405"/>
      <c r="C177" s="403"/>
      <c r="D177" s="403"/>
      <c r="E177" s="403"/>
      <c r="F177" s="403"/>
      <c r="G177" s="403"/>
      <c r="H177" s="403"/>
      <c r="I177" s="403"/>
      <c r="J177" s="403"/>
      <c r="K177" s="403"/>
      <c r="L177" s="403"/>
    </row>
    <row r="178" spans="1:12">
      <c r="A178" s="408"/>
      <c r="B178" s="405"/>
      <c r="C178" s="403"/>
      <c r="D178" s="403"/>
      <c r="E178" s="403"/>
      <c r="F178" s="403"/>
      <c r="G178" s="403"/>
      <c r="H178" s="403"/>
      <c r="I178" s="403"/>
      <c r="J178" s="403"/>
      <c r="K178" s="403"/>
      <c r="L178" s="403"/>
    </row>
    <row r="179" spans="1:12" ht="15.5">
      <c r="A179" s="409" t="s">
        <v>28</v>
      </c>
      <c r="B179" s="405"/>
      <c r="C179" s="403"/>
      <c r="D179" s="403"/>
      <c r="E179" s="403"/>
      <c r="F179" s="403"/>
      <c r="G179" s="403"/>
      <c r="H179" s="403"/>
      <c r="I179" s="403"/>
      <c r="J179" s="403"/>
      <c r="K179" s="403"/>
      <c r="L179" s="403"/>
    </row>
    <row r="180" spans="1:12" ht="15.5">
      <c r="A180" s="409"/>
      <c r="B180" s="405"/>
      <c r="C180" s="403"/>
      <c r="D180" s="403"/>
      <c r="E180" s="403"/>
      <c r="F180" s="403"/>
      <c r="G180" s="403"/>
      <c r="H180" s="403"/>
      <c r="I180" s="403"/>
      <c r="J180" s="403"/>
      <c r="K180" s="403"/>
      <c r="L180" s="403"/>
    </row>
    <row r="181" spans="1:12">
      <c r="A181" s="408" t="s">
        <v>37</v>
      </c>
      <c r="B181" s="405"/>
      <c r="C181" s="403">
        <f>IF(C$5 = Assumptions!$G$45, Assumptions!$AP15, 0)</f>
        <v>0</v>
      </c>
      <c r="D181" s="403">
        <f>IF(D$5 = Assumptions!$G$45, Assumptions!$AP15, 0)</f>
        <v>0</v>
      </c>
      <c r="E181" s="403">
        <f>IF(E$5 = Assumptions!$G$45, Assumptions!$AP15, 0)</f>
        <v>0</v>
      </c>
      <c r="F181" s="403">
        <f>IF(F$5 = Assumptions!$G$45, Assumptions!$AP15, 0)</f>
        <v>5000</v>
      </c>
      <c r="G181" s="403">
        <f>IF(G$5 = Assumptions!$G$45, Assumptions!$AP15, 0)</f>
        <v>0</v>
      </c>
      <c r="H181" s="403">
        <f>IF(H$5 = Assumptions!$G$45, Assumptions!$AP15, 0)</f>
        <v>0</v>
      </c>
      <c r="I181" s="403">
        <f>IF(I$5 = Assumptions!$G$45, Assumptions!$AP15, 0)</f>
        <v>0</v>
      </c>
      <c r="J181" s="403">
        <f>IF(J$5 = Assumptions!$G$45, Assumptions!$AP15, 0)</f>
        <v>0</v>
      </c>
      <c r="K181" s="403">
        <f>IF(K$5 = Assumptions!$G$45, Assumptions!$AP15, 0)</f>
        <v>0</v>
      </c>
      <c r="L181" s="403">
        <f>IF(L$5 = Assumptions!$G$45, Assumptions!$AP15, 0)</f>
        <v>0</v>
      </c>
    </row>
    <row r="182" spans="1:12">
      <c r="A182" s="408" t="s">
        <v>309</v>
      </c>
      <c r="B182" s="405"/>
      <c r="C182" s="403">
        <f>IF(C$5 = Assumptions!$G$45, Assumptions!$AP16, 0)</f>
        <v>0</v>
      </c>
      <c r="D182" s="403">
        <f>IF(D$5 = Assumptions!$G$45, Assumptions!$AP16, 0)</f>
        <v>0</v>
      </c>
      <c r="E182" s="403">
        <f>IF(E$5 = Assumptions!$G$45, Assumptions!$AP16, 0)</f>
        <v>0</v>
      </c>
      <c r="F182" s="403">
        <f>IF(F$5 = Assumptions!$G$45, Assumptions!$AP16, 0)</f>
        <v>15000</v>
      </c>
      <c r="G182" s="403">
        <f>IF(G$5 = Assumptions!$G$45, Assumptions!$AP16, 0)</f>
        <v>0</v>
      </c>
      <c r="H182" s="403">
        <f>IF(H$5 = Assumptions!$G$45, Assumptions!$AP16, 0)</f>
        <v>0</v>
      </c>
      <c r="I182" s="403">
        <f>IF(I$5 = Assumptions!$G$45, Assumptions!$AP16, 0)</f>
        <v>0</v>
      </c>
      <c r="J182" s="403">
        <f>IF(J$5 = Assumptions!$G$45, Assumptions!$AP16, 0)</f>
        <v>0</v>
      </c>
      <c r="K182" s="403">
        <f>IF(K$5 = Assumptions!$G$45, Assumptions!$AP16, 0)</f>
        <v>0</v>
      </c>
      <c r="L182" s="403">
        <f>IF(L$5 = Assumptions!$G$45, Assumptions!$AP16, 0)</f>
        <v>0</v>
      </c>
    </row>
    <row r="183" spans="1:12">
      <c r="A183" s="408" t="s">
        <v>40</v>
      </c>
      <c r="B183" s="405"/>
      <c r="C183" s="403">
        <f>IF(C$5 = Assumptions!$G$45, Assumptions!$AP17, 0)</f>
        <v>0</v>
      </c>
      <c r="D183" s="403">
        <f>IF(D$5 = Assumptions!$G$45, Assumptions!$AP17, 0)</f>
        <v>0</v>
      </c>
      <c r="E183" s="403">
        <f>IF(E$5 = Assumptions!$G$45, Assumptions!$AP17, 0)</f>
        <v>0</v>
      </c>
      <c r="F183" s="403">
        <f>IF(F$5 = Assumptions!$G$45, Assumptions!$AP17, 0)</f>
        <v>1000</v>
      </c>
      <c r="G183" s="403">
        <f>IF(G$5 = Assumptions!$G$45, Assumptions!$AP17, 0)</f>
        <v>0</v>
      </c>
      <c r="H183" s="403">
        <f>IF(H$5 = Assumptions!$G$45, Assumptions!$AP17, 0)</f>
        <v>0</v>
      </c>
      <c r="I183" s="403">
        <f>IF(I$5 = Assumptions!$G$45, Assumptions!$AP17, 0)</f>
        <v>0</v>
      </c>
      <c r="J183" s="403">
        <f>IF(J$5 = Assumptions!$G$45, Assumptions!$AP17, 0)</f>
        <v>0</v>
      </c>
      <c r="K183" s="403">
        <f>IF(K$5 = Assumptions!$G$45, Assumptions!$AP17, 0)</f>
        <v>0</v>
      </c>
      <c r="L183" s="403">
        <f>IF(L$5 = Assumptions!$G$45, Assumptions!$AP17, 0)</f>
        <v>0</v>
      </c>
    </row>
    <row r="184" spans="1:12">
      <c r="A184" s="408" t="s">
        <v>41</v>
      </c>
      <c r="B184" s="405"/>
      <c r="C184" s="403">
        <f>IF(C$5 = Assumptions!$G$45, Assumptions!$AP18, 0)</f>
        <v>0</v>
      </c>
      <c r="D184" s="403">
        <f>IF(D$5 = Assumptions!$G$45, Assumptions!$AP18, 0)</f>
        <v>0</v>
      </c>
      <c r="E184" s="403">
        <f>IF(E$5 = Assumptions!$G$45, Assumptions!$AP18, 0)</f>
        <v>0</v>
      </c>
      <c r="F184" s="403">
        <f>IF(F$5 = Assumptions!$G$45, Assumptions!$AP18, 0)</f>
        <v>5000</v>
      </c>
      <c r="G184" s="403">
        <f>IF(G$5 = Assumptions!$G$45, Assumptions!$AP18, 0)</f>
        <v>0</v>
      </c>
      <c r="H184" s="403">
        <f>IF(H$5 = Assumptions!$G$45, Assumptions!$AP18, 0)</f>
        <v>0</v>
      </c>
      <c r="I184" s="403">
        <f>IF(I$5 = Assumptions!$G$45, Assumptions!$AP18, 0)</f>
        <v>0</v>
      </c>
      <c r="J184" s="403">
        <f>IF(J$5 = Assumptions!$G$45, Assumptions!$AP18, 0)</f>
        <v>0</v>
      </c>
      <c r="K184" s="403">
        <f>IF(K$5 = Assumptions!$G$45, Assumptions!$AP18, 0)</f>
        <v>0</v>
      </c>
      <c r="L184" s="403">
        <f>IF(L$5 = Assumptions!$G$45, Assumptions!$AP18, 0)</f>
        <v>0</v>
      </c>
    </row>
    <row r="185" spans="1:12">
      <c r="A185" s="408" t="s">
        <v>43</v>
      </c>
      <c r="B185" s="405"/>
      <c r="C185" s="403">
        <f>IF(C$5 = Assumptions!$G$45, Assumptions!$AP19, 0)</f>
        <v>0</v>
      </c>
      <c r="D185" s="403">
        <f>IF(D$5 = Assumptions!$G$45, Assumptions!$AP19, 0)</f>
        <v>0</v>
      </c>
      <c r="E185" s="403">
        <f>IF(E$5 = Assumptions!$G$45, Assumptions!$AP19, 0)</f>
        <v>0</v>
      </c>
      <c r="F185" s="403">
        <f>IF(F$5 = Assumptions!$G$45, Assumptions!$AP19, 0)</f>
        <v>1000</v>
      </c>
      <c r="G185" s="403">
        <f>IF(G$5 = Assumptions!$G$45, Assumptions!$AP19, 0)</f>
        <v>0</v>
      </c>
      <c r="H185" s="403">
        <f>IF(H$5 = Assumptions!$G$45, Assumptions!$AP19, 0)</f>
        <v>0</v>
      </c>
      <c r="I185" s="403">
        <f>IF(I$5 = Assumptions!$G$45, Assumptions!$AP19, 0)</f>
        <v>0</v>
      </c>
      <c r="J185" s="403">
        <f>IF(J$5 = Assumptions!$G$45, Assumptions!$AP19, 0)</f>
        <v>0</v>
      </c>
      <c r="K185" s="403">
        <f>IF(K$5 = Assumptions!$G$45, Assumptions!$AP19, 0)</f>
        <v>0</v>
      </c>
      <c r="L185" s="403">
        <f>IF(L$5 = Assumptions!$G$45, Assumptions!$AP19, 0)</f>
        <v>0</v>
      </c>
    </row>
    <row r="186" spans="1:12">
      <c r="A186" s="408" t="s">
        <v>45</v>
      </c>
      <c r="B186" s="405"/>
      <c r="C186" s="403">
        <f>IF(C$5 = Assumptions!$G$45, Assumptions!$AP20, 0)</f>
        <v>0</v>
      </c>
      <c r="D186" s="403">
        <f>IF(D$5 = Assumptions!$G$45, Assumptions!$AP20, 0)</f>
        <v>0</v>
      </c>
      <c r="E186" s="403">
        <f>IF(E$5 = Assumptions!$G$45, Assumptions!$AP20, 0)</f>
        <v>0</v>
      </c>
      <c r="F186" s="403">
        <f>IF(F$5 = Assumptions!$G$45, Assumptions!$AP20, 0)</f>
        <v>3000</v>
      </c>
      <c r="G186" s="403">
        <f>IF(G$5 = Assumptions!$G$45, Assumptions!$AP20, 0)</f>
        <v>0</v>
      </c>
      <c r="H186" s="403">
        <f>IF(H$5 = Assumptions!$G$45, Assumptions!$AP20, 0)</f>
        <v>0</v>
      </c>
      <c r="I186" s="403">
        <f>IF(I$5 = Assumptions!$G$45, Assumptions!$AP20, 0)</f>
        <v>0</v>
      </c>
      <c r="J186" s="403">
        <f>IF(J$5 = Assumptions!$G$45, Assumptions!$AP20, 0)</f>
        <v>0</v>
      </c>
      <c r="K186" s="403">
        <f>IF(K$5 = Assumptions!$G$45, Assumptions!$AP20, 0)</f>
        <v>0</v>
      </c>
      <c r="L186" s="403">
        <f>IF(L$5 = Assumptions!$G$45, Assumptions!$AP20, 0)</f>
        <v>0</v>
      </c>
    </row>
    <row r="187" spans="1:12">
      <c r="A187" s="408" t="s">
        <v>35</v>
      </c>
      <c r="B187" s="405"/>
      <c r="C187" s="403">
        <f>IF(C$5 = Assumptions!$G$45, Assumptions!$AP21, 0)</f>
        <v>0</v>
      </c>
      <c r="D187" s="403">
        <f>IF(D$5 = Assumptions!$G$45, Assumptions!$AP21, 0)</f>
        <v>0</v>
      </c>
      <c r="E187" s="403">
        <f>IF(E$5 = Assumptions!$G$45, Assumptions!$AP21, 0)</f>
        <v>0</v>
      </c>
      <c r="F187" s="403">
        <f>IF(F$5 = Assumptions!$G$45, Assumptions!$AP21, 0)</f>
        <v>5000</v>
      </c>
      <c r="G187" s="403">
        <f>IF(G$5 = Assumptions!$G$45, Assumptions!$AP21, 0)</f>
        <v>0</v>
      </c>
      <c r="H187" s="403">
        <f>IF(H$5 = Assumptions!$G$45, Assumptions!$AP21, 0)</f>
        <v>0</v>
      </c>
      <c r="I187" s="403">
        <f>IF(I$5 = Assumptions!$G$45, Assumptions!$AP21, 0)</f>
        <v>0</v>
      </c>
      <c r="J187" s="403">
        <f>IF(J$5 = Assumptions!$G$45, Assumptions!$AP21, 0)</f>
        <v>0</v>
      </c>
      <c r="K187" s="403">
        <f>IF(K$5 = Assumptions!$G$45, Assumptions!$AP21, 0)</f>
        <v>0</v>
      </c>
      <c r="L187" s="403">
        <f>IF(L$5 = Assumptions!$G$45, Assumptions!$AP21, 0)</f>
        <v>0</v>
      </c>
    </row>
    <row r="188" spans="1:12">
      <c r="A188" s="408"/>
      <c r="B188" s="405"/>
      <c r="C188" s="403"/>
      <c r="D188" s="403"/>
      <c r="E188" s="403"/>
      <c r="F188" s="403"/>
      <c r="G188" s="403"/>
      <c r="H188" s="403"/>
      <c r="I188" s="403"/>
      <c r="J188" s="403"/>
      <c r="K188" s="403"/>
      <c r="L188" s="403"/>
    </row>
    <row r="189" spans="1:12" ht="15.5">
      <c r="A189" s="409" t="s">
        <v>155</v>
      </c>
      <c r="B189" s="405"/>
      <c r="C189" s="403">
        <f t="shared" ref="C189:L189" si="87">SUM(C181:C187)</f>
        <v>0</v>
      </c>
      <c r="D189" s="403">
        <f t="shared" si="87"/>
        <v>0</v>
      </c>
      <c r="E189" s="403">
        <f t="shared" si="87"/>
        <v>0</v>
      </c>
      <c r="F189" s="403">
        <f t="shared" si="87"/>
        <v>35000</v>
      </c>
      <c r="G189" s="403">
        <f t="shared" si="87"/>
        <v>0</v>
      </c>
      <c r="H189" s="403">
        <f t="shared" si="87"/>
        <v>0</v>
      </c>
      <c r="I189" s="403">
        <f t="shared" si="87"/>
        <v>0</v>
      </c>
      <c r="J189" s="403">
        <f t="shared" si="87"/>
        <v>0</v>
      </c>
      <c r="K189" s="403">
        <f t="shared" si="87"/>
        <v>0</v>
      </c>
      <c r="L189" s="403">
        <f t="shared" si="87"/>
        <v>0</v>
      </c>
    </row>
    <row r="190" spans="1:12">
      <c r="A190" s="408"/>
      <c r="B190" s="405"/>
      <c r="C190" s="403"/>
      <c r="D190" s="403"/>
      <c r="E190" s="403"/>
      <c r="F190" s="403"/>
      <c r="G190" s="403"/>
      <c r="H190" s="403"/>
      <c r="I190" s="403"/>
      <c r="J190" s="403"/>
      <c r="K190" s="403"/>
      <c r="L190" s="403"/>
    </row>
    <row r="191" spans="1:12" ht="15.5">
      <c r="A191" s="409" t="s">
        <v>13</v>
      </c>
      <c r="B191" s="405"/>
      <c r="C191" s="403"/>
      <c r="D191" s="403"/>
      <c r="E191" s="403"/>
      <c r="F191" s="403"/>
      <c r="G191" s="403"/>
      <c r="H191" s="403"/>
      <c r="I191" s="403"/>
      <c r="J191" s="403"/>
      <c r="K191" s="403"/>
      <c r="L191" s="403"/>
    </row>
    <row r="192" spans="1:12">
      <c r="A192" s="408"/>
      <c r="B192" s="405"/>
      <c r="C192" s="403"/>
      <c r="D192" s="403"/>
      <c r="E192" s="403"/>
      <c r="F192" s="403"/>
      <c r="G192" s="403"/>
      <c r="H192" s="403"/>
      <c r="I192" s="403"/>
      <c r="J192" s="403"/>
      <c r="K192" s="403"/>
      <c r="L192" s="403"/>
    </row>
    <row r="193" spans="1:12">
      <c r="A193" s="408" t="s">
        <v>14</v>
      </c>
      <c r="B193" s="405"/>
      <c r="C193" s="403">
        <f>IF(C$5 &gt;= Assumptions!$G$45, Assumptions!$AD15, 0)</f>
        <v>0</v>
      </c>
      <c r="D193" s="403">
        <f>IF(D$5&gt;Assumptions!$G$45,C193*(1+Assumptions!J$16),IF(D$5=Assumptions!$G$45, Assumptions!$AD15, 0))</f>
        <v>0</v>
      </c>
      <c r="E193" s="403">
        <f>IF(E$5&gt;Assumptions!$G$45,D193*(1+Assumptions!K$16),IF(E$5=Assumptions!$G$45, Assumptions!$AD15, 0))</f>
        <v>0</v>
      </c>
      <c r="F193" s="403">
        <f>IF(F$5&gt;Assumptions!$G$45,E193*(1+Assumptions!L$16),IF(F$5=Assumptions!$G$45, Assumptions!$AD15, 0))</f>
        <v>0</v>
      </c>
      <c r="G193" s="403">
        <f>IF(G$5&gt;Assumptions!$G$45,F193*(1+Assumptions!M$16),IF(G$5=Assumptions!$G$45, Assumptions!$AD15, 0))</f>
        <v>0</v>
      </c>
      <c r="H193" s="403">
        <f>IF(H$5&gt;Assumptions!$G$45,G193*(1+Assumptions!N$16),IF(H$5=Assumptions!$G$45, Assumptions!$AD15, 0))</f>
        <v>0</v>
      </c>
      <c r="I193" s="403">
        <f>IF(I$5&gt;Assumptions!$G$45,H193*(1+Assumptions!O$16),IF(I$5=Assumptions!$G$45, Assumptions!$AD15, 0))</f>
        <v>0</v>
      </c>
      <c r="J193" s="403">
        <f>IF(J$5&gt;Assumptions!$G$45,I193*(1+Assumptions!P$16),IF(J$5=Assumptions!$G$45, Assumptions!$AD15, 0))</f>
        <v>0</v>
      </c>
      <c r="K193" s="403">
        <f>IF(K$5&gt;Assumptions!$G$45,J193*(1+Assumptions!Q$16),IF(K$5=Assumptions!$G$45, Assumptions!$AD15, 0))</f>
        <v>0</v>
      </c>
      <c r="L193" s="403">
        <f>IF(L$5&gt;Assumptions!$G$45,K193*(1+Assumptions!R$16),IF(L$5=Assumptions!$G$45, Assumptions!$AD15, 0))</f>
        <v>0</v>
      </c>
    </row>
    <row r="194" spans="1:12">
      <c r="A194" s="408" t="s">
        <v>15</v>
      </c>
      <c r="B194" s="405"/>
      <c r="C194" s="403">
        <f>IF(C$5 &gt;= Assumptions!$G$45, Assumptions!$AD16, 0)</f>
        <v>0</v>
      </c>
      <c r="D194" s="403">
        <f>IF(D$5&gt;Assumptions!$G$45,C194*(1+Assumptions!J$16),IF(D$5=Assumptions!$G$45, Assumptions!$AD16, 0))</f>
        <v>0</v>
      </c>
      <c r="E194" s="403">
        <f>IF(E$5&gt;Assumptions!$G$45,D194*(1+Assumptions!K$16),IF(E$5=Assumptions!$G$45, Assumptions!$AD16, 0))</f>
        <v>0</v>
      </c>
      <c r="F194" s="403">
        <f>IF(F$5&gt;Assumptions!$G$45,E194*(1+Assumptions!L$16),IF(F$5=Assumptions!$G$45, Assumptions!$AD16, 0))</f>
        <v>0</v>
      </c>
      <c r="G194" s="403">
        <f>IF(G$5&gt;Assumptions!$G$45,F194*(1+Assumptions!M$16),IF(G$5=Assumptions!$G$45, Assumptions!$AD16, 0))</f>
        <v>0</v>
      </c>
      <c r="H194" s="403">
        <f>IF(H$5&gt;Assumptions!$G$45,G194*(1+Assumptions!N$16),IF(H$5=Assumptions!$G$45, Assumptions!$AD16, 0))</f>
        <v>0</v>
      </c>
      <c r="I194" s="403">
        <f>IF(I$5&gt;Assumptions!$G$45,H194*(1+Assumptions!O$16),IF(I$5=Assumptions!$G$45, Assumptions!$AD16, 0))</f>
        <v>0</v>
      </c>
      <c r="J194" s="403">
        <f>IF(J$5&gt;Assumptions!$G$45,I194*(1+Assumptions!P$16),IF(J$5=Assumptions!$G$45, Assumptions!$AD16, 0))</f>
        <v>0</v>
      </c>
      <c r="K194" s="403">
        <f>IF(K$5&gt;Assumptions!$G$45,J194*(1+Assumptions!Q$16),IF(K$5=Assumptions!$G$45, Assumptions!$AD16, 0))</f>
        <v>0</v>
      </c>
      <c r="L194" s="403">
        <f>IF(L$5&gt;Assumptions!$G$45,K194*(1+Assumptions!R$16),IF(L$5=Assumptions!$G$45, Assumptions!$AD16, 0))</f>
        <v>0</v>
      </c>
    </row>
    <row r="195" spans="1:12">
      <c r="A195" s="408" t="s">
        <v>17</v>
      </c>
      <c r="B195" s="405"/>
      <c r="C195" s="403">
        <f>IF(C$5 &gt;= Assumptions!$G$45, Assumptions!$AD17, 0)</f>
        <v>0</v>
      </c>
      <c r="D195" s="403">
        <f>IF(D$5&gt;Assumptions!$G$45,C195*(1+Assumptions!J$16),IF(D$5=Assumptions!$G$45, Assumptions!$AD17, 0))</f>
        <v>0</v>
      </c>
      <c r="E195" s="403">
        <f>IF(E$5&gt;Assumptions!$G$45,D195*(1+Assumptions!K$16),IF(E$5=Assumptions!$G$45, Assumptions!$AD17, 0))</f>
        <v>0</v>
      </c>
      <c r="F195" s="403">
        <f>IF(F$5&gt;Assumptions!$G$45,E195*(1+Assumptions!L$16),IF(F$5=Assumptions!$G$45, Assumptions!$AD17, 0))</f>
        <v>0</v>
      </c>
      <c r="G195" s="403">
        <f>IF(G$5&gt;Assumptions!$G$45,F195*(1+Assumptions!M$16),IF(G$5=Assumptions!$G$45, Assumptions!$AD17, 0))</f>
        <v>0</v>
      </c>
      <c r="H195" s="403">
        <f>IF(H$5&gt;Assumptions!$G$45,G195*(1+Assumptions!N$16),IF(H$5=Assumptions!$G$45, Assumptions!$AD17, 0))</f>
        <v>0</v>
      </c>
      <c r="I195" s="403">
        <f>IF(I$5&gt;Assumptions!$G$45,H195*(1+Assumptions!O$16),IF(I$5=Assumptions!$G$45, Assumptions!$AD17, 0))</f>
        <v>0</v>
      </c>
      <c r="J195" s="403">
        <f>IF(J$5&gt;Assumptions!$G$45,I195*(1+Assumptions!P$16),IF(J$5=Assumptions!$G$45, Assumptions!$AD17, 0))</f>
        <v>0</v>
      </c>
      <c r="K195" s="403">
        <f>IF(K$5&gt;Assumptions!$G$45,J195*(1+Assumptions!Q$16),IF(K$5=Assumptions!$G$45, Assumptions!$AD17, 0))</f>
        <v>0</v>
      </c>
      <c r="L195" s="403">
        <f>IF(L$5&gt;Assumptions!$G$45,K195*(1+Assumptions!R$16),IF(L$5=Assumptions!$G$45, Assumptions!$AD17, 0))</f>
        <v>0</v>
      </c>
    </row>
    <row r="196" spans="1:12">
      <c r="A196" s="408" t="s">
        <v>19</v>
      </c>
      <c r="B196" s="405"/>
      <c r="C196" s="403">
        <f>IF(C5 &gt;= Assumptions!G45, Assumptions!$AD$18 * (Revenue!Q38+Revenue!Q39+Revenue!Q40+Revenue!Q41), 0)</f>
        <v>0</v>
      </c>
      <c r="D196" s="403">
        <f>IF(D5&gt;Assumptions!G$45, Assumptions!$AD$18*(Revenue!R38+Revenue!R39+Revenue!R40+Revenue!R41)*(1+Revenue!C33), IF(D5=Assumptions!G$45, Assumptions!$AD$18 * (Revenue!R38+Revenue!R39+Revenue!R40+Revenue!R41), 0))</f>
        <v>0</v>
      </c>
      <c r="E196" s="403">
        <f>IF(E5&gt;Assumptions!H$45, Assumptions!$AD$18*(Revenue!S38+Revenue!S39+Revenue!S40+Revenue!S41)*(1+Revenue!D33), IF(E5=Assumptions!H$45, Assumptions!$AD$18 * (Revenue!S38+Revenue!S39+Revenue!S40+Revenue!S41), 0))</f>
        <v>0</v>
      </c>
      <c r="F196" s="403">
        <f>IF(F5&gt;Assumptions!I$45, Assumptions!$AD$18*(Revenue!T38+Revenue!T39+Revenue!T40+Revenue!T41)*(1+Revenue!E33), IF(F5=Assumptions!I$45, Assumptions!$AD$18 * (Revenue!T38+Revenue!T39+Revenue!T40+Revenue!T41), 0))</f>
        <v>381000</v>
      </c>
      <c r="G196" s="403">
        <f ca="1">IF(G5&gt;Assumptions!J$45, Assumptions!$AD$18*(Revenue!U38+Revenue!U39+Revenue!U40+Revenue!U41)*(1+Revenue!F33), IF(G5=Assumptions!J$45, Assumptions!$AD$18 * (Revenue!U38+Revenue!U39+Revenue!U40+Revenue!U41), 0))</f>
        <v>473402.22182483599</v>
      </c>
      <c r="H196" s="403">
        <f ca="1">IF(H5&gt;Assumptions!K$45, Assumptions!$AD$18*(Revenue!V38+Revenue!V39+Revenue!V40+Revenue!V41)*(1+Revenue!G33), IF(H5=Assumptions!K$45, Assumptions!$AD$18 * (Revenue!V38+Revenue!V39+Revenue!V40+Revenue!V41), 0))</f>
        <v>499918.32842807064</v>
      </c>
      <c r="I196" s="403">
        <f ca="1">IF(I5&gt;Assumptions!L$45, Assumptions!$AD$18*(Revenue!W38+Revenue!W39+Revenue!W40+Revenue!W41)*(1+Revenue!H33), IF(I5=Assumptions!L$45, Assumptions!$AD$18 * (Revenue!W38+Revenue!W39+Revenue!W40+Revenue!W41), 0))</f>
        <v>529505.52839637967</v>
      </c>
      <c r="J196" s="403">
        <f ca="1">IF(J5&gt;Assumptions!M$45, Assumptions!$AD$18*(Revenue!X38+Revenue!X39+Revenue!X40+Revenue!X41)*(1+Revenue!I33), IF(J5=Assumptions!M$45, Assumptions!$AD$18 * (Revenue!X38+Revenue!X39+Revenue!X40+Revenue!X41), 0))</f>
        <v>562871.41443506454</v>
      </c>
      <c r="K196" s="403">
        <f ca="1">IF(K5&gt;Assumptions!N$45, Assumptions!$AD$18*(Revenue!Y38+Revenue!Y39+Revenue!Y40+Revenue!Y41)*(1+Revenue!J33), IF(K5=Assumptions!N$45, Assumptions!$AD$18 * (Revenue!Y38+Revenue!Y39+Revenue!Y40+Revenue!Y41), 0))</f>
        <v>600294.33238420845</v>
      </c>
      <c r="L196" s="403">
        <f ca="1">IF(L5&gt;Assumptions!O$45, Assumptions!$AD$18*(Revenue!Z38+Revenue!Z39+Revenue!Z40+Revenue!Z41)*(1+Revenue!K33), IF(L5=Assumptions!O$45, Assumptions!$AD$18 * (Revenue!Z38+Revenue!Z39+Revenue!Z40+Revenue!Z41), 0))</f>
        <v>642277.39814925182</v>
      </c>
    </row>
    <row r="197" spans="1:12">
      <c r="A197" s="408" t="s">
        <v>20</v>
      </c>
      <c r="B197" s="405"/>
      <c r="C197" s="403">
        <f>IF(C5 &gt;= Assumptions!G45, Assumptions!$AD$19*C162, 0)</f>
        <v>0</v>
      </c>
      <c r="D197" s="403">
        <f>IF(D5 &gt; Assumptions!$G45, Assumptions!$AD$19*D162*(1 + Revenue!C33), IF(D5 = Assumptions!$G45, Assumptions!$AD$19*D162, 0))</f>
        <v>0</v>
      </c>
      <c r="E197" s="403">
        <f>IF(E5 &gt; Assumptions!$G45, Assumptions!$AD$19*E162*(1 + Revenue!D33), IF(E5 = Assumptions!$G45, Assumptions!$AD$19*E162, 0))</f>
        <v>0</v>
      </c>
      <c r="F197" s="403">
        <f>IF(F5 &gt; Assumptions!$G45, Assumptions!$AD$19*F162*(1 + Revenue!E33), IF(F5 = Assumptions!$G45, Assumptions!$AD$19*F162, 0))</f>
        <v>5425200</v>
      </c>
      <c r="G197" s="403">
        <f ca="1">IF(G5 &gt; Assumptions!$G45, Assumptions!$AD$19*G162*(1 + Revenue!F33), IF(G5 = Assumptions!$G45, Assumptions!$AD$19*G162, 0))</f>
        <v>7428666.6030603182</v>
      </c>
      <c r="H197" s="403">
        <f ca="1">IF(H5 &gt; Assumptions!$G45, Assumptions!$AD$19*H162*(1 + Revenue!G33), IF(H5 = Assumptions!$G45, Assumptions!$AD$19*H162, 0))</f>
        <v>8708366.4079852607</v>
      </c>
      <c r="I197" s="403">
        <f ca="1">IF(I5 &gt; Assumptions!$G45, Assumptions!$AD$19*I162*(1 + Revenue!H33), IF(I5 = Assumptions!$G45, Assumptions!$AD$19*I162, 0))</f>
        <v>9389610.6010893676</v>
      </c>
      <c r="J197" s="403">
        <f ca="1">IF(J5 &gt; Assumptions!$G45, Assumptions!$AD$19*J162*(1 + Revenue!I33), IF(J5 = Assumptions!$G45, Assumptions!$AD$19*J162, 0))</f>
        <v>10152859.309570504</v>
      </c>
      <c r="K197" s="403">
        <f ca="1">IF(K5 &gt; Assumptions!$G45, Assumptions!$AD$19*K162*(1 + Revenue!J33), IF(K5 = Assumptions!$G45, Assumptions!$AD$19*K162, 0))</f>
        <v>11007378.987622941</v>
      </c>
      <c r="L197" s="403">
        <f ca="1">IF(L5 &gt; Assumptions!$G45, Assumptions!$AD$19*L162*(1 + Revenue!K33), IF(L5 = Assumptions!$G45, Assumptions!$AD$19*L162, 0))</f>
        <v>11966441.825479507</v>
      </c>
    </row>
    <row r="198" spans="1:12">
      <c r="A198" s="408" t="s">
        <v>22</v>
      </c>
      <c r="B198" s="405"/>
      <c r="C198" s="403">
        <f>IF(C$5 &gt;= Assumptions!$G$45, Assumptions!AD20, 0)</f>
        <v>0</v>
      </c>
      <c r="D198" s="403">
        <f>IF(D$5 &gt; Assumptions!$G$45, C198*(1+Revenue!C33), IF(D$5 = Assumptions!$G$45, Assumptions!$AD20, 0))</f>
        <v>0</v>
      </c>
      <c r="E198" s="403">
        <f>IF(E$5 &gt; Assumptions!$G$45, D198*(1+Revenue!D33), IF(E$5 = Assumptions!$G$45, Assumptions!$AD20, 0))</f>
        <v>0</v>
      </c>
      <c r="F198" s="403">
        <f>IF(F$5 &gt; Assumptions!$G$45, E198*(1+Revenue!E33), IF(F$5 = Assumptions!$G$45, Assumptions!$AD20, 0))</f>
        <v>0</v>
      </c>
      <c r="G198" s="403">
        <f>IF(G$5 &gt; Assumptions!$G$45, F198*(1+Revenue!F33), IF(G$5 = Assumptions!$G$45, Assumptions!$AD20, 0))</f>
        <v>0</v>
      </c>
      <c r="H198" s="403">
        <f>IF(H$5 &gt; Assumptions!$G$45, G198*(1+Revenue!G33), IF(H$5 = Assumptions!$G$45, Assumptions!$AD20, 0))</f>
        <v>0</v>
      </c>
      <c r="I198" s="403">
        <f>IF(I$5 &gt; Assumptions!$G$45, H198*(1+Revenue!H33), IF(I$5 = Assumptions!$G$45, Assumptions!$AD20, 0))</f>
        <v>0</v>
      </c>
      <c r="J198" s="403">
        <f>IF(J$5 &gt; Assumptions!$G$45, I198*(1+Revenue!I33), IF(J$5 = Assumptions!$G$45, Assumptions!$AD20, 0))</f>
        <v>0</v>
      </c>
      <c r="K198" s="403">
        <f>IF(K$5 &gt; Assumptions!$G$45, J198*(1+Revenue!J33), IF(K$5 = Assumptions!$G$45, Assumptions!$AD20, 0))</f>
        <v>0</v>
      </c>
      <c r="L198" s="403">
        <f>IF(L$5 &gt; Assumptions!$G$45, K198*(1+Revenue!K33), IF(L$5 = Assumptions!$G$45, Assumptions!$AD20, 0))</f>
        <v>0</v>
      </c>
    </row>
    <row r="199" spans="1:12">
      <c r="A199" s="408" t="s">
        <v>25</v>
      </c>
      <c r="B199" s="405"/>
      <c r="C199" s="403">
        <f>IF(C$5 &gt;= Assumptions!$G$45, Assumptions!$AD21, 0)</f>
        <v>0</v>
      </c>
      <c r="D199" s="403">
        <f>IF(D$5 &gt; Assumptions!$G$45, Income!C199*(1+Assumptions!J$16), IF(D$5 = Assumptions!$G$45, Assumptions!$AD21, 0))</f>
        <v>0</v>
      </c>
      <c r="E199" s="403">
        <f>IF(E$5 &gt; Assumptions!$G$45, Income!D199*(1+Assumptions!K$16), IF(E$5 = Assumptions!$G$45, Assumptions!$AD21, 0))</f>
        <v>0</v>
      </c>
      <c r="F199" s="403">
        <f>IF(F$5 &gt; Assumptions!$G$45, Income!E199*(1+Assumptions!L$16), IF(F$5 = Assumptions!$G$45, Assumptions!$AD21, 0))</f>
        <v>1000</v>
      </c>
      <c r="G199" s="403">
        <f>IF(G$5 &gt; Assumptions!$G$45, Income!F199*(1+Assumptions!M$16), IF(G$5 = Assumptions!$G$45, Assumptions!$AD21, 0))</f>
        <v>1020</v>
      </c>
      <c r="H199" s="403">
        <f>IF(H$5 &gt; Assumptions!$G$45, Income!G199*(1+Assumptions!N$16), IF(H$5 = Assumptions!$G$45, Assumptions!$AD21, 0))</f>
        <v>1040.4000000000001</v>
      </c>
      <c r="I199" s="403">
        <f>IF(I$5 &gt; Assumptions!$G$45, Income!H199*(1+Assumptions!O$16), IF(I$5 = Assumptions!$G$45, Assumptions!$AD21, 0))</f>
        <v>1061.2080000000001</v>
      </c>
      <c r="J199" s="403">
        <f>IF(J$5 &gt; Assumptions!$G$45, Income!I199*(1+Assumptions!P$16), IF(J$5 = Assumptions!$G$45, Assumptions!$AD21, 0))</f>
        <v>1082.4321600000001</v>
      </c>
      <c r="K199" s="403">
        <f>IF(K$5 &gt; Assumptions!$G$45, Income!J199*(1+Assumptions!Q$16), IF(K$5 = Assumptions!$G$45, Assumptions!$AD21, 0))</f>
        <v>1104.0808032</v>
      </c>
      <c r="L199" s="403">
        <f>IF(L$5 &gt; Assumptions!$G$45, Income!K199*(1+Assumptions!R$16), IF(L$5 = Assumptions!$G$45, Assumptions!$AD21, 0))</f>
        <v>1126.1624192639999</v>
      </c>
    </row>
    <row r="200" spans="1:12">
      <c r="A200" s="408" t="s">
        <v>27</v>
      </c>
      <c r="B200" s="405"/>
      <c r="C200" s="403">
        <f>IF(C$5 &gt;= Assumptions!$G$45, Assumptions!$AD22, 0)</f>
        <v>0</v>
      </c>
      <c r="D200" s="403">
        <f>IF(D$5 &gt; Assumptions!$G$45, Income!C200*(1+Assumptions!J$16), IF(D$5 = Assumptions!$H$45, Assumptions!$AD22, 0))</f>
        <v>0</v>
      </c>
      <c r="E200" s="403">
        <f>IF(E$5 &gt; Assumptions!$G$45, Income!D200*(1+Assumptions!K$16), IF(E$5 = Assumptions!$G$45, Assumptions!$AD22, 0))</f>
        <v>0</v>
      </c>
      <c r="F200" s="403">
        <f>IF(F$5 &gt; Assumptions!$G$45, Income!E200*(1+Assumptions!L$16), IF(F$5 = Assumptions!$G$45, Assumptions!$AD22, 0))</f>
        <v>1000</v>
      </c>
      <c r="G200" s="403">
        <f>IF(G$5 &gt; Assumptions!$G$45, Income!F200*(1+Assumptions!M$16), IF(G$5 = Assumptions!$G$45, Assumptions!$AD22, 0))</f>
        <v>1020</v>
      </c>
      <c r="H200" s="403">
        <f>IF(H$5 &gt; Assumptions!$G$45, Income!G200*(1+Assumptions!N$16), IF(H$5 = Assumptions!$G$45, Assumptions!$AD22, 0))</f>
        <v>1040.4000000000001</v>
      </c>
      <c r="I200" s="403">
        <f>IF(I$5 &gt; Assumptions!$G$45, Income!H200*(1+Assumptions!O$16), IF(I$5 = Assumptions!$G$45, Assumptions!$AD22, 0))</f>
        <v>1061.2080000000001</v>
      </c>
      <c r="J200" s="403">
        <f>IF(J$5 &gt; Assumptions!$G$45, Income!I200*(1+Assumptions!P$16), IF(J$5 = Assumptions!$G$45, Assumptions!$AD22, 0))</f>
        <v>1082.4321600000001</v>
      </c>
      <c r="K200" s="403">
        <f>IF(K$5 &gt; Assumptions!$G$45, Income!J200*(1+Assumptions!Q$16), IF(K$5 = Assumptions!$G$45, Assumptions!$AD22, 0))</f>
        <v>1104.0808032</v>
      </c>
      <c r="L200" s="403">
        <f>IF(L$5 &gt; Assumptions!$G$45, Income!K200*(1+Assumptions!R$16), IF(L$5 = Assumptions!$G$45, Assumptions!$AD22, 0))</f>
        <v>1126.1624192639999</v>
      </c>
    </row>
    <row r="201" spans="1:12">
      <c r="A201" s="408" t="s">
        <v>278</v>
      </c>
      <c r="B201" s="405"/>
      <c r="C201" s="403">
        <f>IF(D5 &gt;= Assumptions!$G$45, Assumptions!$AD$23 + (Revenue!Q40+Revenue!Q41+Revenue!Q42)*Assumptions!$AD$24, 0)</f>
        <v>0</v>
      </c>
      <c r="D201" s="403">
        <f>IF(D5&gt;Assumptions!$G45,(Assumptions!$AD$23+(Revenue!R40+Revenue!R41+Revenue!R42)*Assumptions!$AD$24)*(1+Revenue!C33),IF(D5=Assumptions!$G$45,Assumptions!$AD$23+(Revenue!R40+Revenue!R41+Revenue!R42)*Assumptions!$AD$24,0))</f>
        <v>0</v>
      </c>
      <c r="E201" s="403">
        <f>IF(E5&gt;Assumptions!$G45,(Assumptions!$AD$23+(Revenue!S40+Revenue!S41+Revenue!S42)*Assumptions!$AD$24)*(1+Revenue!D33),IF(E5=Assumptions!$G$45,Assumptions!$AD$23+(Revenue!S40+Revenue!S41+Revenue!S42)*Assumptions!$AD$24,0))</f>
        <v>0</v>
      </c>
      <c r="F201" s="403">
        <f>IF(F5&gt;Assumptions!$G45,(Assumptions!$AD$23+(Revenue!T40+Revenue!T41+Revenue!T42)*Assumptions!$AD$24)*(1+Revenue!E33),IF(F5=Assumptions!$G$45,Assumptions!$AD$23+(Revenue!T40+Revenue!T41+Revenue!T42)*Assumptions!$AD$24,0))</f>
        <v>6950</v>
      </c>
      <c r="G201" s="403">
        <f ca="1">IF(G5&gt;Assumptions!$G45,(Assumptions!$AD$23+(Revenue!U40+Revenue!U41+Revenue!U42)*Assumptions!$AD$24)*(1+Revenue!F33),IF(G5=Assumptions!$G$45,Assumptions!$AD$23+(Revenue!U40+Revenue!U41+Revenue!U42)*Assumptions!$AD$24,0))</f>
        <v>10723.848436792443</v>
      </c>
      <c r="H201" s="403">
        <f ca="1">IF(H5&gt;Assumptions!$G45,(Assumptions!$AD$23+(Revenue!V40+Revenue!V41+Revenue!V42)*Assumptions!$AD$24)*(1+Revenue!G33),IF(H5=Assumptions!$G$45,Assumptions!$AD$23+(Revenue!V40+Revenue!V41+Revenue!V42)*Assumptions!$AD$24,0))</f>
        <v>12994.511755354933</v>
      </c>
      <c r="I201" s="403">
        <f ca="1">IF(I5&gt;Assumptions!$G45,(Assumptions!$AD$23+(Revenue!W40+Revenue!W41+Revenue!W42)*Assumptions!$AD$24)*(1+Revenue!H33),IF(I5=Assumptions!$G$45,Assumptions!$AD$23+(Revenue!W40+Revenue!W41+Revenue!W42)*Assumptions!$AD$24,0))</f>
        <v>13812.997940552839</v>
      </c>
      <c r="J201" s="403">
        <f ca="1">IF(J5&gt;Assumptions!$G45,(Assumptions!$AD$23+(Revenue!X40+Revenue!X41+Revenue!X42)*Assumptions!$AD$24)*(1+Revenue!I33),IF(J5=Assumptions!$G$45,Assumptions!$AD$23+(Revenue!X40+Revenue!X41+Revenue!X42)*Assumptions!$AD$24,0))</f>
        <v>14734.581066580822</v>
      </c>
      <c r="K201" s="403">
        <f ca="1">IF(K5&gt;Assumptions!$G45,(Assumptions!$AD$23+(Revenue!Y40+Revenue!Y41+Revenue!Y42)*Assumptions!$AD$24)*(1+Revenue!J33),IF(K5=Assumptions!$G$45,Assumptions!$AD$23+(Revenue!Y40+Revenue!Y41+Revenue!Y42)*Assumptions!$AD$24,0))</f>
        <v>15766.70393883516</v>
      </c>
      <c r="L201" s="403">
        <f ca="1">IF(L5&gt;Assumptions!$G45,(Assumptions!$AD$23+(Revenue!Z40+Revenue!Z41+Revenue!Z42)*Assumptions!$AD$24)*(1+Revenue!K33),IF(L5=Assumptions!$G$45,Assumptions!$AD$23+(Revenue!Z40+Revenue!Z41+Revenue!Z42)*Assumptions!$AD$24,0))</f>
        <v>16924.208482487411</v>
      </c>
    </row>
    <row r="202" spans="1:12">
      <c r="A202" s="408" t="s">
        <v>29</v>
      </c>
      <c r="B202" s="405"/>
      <c r="C202" s="403">
        <f>IF(C5 &gt;= Assumptions!G45, Assumptions!AD25, 0)</f>
        <v>0</v>
      </c>
      <c r="D202" s="403">
        <f>IF(D5&gt;Assumptions!$G45,C202*(1+Revenue!C33)*(1+Assumptions!$J$10),IF(D5=Assumptions!$G45,Assumptions!$AD25,0))</f>
        <v>0</v>
      </c>
      <c r="E202" s="403">
        <f>IF(E5&gt;Assumptions!$G45,D202*(1+Revenue!D33)*(1+Assumptions!$J$10),IF(E5=Assumptions!$G45,Assumptions!$AD25,0))</f>
        <v>0</v>
      </c>
      <c r="F202" s="403">
        <f>IF(F5&gt;Assumptions!$G45,E202*(1+Revenue!E33)*(1+Assumptions!$J$10),IF(F5=Assumptions!$G45,Assumptions!$AD25,0))</f>
        <v>0</v>
      </c>
      <c r="G202" s="403">
        <f>IF(G5&gt;Assumptions!$G45,F202*(1+Revenue!F33)*(1+Assumptions!$J$10),IF(G5=Assumptions!$G45,Assumptions!$AD25,0))</f>
        <v>0</v>
      </c>
      <c r="H202" s="403">
        <f>IF(H5&gt;Assumptions!$G45,G202*(1+Revenue!G33)*(1+Assumptions!$J$10),IF(H5=Assumptions!$G45,Assumptions!$AD25,0))</f>
        <v>0</v>
      </c>
      <c r="I202" s="403">
        <f>IF(I5&gt;Assumptions!$G45,H202*(1+Revenue!H33)*(1+Assumptions!$J$10),IF(I5=Assumptions!$G45,Assumptions!$AD25,0))</f>
        <v>0</v>
      </c>
      <c r="J202" s="403">
        <f>IF(J5&gt;Assumptions!$G45,I202*(1+Revenue!I33)*(1+Assumptions!$J$10),IF(J5=Assumptions!$G45,Assumptions!$AD25,0))</f>
        <v>0</v>
      </c>
      <c r="K202" s="403">
        <f>IF(K5&gt;Assumptions!$G45,J202*(1+Revenue!J33)*(1+Assumptions!$J$10),IF(K5=Assumptions!$G45,Assumptions!$AD25,0))</f>
        <v>0</v>
      </c>
      <c r="L202" s="403">
        <f>IF(L5&gt;Assumptions!$G45,K202*(1+Revenue!K33)*(1+Assumptions!$J$10),IF(L5=Assumptions!$G45,Assumptions!$AD25,0))</f>
        <v>0</v>
      </c>
    </row>
    <row r="203" spans="1:12">
      <c r="A203" s="408" t="s">
        <v>279</v>
      </c>
      <c r="B203" s="405"/>
      <c r="C203" s="403">
        <f>IF(C5 &gt;= Assumptions!G45, Assumptions!AD26, 0)</f>
        <v>0</v>
      </c>
      <c r="D203" s="403">
        <f>IF(D5 &gt; Assumptions!G45, C203*(1+Revenue!C33)*(1+Assumptions!$J$11), IF(D5 = Assumptions!G45, Assumptions!$AD26, 0))</f>
        <v>0</v>
      </c>
      <c r="E203" s="403">
        <f>IF(E5 &gt; Assumptions!H45, D203*(1+Revenue!D33)*(1+Assumptions!$J$11), IF(E5 = Assumptions!H45, Assumptions!$AD26, 0))</f>
        <v>0</v>
      </c>
      <c r="F203" s="403">
        <f>IF(F5 &gt; Assumptions!I45, E203*(1+Revenue!E33)*(1+Assumptions!$J$11), IF(F5 = Assumptions!I45, Assumptions!$AD26, 0))</f>
        <v>0</v>
      </c>
      <c r="G203" s="403">
        <f>IF(G5 &gt; Assumptions!J45, F203*(1+Revenue!F33)*(1+Assumptions!$J$11), IF(G5 = Assumptions!J45, Assumptions!$AD26, 0))</f>
        <v>0</v>
      </c>
      <c r="H203" s="403">
        <f>IF(H5 &gt; Assumptions!K45, G203*(1+Revenue!G33)*(1+Assumptions!$J$11), IF(H5 = Assumptions!K45, Assumptions!$AD26, 0))</f>
        <v>0</v>
      </c>
      <c r="I203" s="403">
        <f>IF(I5 &gt; Assumptions!L45, H203*(1+Revenue!H33)*(1+Assumptions!$J$11), IF(I5 = Assumptions!L45, Assumptions!$AD26, 0))</f>
        <v>0</v>
      </c>
      <c r="J203" s="403">
        <f>IF(J5 &gt; Assumptions!M45, I203*(1+Revenue!I33)*(1+Assumptions!$J$11), IF(J5 = Assumptions!M45, Assumptions!$AD26, 0))</f>
        <v>0</v>
      </c>
      <c r="K203" s="403">
        <f>IF(K5 &gt; Assumptions!N45, J203*(1+Revenue!J33)*(1+Assumptions!$J$11), IF(K5 = Assumptions!N45, Assumptions!$AD26, 0))</f>
        <v>0</v>
      </c>
      <c r="L203" s="403">
        <f>IF(L5 &gt; Assumptions!O45, K203*(1+Revenue!K33)*(1+Assumptions!$J$11), IF(L5 = Assumptions!O45, Assumptions!$AD26, 0))</f>
        <v>0</v>
      </c>
    </row>
    <row r="204" spans="1:12">
      <c r="A204" s="408" t="s">
        <v>31</v>
      </c>
      <c r="B204" s="405"/>
      <c r="C204" s="403">
        <f>IF(C$5 &gt;= Assumptions!$G$45, Assumptions!AD27, 0)</f>
        <v>0</v>
      </c>
      <c r="D204" s="403">
        <f>IF(D$5 &gt; Assumptions!$G$45, C204*(1+Revenue!C33), IF(D$5 = Assumptions!$G$45, Assumptions!$AC27, 0))</f>
        <v>0</v>
      </c>
      <c r="E204" s="403">
        <f>IF(E$5 &gt; Assumptions!$G$45, D204*(1+Revenue!D33), IF(E$5 = Assumptions!$G$45, Assumptions!$AC27, 0))</f>
        <v>0</v>
      </c>
      <c r="F204" s="403">
        <f>IF(F$5 &gt; Assumptions!$G$45, E204*(1+Revenue!E33), IF(F$5 = Assumptions!$G$45, Assumptions!$AC27, 0))</f>
        <v>1200</v>
      </c>
      <c r="G204" s="403">
        <f>IF(G$5 &gt; Assumptions!$G$45, F204*(1+Revenue!F33), IF(G$5 = Assumptions!$G$45, Assumptions!$AC27, 0))</f>
        <v>1224</v>
      </c>
      <c r="H204" s="403">
        <f>IF(H$5 &gt; Assumptions!$G$45, G204*(1+Revenue!G33), IF(H$5 = Assumptions!$G$45, Assumptions!$AC27, 0))</f>
        <v>1248.48</v>
      </c>
      <c r="I204" s="403">
        <f>IF(I$5 &gt; Assumptions!$G$45, H204*(1+Revenue!H33), IF(I$5 = Assumptions!$G$45, Assumptions!$AC27, 0))</f>
        <v>1273.4496000000001</v>
      </c>
      <c r="J204" s="403">
        <f>IF(J$5 &gt; Assumptions!$G$45, I204*(1+Revenue!I33), IF(J$5 = Assumptions!$G$45, Assumptions!$AC27, 0))</f>
        <v>1298.9185920000002</v>
      </c>
      <c r="K204" s="403">
        <f>IF(K$5 &gt; Assumptions!$G$45, J204*(1+Revenue!J33), IF(K$5 = Assumptions!$G$45, Assumptions!$AC27, 0))</f>
        <v>1324.8969638400004</v>
      </c>
      <c r="L204" s="403">
        <f>IF(L$5 &gt; Assumptions!$G$45, K204*(1+Revenue!K33), IF(L$5 = Assumptions!$G$45, Assumptions!$AC27, 0))</f>
        <v>1351.3949031168004</v>
      </c>
    </row>
    <row r="205" spans="1:12">
      <c r="A205" s="408" t="s">
        <v>33</v>
      </c>
      <c r="B205" s="405"/>
      <c r="C205" s="403">
        <f>IF(C$5 &gt;= Assumptions!$G$45, Assumptions!AD28, 0)</f>
        <v>0</v>
      </c>
      <c r="D205" s="403">
        <f>IF(D$5 &gt; Assumptions!$G$45, C205*(1+Revenue!C34), IF(D$5 = Assumptions!$G$45, Assumptions!$AC28, 0))</f>
        <v>0</v>
      </c>
      <c r="E205" s="403">
        <f>IF(E$5 &gt; Assumptions!$G$45, D205*(1+Revenue!D34), IF(E$5 = Assumptions!$G$45, Assumptions!$AC28, 0))</f>
        <v>0</v>
      </c>
      <c r="F205" s="403">
        <f>IF(F$5 &gt; Assumptions!$G$45, E205*(1+Revenue!E34), IF(F$5 = Assumptions!$G$45, Assumptions!$AC28, 0))</f>
        <v>1000</v>
      </c>
      <c r="G205" s="403">
        <f>IF(G$5 &gt; Assumptions!$G$45, F205*(1+Revenue!F34), IF(G$5 = Assumptions!$G$45, Assumptions!$AC28, 0))</f>
        <v>1000</v>
      </c>
      <c r="H205" s="403">
        <f>IF(H$5 &gt; Assumptions!$G$45, G205*(1+Revenue!G34), IF(H$5 = Assumptions!$G$45, Assumptions!$AC28, 0))</f>
        <v>1000</v>
      </c>
      <c r="I205" s="403">
        <f>IF(I$5 &gt; Assumptions!$G$45, H205*(1+Revenue!H34), IF(I$5 = Assumptions!$G$45, Assumptions!$AC28, 0))</f>
        <v>1000</v>
      </c>
      <c r="J205" s="403">
        <f>IF(J$5 &gt; Assumptions!$G$45, I205*(1+Revenue!I34), IF(J$5 = Assumptions!$G$45, Assumptions!$AC28, 0))</f>
        <v>1000</v>
      </c>
      <c r="K205" s="403">
        <f>IF(K$5 &gt; Assumptions!$G$45, J205*(1+Revenue!J34), IF(K$5 = Assumptions!$G$45, Assumptions!$AC28, 0))</f>
        <v>1000</v>
      </c>
      <c r="L205" s="403">
        <f>IF(L$5 &gt; Assumptions!$G$45, K205*(1+Revenue!K34), IF(L$5 = Assumptions!$G$45, Assumptions!$AC28, 0))</f>
        <v>1000</v>
      </c>
    </row>
    <row r="206" spans="1:12">
      <c r="A206" s="408" t="s">
        <v>35</v>
      </c>
      <c r="B206" s="405"/>
      <c r="C206" s="403">
        <f>IF(C$5 &gt;= Assumptions!$G$45, Assumptions!AD29, 0)</f>
        <v>0</v>
      </c>
      <c r="D206" s="403">
        <f>IF(D$5 &gt; Assumptions!$G$45, C206*(1+Revenue!C35), IF(D$5 = Assumptions!$G$45, Assumptions!$AC29, 0))</f>
        <v>0</v>
      </c>
      <c r="E206" s="403">
        <f>IF(E$5 &gt; Assumptions!$G$45, D206*(1+Revenue!D35), IF(E$5 = Assumptions!$G$45, Assumptions!$AC29, 0))</f>
        <v>0</v>
      </c>
      <c r="F206" s="403">
        <f>IF(F$5 &gt; Assumptions!$G$45, E206*(1+Revenue!E35), IF(F$5 = Assumptions!$G$45, Assumptions!$AC29, 0))</f>
        <v>5000</v>
      </c>
      <c r="G206" s="403">
        <f>IF(G$5 &gt; Assumptions!$G$45, F206*(1+Revenue!F35), IF(G$5 = Assumptions!$G$45, Assumptions!$AC29, 0))</f>
        <v>5000</v>
      </c>
      <c r="H206" s="403">
        <f>IF(H$5 &gt; Assumptions!$G$45, G206*(1+Revenue!G35), IF(H$5 = Assumptions!$G$45, Assumptions!$AC29, 0))</f>
        <v>5000</v>
      </c>
      <c r="I206" s="403">
        <f>IF(I$5 &gt; Assumptions!$G$45, H206*(1+Revenue!H35), IF(I$5 = Assumptions!$G$45, Assumptions!$AC29, 0))</f>
        <v>5000</v>
      </c>
      <c r="J206" s="403">
        <f>IF(J$5 &gt; Assumptions!$G$45, I206*(1+Revenue!I35), IF(J$5 = Assumptions!$G$45, Assumptions!$AC29, 0))</f>
        <v>5000</v>
      </c>
      <c r="K206" s="403">
        <f>IF(K$5 &gt; Assumptions!$G$45, J206*(1+Revenue!J35), IF(K$5 = Assumptions!$G$45, Assumptions!$AC29, 0))</f>
        <v>5000</v>
      </c>
      <c r="L206" s="403">
        <f>IF(L$5 &gt; Assumptions!$G$45, K206*(1+Revenue!K35), IF(L$5 = Assumptions!$G$45, Assumptions!$AC29, 0))</f>
        <v>5000</v>
      </c>
    </row>
    <row r="207" spans="1:12">
      <c r="A207" s="408"/>
      <c r="B207" s="405"/>
      <c r="C207" s="403"/>
      <c r="D207" s="403"/>
      <c r="E207" s="403"/>
      <c r="F207" s="403"/>
      <c r="G207" s="403"/>
      <c r="H207" s="403"/>
      <c r="I207" s="403"/>
      <c r="J207" s="403"/>
      <c r="K207" s="403"/>
      <c r="L207" s="403"/>
    </row>
    <row r="208" spans="1:12" ht="15.5">
      <c r="A208" s="409" t="s">
        <v>156</v>
      </c>
      <c r="B208" s="405"/>
      <c r="C208" s="403">
        <f t="shared" ref="C208:L208" si="88">SUM(C193:C206)</f>
        <v>0</v>
      </c>
      <c r="D208" s="403">
        <f t="shared" si="88"/>
        <v>0</v>
      </c>
      <c r="E208" s="403">
        <f t="shared" si="88"/>
        <v>0</v>
      </c>
      <c r="F208" s="403">
        <f t="shared" si="88"/>
        <v>5822350</v>
      </c>
      <c r="G208" s="403">
        <f t="shared" ca="1" si="88"/>
        <v>7922056.6733219465</v>
      </c>
      <c r="H208" s="403">
        <f t="shared" ca="1" si="88"/>
        <v>9230608.5281686876</v>
      </c>
      <c r="I208" s="403">
        <f t="shared" ca="1" si="88"/>
        <v>9942324.9930263013</v>
      </c>
      <c r="J208" s="403">
        <f t="shared" ca="1" si="88"/>
        <v>10739929.087984148</v>
      </c>
      <c r="K208" s="403">
        <f t="shared" ca="1" si="88"/>
        <v>11632973.082516225</v>
      </c>
      <c r="L208" s="403">
        <f t="shared" ca="1" si="88"/>
        <v>12635247.151852889</v>
      </c>
    </row>
    <row r="209" spans="1:12" ht="15.5">
      <c r="A209" s="409"/>
      <c r="B209" s="405"/>
      <c r="C209" s="403"/>
      <c r="D209" s="403"/>
      <c r="E209" s="403"/>
      <c r="F209" s="403"/>
      <c r="G209" s="403"/>
      <c r="H209" s="403"/>
      <c r="I209" s="403"/>
      <c r="J209" s="403"/>
      <c r="K209" s="403"/>
      <c r="L209" s="403"/>
    </row>
    <row r="210" spans="1:12" ht="15.5">
      <c r="A210" s="409" t="s">
        <v>36</v>
      </c>
      <c r="B210" s="405"/>
      <c r="C210" s="403"/>
      <c r="D210" s="403"/>
      <c r="E210" s="403"/>
      <c r="F210" s="403"/>
      <c r="G210" s="403"/>
      <c r="H210" s="403"/>
      <c r="I210" s="403"/>
      <c r="J210" s="403"/>
      <c r="K210" s="403"/>
      <c r="L210" s="403"/>
    </row>
    <row r="211" spans="1:12">
      <c r="A211" s="408" t="s">
        <v>38</v>
      </c>
      <c r="B211" s="405"/>
      <c r="C211" s="403">
        <f>IF(C$5 &gt;= Assumptions!$G$45, Assumptions!AP22, 0)</f>
        <v>0</v>
      </c>
      <c r="D211" s="403">
        <f>IF(D$5 &gt; Assumptions!$G$45, C211*(1+Revenue!C33), IF(D$5 = Assumptions!$G$45, Assumptions!AP22, 0))</f>
        <v>0</v>
      </c>
      <c r="E211" s="403">
        <f>IF(E$5 &gt; Assumptions!H45, D211*(1+Revenue!D33), IF(E$5 = Assumptions!H45, Assumptions!AQ22, 0))</f>
        <v>0</v>
      </c>
      <c r="F211" s="403">
        <f>IF(F$5 &gt; Assumptions!I45, E211*(1+Revenue!E33), IF(F$5 = Assumptions!I45, Assumptions!AR22, 0))</f>
        <v>5000</v>
      </c>
      <c r="G211" s="403">
        <f>IF(G$5 &gt; Assumptions!J45, F211*(1+Revenue!F33), IF(G$5 = Assumptions!J45, Assumptions!AS22, 0))</f>
        <v>5100</v>
      </c>
      <c r="H211" s="403">
        <f>IF(H$5 &gt; Assumptions!K45, G211*(1+Revenue!G33), IF(H$5 = Assumptions!K45, Assumptions!AT22, 0))</f>
        <v>5202</v>
      </c>
      <c r="I211" s="403">
        <f>IF(I$5 &gt; Assumptions!L45, H211*(1+Revenue!H33), IF(I$5 = Assumptions!L45, Assumptions!AU22, 0))</f>
        <v>5306.04</v>
      </c>
      <c r="J211" s="403">
        <f>IF(J$5 &gt; Assumptions!M45, I211*(1+Revenue!I33), IF(J$5 = Assumptions!M45, Assumptions!AV22, 0))</f>
        <v>5412.1607999999997</v>
      </c>
      <c r="K211" s="403">
        <f>IF(K$5 &gt; Assumptions!N45, J211*(1+Revenue!J33), IF(K$5 = Assumptions!N45, Assumptions!AW22, 0))</f>
        <v>5520.4040159999995</v>
      </c>
      <c r="L211" s="403">
        <f>IF(L$5 &gt; Assumptions!O45, K211*(1+Revenue!K33), IF(L$5 = Assumptions!O45, Assumptions!AX22, 0))</f>
        <v>5630.8120963199999</v>
      </c>
    </row>
    <row r="212" spans="1:12">
      <c r="A212" s="408" t="s">
        <v>39</v>
      </c>
      <c r="B212" s="405"/>
      <c r="C212" s="403">
        <f>IF(C$5 &gt;= Assumptions!$G$45, Assumptions!AP23, 0)</f>
        <v>0</v>
      </c>
      <c r="D212" s="403">
        <f>IF(D$5 &gt; Assumptions!$G$45, C211*(1+Revenue!C33), IF(D$5 = Assumptions!$G$45, Assumptions!AP23, 0))</f>
        <v>0</v>
      </c>
      <c r="E212" s="403">
        <f>IF(E$5 &gt; Assumptions!$G$45, D211*(1+Revenue!D33), IF(E$5 = Assumptions!$G$45, Assumptions!AQ23, 0))</f>
        <v>0</v>
      </c>
      <c r="F212" s="403">
        <f>IF(F$5 &gt; Assumptions!$G$45, E211*(1+Revenue!E33), IF(F$5 = Assumptions!$G$45, Assumptions!AR23, 0))</f>
        <v>500</v>
      </c>
      <c r="G212" s="403">
        <f>IF(G$5 &gt; Assumptions!$G$45, F211*(1+Revenue!F33), IF(G$5 = Assumptions!$G$45, Assumptions!AS23, 0))</f>
        <v>5100</v>
      </c>
      <c r="H212" s="403">
        <f>IF(H$5 &gt; Assumptions!$G$45, G211*(1+Revenue!G33), IF(H$5 = Assumptions!$G$45, Assumptions!AT23, 0))</f>
        <v>5202</v>
      </c>
      <c r="I212" s="403">
        <f>IF(I$5 &gt; Assumptions!$G$45, H211*(1+Revenue!H33), IF(I$5 = Assumptions!$G$45, Assumptions!AU23, 0))</f>
        <v>5306.04</v>
      </c>
      <c r="J212" s="403">
        <f>IF(J$5 &gt; Assumptions!$G$45, I211*(1+Revenue!I33), IF(J$5 = Assumptions!$G$45, Assumptions!AV23, 0))</f>
        <v>5412.1607999999997</v>
      </c>
      <c r="K212" s="403">
        <f>IF(K$5 &gt; Assumptions!$G$45, J211*(1+Revenue!J33), IF(K$5 = Assumptions!$G$45, Assumptions!AW23, 0))</f>
        <v>5520.4040159999995</v>
      </c>
      <c r="L212" s="403">
        <f>IF(L$5 &gt; Assumptions!$G$45, K211*(1+Revenue!K33), IF(L$5 = Assumptions!$G$45, Assumptions!AX23, 0))</f>
        <v>5630.8120963199999</v>
      </c>
    </row>
    <row r="213" spans="1:12">
      <c r="A213" s="408"/>
      <c r="B213" s="405"/>
      <c r="C213" s="403"/>
      <c r="D213" s="403"/>
      <c r="E213" s="403"/>
      <c r="F213" s="403"/>
      <c r="G213" s="403"/>
      <c r="H213" s="403"/>
      <c r="I213" s="403"/>
      <c r="J213" s="403"/>
      <c r="K213" s="403"/>
      <c r="L213" s="403"/>
    </row>
    <row r="214" spans="1:12" ht="15.5">
      <c r="A214" s="409" t="s">
        <v>157</v>
      </c>
      <c r="B214" s="405"/>
      <c r="C214" s="403">
        <f t="shared" ref="C214:L214" si="89">SUM(C211:C212)</f>
        <v>0</v>
      </c>
      <c r="D214" s="403">
        <f t="shared" si="89"/>
        <v>0</v>
      </c>
      <c r="E214" s="403">
        <f t="shared" si="89"/>
        <v>0</v>
      </c>
      <c r="F214" s="403">
        <f t="shared" si="89"/>
        <v>5500</v>
      </c>
      <c r="G214" s="403">
        <f t="shared" si="89"/>
        <v>10200</v>
      </c>
      <c r="H214" s="403">
        <f t="shared" si="89"/>
        <v>10404</v>
      </c>
      <c r="I214" s="403">
        <f t="shared" si="89"/>
        <v>10612.08</v>
      </c>
      <c r="J214" s="403">
        <f t="shared" si="89"/>
        <v>10824.321599999999</v>
      </c>
      <c r="K214" s="403">
        <f t="shared" si="89"/>
        <v>11040.808031999999</v>
      </c>
      <c r="L214" s="403">
        <f t="shared" si="89"/>
        <v>11261.62419264</v>
      </c>
    </row>
    <row r="215" spans="1:12">
      <c r="A215" s="408"/>
      <c r="B215" s="405"/>
      <c r="C215" s="403"/>
      <c r="D215" s="403"/>
      <c r="E215" s="403"/>
      <c r="F215" s="403"/>
      <c r="G215" s="403"/>
      <c r="H215" s="403"/>
      <c r="I215" s="403"/>
      <c r="J215" s="403"/>
      <c r="K215" s="403"/>
      <c r="L215" s="403"/>
    </row>
    <row r="216" spans="1:12" ht="15.5">
      <c r="A216" s="409" t="s">
        <v>112</v>
      </c>
      <c r="B216" s="405"/>
      <c r="C216" s="403">
        <f t="shared" ref="C216:L216" si="90">C189+C208+C214</f>
        <v>0</v>
      </c>
      <c r="D216" s="403">
        <f t="shared" si="90"/>
        <v>0</v>
      </c>
      <c r="E216" s="403">
        <f t="shared" si="90"/>
        <v>0</v>
      </c>
      <c r="F216" s="403">
        <f t="shared" si="90"/>
        <v>5862850</v>
      </c>
      <c r="G216" s="403">
        <f t="shared" ca="1" si="90"/>
        <v>7932256.6733219465</v>
      </c>
      <c r="H216" s="403">
        <f t="shared" ca="1" si="90"/>
        <v>9241012.5281686876</v>
      </c>
      <c r="I216" s="403">
        <f t="shared" ca="1" si="90"/>
        <v>9952937.0730263013</v>
      </c>
      <c r="J216" s="403">
        <f t="shared" ca="1" si="90"/>
        <v>10750753.409584148</v>
      </c>
      <c r="K216" s="403">
        <f t="shared" ca="1" si="90"/>
        <v>11644013.890548225</v>
      </c>
      <c r="L216" s="403">
        <f t="shared" ca="1" si="90"/>
        <v>12646508.776045529</v>
      </c>
    </row>
    <row r="217" spans="1:12">
      <c r="A217" s="408"/>
      <c r="B217" s="405"/>
      <c r="C217" s="48"/>
      <c r="D217" s="48"/>
      <c r="E217" s="48"/>
      <c r="F217" s="48"/>
      <c r="G217" s="48"/>
      <c r="H217" s="48"/>
      <c r="I217" s="48"/>
      <c r="J217" s="48"/>
      <c r="K217" s="48"/>
      <c r="L217" s="48"/>
    </row>
    <row r="218" spans="1:12" ht="15.5">
      <c r="A218" s="409" t="s">
        <v>372</v>
      </c>
      <c r="B218" s="405"/>
      <c r="C218" s="403">
        <f>C175-C216</f>
        <v>0</v>
      </c>
      <c r="D218" s="403">
        <f t="shared" ref="D218:L218" si="91">D175-D216</f>
        <v>0</v>
      </c>
      <c r="E218" s="403">
        <f t="shared" si="91"/>
        <v>0</v>
      </c>
      <c r="F218" s="403">
        <f t="shared" si="91"/>
        <v>10166150</v>
      </c>
      <c r="G218" s="403">
        <f t="shared" ca="1" si="91"/>
        <v>13284091.99864421</v>
      </c>
      <c r="H218" s="403">
        <f t="shared" ca="1" si="91"/>
        <v>15497803.253956234</v>
      </c>
      <c r="I218" s="403">
        <f t="shared" ca="1" si="91"/>
        <v>16718064.292645918</v>
      </c>
      <c r="J218" s="403">
        <f t="shared" ca="1" si="91"/>
        <v>18084648.834762745</v>
      </c>
      <c r="K218" s="403">
        <f t="shared" ca="1" si="91"/>
        <v>19614219.811894104</v>
      </c>
      <c r="L218" s="403">
        <f t="shared" ca="1" si="91"/>
        <v>21330370.55800046</v>
      </c>
    </row>
    <row r="219" spans="1:12">
      <c r="A219" s="408"/>
      <c r="B219" s="405"/>
      <c r="C219" s="48"/>
      <c r="D219" s="48"/>
      <c r="E219" s="48"/>
      <c r="F219" s="48"/>
      <c r="G219" s="48"/>
      <c r="H219" s="48"/>
      <c r="I219" s="48"/>
      <c r="J219" s="48"/>
      <c r="K219" s="48"/>
      <c r="L219" s="48"/>
    </row>
    <row r="220" spans="1:12">
      <c r="A220" s="408" t="s">
        <v>159</v>
      </c>
      <c r="B220" s="405"/>
      <c r="C220" s="403">
        <v>0</v>
      </c>
      <c r="D220" s="403">
        <v>0</v>
      </c>
      <c r="E220" s="403">
        <v>0</v>
      </c>
      <c r="F220" s="403">
        <v>0</v>
      </c>
      <c r="G220" s="403">
        <v>0</v>
      </c>
      <c r="H220" s="403">
        <v>0</v>
      </c>
      <c r="I220" s="403">
        <v>0</v>
      </c>
      <c r="J220" s="403">
        <v>0</v>
      </c>
      <c r="K220" s="403">
        <v>0</v>
      </c>
      <c r="L220" s="403">
        <v>0</v>
      </c>
    </row>
    <row r="221" spans="1:12">
      <c r="A221" s="408" t="s">
        <v>160</v>
      </c>
      <c r="B221" s="405"/>
      <c r="C221" s="403">
        <v>0</v>
      </c>
      <c r="D221" s="403">
        <v>0</v>
      </c>
      <c r="E221" s="403">
        <v>0</v>
      </c>
      <c r="F221" s="403">
        <v>0</v>
      </c>
      <c r="G221" s="403">
        <v>0</v>
      </c>
      <c r="H221" s="403">
        <v>0</v>
      </c>
      <c r="I221" s="403">
        <v>0</v>
      </c>
      <c r="J221" s="403">
        <v>0</v>
      </c>
      <c r="K221" s="403">
        <v>0</v>
      </c>
      <c r="L221" s="403">
        <v>0</v>
      </c>
    </row>
    <row r="222" spans="1:12">
      <c r="A222" s="408"/>
      <c r="B222" s="405"/>
      <c r="C222" s="403"/>
      <c r="D222" s="403"/>
      <c r="E222" s="403"/>
      <c r="F222" s="403"/>
      <c r="G222" s="403"/>
      <c r="H222" s="403"/>
      <c r="I222" s="403"/>
      <c r="J222" s="403"/>
      <c r="K222" s="403"/>
      <c r="L222" s="403"/>
    </row>
    <row r="223" spans="1:12" ht="15.5">
      <c r="A223" s="409" t="s">
        <v>373</v>
      </c>
      <c r="B223" s="405"/>
      <c r="C223" s="403">
        <f>C218-C220-C221</f>
        <v>0</v>
      </c>
      <c r="D223" s="403">
        <f t="shared" ref="D223:L223" si="92">D218-D220-D221</f>
        <v>0</v>
      </c>
      <c r="E223" s="403">
        <f t="shared" si="92"/>
        <v>0</v>
      </c>
      <c r="F223" s="403">
        <f t="shared" si="92"/>
        <v>10166150</v>
      </c>
      <c r="G223" s="403">
        <f t="shared" ca="1" si="92"/>
        <v>13284091.99864421</v>
      </c>
      <c r="H223" s="403">
        <f t="shared" ca="1" si="92"/>
        <v>15497803.253956234</v>
      </c>
      <c r="I223" s="403">
        <f t="shared" ca="1" si="92"/>
        <v>16718064.292645918</v>
      </c>
      <c r="J223" s="403">
        <f t="shared" ca="1" si="92"/>
        <v>18084648.834762745</v>
      </c>
      <c r="K223" s="403">
        <f t="shared" ca="1" si="92"/>
        <v>19614219.811894104</v>
      </c>
      <c r="L223" s="403">
        <f t="shared" ca="1" si="92"/>
        <v>21330370.55800046</v>
      </c>
    </row>
    <row r="224" spans="1:12">
      <c r="A224" s="408"/>
      <c r="B224" s="405"/>
      <c r="C224" s="403"/>
      <c r="D224" s="403"/>
      <c r="E224" s="403"/>
      <c r="F224" s="403"/>
      <c r="G224" s="403"/>
      <c r="H224" s="403"/>
      <c r="I224" s="403"/>
      <c r="J224" s="403"/>
      <c r="K224" s="403"/>
      <c r="L224" s="403"/>
    </row>
    <row r="225" spans="1:12">
      <c r="A225" s="408" t="s">
        <v>162</v>
      </c>
      <c r="B225" s="405"/>
      <c r="C225" s="403">
        <v>0</v>
      </c>
      <c r="D225" s="403">
        <v>0</v>
      </c>
      <c r="E225" s="403">
        <v>0</v>
      </c>
      <c r="F225" s="403">
        <v>0</v>
      </c>
      <c r="G225" s="403">
        <v>0</v>
      </c>
      <c r="H225" s="403">
        <v>0</v>
      </c>
      <c r="I225" s="403">
        <v>0</v>
      </c>
      <c r="J225" s="403">
        <v>0</v>
      </c>
      <c r="K225" s="403">
        <v>0</v>
      </c>
      <c r="L225" s="403">
        <v>0</v>
      </c>
    </row>
    <row r="226" spans="1:12">
      <c r="A226" s="408"/>
      <c r="B226" s="405"/>
      <c r="C226" s="403"/>
      <c r="D226" s="403"/>
      <c r="E226" s="403"/>
      <c r="F226" s="403"/>
      <c r="G226" s="403"/>
      <c r="H226" s="403"/>
      <c r="I226" s="403"/>
      <c r="J226" s="403"/>
      <c r="K226" s="403"/>
      <c r="L226" s="403"/>
    </row>
    <row r="227" spans="1:12" ht="15.5">
      <c r="A227" s="409" t="s">
        <v>374</v>
      </c>
      <c r="B227" s="405"/>
      <c r="C227" s="403">
        <f>C223-C225</f>
        <v>0</v>
      </c>
      <c r="D227" s="403">
        <f t="shared" ref="D227:L227" si="93">D223-D225</f>
        <v>0</v>
      </c>
      <c r="E227" s="403">
        <f t="shared" si="93"/>
        <v>0</v>
      </c>
      <c r="F227" s="403">
        <f t="shared" si="93"/>
        <v>10166150</v>
      </c>
      <c r="G227" s="403">
        <f t="shared" ca="1" si="93"/>
        <v>13284091.99864421</v>
      </c>
      <c r="H227" s="403">
        <f t="shared" ca="1" si="93"/>
        <v>15497803.253956234</v>
      </c>
      <c r="I227" s="403">
        <f t="shared" ca="1" si="93"/>
        <v>16718064.292645918</v>
      </c>
      <c r="J227" s="403">
        <f t="shared" ca="1" si="93"/>
        <v>18084648.834762745</v>
      </c>
      <c r="K227" s="403">
        <f t="shared" ca="1" si="93"/>
        <v>19614219.811894104</v>
      </c>
      <c r="L227" s="403">
        <f t="shared" ca="1" si="93"/>
        <v>21330370.55800046</v>
      </c>
    </row>
    <row r="228" spans="1:12">
      <c r="A228" s="408"/>
      <c r="B228" s="405"/>
      <c r="C228" s="403"/>
      <c r="D228" s="403"/>
      <c r="E228" s="403"/>
      <c r="F228" s="403"/>
      <c r="G228" s="403"/>
      <c r="H228" s="403"/>
      <c r="I228" s="403"/>
      <c r="J228" s="403"/>
      <c r="K228" s="403"/>
      <c r="L228" s="403"/>
    </row>
    <row r="229" spans="1:12">
      <c r="A229" s="408" t="s">
        <v>164</v>
      </c>
      <c r="B229" s="405"/>
      <c r="C229" s="403">
        <f>C227*Assumptions!$Y$16</f>
        <v>0</v>
      </c>
      <c r="D229" s="403">
        <f>D227*Assumptions!$Y$16</f>
        <v>0</v>
      </c>
      <c r="E229" s="403">
        <f>E227*Assumptions!$Y$16</f>
        <v>0</v>
      </c>
      <c r="F229" s="403">
        <f>F227*Assumptions!$Y$16</f>
        <v>3761475.5</v>
      </c>
      <c r="G229" s="403">
        <f ca="1">G227*Assumptions!$Y$16</f>
        <v>4915114.039498358</v>
      </c>
      <c r="H229" s="403">
        <f ca="1">H227*Assumptions!$Y$16</f>
        <v>5734187.2039638069</v>
      </c>
      <c r="I229" s="403">
        <f ca="1">I227*Assumptions!$Y$16</f>
        <v>6185683.7882789895</v>
      </c>
      <c r="J229" s="403">
        <f ca="1">J227*Assumptions!$Y$16</f>
        <v>6691320.0688622156</v>
      </c>
      <c r="K229" s="403">
        <f ca="1">K227*Assumptions!$Y$16</f>
        <v>7257261.330400818</v>
      </c>
      <c r="L229" s="403">
        <f ca="1">L227*Assumptions!$Y$16</f>
        <v>7892237.1064601699</v>
      </c>
    </row>
    <row r="230" spans="1:12">
      <c r="A230" s="408"/>
      <c r="B230" s="405"/>
      <c r="C230" s="403"/>
      <c r="D230" s="403"/>
      <c r="E230" s="403"/>
      <c r="F230" s="403"/>
      <c r="G230" s="403"/>
      <c r="H230" s="403"/>
      <c r="I230" s="403"/>
      <c r="J230" s="403"/>
      <c r="K230" s="403"/>
      <c r="L230" s="403"/>
    </row>
    <row r="231" spans="1:12" ht="15.5">
      <c r="A231" s="409" t="s">
        <v>97</v>
      </c>
      <c r="B231" s="405"/>
      <c r="C231" s="403">
        <f>C227-C229</f>
        <v>0</v>
      </c>
      <c r="D231" s="403">
        <f t="shared" ref="D231:L231" si="94">D227-D229</f>
        <v>0</v>
      </c>
      <c r="E231" s="403">
        <f t="shared" si="94"/>
        <v>0</v>
      </c>
      <c r="F231" s="403">
        <f t="shared" si="94"/>
        <v>6404674.5</v>
      </c>
      <c r="G231" s="403">
        <f t="shared" ca="1" si="94"/>
        <v>8368977.9591458524</v>
      </c>
      <c r="H231" s="403">
        <f t="shared" ca="1" si="94"/>
        <v>9763616.0499924272</v>
      </c>
      <c r="I231" s="403">
        <f t="shared" ca="1" si="94"/>
        <v>10532380.504366929</v>
      </c>
      <c r="J231" s="403">
        <f t="shared" ca="1" si="94"/>
        <v>11393328.76590053</v>
      </c>
      <c r="K231" s="403">
        <f t="shared" ca="1" si="94"/>
        <v>12356958.481493287</v>
      </c>
      <c r="L231" s="403">
        <f t="shared" ca="1" si="94"/>
        <v>13438133.451540291</v>
      </c>
    </row>
    <row r="232" spans="1:12">
      <c r="A232" s="408"/>
      <c r="B232" s="405"/>
      <c r="C232" s="403"/>
      <c r="D232" s="403"/>
      <c r="E232" s="403"/>
      <c r="F232" s="403"/>
      <c r="G232" s="403"/>
      <c r="H232" s="403"/>
      <c r="I232" s="403"/>
      <c r="J232" s="403"/>
      <c r="K232" s="403"/>
      <c r="L232" s="403"/>
    </row>
    <row r="233" spans="1:12" ht="16" thickBot="1">
      <c r="A233" s="412" t="s">
        <v>165</v>
      </c>
      <c r="B233" s="406"/>
      <c r="C233" s="407">
        <f>C231</f>
        <v>0</v>
      </c>
      <c r="D233" s="407">
        <f t="shared" ref="D233:L233" si="95">C233+D231</f>
        <v>0</v>
      </c>
      <c r="E233" s="407">
        <f t="shared" si="95"/>
        <v>0</v>
      </c>
      <c r="F233" s="407">
        <f t="shared" si="95"/>
        <v>6404674.5</v>
      </c>
      <c r="G233" s="407">
        <f t="shared" ca="1" si="95"/>
        <v>14773652.459145851</v>
      </c>
      <c r="H233" s="407">
        <f t="shared" ca="1" si="95"/>
        <v>24537268.509138279</v>
      </c>
      <c r="I233" s="407">
        <f t="shared" ca="1" si="95"/>
        <v>35069649.013505206</v>
      </c>
      <c r="J233" s="407">
        <f t="shared" ca="1" si="95"/>
        <v>46462977.779405735</v>
      </c>
      <c r="K233" s="407">
        <f t="shared" ca="1" si="95"/>
        <v>58819936.260899022</v>
      </c>
      <c r="L233" s="407">
        <f t="shared" ca="1" si="95"/>
        <v>72258069.712439314</v>
      </c>
    </row>
    <row r="234" spans="1:12" ht="15" thickTop="1">
      <c r="B234" s="419"/>
      <c r="C234" s="420"/>
      <c r="D234" s="420"/>
      <c r="E234" s="420"/>
      <c r="F234" s="420"/>
      <c r="G234" s="420"/>
      <c r="H234" s="420"/>
      <c r="I234" s="420"/>
      <c r="J234" s="420"/>
      <c r="K234" s="420"/>
      <c r="L234" s="420"/>
    </row>
    <row r="235" spans="1:12" ht="15.5">
      <c r="A235" s="413" t="s">
        <v>352</v>
      </c>
      <c r="B235" s="405"/>
      <c r="C235" s="135"/>
      <c r="D235" s="135"/>
      <c r="E235" s="135"/>
      <c r="F235" s="135"/>
      <c r="G235" s="135"/>
      <c r="H235" s="135"/>
      <c r="I235" s="135"/>
      <c r="J235" s="135"/>
      <c r="K235" s="135"/>
      <c r="L235" s="136"/>
    </row>
    <row r="236" spans="1:12" ht="15.5">
      <c r="A236" s="414" t="s">
        <v>355</v>
      </c>
      <c r="B236" s="405"/>
      <c r="C236" s="48"/>
      <c r="D236" s="48"/>
      <c r="E236" s="48"/>
      <c r="F236" s="48"/>
      <c r="G236" s="48"/>
      <c r="H236" s="48"/>
      <c r="I236" s="48"/>
      <c r="J236" s="48"/>
      <c r="K236" s="48"/>
      <c r="L236" s="48"/>
    </row>
    <row r="237" spans="1:12">
      <c r="A237" s="415" t="s">
        <v>289</v>
      </c>
      <c r="B237" s="405"/>
      <c r="C237" s="133">
        <f>Revenue!Q68</f>
        <v>0</v>
      </c>
      <c r="D237" s="133">
        <f>Revenue!R68</f>
        <v>0</v>
      </c>
      <c r="E237" s="133">
        <f>Revenue!S68</f>
        <v>0</v>
      </c>
      <c r="F237" s="133">
        <f>Revenue!T68</f>
        <v>1540</v>
      </c>
      <c r="G237" s="133">
        <f ca="1">Revenue!U68</f>
        <v>1633.6098908043318</v>
      </c>
      <c r="H237" s="133">
        <f ca="1">Revenue!V68</f>
        <v>1738.6241374315953</v>
      </c>
      <c r="I237" s="133">
        <f ca="1">Revenue!W68</f>
        <v>1857.3224864345407</v>
      </c>
      <c r="J237" s="133">
        <f ca="1">Revenue!X68</f>
        <v>1989.0663242673386</v>
      </c>
      <c r="K237" s="133">
        <f ca="1">Revenue!Y68</f>
        <v>2135.2320079870315</v>
      </c>
      <c r="L237" s="133">
        <f ca="1">Revenue!Z68</f>
        <v>2299.1386463718959</v>
      </c>
    </row>
    <row r="238" spans="1:12">
      <c r="A238" s="415" t="s">
        <v>60</v>
      </c>
      <c r="B238" s="405"/>
      <c r="C238" s="403">
        <f>Revenue!C68</f>
        <v>0</v>
      </c>
      <c r="D238" s="403">
        <f>Revenue!D68</f>
        <v>0</v>
      </c>
      <c r="E238" s="403">
        <f>Revenue!E68</f>
        <v>0</v>
      </c>
      <c r="F238" s="403">
        <f>Revenue!F68</f>
        <v>5000</v>
      </c>
      <c r="G238" s="403">
        <f>Revenue!G68</f>
        <v>5157.5</v>
      </c>
      <c r="H238" s="403">
        <f>Revenue!H68</f>
        <v>5319.9612500000003</v>
      </c>
      <c r="I238" s="403">
        <f>Revenue!I68</f>
        <v>5487.5400293750008</v>
      </c>
      <c r="J238" s="403">
        <f>Revenue!J68</f>
        <v>5660.3975403003142</v>
      </c>
      <c r="K238" s="403">
        <f>Revenue!K68</f>
        <v>5838.7000628197748</v>
      </c>
      <c r="L238" s="403">
        <f>Revenue!L68</f>
        <v>6022.6191147985983</v>
      </c>
    </row>
    <row r="239" spans="1:12">
      <c r="A239" s="415" t="s">
        <v>366</v>
      </c>
      <c r="B239" s="405"/>
      <c r="C239" s="403">
        <f t="shared" ref="C239:L239" si="96">C237*C238</f>
        <v>0</v>
      </c>
      <c r="D239" s="403">
        <f t="shared" si="96"/>
        <v>0</v>
      </c>
      <c r="E239" s="403">
        <f t="shared" si="96"/>
        <v>0</v>
      </c>
      <c r="F239" s="403">
        <f t="shared" si="96"/>
        <v>7700000</v>
      </c>
      <c r="G239" s="403">
        <f t="shared" ca="1" si="96"/>
        <v>8425343.0118233413</v>
      </c>
      <c r="H239" s="403">
        <f t="shared" ca="1" si="96"/>
        <v>9249413.0394507628</v>
      </c>
      <c r="I239" s="403">
        <f t="shared" ca="1" si="96"/>
        <v>10192131.49176785</v>
      </c>
      <c r="J239" s="403">
        <f t="shared" ca="1" si="96"/>
        <v>11258906.12937703</v>
      </c>
      <c r="K239" s="403">
        <f t="shared" ca="1" si="96"/>
        <v>12466979.259168675</v>
      </c>
      <c r="L239" s="403">
        <f t="shared" ca="1" si="96"/>
        <v>13846836.359211555</v>
      </c>
    </row>
    <row r="240" spans="1:12" ht="15.5">
      <c r="A240" s="416" t="s">
        <v>356</v>
      </c>
      <c r="B240" s="405"/>
      <c r="C240" s="48"/>
      <c r="D240" s="48"/>
      <c r="E240" s="48"/>
      <c r="F240" s="48"/>
      <c r="G240" s="48"/>
      <c r="H240" s="48"/>
      <c r="I240" s="48"/>
      <c r="J240" s="48"/>
      <c r="K240" s="48"/>
      <c r="L240" s="48"/>
    </row>
    <row r="241" spans="1:12">
      <c r="A241" s="417" t="s">
        <v>358</v>
      </c>
      <c r="B241" s="405"/>
      <c r="C241" s="133">
        <f>Revenue!Q69</f>
        <v>0</v>
      </c>
      <c r="D241" s="133">
        <f>Revenue!R69</f>
        <v>0</v>
      </c>
      <c r="E241" s="133">
        <f>Revenue!S69</f>
        <v>0</v>
      </c>
      <c r="F241" s="133">
        <f>Revenue!T69</f>
        <v>1000</v>
      </c>
      <c r="G241" s="133">
        <f ca="1">Revenue!U69</f>
        <v>1100.82291599827</v>
      </c>
      <c r="H241" s="133">
        <f ca="1">Revenue!V69</f>
        <v>1215.0610679950016</v>
      </c>
      <c r="I241" s="133">
        <f ca="1">Revenue!W69</f>
        <v>1345.6150902754343</v>
      </c>
      <c r="J241" s="133">
        <f ca="1">Revenue!X69</f>
        <v>1494.7349135658712</v>
      </c>
      <c r="K241" s="133">
        <f ca="1">Revenue!Y69</f>
        <v>1666.1652869019508</v>
      </c>
      <c r="L241" s="133">
        <f ca="1">Revenue!Z69</f>
        <v>1861.9398123065648</v>
      </c>
    </row>
    <row r="242" spans="1:12">
      <c r="A242" s="417" t="s">
        <v>359</v>
      </c>
      <c r="B242" s="405"/>
      <c r="C242" s="403">
        <f>Revenue!C69</f>
        <v>0</v>
      </c>
      <c r="D242" s="403">
        <f>Revenue!D69</f>
        <v>0</v>
      </c>
      <c r="E242" s="403">
        <f>Revenue!E69</f>
        <v>0</v>
      </c>
      <c r="F242" s="403">
        <f>Revenue!F69</f>
        <v>7000</v>
      </c>
      <c r="G242" s="403">
        <f>Revenue!G69</f>
        <v>7220.5000000000009</v>
      </c>
      <c r="H242" s="403">
        <f>Revenue!H69</f>
        <v>7447.9457500000017</v>
      </c>
      <c r="I242" s="403">
        <f>Revenue!I69</f>
        <v>7682.5560411250026</v>
      </c>
      <c r="J242" s="403">
        <f>Revenue!J69</f>
        <v>7924.5565564204408</v>
      </c>
      <c r="K242" s="403">
        <f>Revenue!K69</f>
        <v>8174.180087947685</v>
      </c>
      <c r="L242" s="403">
        <f>Revenue!L69</f>
        <v>8431.666760718037</v>
      </c>
    </row>
    <row r="243" spans="1:12">
      <c r="A243" s="418" t="s">
        <v>366</v>
      </c>
      <c r="B243" s="405"/>
      <c r="C243" s="403">
        <f t="shared" ref="C243:L243" si="97">C241*C242</f>
        <v>0</v>
      </c>
      <c r="D243" s="403">
        <f t="shared" si="97"/>
        <v>0</v>
      </c>
      <c r="E243" s="403">
        <f t="shared" si="97"/>
        <v>0</v>
      </c>
      <c r="F243" s="403">
        <f t="shared" si="97"/>
        <v>7000000</v>
      </c>
      <c r="G243" s="403">
        <f t="shared" ca="1" si="97"/>
        <v>7948491.8649655096</v>
      </c>
      <c r="H243" s="403">
        <f t="shared" ca="1" si="97"/>
        <v>9049708.9173638355</v>
      </c>
      <c r="I243" s="403">
        <f t="shared" ca="1" si="97"/>
        <v>10337763.340824503</v>
      </c>
      <c r="J243" s="403">
        <f t="shared" ca="1" si="97"/>
        <v>11845111.359408965</v>
      </c>
      <c r="K243" s="403">
        <f t="shared" ca="1" si="97"/>
        <v>13619535.111423569</v>
      </c>
      <c r="L243" s="403">
        <f t="shared" ca="1" si="97"/>
        <v>15699256.025882844</v>
      </c>
    </row>
    <row r="244" spans="1:12" ht="15.5">
      <c r="A244" s="416" t="s">
        <v>357</v>
      </c>
      <c r="B244" s="405"/>
      <c r="C244" s="48"/>
      <c r="D244" s="48"/>
      <c r="E244" s="48"/>
      <c r="F244" s="48"/>
      <c r="G244" s="48"/>
      <c r="H244" s="48"/>
      <c r="I244" s="48"/>
      <c r="J244" s="48"/>
      <c r="K244" s="48"/>
      <c r="L244" s="48"/>
    </row>
    <row r="245" spans="1:12">
      <c r="A245" s="417" t="s">
        <v>358</v>
      </c>
      <c r="B245" s="405"/>
      <c r="C245" s="133">
        <f>Revenue!Q70</f>
        <v>0</v>
      </c>
      <c r="D245" s="133">
        <f>Revenue!R70</f>
        <v>0</v>
      </c>
      <c r="E245" s="133">
        <f>Revenue!S70</f>
        <v>0</v>
      </c>
      <c r="F245" s="133">
        <f>Revenue!T70</f>
        <v>1270</v>
      </c>
      <c r="G245" s="133">
        <f ca="1">Revenue!U70</f>
        <v>1310.1051905568047</v>
      </c>
      <c r="H245" s="133">
        <f ca="1">Revenue!V70</f>
        <v>1356.1576685412915</v>
      </c>
      <c r="I245" s="133">
        <f ca="1">Revenue!W70</f>
        <v>1409.2144485995916</v>
      </c>
      <c r="J245" s="133">
        <f ca="1">Revenue!X70</f>
        <v>1469.9241219457524</v>
      </c>
      <c r="K245" s="133">
        <f ca="1">Revenue!Y70</f>
        <v>1538.2166778562291</v>
      </c>
      <c r="L245" s="133">
        <f ca="1">Revenue!Z70</f>
        <v>1615.7824471372892</v>
      </c>
    </row>
    <row r="246" spans="1:12">
      <c r="A246" s="417" t="s">
        <v>359</v>
      </c>
      <c r="B246" s="405"/>
      <c r="C246" s="403">
        <f>Revenue!C70</f>
        <v>0</v>
      </c>
      <c r="D246" s="403">
        <f>Revenue!D70</f>
        <v>0</v>
      </c>
      <c r="E246" s="403">
        <f>Revenue!E70</f>
        <v>0</v>
      </c>
      <c r="F246" s="403">
        <f>Revenue!F70</f>
        <v>5000</v>
      </c>
      <c r="G246" s="403">
        <f>Revenue!G70</f>
        <v>5157.5</v>
      </c>
      <c r="H246" s="403">
        <f>Revenue!H70</f>
        <v>5319.9612500000003</v>
      </c>
      <c r="I246" s="403">
        <f>Revenue!I70</f>
        <v>5487.5400293750008</v>
      </c>
      <c r="J246" s="403">
        <f>Revenue!J70</f>
        <v>5660.3975403003142</v>
      </c>
      <c r="K246" s="403">
        <f>Revenue!K70</f>
        <v>5838.7000628197748</v>
      </c>
      <c r="L246" s="403">
        <f>Revenue!L70</f>
        <v>6022.6191147985983</v>
      </c>
    </row>
    <row r="247" spans="1:12">
      <c r="A247" s="418" t="s">
        <v>366</v>
      </c>
      <c r="B247" s="405"/>
      <c r="C247" s="403">
        <f t="shared" ref="C247:L247" si="98">C245*C246</f>
        <v>0</v>
      </c>
      <c r="D247" s="403">
        <f t="shared" si="98"/>
        <v>0</v>
      </c>
      <c r="E247" s="403">
        <f t="shared" si="98"/>
        <v>0</v>
      </c>
      <c r="F247" s="403">
        <f t="shared" si="98"/>
        <v>6350000</v>
      </c>
      <c r="G247" s="403">
        <f t="shared" ca="1" si="98"/>
        <v>6756867.5202967199</v>
      </c>
      <c r="H247" s="403">
        <f t="shared" ca="1" si="98"/>
        <v>7214706.2455300149</v>
      </c>
      <c r="I247" s="403">
        <f t="shared" ca="1" si="98"/>
        <v>7733120.6966638789</v>
      </c>
      <c r="J247" s="403">
        <f t="shared" ca="1" si="98"/>
        <v>8320354.8842898356</v>
      </c>
      <c r="K247" s="403">
        <f t="shared" ca="1" si="98"/>
        <v>8981185.81362959</v>
      </c>
      <c r="L247" s="403">
        <f t="shared" ca="1" si="98"/>
        <v>9731242.2514850926</v>
      </c>
    </row>
    <row r="248" spans="1:12" ht="15.5">
      <c r="A248" s="416" t="s">
        <v>360</v>
      </c>
      <c r="B248" s="405"/>
      <c r="C248" s="48"/>
      <c r="D248" s="48"/>
      <c r="E248" s="48"/>
      <c r="F248" s="48"/>
      <c r="G248" s="48"/>
      <c r="H248" s="48"/>
      <c r="I248" s="48"/>
      <c r="J248" s="48"/>
      <c r="K248" s="48"/>
      <c r="L248" s="48"/>
    </row>
    <row r="249" spans="1:12">
      <c r="A249" s="417" t="s">
        <v>358</v>
      </c>
      <c r="B249" s="405"/>
      <c r="C249" s="133">
        <f>Revenue!Q71</f>
        <v>0</v>
      </c>
      <c r="D249" s="133">
        <f>Revenue!R71</f>
        <v>0</v>
      </c>
      <c r="E249" s="133">
        <f>Revenue!S71</f>
        <v>0</v>
      </c>
      <c r="F249" s="133">
        <f>Revenue!T71</f>
        <v>0</v>
      </c>
      <c r="G249" s="133">
        <f>Revenue!U71</f>
        <v>635</v>
      </c>
      <c r="H249" s="133">
        <f ca="1">Revenue!V71</f>
        <v>668.00648286814442</v>
      </c>
      <c r="I249" s="133">
        <f ca="1">Revenue!W71</f>
        <v>704.59153779199596</v>
      </c>
      <c r="J249" s="133">
        <f ca="1">Revenue!X71</f>
        <v>745.35171079255895</v>
      </c>
      <c r="K249" s="133">
        <f ca="1">Revenue!Y71</f>
        <v>790.86630909575774</v>
      </c>
      <c r="L249" s="133">
        <f ca="1">Revenue!Z71</f>
        <v>842.11221091638379</v>
      </c>
    </row>
    <row r="250" spans="1:12">
      <c r="A250" s="417" t="s">
        <v>359</v>
      </c>
      <c r="B250" s="405"/>
      <c r="C250" s="403">
        <f>Revenue!C71</f>
        <v>0</v>
      </c>
      <c r="D250" s="403">
        <f>Revenue!D71</f>
        <v>0</v>
      </c>
      <c r="E250" s="403">
        <f>Revenue!E71</f>
        <v>0</v>
      </c>
      <c r="F250" s="403">
        <f>Revenue!F71</f>
        <v>0</v>
      </c>
      <c r="G250" s="403">
        <f>Revenue!G71</f>
        <v>9500</v>
      </c>
      <c r="H250" s="403">
        <f>Revenue!H71</f>
        <v>9799.25</v>
      </c>
      <c r="I250" s="403">
        <f>Revenue!I71</f>
        <v>10107.926375000001</v>
      </c>
      <c r="J250" s="403">
        <f>Revenue!J71</f>
        <v>10426.326055812502</v>
      </c>
      <c r="K250" s="403">
        <f>Revenue!K71</f>
        <v>10754.755326570597</v>
      </c>
      <c r="L250" s="403">
        <f>Revenue!L71</f>
        <v>11093.530119357572</v>
      </c>
    </row>
    <row r="251" spans="1:12">
      <c r="A251" s="418" t="s">
        <v>366</v>
      </c>
      <c r="B251" s="405"/>
      <c r="C251" s="403">
        <f t="shared" ref="C251:L251" si="99">C249*C250</f>
        <v>0</v>
      </c>
      <c r="D251" s="403">
        <f t="shared" si="99"/>
        <v>0</v>
      </c>
      <c r="E251" s="403">
        <f t="shared" si="99"/>
        <v>0</v>
      </c>
      <c r="F251" s="403">
        <f t="shared" si="99"/>
        <v>0</v>
      </c>
      <c r="G251" s="403">
        <f t="shared" si="99"/>
        <v>6032500</v>
      </c>
      <c r="H251" s="403">
        <f t="shared" ca="1" si="99"/>
        <v>6545962.527245664</v>
      </c>
      <c r="I251" s="403">
        <f t="shared" ca="1" si="99"/>
        <v>7121959.3884495255</v>
      </c>
      <c r="J251" s="403">
        <f t="shared" ca="1" si="99"/>
        <v>7771279.9629808823</v>
      </c>
      <c r="K251" s="403">
        <f t="shared" ca="1" si="99"/>
        <v>8505573.6503528282</v>
      </c>
      <c r="L251" s="403">
        <f t="shared" ca="1" si="99"/>
        <v>9341997.1756797004</v>
      </c>
    </row>
    <row r="252" spans="1:12" ht="15.5">
      <c r="A252" s="416" t="s">
        <v>362</v>
      </c>
      <c r="B252" s="405"/>
      <c r="C252" s="48"/>
      <c r="D252" s="48"/>
      <c r="E252" s="48"/>
      <c r="F252" s="48"/>
      <c r="G252" s="48"/>
      <c r="H252" s="48"/>
      <c r="I252" s="48"/>
      <c r="J252" s="48"/>
      <c r="K252" s="48"/>
      <c r="L252" s="48"/>
    </row>
    <row r="253" spans="1:12">
      <c r="A253" s="417" t="s">
        <v>358</v>
      </c>
      <c r="B253" s="405"/>
      <c r="C253" s="133">
        <f>Revenue!Q72</f>
        <v>0</v>
      </c>
      <c r="D253" s="133">
        <f>Revenue!R72</f>
        <v>0</v>
      </c>
      <c r="E253" s="133">
        <f>Revenue!S72</f>
        <v>0</v>
      </c>
      <c r="F253" s="133">
        <f>Revenue!T72</f>
        <v>0</v>
      </c>
      <c r="G253" s="133">
        <f>Revenue!U72</f>
        <v>0</v>
      </c>
      <c r="H253" s="133">
        <f>Revenue!V72</f>
        <v>318</v>
      </c>
      <c r="I253" s="133">
        <f ca="1">Revenue!W72</f>
        <v>336.27647678613528</v>
      </c>
      <c r="J253" s="133">
        <f ca="1">Revenue!X72</f>
        <v>356.81824945828737</v>
      </c>
      <c r="K253" s="133">
        <f ca="1">Revenue!Y72</f>
        <v>379.57621929495679</v>
      </c>
      <c r="L253" s="133">
        <f ca="1">Revenue!Z72</f>
        <v>405.00004561251399</v>
      </c>
    </row>
    <row r="254" spans="1:12">
      <c r="A254" s="417" t="s">
        <v>359</v>
      </c>
      <c r="B254" s="405"/>
      <c r="C254" s="403">
        <f>Revenue!C72</f>
        <v>0</v>
      </c>
      <c r="D254" s="403">
        <f>Revenue!D72</f>
        <v>0</v>
      </c>
      <c r="E254" s="403">
        <f>Revenue!E72</f>
        <v>0</v>
      </c>
      <c r="F254" s="403">
        <f>Revenue!F72</f>
        <v>0</v>
      </c>
      <c r="G254" s="403">
        <f>Revenue!G72</f>
        <v>0</v>
      </c>
      <c r="H254" s="403">
        <f>Revenue!H72</f>
        <v>10000</v>
      </c>
      <c r="I254" s="403">
        <f>Revenue!I72</f>
        <v>10315</v>
      </c>
      <c r="J254" s="403">
        <f>Revenue!J72</f>
        <v>10639.922500000001</v>
      </c>
      <c r="K254" s="403">
        <f>Revenue!K72</f>
        <v>10975.080058750002</v>
      </c>
      <c r="L254" s="403">
        <f>Revenue!L72</f>
        <v>11320.795080600628</v>
      </c>
    </row>
    <row r="255" spans="1:12">
      <c r="A255" s="418" t="s">
        <v>366</v>
      </c>
      <c r="B255" s="405"/>
      <c r="C255" s="403">
        <f t="shared" ref="C255:L255" si="100">C253*C254</f>
        <v>0</v>
      </c>
      <c r="D255" s="403">
        <f t="shared" si="100"/>
        <v>0</v>
      </c>
      <c r="E255" s="403">
        <f t="shared" si="100"/>
        <v>0</v>
      </c>
      <c r="F255" s="403">
        <f t="shared" si="100"/>
        <v>0</v>
      </c>
      <c r="G255" s="403">
        <f t="shared" si="100"/>
        <v>0</v>
      </c>
      <c r="H255" s="403">
        <f t="shared" si="100"/>
        <v>3180000</v>
      </c>
      <c r="I255" s="403">
        <f t="shared" ca="1" si="100"/>
        <v>3468691.8580489852</v>
      </c>
      <c r="J255" s="403">
        <f t="shared" ca="1" si="100"/>
        <v>3796518.5208218447</v>
      </c>
      <c r="K255" s="403">
        <f t="shared" ca="1" si="100"/>
        <v>4165879.3951597977</v>
      </c>
      <c r="L255" s="403">
        <f t="shared" ca="1" si="100"/>
        <v>4584922.5240131784</v>
      </c>
    </row>
    <row r="256" spans="1:12" ht="15.5">
      <c r="A256" s="416" t="s">
        <v>361</v>
      </c>
      <c r="B256" s="405"/>
      <c r="C256" s="48"/>
      <c r="D256" s="48"/>
      <c r="E256" s="48"/>
      <c r="F256" s="48"/>
      <c r="G256" s="48"/>
      <c r="H256" s="48"/>
      <c r="I256" s="48"/>
      <c r="J256" s="48"/>
      <c r="K256" s="48"/>
      <c r="L256" s="48"/>
    </row>
    <row r="257" spans="1:12">
      <c r="A257" s="417" t="s">
        <v>358</v>
      </c>
      <c r="B257" s="405"/>
      <c r="C257" s="133">
        <f>Revenue!Q73</f>
        <v>0</v>
      </c>
      <c r="D257" s="133">
        <f>Revenue!R73</f>
        <v>0</v>
      </c>
      <c r="E257" s="133">
        <f>Revenue!S73</f>
        <v>0</v>
      </c>
      <c r="F257" s="133">
        <f>Revenue!T73</f>
        <v>1900</v>
      </c>
      <c r="G257" s="133">
        <f ca="1">Revenue!U73</f>
        <v>1921.5637911475269</v>
      </c>
      <c r="H257" s="133">
        <f ca="1">Revenue!V73</f>
        <v>1950.9365870940844</v>
      </c>
      <c r="I257" s="133">
        <f ca="1">Revenue!W73</f>
        <v>1987.6761692490732</v>
      </c>
      <c r="J257" s="133">
        <f ca="1">Revenue!X73</f>
        <v>2030.9204456944046</v>
      </c>
      <c r="K257" s="133">
        <f ca="1">Revenue!Y73</f>
        <v>2080.2382576436826</v>
      </c>
      <c r="L257" s="133">
        <f ca="1">Revenue!Z73</f>
        <v>2138.3359518957595</v>
      </c>
    </row>
    <row r="258" spans="1:12">
      <c r="A258" s="417" t="s">
        <v>359</v>
      </c>
      <c r="B258" s="405"/>
      <c r="C258" s="403">
        <f>Revenue!C73</f>
        <v>0</v>
      </c>
      <c r="D258" s="403">
        <f>Revenue!D73</f>
        <v>0</v>
      </c>
      <c r="E258" s="403">
        <f>Revenue!E73</f>
        <v>0</v>
      </c>
      <c r="F258" s="403">
        <f>Revenue!F73</f>
        <v>1900</v>
      </c>
      <c r="G258" s="403">
        <f>Revenue!G73</f>
        <v>1959.8500000000001</v>
      </c>
      <c r="H258" s="403">
        <f>Revenue!H73</f>
        <v>2021.5852750000004</v>
      </c>
      <c r="I258" s="403">
        <f>Revenue!I73</f>
        <v>2085.2652111625007</v>
      </c>
      <c r="J258" s="403">
        <f>Revenue!J73</f>
        <v>2150.9510653141197</v>
      </c>
      <c r="K258" s="403">
        <f>Revenue!K73</f>
        <v>2218.7060238715144</v>
      </c>
      <c r="L258" s="403">
        <f>Revenue!L73</f>
        <v>2288.5952636234674</v>
      </c>
    </row>
    <row r="259" spans="1:12">
      <c r="A259" s="418" t="s">
        <v>366</v>
      </c>
      <c r="B259" s="405"/>
      <c r="C259" s="403">
        <f t="shared" ref="C259:L259" si="101">C257*C258</f>
        <v>0</v>
      </c>
      <c r="D259" s="403">
        <f t="shared" si="101"/>
        <v>0</v>
      </c>
      <c r="E259" s="403">
        <f t="shared" si="101"/>
        <v>0</v>
      </c>
      <c r="F259" s="403">
        <f t="shared" si="101"/>
        <v>3610000</v>
      </c>
      <c r="G259" s="403">
        <f t="shared" ca="1" si="101"/>
        <v>3765976.7960804808</v>
      </c>
      <c r="H259" s="403">
        <f t="shared" ca="1" si="101"/>
        <v>3943984.676928157</v>
      </c>
      <c r="I259" s="403">
        <f t="shared" ca="1" si="101"/>
        <v>4144831.9667918389</v>
      </c>
      <c r="J259" s="403">
        <f t="shared" ca="1" si="101"/>
        <v>4368410.496234606</v>
      </c>
      <c r="K259" s="403">
        <f t="shared" ca="1" si="101"/>
        <v>4615437.1533220215</v>
      </c>
      <c r="L259" s="403">
        <f t="shared" ca="1" si="101"/>
        <v>4893785.5315444143</v>
      </c>
    </row>
    <row r="260" spans="1:12" ht="15.5">
      <c r="A260" s="416" t="s">
        <v>363</v>
      </c>
      <c r="B260" s="405"/>
      <c r="C260" s="48"/>
      <c r="D260" s="48"/>
      <c r="E260" s="48"/>
      <c r="F260" s="48"/>
      <c r="G260" s="48"/>
      <c r="H260" s="48"/>
      <c r="I260" s="48"/>
      <c r="J260" s="48"/>
      <c r="K260" s="48"/>
      <c r="L260" s="48"/>
    </row>
    <row r="261" spans="1:12">
      <c r="A261" s="417" t="s">
        <v>358</v>
      </c>
      <c r="B261" s="405"/>
      <c r="C261" s="133">
        <f>Revenue!Q74</f>
        <v>0</v>
      </c>
      <c r="D261" s="133">
        <f>Revenue!R74</f>
        <v>0</v>
      </c>
      <c r="E261" s="133">
        <f>Revenue!S74</f>
        <v>0</v>
      </c>
      <c r="F261" s="133">
        <f>Revenue!T74</f>
        <v>400</v>
      </c>
      <c r="G261" s="133">
        <f ca="1">Revenue!U74</f>
        <v>752.53974550474254</v>
      </c>
      <c r="H261" s="133">
        <f ca="1">Revenue!V74</f>
        <v>1060.8239310934509</v>
      </c>
      <c r="I261" s="133">
        <f ca="1">Revenue!W74</f>
        <v>1330.4495266288568</v>
      </c>
      <c r="J261" s="133">
        <f ca="1">Revenue!X74</f>
        <v>1566.1935673967414</v>
      </c>
      <c r="K261" s="133">
        <f ca="1">Revenue!Y74</f>
        <v>1772.3017948325075</v>
      </c>
      <c r="L261" s="133">
        <f ca="1">Revenue!Z74</f>
        <v>1953.0739153698498</v>
      </c>
    </row>
    <row r="262" spans="1:12">
      <c r="A262" s="417" t="s">
        <v>359</v>
      </c>
      <c r="B262" s="405"/>
      <c r="C262" s="403">
        <f>Revenue!C74</f>
        <v>0</v>
      </c>
      <c r="D262" s="403">
        <f>Revenue!D74</f>
        <v>0</v>
      </c>
      <c r="E262" s="403">
        <f>Revenue!E74</f>
        <v>0</v>
      </c>
      <c r="F262" s="403">
        <f>Revenue!F74</f>
        <v>0</v>
      </c>
      <c r="G262" s="403">
        <f>Revenue!G74</f>
        <v>500</v>
      </c>
      <c r="H262" s="403">
        <f>Revenue!H74</f>
        <v>500</v>
      </c>
      <c r="I262" s="403">
        <f>Revenue!I74</f>
        <v>500</v>
      </c>
      <c r="J262" s="403">
        <f>Revenue!J74</f>
        <v>500</v>
      </c>
      <c r="K262" s="403">
        <f>Revenue!K74</f>
        <v>500</v>
      </c>
      <c r="L262" s="403">
        <f>Revenue!L74</f>
        <v>500</v>
      </c>
    </row>
    <row r="263" spans="1:12">
      <c r="A263" s="418" t="s">
        <v>366</v>
      </c>
      <c r="B263" s="405"/>
      <c r="C263" s="403">
        <f t="shared" ref="C263:L263" si="102">C261*C262</f>
        <v>0</v>
      </c>
      <c r="D263" s="403">
        <f t="shared" si="102"/>
        <v>0</v>
      </c>
      <c r="E263" s="403">
        <f t="shared" si="102"/>
        <v>0</v>
      </c>
      <c r="F263" s="403">
        <f t="shared" si="102"/>
        <v>0</v>
      </c>
      <c r="G263" s="403">
        <f t="shared" ca="1" si="102"/>
        <v>376269.87275237124</v>
      </c>
      <c r="H263" s="403">
        <f t="shared" ca="1" si="102"/>
        <v>530411.96554672543</v>
      </c>
      <c r="I263" s="403">
        <f t="shared" ca="1" si="102"/>
        <v>665224.76331442839</v>
      </c>
      <c r="J263" s="403">
        <f t="shared" ca="1" si="102"/>
        <v>783096.78369837068</v>
      </c>
      <c r="K263" s="403">
        <f t="shared" ca="1" si="102"/>
        <v>886150.89741625381</v>
      </c>
      <c r="L263" s="403">
        <f t="shared" ca="1" si="102"/>
        <v>976536.95768492494</v>
      </c>
    </row>
    <row r="264" spans="1:12" ht="15.5">
      <c r="A264" s="416" t="s">
        <v>364</v>
      </c>
      <c r="B264" s="405"/>
      <c r="C264" s="48"/>
      <c r="D264" s="48"/>
      <c r="E264" s="48"/>
      <c r="F264" s="48"/>
      <c r="G264" s="48"/>
      <c r="H264" s="48"/>
      <c r="I264" s="48"/>
      <c r="J264" s="48"/>
      <c r="K264" s="48"/>
      <c r="L264" s="48"/>
    </row>
    <row r="265" spans="1:12">
      <c r="A265" s="417" t="s">
        <v>358</v>
      </c>
      <c r="B265" s="405"/>
      <c r="C265" s="133">
        <f>Revenue!Q75</f>
        <v>0</v>
      </c>
      <c r="D265" s="133">
        <f>Revenue!R75</f>
        <v>0</v>
      </c>
      <c r="E265" s="133">
        <f>Revenue!S75</f>
        <v>0</v>
      </c>
      <c r="F265" s="133">
        <f>Revenue!T75</f>
        <v>0</v>
      </c>
      <c r="G265" s="133">
        <f>Revenue!U75</f>
        <v>300</v>
      </c>
      <c r="H265" s="133">
        <f ca="1">Revenue!V75</f>
        <v>304.31533225710291</v>
      </c>
      <c r="I265" s="133">
        <f ca="1">Revenue!W75</f>
        <v>309.89286694356105</v>
      </c>
      <c r="J265" s="133">
        <f ca="1">Revenue!X75</f>
        <v>316.74077056366866</v>
      </c>
      <c r="K265" s="133">
        <f ca="1">Revenue!Y75</f>
        <v>324.69639233857015</v>
      </c>
      <c r="L265" s="133">
        <f ca="1">Revenue!Z75</f>
        <v>334.13921106963016</v>
      </c>
    </row>
    <row r="266" spans="1:12">
      <c r="A266" s="417" t="s">
        <v>359</v>
      </c>
      <c r="B266" s="405"/>
      <c r="C266" s="403">
        <f>Revenue!C75</f>
        <v>0</v>
      </c>
      <c r="D266" s="403">
        <f>Revenue!D75</f>
        <v>0</v>
      </c>
      <c r="E266" s="403">
        <f>Revenue!E75</f>
        <v>0</v>
      </c>
      <c r="F266" s="403">
        <f>Revenue!F75</f>
        <v>0</v>
      </c>
      <c r="G266" s="403">
        <f>Revenue!G75</f>
        <v>500</v>
      </c>
      <c r="H266" s="403">
        <f>Revenue!H75</f>
        <v>515.75</v>
      </c>
      <c r="I266" s="403">
        <f>Revenue!I75</f>
        <v>531.99612500000001</v>
      </c>
      <c r="J266" s="403">
        <f>Revenue!J75</f>
        <v>548.7540029375001</v>
      </c>
      <c r="K266" s="403">
        <f>Revenue!K75</f>
        <v>566.03975403003142</v>
      </c>
      <c r="L266" s="403">
        <f>Revenue!L75</f>
        <v>583.87000628197745</v>
      </c>
    </row>
    <row r="267" spans="1:12">
      <c r="A267" s="418" t="s">
        <v>366</v>
      </c>
      <c r="B267" s="405"/>
      <c r="C267" s="403">
        <f t="shared" ref="C267:L267" si="103">C265*C266</f>
        <v>0</v>
      </c>
      <c r="D267" s="403">
        <f t="shared" si="103"/>
        <v>0</v>
      </c>
      <c r="E267" s="403">
        <f t="shared" si="103"/>
        <v>0</v>
      </c>
      <c r="F267" s="403">
        <f t="shared" si="103"/>
        <v>0</v>
      </c>
      <c r="G267" s="403">
        <f t="shared" si="103"/>
        <v>150000</v>
      </c>
      <c r="H267" s="403">
        <f t="shared" ca="1" si="103"/>
        <v>156950.63261160083</v>
      </c>
      <c r="I267" s="403">
        <f t="shared" ca="1" si="103"/>
        <v>164861.80437911508</v>
      </c>
      <c r="J267" s="403">
        <f t="shared" ca="1" si="103"/>
        <v>173812.76574032148</v>
      </c>
      <c r="K267" s="403">
        <f t="shared" ca="1" si="103"/>
        <v>183791.06605376283</v>
      </c>
      <c r="L267" s="403">
        <f t="shared" ca="1" si="103"/>
        <v>195093.86326627995</v>
      </c>
    </row>
    <row r="268" spans="1:12" ht="15.5">
      <c r="A268" s="416" t="s">
        <v>365</v>
      </c>
      <c r="B268" s="405"/>
      <c r="C268" s="48"/>
      <c r="D268" s="48"/>
      <c r="E268" s="48"/>
      <c r="F268" s="48"/>
      <c r="G268" s="48"/>
      <c r="H268" s="48"/>
      <c r="I268" s="48"/>
      <c r="J268" s="48"/>
      <c r="K268" s="48"/>
      <c r="L268" s="48"/>
    </row>
    <row r="269" spans="1:12">
      <c r="A269" s="417" t="s">
        <v>358</v>
      </c>
      <c r="B269" s="405"/>
      <c r="C269" s="133">
        <f>Revenue!Q76</f>
        <v>0</v>
      </c>
      <c r="D269" s="133">
        <f>Revenue!R76</f>
        <v>0</v>
      </c>
      <c r="E269" s="133">
        <f>Revenue!S76</f>
        <v>0</v>
      </c>
      <c r="F269" s="133">
        <f>Revenue!T76</f>
        <v>0</v>
      </c>
      <c r="G269" s="133">
        <f>Revenue!U76</f>
        <v>1500</v>
      </c>
      <c r="H269" s="133">
        <f ca="1">Revenue!V76</f>
        <v>1521.709446312442</v>
      </c>
      <c r="I269" s="133">
        <f ca="1">Revenue!W76</f>
        <v>1549.0098393665651</v>
      </c>
      <c r="J269" s="133">
        <f ca="1">Revenue!X76</f>
        <v>1581.5218980773957</v>
      </c>
      <c r="K269" s="133">
        <f ca="1">Revenue!Y76</f>
        <v>1621.0108612497311</v>
      </c>
      <c r="L269" s="133">
        <f ca="1">Revenue!Z76</f>
        <v>1665.6996179602318</v>
      </c>
    </row>
    <row r="270" spans="1:12">
      <c r="A270" s="417" t="s">
        <v>359</v>
      </c>
      <c r="B270" s="405"/>
      <c r="C270" s="403">
        <f>Revenue!C76</f>
        <v>0</v>
      </c>
      <c r="D270" s="403">
        <f>Revenue!D76</f>
        <v>0</v>
      </c>
      <c r="E270" s="403">
        <f>Revenue!E76</f>
        <v>0</v>
      </c>
      <c r="F270" s="403">
        <f>Revenue!F76</f>
        <v>0</v>
      </c>
      <c r="G270" s="403">
        <f>Revenue!G76</f>
        <v>300</v>
      </c>
      <c r="H270" s="403">
        <f>Revenue!H76</f>
        <v>309.45000000000005</v>
      </c>
      <c r="I270" s="403">
        <f>Revenue!I76</f>
        <v>319.19767500000006</v>
      </c>
      <c r="J270" s="403">
        <f>Revenue!J76</f>
        <v>329.25240176250009</v>
      </c>
      <c r="K270" s="403">
        <f>Revenue!K76</f>
        <v>339.62385241801888</v>
      </c>
      <c r="L270" s="403">
        <f>Revenue!L76</f>
        <v>350.32200376918649</v>
      </c>
    </row>
    <row r="271" spans="1:12">
      <c r="A271" s="417" t="s">
        <v>366</v>
      </c>
      <c r="B271" s="405"/>
      <c r="C271" s="403">
        <f t="shared" ref="C271:L271" si="104">C269*C270</f>
        <v>0</v>
      </c>
      <c r="D271" s="403">
        <f t="shared" si="104"/>
        <v>0</v>
      </c>
      <c r="E271" s="403">
        <f t="shared" si="104"/>
        <v>0</v>
      </c>
      <c r="F271" s="403">
        <f t="shared" si="104"/>
        <v>0</v>
      </c>
      <c r="G271" s="403">
        <f t="shared" si="104"/>
        <v>450000</v>
      </c>
      <c r="H271" s="403">
        <f t="shared" ca="1" si="104"/>
        <v>470892.98816138523</v>
      </c>
      <c r="I271" s="403">
        <f t="shared" ca="1" si="104"/>
        <v>494440.33927793114</v>
      </c>
      <c r="J271" s="403">
        <f t="shared" ca="1" si="104"/>
        <v>520719.8833819704</v>
      </c>
      <c r="K271" s="403">
        <f t="shared" ca="1" si="104"/>
        <v>550533.9535090843</v>
      </c>
      <c r="L271" s="403">
        <f t="shared" ca="1" si="104"/>
        <v>583531.22784139682</v>
      </c>
    </row>
    <row r="272" spans="1:12">
      <c r="A272" s="418"/>
      <c r="B272" s="405"/>
      <c r="C272" s="48"/>
      <c r="D272" s="48"/>
      <c r="E272" s="48"/>
      <c r="F272" s="48"/>
      <c r="G272" s="48"/>
      <c r="H272" s="48"/>
      <c r="I272" s="48"/>
      <c r="J272" s="48"/>
      <c r="K272" s="48"/>
      <c r="L272" s="138"/>
    </row>
    <row r="273" spans="1:12" ht="15.5">
      <c r="A273" s="409" t="s">
        <v>367</v>
      </c>
      <c r="B273" s="405"/>
      <c r="C273" s="403">
        <f>SUM(C271,C267,C263,C259,C255,C251,C247,C243,C239)</f>
        <v>0</v>
      </c>
      <c r="D273" s="403">
        <f t="shared" ref="D273:L273" si="105">SUM(D271,D267,D263,D259,D255,D251,D247,D243,D239)</f>
        <v>0</v>
      </c>
      <c r="E273" s="403">
        <f t="shared" si="105"/>
        <v>0</v>
      </c>
      <c r="F273" s="403">
        <f t="shared" si="105"/>
        <v>24660000</v>
      </c>
      <c r="G273" s="403">
        <f t="shared" ca="1" si="105"/>
        <v>33905449.065918423</v>
      </c>
      <c r="H273" s="403">
        <f t="shared" ca="1" si="105"/>
        <v>40342030.992838152</v>
      </c>
      <c r="I273" s="403">
        <f t="shared" ca="1" si="105"/>
        <v>44323025.649518058</v>
      </c>
      <c r="J273" s="403">
        <f t="shared" ca="1" si="105"/>
        <v>48838210.785933822</v>
      </c>
      <c r="K273" s="403">
        <f t="shared" ca="1" si="105"/>
        <v>53975066.300035581</v>
      </c>
      <c r="L273" s="403">
        <f t="shared" ca="1" si="105"/>
        <v>59853201.916609384</v>
      </c>
    </row>
    <row r="274" spans="1:12">
      <c r="A274" s="408"/>
      <c r="B274" s="405"/>
      <c r="C274" s="48"/>
      <c r="D274" s="48"/>
      <c r="E274" s="48"/>
      <c r="F274" s="48"/>
      <c r="G274" s="48"/>
      <c r="H274" s="48"/>
      <c r="I274" s="48"/>
      <c r="J274" s="48"/>
      <c r="K274" s="48"/>
      <c r="L274" s="48"/>
    </row>
    <row r="275" spans="1:12" ht="18.5">
      <c r="A275" s="411" t="s">
        <v>152</v>
      </c>
      <c r="B275" s="405"/>
      <c r="C275" s="48"/>
      <c r="D275" s="48"/>
      <c r="E275" s="48"/>
      <c r="F275" s="48"/>
      <c r="G275" s="48"/>
      <c r="H275" s="48"/>
      <c r="I275" s="48"/>
      <c r="J275" s="48"/>
      <c r="K275" s="48"/>
      <c r="L275" s="48"/>
    </row>
    <row r="276" spans="1:12" ht="15.5">
      <c r="A276" s="409" t="s">
        <v>296</v>
      </c>
      <c r="B276" s="405"/>
      <c r="C276" s="135">
        <f>Assumptions!$Q$45*(C239+C243)</f>
        <v>0</v>
      </c>
      <c r="D276" s="135">
        <f>Assumptions!$Q$45*(D239+D243)</f>
        <v>0</v>
      </c>
      <c r="E276" s="135">
        <f>Assumptions!$Q$45*(E239+E243)</f>
        <v>0</v>
      </c>
      <c r="F276" s="135">
        <f>Assumptions!$Q$45*(F239+F243)</f>
        <v>5145000</v>
      </c>
      <c r="G276" s="135">
        <f ca="1">Assumptions!$Q$45*(G239+G243)</f>
        <v>5730842.2068760972</v>
      </c>
      <c r="H276" s="135">
        <f ca="1">Assumptions!$Q$45*(H239+H243)</f>
        <v>6404692.6848851088</v>
      </c>
      <c r="I276" s="135">
        <f ca="1">Assumptions!$Q$45*(I239+I243)</f>
        <v>7185463.1914073229</v>
      </c>
      <c r="J276" s="135">
        <f ca="1">Assumptions!$Q$45*(J239+J243)</f>
        <v>8086406.1210750984</v>
      </c>
      <c r="K276" s="135">
        <f ca="1">Assumptions!$Q$45*(K239+K243)</f>
        <v>9130280.0297072846</v>
      </c>
      <c r="L276" s="135">
        <f ca="1">Assumptions!$Q$45*(L239+L243)</f>
        <v>10341132.334783038</v>
      </c>
    </row>
    <row r="277" spans="1:12" ht="15.5">
      <c r="A277" s="409" t="s">
        <v>297</v>
      </c>
      <c r="B277" s="405"/>
      <c r="C277" s="135">
        <f>Assumptions!$Q$47*C247</f>
        <v>0</v>
      </c>
      <c r="D277" s="135">
        <f>Assumptions!$Q$47*D247</f>
        <v>0</v>
      </c>
      <c r="E277" s="135">
        <f>Assumptions!$Q$47*E247</f>
        <v>0</v>
      </c>
      <c r="F277" s="135">
        <f>Assumptions!$Q$47*F247</f>
        <v>2222500</v>
      </c>
      <c r="G277" s="135">
        <f ca="1">Assumptions!$Q$47*G247</f>
        <v>2364903.632103852</v>
      </c>
      <c r="H277" s="135">
        <f ca="1">Assumptions!$Q$47*H247</f>
        <v>2525147.1859355052</v>
      </c>
      <c r="I277" s="135">
        <f ca="1">Assumptions!$Q$47*I247</f>
        <v>2706592.2438323572</v>
      </c>
      <c r="J277" s="135">
        <f ca="1">Assumptions!$Q$47*J247</f>
        <v>2912124.2095014425</v>
      </c>
      <c r="K277" s="135">
        <f ca="1">Assumptions!$Q$47*K247</f>
        <v>3143415.0347703565</v>
      </c>
      <c r="L277" s="135">
        <f ca="1">Assumptions!$Q$47*L247</f>
        <v>3405934.7880197824</v>
      </c>
    </row>
    <row r="278" spans="1:12" ht="15.5">
      <c r="A278" s="409" t="s">
        <v>298</v>
      </c>
      <c r="B278" s="405"/>
      <c r="C278" s="135">
        <f>Assumptions!$Q$48*C251</f>
        <v>0</v>
      </c>
      <c r="D278" s="135">
        <f>Assumptions!$Q$48*D251</f>
        <v>0</v>
      </c>
      <c r="E278" s="135">
        <f>Assumptions!$Q$48*E251</f>
        <v>0</v>
      </c>
      <c r="F278" s="135">
        <f>Assumptions!$Q$48*F251</f>
        <v>0</v>
      </c>
      <c r="G278" s="135">
        <f>Assumptions!$Q$48*G251</f>
        <v>2413000</v>
      </c>
      <c r="H278" s="135">
        <f ca="1">Assumptions!$Q$48*H251</f>
        <v>2618385.010898266</v>
      </c>
      <c r="I278" s="135">
        <f ca="1">Assumptions!$Q$48*I251</f>
        <v>2848783.7553798105</v>
      </c>
      <c r="J278" s="135">
        <f ca="1">Assumptions!$Q$48*J251</f>
        <v>3108511.9851923529</v>
      </c>
      <c r="K278" s="135">
        <f ca="1">Assumptions!$Q$48*K251</f>
        <v>3402229.4601411317</v>
      </c>
      <c r="L278" s="135">
        <f ca="1">Assumptions!$Q$48*L251</f>
        <v>3736798.8702718802</v>
      </c>
    </row>
    <row r="279" spans="1:12" ht="15.5">
      <c r="A279" s="409" t="s">
        <v>299</v>
      </c>
      <c r="B279" s="405"/>
      <c r="C279" s="135">
        <f>Assumptions!$Q$49*C255</f>
        <v>0</v>
      </c>
      <c r="D279" s="135">
        <f>Assumptions!$Q$49*D255</f>
        <v>0</v>
      </c>
      <c r="E279" s="135">
        <f>Assumptions!$Q$49*E255</f>
        <v>0</v>
      </c>
      <c r="F279" s="135">
        <f>Assumptions!$Q$49*F255</f>
        <v>0</v>
      </c>
      <c r="G279" s="135">
        <f>Assumptions!$Q$49*G255</f>
        <v>0</v>
      </c>
      <c r="H279" s="135">
        <f>Assumptions!$Q$49*H255</f>
        <v>1272000</v>
      </c>
      <c r="I279" s="135">
        <f ca="1">Assumptions!$Q$49*I255</f>
        <v>1387476.7432195942</v>
      </c>
      <c r="J279" s="135">
        <f ca="1">Assumptions!$Q$49*J255</f>
        <v>1518607.4083287381</v>
      </c>
      <c r="K279" s="135">
        <f ca="1">Assumptions!$Q$49*K255</f>
        <v>1666351.7580639191</v>
      </c>
      <c r="L279" s="135">
        <f ca="1">Assumptions!$Q$49*L255</f>
        <v>1833969.0096052715</v>
      </c>
    </row>
    <row r="280" spans="1:12" ht="15.5">
      <c r="A280" s="409" t="s">
        <v>368</v>
      </c>
      <c r="B280" s="405"/>
      <c r="C280" s="135">
        <f>Assumptions!$Q$50*C259</f>
        <v>0</v>
      </c>
      <c r="D280" s="135">
        <f>Assumptions!$Q$50*D259</f>
        <v>0</v>
      </c>
      <c r="E280" s="135">
        <f>Assumptions!$Q$50*E259</f>
        <v>0</v>
      </c>
      <c r="F280" s="135">
        <f>Assumptions!$Q$50*F259</f>
        <v>1263500</v>
      </c>
      <c r="G280" s="135">
        <f ca="1">Assumptions!$Q$50*G259</f>
        <v>1318091.8786281683</v>
      </c>
      <c r="H280" s="135">
        <f ca="1">Assumptions!$Q$50*H259</f>
        <v>1380394.6369248549</v>
      </c>
      <c r="I280" s="135">
        <f ca="1">Assumptions!$Q$50*I259</f>
        <v>1450691.1883771436</v>
      </c>
      <c r="J280" s="135">
        <f ca="1">Assumptions!$Q$50*J259</f>
        <v>1528943.673682112</v>
      </c>
      <c r="K280" s="135">
        <f ca="1">Assumptions!$Q$50*K259</f>
        <v>1615403.0036627075</v>
      </c>
      <c r="L280" s="135">
        <f ca="1">Assumptions!$Q$50*L259</f>
        <v>1712824.9360405449</v>
      </c>
    </row>
    <row r="281" spans="1:12" ht="15.5">
      <c r="A281" s="409" t="s">
        <v>369</v>
      </c>
      <c r="B281" s="405"/>
      <c r="C281" s="135">
        <f>Assumptions!$Q$51*C263</f>
        <v>0</v>
      </c>
      <c r="D281" s="135">
        <f>Assumptions!$Q$51*D263</f>
        <v>0</v>
      </c>
      <c r="E281" s="135">
        <f>Assumptions!$Q$51*E263</f>
        <v>0</v>
      </c>
      <c r="F281" s="135">
        <f>Assumptions!$Q$51*F263</f>
        <v>0</v>
      </c>
      <c r="G281" s="135">
        <f ca="1">Assumptions!$Q$51*G263</f>
        <v>131694.45546332994</v>
      </c>
      <c r="H281" s="135">
        <f ca="1">Assumptions!$Q$51*H263</f>
        <v>185644.18794135388</v>
      </c>
      <c r="I281" s="135">
        <f ca="1">Assumptions!$Q$51*I263</f>
        <v>232828.66716004992</v>
      </c>
      <c r="J281" s="135">
        <f ca="1">Assumptions!$Q$51*J263</f>
        <v>274083.87429442973</v>
      </c>
      <c r="K281" s="135">
        <f ca="1">Assumptions!$Q$51*K263</f>
        <v>310152.81409568881</v>
      </c>
      <c r="L281" s="135">
        <f ca="1">Assumptions!$Q$51*L263</f>
        <v>341787.93518972374</v>
      </c>
    </row>
    <row r="282" spans="1:12" ht="15.5">
      <c r="A282" s="409" t="s">
        <v>370</v>
      </c>
      <c r="B282" s="405"/>
      <c r="C282" s="135">
        <f>Assumptions!$Q$52*C267</f>
        <v>0</v>
      </c>
      <c r="D282" s="135">
        <f>Assumptions!$Q$52*D267</f>
        <v>0</v>
      </c>
      <c r="E282" s="135">
        <f>Assumptions!$Q$52*E267</f>
        <v>0</v>
      </c>
      <c r="F282" s="135">
        <f>Assumptions!$Q$52*F267</f>
        <v>0</v>
      </c>
      <c r="G282" s="135">
        <f>Assumptions!$Q$52*G267</f>
        <v>52500</v>
      </c>
      <c r="H282" s="135">
        <f ca="1">Assumptions!$Q$52*H267</f>
        <v>54932.721414060288</v>
      </c>
      <c r="I282" s="135">
        <f ca="1">Assumptions!$Q$52*I267</f>
        <v>57701.631532690277</v>
      </c>
      <c r="J282" s="135">
        <f ca="1">Assumptions!$Q$52*J267</f>
        <v>60834.468009112512</v>
      </c>
      <c r="K282" s="135">
        <f ca="1">Assumptions!$Q$52*K267</f>
        <v>64326.873118816984</v>
      </c>
      <c r="L282" s="135">
        <f ca="1">Assumptions!$Q$52*L267</f>
        <v>68282.852143197975</v>
      </c>
    </row>
    <row r="283" spans="1:12" ht="15.5">
      <c r="A283" s="409" t="s">
        <v>371</v>
      </c>
      <c r="B283" s="405"/>
      <c r="C283" s="135">
        <f>Assumptions!$Q$53*C271</f>
        <v>0</v>
      </c>
      <c r="D283" s="135">
        <f>Assumptions!$Q$53*D271</f>
        <v>0</v>
      </c>
      <c r="E283" s="135">
        <f>Assumptions!$Q$53*E271</f>
        <v>0</v>
      </c>
      <c r="F283" s="135">
        <f>Assumptions!$Q$53*F271</f>
        <v>0</v>
      </c>
      <c r="G283" s="135">
        <f>Assumptions!$Q$53*G271</f>
        <v>157500</v>
      </c>
      <c r="H283" s="135">
        <f ca="1">Assumptions!$Q$53*H271</f>
        <v>164812.54585648482</v>
      </c>
      <c r="I283" s="135">
        <f ca="1">Assumptions!$Q$53*I271</f>
        <v>173054.11874727588</v>
      </c>
      <c r="J283" s="135">
        <f ca="1">Assumptions!$Q$53*J271</f>
        <v>182251.95918368964</v>
      </c>
      <c r="K283" s="135">
        <f ca="1">Assumptions!$Q$53*K271</f>
        <v>192686.8837281795</v>
      </c>
      <c r="L283" s="135">
        <f ca="1">Assumptions!$Q$53*L271</f>
        <v>204235.92974448888</v>
      </c>
    </row>
    <row r="284" spans="1:12" ht="15.5">
      <c r="A284" s="409" t="s">
        <v>354</v>
      </c>
      <c r="B284" s="405"/>
      <c r="C284" s="135">
        <f t="shared" ref="C284:L284" si="106">SUM(C276:C283)</f>
        <v>0</v>
      </c>
      <c r="D284" s="135">
        <f t="shared" si="106"/>
        <v>0</v>
      </c>
      <c r="E284" s="135">
        <f t="shared" si="106"/>
        <v>0</v>
      </c>
      <c r="F284" s="135">
        <f t="shared" si="106"/>
        <v>8631000</v>
      </c>
      <c r="G284" s="135">
        <f t="shared" ca="1" si="106"/>
        <v>12168532.173071446</v>
      </c>
      <c r="H284" s="135">
        <f t="shared" ca="1" si="106"/>
        <v>14606008.973855633</v>
      </c>
      <c r="I284" s="135">
        <f t="shared" ca="1" si="106"/>
        <v>16042591.539656242</v>
      </c>
      <c r="J284" s="135">
        <f t="shared" ca="1" si="106"/>
        <v>17671763.699266978</v>
      </c>
      <c r="K284" s="135">
        <f t="shared" ca="1" si="106"/>
        <v>19524845.857288085</v>
      </c>
      <c r="L284" s="135">
        <f t="shared" ca="1" si="106"/>
        <v>21644966.655797929</v>
      </c>
    </row>
    <row r="285" spans="1:12">
      <c r="A285" s="408"/>
      <c r="B285" s="405"/>
      <c r="C285" s="48"/>
      <c r="D285" s="48"/>
      <c r="E285" s="48"/>
      <c r="F285" s="48"/>
      <c r="G285" s="48"/>
      <c r="H285" s="48"/>
      <c r="I285" s="48"/>
      <c r="J285" s="48"/>
      <c r="K285" s="48"/>
      <c r="L285" s="48"/>
    </row>
    <row r="286" spans="1:12" ht="15.5">
      <c r="A286" s="409" t="s">
        <v>154</v>
      </c>
      <c r="B286" s="405"/>
      <c r="C286" s="403">
        <f>C273-C284</f>
        <v>0</v>
      </c>
      <c r="D286" s="403">
        <f t="shared" ref="D286:L286" si="107">D273-D284</f>
        <v>0</v>
      </c>
      <c r="E286" s="403">
        <f t="shared" si="107"/>
        <v>0</v>
      </c>
      <c r="F286" s="403">
        <f t="shared" si="107"/>
        <v>16029000</v>
      </c>
      <c r="G286" s="403">
        <f t="shared" ca="1" si="107"/>
        <v>21736916.892846979</v>
      </c>
      <c r="H286" s="403">
        <f t="shared" ca="1" si="107"/>
        <v>25736022.018982518</v>
      </c>
      <c r="I286" s="403">
        <f t="shared" ca="1" si="107"/>
        <v>28280434.109861813</v>
      </c>
      <c r="J286" s="403">
        <f t="shared" ca="1" si="107"/>
        <v>31166447.086666845</v>
      </c>
      <c r="K286" s="403">
        <f t="shared" ca="1" si="107"/>
        <v>34450220.442747496</v>
      </c>
      <c r="L286" s="403">
        <f t="shared" ca="1" si="107"/>
        <v>38208235.260811456</v>
      </c>
    </row>
    <row r="287" spans="1:12">
      <c r="A287" s="408"/>
      <c r="B287" s="405"/>
      <c r="C287" s="48"/>
      <c r="D287" s="48"/>
      <c r="E287" s="48"/>
      <c r="F287" s="48"/>
      <c r="G287" s="48"/>
      <c r="H287" s="48"/>
      <c r="I287" s="48"/>
      <c r="J287" s="48"/>
      <c r="K287" s="48"/>
      <c r="L287" s="48"/>
    </row>
    <row r="288" spans="1:12" ht="18.5">
      <c r="A288" s="411" t="s">
        <v>96</v>
      </c>
      <c r="B288" s="405"/>
      <c r="C288" s="48"/>
      <c r="D288" s="48"/>
      <c r="E288" s="48"/>
      <c r="F288" s="48"/>
      <c r="G288" s="48"/>
      <c r="H288" s="48"/>
      <c r="I288" s="48"/>
      <c r="J288" s="48"/>
      <c r="K288" s="48"/>
      <c r="L288" s="48"/>
    </row>
    <row r="289" spans="1:12">
      <c r="A289" s="408"/>
      <c r="B289" s="405"/>
      <c r="C289" s="48"/>
      <c r="D289" s="48"/>
      <c r="E289" s="48"/>
      <c r="F289" s="48"/>
      <c r="G289" s="48"/>
      <c r="H289" s="48"/>
      <c r="I289" s="48"/>
      <c r="J289" s="48"/>
      <c r="K289" s="48"/>
      <c r="L289" s="48"/>
    </row>
    <row r="290" spans="1:12" ht="15.5">
      <c r="A290" s="409" t="s">
        <v>28</v>
      </c>
      <c r="B290" s="405"/>
      <c r="C290" s="48"/>
      <c r="D290" s="48"/>
      <c r="E290" s="48"/>
      <c r="F290" s="48"/>
      <c r="G290" s="48"/>
      <c r="H290" s="48"/>
      <c r="I290" s="48"/>
      <c r="J290" s="48"/>
      <c r="K290" s="48"/>
      <c r="L290" s="48"/>
    </row>
    <row r="291" spans="1:12" ht="15.5">
      <c r="A291" s="409"/>
      <c r="B291" s="405"/>
      <c r="C291" s="48"/>
      <c r="D291" s="48"/>
      <c r="E291" s="48"/>
      <c r="F291" s="48"/>
      <c r="G291" s="48"/>
      <c r="H291" s="48"/>
      <c r="I291" s="48"/>
      <c r="J291" s="48"/>
      <c r="K291" s="48"/>
      <c r="L291" s="48"/>
    </row>
    <row r="292" spans="1:12">
      <c r="A292" s="408" t="s">
        <v>37</v>
      </c>
      <c r="B292" s="405"/>
      <c r="C292" s="403">
        <f>IF(C$5 = Assumptions!$H$45, Assumptions!$AQ15, 0)</f>
        <v>0</v>
      </c>
      <c r="D292" s="403">
        <f>IF(D$5 = Assumptions!$H$45, Assumptions!$AQ15, 0)</f>
        <v>0</v>
      </c>
      <c r="E292" s="403">
        <f>IF(E$5 = Assumptions!$H$45, Assumptions!$AQ15, 0)</f>
        <v>0</v>
      </c>
      <c r="F292" s="403">
        <f>IF(F$5 = Assumptions!$H$45, Assumptions!$AQ15, 0)</f>
        <v>5000</v>
      </c>
      <c r="G292" s="403">
        <f>IF(G$5 = Assumptions!$H$45, Assumptions!$AQ15, 0)</f>
        <v>0</v>
      </c>
      <c r="H292" s="403">
        <f>IF(H$5 = Assumptions!$H$45, Assumptions!$AQ15, 0)</f>
        <v>0</v>
      </c>
      <c r="I292" s="403">
        <f>IF(I$5 = Assumptions!$H$45, Assumptions!$AQ15, 0)</f>
        <v>0</v>
      </c>
      <c r="J292" s="403">
        <f>IF(J$5 = Assumptions!$H$45, Assumptions!$AQ15, 0)</f>
        <v>0</v>
      </c>
      <c r="K292" s="403">
        <f>IF(K$5 = Assumptions!$H$45, Assumptions!$AQ15, 0)</f>
        <v>0</v>
      </c>
      <c r="L292" s="403">
        <f>IF(L$5 = Assumptions!$H$45, Assumptions!$AQ15, 0)</f>
        <v>0</v>
      </c>
    </row>
    <row r="293" spans="1:12">
      <c r="A293" s="408" t="s">
        <v>309</v>
      </c>
      <c r="B293" s="405"/>
      <c r="C293" s="403">
        <f>IF(C$5 = Assumptions!$H$45, Assumptions!$AQ16, 0)</f>
        <v>0</v>
      </c>
      <c r="D293" s="403">
        <f>IF(D$5 = Assumptions!$H$45, Assumptions!$AQ16, 0)</f>
        <v>0</v>
      </c>
      <c r="E293" s="403">
        <f>IF(E$5 = Assumptions!$H$45, Assumptions!$AQ16, 0)</f>
        <v>0</v>
      </c>
      <c r="F293" s="403">
        <f>IF(F$5 = Assumptions!$H$45, Assumptions!$AQ16, 0)</f>
        <v>15000</v>
      </c>
      <c r="G293" s="403">
        <f>IF(G$5 = Assumptions!$H$45, Assumptions!$AQ16, 0)</f>
        <v>0</v>
      </c>
      <c r="H293" s="403">
        <f>IF(H$5 = Assumptions!$H$45, Assumptions!$AQ16, 0)</f>
        <v>0</v>
      </c>
      <c r="I293" s="403">
        <f>IF(I$5 = Assumptions!$H$45, Assumptions!$AQ16, 0)</f>
        <v>0</v>
      </c>
      <c r="J293" s="403">
        <f>IF(J$5 = Assumptions!$H$45, Assumptions!$AQ16, 0)</f>
        <v>0</v>
      </c>
      <c r="K293" s="403">
        <f>IF(K$5 = Assumptions!$H$45, Assumptions!$AQ16, 0)</f>
        <v>0</v>
      </c>
      <c r="L293" s="403">
        <f>IF(L$5 = Assumptions!$H$45, Assumptions!$AQ16, 0)</f>
        <v>0</v>
      </c>
    </row>
    <row r="294" spans="1:12">
      <c r="A294" s="408" t="s">
        <v>40</v>
      </c>
      <c r="B294" s="405"/>
      <c r="C294" s="403">
        <f>IF(C$5 = Assumptions!$H$45, Assumptions!$AQ17, 0)</f>
        <v>0</v>
      </c>
      <c r="D294" s="403">
        <f>IF(D$5 = Assumptions!$H$45, Assumptions!$AQ17, 0)</f>
        <v>0</v>
      </c>
      <c r="E294" s="403">
        <f>IF(E$5 = Assumptions!$H$45, Assumptions!$AQ17, 0)</f>
        <v>0</v>
      </c>
      <c r="F294" s="403">
        <f>IF(F$5 = Assumptions!$H$45, Assumptions!$AQ17, 0)</f>
        <v>1000</v>
      </c>
      <c r="G294" s="403">
        <f>IF(G$5 = Assumptions!$H$45, Assumptions!$AQ17, 0)</f>
        <v>0</v>
      </c>
      <c r="H294" s="403">
        <f>IF(H$5 = Assumptions!$H$45, Assumptions!$AQ17, 0)</f>
        <v>0</v>
      </c>
      <c r="I294" s="403">
        <f>IF(I$5 = Assumptions!$H$45, Assumptions!$AQ17, 0)</f>
        <v>0</v>
      </c>
      <c r="J294" s="403">
        <f>IF(J$5 = Assumptions!$H$45, Assumptions!$AQ17, 0)</f>
        <v>0</v>
      </c>
      <c r="K294" s="403">
        <f>IF(K$5 = Assumptions!$H$45, Assumptions!$AQ17, 0)</f>
        <v>0</v>
      </c>
      <c r="L294" s="403">
        <f>IF(L$5 = Assumptions!$H$45, Assumptions!$AQ17, 0)</f>
        <v>0</v>
      </c>
    </row>
    <row r="295" spans="1:12">
      <c r="A295" s="408" t="s">
        <v>41</v>
      </c>
      <c r="B295" s="405"/>
      <c r="C295" s="403">
        <f>IF(C$5 = Assumptions!$H$45, Assumptions!$AQ18, 0)</f>
        <v>0</v>
      </c>
      <c r="D295" s="403">
        <f>IF(D$5 = Assumptions!$H$45, Assumptions!$AQ18, 0)</f>
        <v>0</v>
      </c>
      <c r="E295" s="403">
        <f>IF(E$5 = Assumptions!$H$45, Assumptions!$AQ18, 0)</f>
        <v>0</v>
      </c>
      <c r="F295" s="403">
        <f>IF(F$5 = Assumptions!$H$45, Assumptions!$AQ18, 0)</f>
        <v>5000</v>
      </c>
      <c r="G295" s="403">
        <f>IF(G$5 = Assumptions!$H$45, Assumptions!$AQ18, 0)</f>
        <v>0</v>
      </c>
      <c r="H295" s="403">
        <f>IF(H$5 = Assumptions!$H$45, Assumptions!$AQ18, 0)</f>
        <v>0</v>
      </c>
      <c r="I295" s="403">
        <f>IF(I$5 = Assumptions!$H$45, Assumptions!$AQ18, 0)</f>
        <v>0</v>
      </c>
      <c r="J295" s="403">
        <f>IF(J$5 = Assumptions!$H$45, Assumptions!$AQ18, 0)</f>
        <v>0</v>
      </c>
      <c r="K295" s="403">
        <f>IF(K$5 = Assumptions!$H$45, Assumptions!$AQ18, 0)</f>
        <v>0</v>
      </c>
      <c r="L295" s="403">
        <f>IF(L$5 = Assumptions!$H$45, Assumptions!$AQ18, 0)</f>
        <v>0</v>
      </c>
    </row>
    <row r="296" spans="1:12">
      <c r="A296" s="408" t="s">
        <v>43</v>
      </c>
      <c r="B296" s="405"/>
      <c r="C296" s="403">
        <f>IF(C$5 = Assumptions!$H$45, Assumptions!$AQ19, 0)</f>
        <v>0</v>
      </c>
      <c r="D296" s="403">
        <f>IF(D$5 = Assumptions!$H$45, Assumptions!$AQ19, 0)</f>
        <v>0</v>
      </c>
      <c r="E296" s="403">
        <f>IF(E$5 = Assumptions!$H$45, Assumptions!$AQ19, 0)</f>
        <v>0</v>
      </c>
      <c r="F296" s="403">
        <f>IF(F$5 = Assumptions!$H$45, Assumptions!$AQ19, 0)</f>
        <v>1000</v>
      </c>
      <c r="G296" s="403">
        <f>IF(G$5 = Assumptions!$H$45, Assumptions!$AQ19, 0)</f>
        <v>0</v>
      </c>
      <c r="H296" s="403">
        <f>IF(H$5 = Assumptions!$H$45, Assumptions!$AQ19, 0)</f>
        <v>0</v>
      </c>
      <c r="I296" s="403">
        <f>IF(I$5 = Assumptions!$H$45, Assumptions!$AQ19, 0)</f>
        <v>0</v>
      </c>
      <c r="J296" s="403">
        <f>IF(J$5 = Assumptions!$H$45, Assumptions!$AQ19, 0)</f>
        <v>0</v>
      </c>
      <c r="K296" s="403">
        <f>IF(K$5 = Assumptions!$H$45, Assumptions!$AQ19, 0)</f>
        <v>0</v>
      </c>
      <c r="L296" s="403">
        <f>IF(L$5 = Assumptions!$H$45, Assumptions!$AQ19, 0)</f>
        <v>0</v>
      </c>
    </row>
    <row r="297" spans="1:12">
      <c r="A297" s="408" t="s">
        <v>45</v>
      </c>
      <c r="B297" s="405"/>
      <c r="C297" s="403">
        <f>IF(C$5 = Assumptions!$H$45, Assumptions!$AQ20, 0)</f>
        <v>0</v>
      </c>
      <c r="D297" s="403">
        <f>IF(D$5 = Assumptions!$H$45, Assumptions!$AQ20, 0)</f>
        <v>0</v>
      </c>
      <c r="E297" s="403">
        <f>IF(E$5 = Assumptions!$H$45, Assumptions!$AQ20, 0)</f>
        <v>0</v>
      </c>
      <c r="F297" s="403">
        <f>IF(F$5 = Assumptions!$H$45, Assumptions!$AQ20, 0)</f>
        <v>3000</v>
      </c>
      <c r="G297" s="403">
        <f>IF(G$5 = Assumptions!$H$45, Assumptions!$AQ20, 0)</f>
        <v>0</v>
      </c>
      <c r="H297" s="403">
        <f>IF(H$5 = Assumptions!$H$45, Assumptions!$AQ20, 0)</f>
        <v>0</v>
      </c>
      <c r="I297" s="403">
        <f>IF(I$5 = Assumptions!$H$45, Assumptions!$AQ20, 0)</f>
        <v>0</v>
      </c>
      <c r="J297" s="403">
        <f>IF(J$5 = Assumptions!$H$45, Assumptions!$AQ20, 0)</f>
        <v>0</v>
      </c>
      <c r="K297" s="403">
        <f>IF(K$5 = Assumptions!$H$45, Assumptions!$AQ20, 0)</f>
        <v>0</v>
      </c>
      <c r="L297" s="403">
        <f>IF(L$5 = Assumptions!$H$45, Assumptions!$AQ20, 0)</f>
        <v>0</v>
      </c>
    </row>
    <row r="298" spans="1:12">
      <c r="A298" s="408" t="s">
        <v>35</v>
      </c>
      <c r="B298" s="405"/>
      <c r="C298" s="403">
        <f>IF(C$5 = Assumptions!$H$45, Assumptions!$AQ21, 0)</f>
        <v>0</v>
      </c>
      <c r="D298" s="403">
        <f>IF(D$5 = Assumptions!$H$45, Assumptions!$AQ21, 0)</f>
        <v>0</v>
      </c>
      <c r="E298" s="403">
        <f>IF(E$5 = Assumptions!$H$45, Assumptions!$AQ21, 0)</f>
        <v>0</v>
      </c>
      <c r="F298" s="403">
        <f>IF(F$5 = Assumptions!$H$45, Assumptions!$AQ21, 0)</f>
        <v>5000</v>
      </c>
      <c r="G298" s="403">
        <f>IF(G$5 = Assumptions!$H$45, Assumptions!$AQ21, 0)</f>
        <v>0</v>
      </c>
      <c r="H298" s="403">
        <f>IF(H$5 = Assumptions!$H$45, Assumptions!$AQ21, 0)</f>
        <v>0</v>
      </c>
      <c r="I298" s="403">
        <f>IF(I$5 = Assumptions!$H$45, Assumptions!$AQ21, 0)</f>
        <v>0</v>
      </c>
      <c r="J298" s="403">
        <f>IF(J$5 = Assumptions!$H$45, Assumptions!$AQ21, 0)</f>
        <v>0</v>
      </c>
      <c r="K298" s="403">
        <f>IF(K$5 = Assumptions!$H$45, Assumptions!$AQ21, 0)</f>
        <v>0</v>
      </c>
      <c r="L298" s="403">
        <f>IF(L$5 = Assumptions!$H$45, Assumptions!$AQ21, 0)</f>
        <v>0</v>
      </c>
    </row>
    <row r="299" spans="1:12">
      <c r="A299" s="408"/>
      <c r="B299" s="405"/>
      <c r="C299" s="403"/>
      <c r="D299" s="403"/>
      <c r="E299" s="403"/>
      <c r="F299" s="403"/>
      <c r="G299" s="403"/>
      <c r="H299" s="403"/>
      <c r="I299" s="403"/>
      <c r="J299" s="403"/>
      <c r="K299" s="403"/>
      <c r="L299" s="403"/>
    </row>
    <row r="300" spans="1:12" ht="15.5">
      <c r="A300" s="409" t="s">
        <v>155</v>
      </c>
      <c r="B300" s="405"/>
      <c r="C300" s="403">
        <f t="shared" ref="C300:L300" si="108">SUM(C292:C298)</f>
        <v>0</v>
      </c>
      <c r="D300" s="403">
        <f t="shared" si="108"/>
        <v>0</v>
      </c>
      <c r="E300" s="403">
        <f t="shared" si="108"/>
        <v>0</v>
      </c>
      <c r="F300" s="403">
        <f t="shared" si="108"/>
        <v>35000</v>
      </c>
      <c r="G300" s="403">
        <f t="shared" si="108"/>
        <v>0</v>
      </c>
      <c r="H300" s="403">
        <f t="shared" si="108"/>
        <v>0</v>
      </c>
      <c r="I300" s="403">
        <f t="shared" si="108"/>
        <v>0</v>
      </c>
      <c r="J300" s="403">
        <f t="shared" si="108"/>
        <v>0</v>
      </c>
      <c r="K300" s="403">
        <f t="shared" si="108"/>
        <v>0</v>
      </c>
      <c r="L300" s="403">
        <f t="shared" si="108"/>
        <v>0</v>
      </c>
    </row>
    <row r="301" spans="1:12">
      <c r="A301" s="408"/>
      <c r="B301" s="405"/>
      <c r="C301" s="403"/>
      <c r="D301" s="403"/>
      <c r="E301" s="403"/>
      <c r="F301" s="403"/>
      <c r="G301" s="403"/>
      <c r="H301" s="403"/>
      <c r="I301" s="403"/>
      <c r="J301" s="403"/>
      <c r="K301" s="403"/>
      <c r="L301" s="403"/>
    </row>
    <row r="302" spans="1:12" ht="15.5">
      <c r="A302" s="409" t="s">
        <v>13</v>
      </c>
      <c r="B302" s="405"/>
      <c r="C302" s="403"/>
      <c r="D302" s="403"/>
      <c r="E302" s="403"/>
      <c r="F302" s="403"/>
      <c r="G302" s="403"/>
      <c r="H302" s="403"/>
      <c r="I302" s="403"/>
      <c r="J302" s="403"/>
      <c r="K302" s="403"/>
      <c r="L302" s="403"/>
    </row>
    <row r="303" spans="1:12">
      <c r="A303" s="408"/>
      <c r="B303" s="405"/>
      <c r="C303" s="403"/>
      <c r="D303" s="403"/>
      <c r="E303" s="403"/>
      <c r="F303" s="403"/>
      <c r="G303" s="403"/>
      <c r="H303" s="403"/>
      <c r="I303" s="403"/>
      <c r="J303" s="403"/>
      <c r="K303" s="403"/>
      <c r="L303" s="403"/>
    </row>
    <row r="304" spans="1:12">
      <c r="A304" s="408" t="s">
        <v>14</v>
      </c>
      <c r="B304" s="405"/>
      <c r="C304" s="403">
        <f>IF(C$5 &gt;= Assumptions!$H$45, Assumptions!$AE15, 0)</f>
        <v>0</v>
      </c>
      <c r="D304" s="403">
        <f>IF(D$5&gt;Assumptions!$H$45,C304*(1+Revenue!C63),IF(D$5=Assumptions!$H$45, Assumptions!$AE15, 0))</f>
        <v>0</v>
      </c>
      <c r="E304" s="403">
        <f>IF(E$5&gt;Assumptions!$H$45,D304*(1+Revenue!D63),IF(E$5=Assumptions!$H$45, Assumptions!$AE15, 0))</f>
        <v>0</v>
      </c>
      <c r="F304" s="403">
        <f>IF(F$5&gt;Assumptions!$H$45,E304*(1+Revenue!E63),IF(F$5=Assumptions!$H$45, Assumptions!$AE15, 0))</f>
        <v>0</v>
      </c>
      <c r="G304" s="403">
        <f>IF(G$5&gt;Assumptions!$H$45,F304*(1+Revenue!F63),IF(G$5=Assumptions!$H$45, Assumptions!$AE15, 0))</f>
        <v>0</v>
      </c>
      <c r="H304" s="403">
        <f>IF(H$5&gt;Assumptions!$H$45,G304*(1+Revenue!G63),IF(H$5=Assumptions!$H$45, Assumptions!$AE15, 0))</f>
        <v>0</v>
      </c>
      <c r="I304" s="403">
        <f>IF(I$5&gt;Assumptions!$H$45,H304*(1+Revenue!H63),IF(I$5=Assumptions!$H$45, Assumptions!$AE15, 0))</f>
        <v>0</v>
      </c>
      <c r="J304" s="403">
        <f>IF(J$5&gt;Assumptions!$H$45,I304*(1+Revenue!I63),IF(J$5=Assumptions!$H$45, Assumptions!$AE15, 0))</f>
        <v>0</v>
      </c>
      <c r="K304" s="403">
        <f>IF(K$5&gt;Assumptions!$H$45,J304*(1+Revenue!J63),IF(K$5=Assumptions!$H$45, Assumptions!$AE15, 0))</f>
        <v>0</v>
      </c>
      <c r="L304" s="403">
        <f>IF(L$5&gt;Assumptions!$H$45,K304*(1+Revenue!K63),IF(L$5=Assumptions!$H$45, Assumptions!$AE15, 0))</f>
        <v>0</v>
      </c>
    </row>
    <row r="305" spans="1:12">
      <c r="A305" s="408" t="s">
        <v>15</v>
      </c>
      <c r="B305" s="405"/>
      <c r="C305" s="403">
        <f>IF(C$5 &gt;= Assumptions!$H$45, Assumptions!$AE16, 0)</f>
        <v>0</v>
      </c>
      <c r="D305" s="403">
        <f>IF(D$5&gt;Assumptions!$H$45,C305*(1+Revenue!C63),IF(D$5=Assumptions!$H$45, Assumptions!$AE16, 0))</f>
        <v>0</v>
      </c>
      <c r="E305" s="403">
        <f>IF(E$5&gt;Assumptions!$H$45,D305*(1+Revenue!D63),IF(E$5=Assumptions!$H$45, Assumptions!$AE16, 0))</f>
        <v>0</v>
      </c>
      <c r="F305" s="403">
        <f>IF(F$5&gt;Assumptions!$H$45,E305*(1+Revenue!E63),IF(F$5=Assumptions!$H$45, Assumptions!$AE16, 0))</f>
        <v>0</v>
      </c>
      <c r="G305" s="403">
        <f>IF(G$5&gt;Assumptions!$H$45,F305*(1+Revenue!F63),IF(G$5=Assumptions!$H$45, Assumptions!$AE16, 0))</f>
        <v>0</v>
      </c>
      <c r="H305" s="403">
        <f>IF(H$5&gt;Assumptions!$H$45,G305*(1+Revenue!G63),IF(H$5=Assumptions!$H$45, Assumptions!$AE16, 0))</f>
        <v>0</v>
      </c>
      <c r="I305" s="403">
        <f>IF(I$5&gt;Assumptions!$H$45,H305*(1+Revenue!H63),IF(I$5=Assumptions!$H$45, Assumptions!$AE16, 0))</f>
        <v>0</v>
      </c>
      <c r="J305" s="403">
        <f>IF(J$5&gt;Assumptions!$H$45,I305*(1+Revenue!I63),IF(J$5=Assumptions!$H$45, Assumptions!$AE16, 0))</f>
        <v>0</v>
      </c>
      <c r="K305" s="403">
        <f>IF(K$5&gt;Assumptions!$H$45,J305*(1+Revenue!J63),IF(K$5=Assumptions!$H$45, Assumptions!$AE16, 0))</f>
        <v>0</v>
      </c>
      <c r="L305" s="403">
        <f>IF(L$5&gt;Assumptions!$H$45,K305*(1+Revenue!K63),IF(L$5=Assumptions!$H$45, Assumptions!$AE16, 0))</f>
        <v>0</v>
      </c>
    </row>
    <row r="306" spans="1:12">
      <c r="A306" s="408" t="s">
        <v>17</v>
      </c>
      <c r="B306" s="405"/>
      <c r="C306" s="403">
        <f>IF(C$5 &gt;= Assumptions!$H$45, Assumptions!$AE17, 0)</f>
        <v>0</v>
      </c>
      <c r="D306" s="403">
        <f>IF(D$5&gt;Assumptions!$H$45,C306*(1+Revenue!C63),IF(D$5=Assumptions!$H$45, Assumptions!$AE17, 0))</f>
        <v>0</v>
      </c>
      <c r="E306" s="403">
        <f>IF(E$5&gt;Assumptions!$H$45,D306*(1+Revenue!D63),IF(E$5=Assumptions!$H$45, Assumptions!$AE17, 0))</f>
        <v>0</v>
      </c>
      <c r="F306" s="403">
        <f>IF(F$5&gt;Assumptions!$H$45,E306*(1+Revenue!E63),IF(F$5=Assumptions!$H$45, Assumptions!$AE17, 0))</f>
        <v>0</v>
      </c>
      <c r="G306" s="403">
        <f>IF(G$5&gt;Assumptions!$H$45,F306*(1+Revenue!F63),IF(G$5=Assumptions!$H$45, Assumptions!$AE17, 0))</f>
        <v>0</v>
      </c>
      <c r="H306" s="403">
        <f>IF(H$5&gt;Assumptions!$H$45,G306*(1+Revenue!G63),IF(H$5=Assumptions!$H$45, Assumptions!$AE17, 0))</f>
        <v>0</v>
      </c>
      <c r="I306" s="403">
        <f>IF(I$5&gt;Assumptions!$H$45,H306*(1+Revenue!H63),IF(I$5=Assumptions!$H$45, Assumptions!$AE17, 0))</f>
        <v>0</v>
      </c>
      <c r="J306" s="403">
        <f>IF(J$5&gt;Assumptions!$H$45,I306*(1+Revenue!I63),IF(J$5=Assumptions!$H$45, Assumptions!$AE17, 0))</f>
        <v>0</v>
      </c>
      <c r="K306" s="403">
        <f>IF(K$5&gt;Assumptions!$H$45,J306*(1+Revenue!J63),IF(K$5=Assumptions!$H$45, Assumptions!$AE17, 0))</f>
        <v>0</v>
      </c>
      <c r="L306" s="403">
        <f>IF(L$5&gt;Assumptions!$H$45,K306*(1+Revenue!K63),IF(L$5=Assumptions!$H$45, Assumptions!$AE17, 0))</f>
        <v>0</v>
      </c>
    </row>
    <row r="307" spans="1:12">
      <c r="A307" s="408" t="s">
        <v>19</v>
      </c>
      <c r="B307" s="405"/>
      <c r="C307" s="403">
        <f>IF(C$5 &gt;= Assumptions!$H$45, Assumptions!$AE$18 * (Revenue!Q68+Revenue!Q69+Revenue!Q70+Revenue!Q71), 0)</f>
        <v>0</v>
      </c>
      <c r="D307" s="403">
        <f>IF(D$5&gt;Assumptions!$H$45, Assumptions!$AE$18*(Revenue!R68+Revenue!R69+Revenue!R70+Revenue!R71)*(1+Revenue!AC3), IF(D$5=Assumptions!$H$45, Assumptions!$AE$18 * (Revenue!R68+Revenue!R69+Revenue!R70+Revenue!R71), 0))</f>
        <v>0</v>
      </c>
      <c r="E307" s="403">
        <f>IF(E$5&gt;Assumptions!$H$45, Assumptions!$AE$18*(Revenue!S68+Revenue!S69+Revenue!S70+Revenue!S71)*(1+Revenue!AD3), IF(E$5=Assumptions!$H$45, Assumptions!$AE$18 * (Revenue!S68+Revenue!S69+Revenue!S70+Revenue!S71), 0))</f>
        <v>0</v>
      </c>
      <c r="F307" s="403">
        <f>IF(F$5&gt;Assumptions!$H$45, Assumptions!$AE$18*(Revenue!T68+Revenue!T69+Revenue!T70+Revenue!T71)*(1+Revenue!AE3), IF(F$5=Assumptions!$H$45, Assumptions!$AE$18 * (Revenue!T68+Revenue!T69+Revenue!T70+Revenue!T71), 0))</f>
        <v>381000</v>
      </c>
      <c r="G307" s="403">
        <f ca="1">IF(G$5&gt;Assumptions!$H$45, Assumptions!$AE$18*(Revenue!U68+Revenue!U69+Revenue!U70+Revenue!U71)*(1+Revenue!AF3), IF(G$5=Assumptions!$H$45, Assumptions!$AE$18 * (Revenue!U68+Revenue!U69+Revenue!U70+Revenue!U71), 0))</f>
        <v>486671.95172537828</v>
      </c>
      <c r="H307" s="403">
        <f ca="1">IF(H$5&gt;Assumptions!$H$45, Assumptions!$AE$18*(Revenue!V68+Revenue!V69+Revenue!V70+Revenue!V71)*(1+Revenue!AG3), IF(H$5=Assumptions!$H$45, Assumptions!$AE$18 * (Revenue!V68+Revenue!V69+Revenue!V70+Revenue!V71), 0))</f>
        <v>517696.33311094745</v>
      </c>
      <c r="I307" s="403">
        <f ca="1">IF(I$5&gt;Assumptions!$H$45, Assumptions!$AE$18*(Revenue!W68+Revenue!W69+Revenue!W70+Revenue!W71)*(1+Revenue!AH3), IF(I$5=Assumptions!$H$45, Assumptions!$AE$18 * (Revenue!W68+Revenue!W69+Revenue!W70+Revenue!W71), 0))</f>
        <v>552941.33056256257</v>
      </c>
      <c r="J307" s="403">
        <f ca="1">IF(J$5&gt;Assumptions!$H$45, Assumptions!$AE$18*(Revenue!X68+Revenue!X69+Revenue!X70+Revenue!X71)*(1+Revenue!AI3), IF(J$5=Assumptions!$H$45, Assumptions!$AE$18 * (Revenue!X68+Revenue!X69+Revenue!X70+Revenue!X71), 0))</f>
        <v>592704.01533943834</v>
      </c>
      <c r="K307" s="403">
        <f ca="1">IF(K$5&gt;Assumptions!$H$45, Assumptions!$AE$18*(Revenue!Y68+Revenue!Y69+Revenue!Y70+Revenue!Y71)*(1+Revenue!AJ3), IF(K$5=Assumptions!$H$45, Assumptions!$AE$18 * (Revenue!Y68+Revenue!Y69+Revenue!Y70+Revenue!Y71), 0))</f>
        <v>637569.94931146095</v>
      </c>
      <c r="L307" s="403">
        <f ca="1">IF(L$5&gt;Assumptions!$H$45, Assumptions!$AE$18*(Revenue!Z68+Revenue!Z69+Revenue!Z70+Revenue!Z71)*(1+Revenue!AK3), IF(L$5=Assumptions!$H$45, Assumptions!$AE$18 * (Revenue!Z68+Revenue!Z69+Revenue!Z70+Revenue!Z71), 0))</f>
        <v>688373.20414014196</v>
      </c>
    </row>
    <row r="308" spans="1:12">
      <c r="A308" s="408" t="s">
        <v>20</v>
      </c>
      <c r="B308" s="405"/>
      <c r="C308" s="403">
        <f>IF(C$5 &gt;= Assumptions!$H$45, Assumptions!$AE$19*C273, 0)</f>
        <v>0</v>
      </c>
      <c r="D308" s="403">
        <f>IF(D$5 &gt; Assumptions!$H$45, Assumptions!$AE$19*D273*(1 + Revenue!C63), IF(D$5 = Assumptions!$H$45, Assumptions!$AE$19*D273, 0))</f>
        <v>0</v>
      </c>
      <c r="E308" s="403">
        <f>IF(E$5 &gt; Assumptions!$H$45, Assumptions!$AE$19*E273*(1 + Revenue!D63), IF(E$5 = Assumptions!$H$45, Assumptions!$AE$19*E273, 0))</f>
        <v>0</v>
      </c>
      <c r="F308" s="403">
        <f>IF(F$5 &gt; Assumptions!$H$45, Assumptions!$AE$19*F273*(1 + Revenue!E63), IF(F$5 = Assumptions!$H$45, Assumptions!$AE$19*F273, 0))</f>
        <v>5425200</v>
      </c>
      <c r="G308" s="403">
        <f ca="1">IF(G$5 &gt; Assumptions!$H$45, Assumptions!$AE$19*G273*(1 + Revenue!F63), IF(G$5 = Assumptions!$H$45, Assumptions!$AE$19*G273, 0))</f>
        <v>7694163.5565288691</v>
      </c>
      <c r="H308" s="403">
        <f ca="1">IF(H$5 &gt; Assumptions!$H$45, Assumptions!$AE$19*H273*(1 + Revenue!G63), IF(H$5 = Assumptions!$H$45, Assumptions!$AE$19*H273, 0))</f>
        <v>9154817.0932047628</v>
      </c>
      <c r="I308" s="403">
        <f ca="1">IF(I$5 &gt; Assumptions!$H$45, Assumptions!$AE$19*I273*(1 + Revenue!H63), IF(I$5 = Assumptions!$H$45, Assumptions!$AE$19*I273, 0))</f>
        <v>10058224.210645134</v>
      </c>
      <c r="J308" s="403">
        <f ca="1">IF(J$5 &gt; Assumptions!$H$45, Assumptions!$AE$19*J273*(1 + Revenue!I63), IF(J$5 = Assumptions!$H$45, Assumptions!$AE$19*J273, 0))</f>
        <v>11082855.173651963</v>
      </c>
      <c r="K308" s="403">
        <f ca="1">IF(K$5 &gt; Assumptions!$H$45, Assumptions!$AE$19*K273*(1 + Revenue!J63), IF(K$5 = Assumptions!$H$45, Assumptions!$AE$19*K273, 0))</f>
        <v>12248561.795467075</v>
      </c>
      <c r="L308" s="403">
        <f ca="1">IF(L$5 &gt; Assumptions!$H$45, Assumptions!$AE$19*L273*(1 + Revenue!K63), IF(L$5 = Assumptions!$H$45, Assumptions!$AE$19*L273, 0))</f>
        <v>13582487.110936169</v>
      </c>
    </row>
    <row r="309" spans="1:12">
      <c r="A309" s="408" t="s">
        <v>22</v>
      </c>
      <c r="B309" s="405"/>
      <c r="C309" s="403">
        <f>IF(C$5 &gt;= Assumptions!$H$45, Assumptions!AE20, 0)</f>
        <v>0</v>
      </c>
      <c r="D309" s="403">
        <f>IF(D$5 &gt; Assumptions!$H$45, C309*(1+Revenue!C63), IF(D$5 = Assumptions!$H$45, Assumptions!$AE20, 0))</f>
        <v>0</v>
      </c>
      <c r="E309" s="403">
        <f>IF(E$5 &gt; Assumptions!$H$45, D309*(1+Revenue!D63), IF(E$5 = Assumptions!$H$45, Assumptions!$AE20, 0))</f>
        <v>0</v>
      </c>
      <c r="F309" s="403">
        <f>IF(F$5 &gt; Assumptions!$H$45, E309*(1+Revenue!E63), IF(F$5 = Assumptions!$H$45, Assumptions!$AE20, 0))</f>
        <v>0</v>
      </c>
      <c r="G309" s="403">
        <f>IF(G$5 &gt; Assumptions!$H$45, F309*(1+Revenue!F63), IF(G$5 = Assumptions!$H$45, Assumptions!$AE20, 0))</f>
        <v>0</v>
      </c>
      <c r="H309" s="403">
        <f>IF(H$5 &gt; Assumptions!$H$45, G309*(1+Revenue!G63), IF(H$5 = Assumptions!$H$45, Assumptions!$AE20, 0))</f>
        <v>0</v>
      </c>
      <c r="I309" s="403">
        <f>IF(I$5 &gt; Assumptions!$H$45, H309*(1+Revenue!H63), IF(I$5 = Assumptions!$H$45, Assumptions!$AE20, 0))</f>
        <v>0</v>
      </c>
      <c r="J309" s="403">
        <f>IF(J$5 &gt; Assumptions!$H$45, I309*(1+Revenue!I63), IF(J$5 = Assumptions!$H$45, Assumptions!$AE20, 0))</f>
        <v>0</v>
      </c>
      <c r="K309" s="403">
        <f>IF(K$5 &gt; Assumptions!$H$45, J309*(1+Revenue!J63), IF(K$5 = Assumptions!$H$45, Assumptions!$AE20, 0))</f>
        <v>0</v>
      </c>
      <c r="L309" s="403">
        <f>IF(L$5 &gt; Assumptions!$H$45, K309*(1+Revenue!K63), IF(L$5 = Assumptions!$H$45, Assumptions!$AE20, 0))</f>
        <v>0</v>
      </c>
    </row>
    <row r="310" spans="1:12">
      <c r="A310" s="408" t="s">
        <v>25</v>
      </c>
      <c r="B310" s="405"/>
      <c r="C310" s="403">
        <f>IF(C$5 &gt;= Assumptions!$H$45, Assumptions!$AE21, 0)</f>
        <v>0</v>
      </c>
      <c r="D310" s="403">
        <f>IF(D$5 &gt; Assumptions!$H$45, Income!C310*(1+Revenue!C63), IF(D$5 = Assumptions!$H$45, Assumptions!$AE21, 0))</f>
        <v>0</v>
      </c>
      <c r="E310" s="403">
        <f>IF(E$5 &gt; Assumptions!$H$45, Income!D310*(1+Revenue!D63), IF(E$5 = Assumptions!$H$45, Assumptions!$AE21, 0))</f>
        <v>0</v>
      </c>
      <c r="F310" s="403">
        <f>IF(F$5 &gt; Assumptions!$H$45, Income!E310*(1+Revenue!E63), IF(F$5 = Assumptions!$H$45, Assumptions!$AE21, 0))</f>
        <v>1000</v>
      </c>
      <c r="G310" s="403">
        <f>IF(G$5 &gt; Assumptions!$H$45, Income!F310*(1+Revenue!F63), IF(G$5 = Assumptions!$H$45, Assumptions!$AE21, 0))</f>
        <v>1031.5</v>
      </c>
      <c r="H310" s="403">
        <f>IF(H$5 &gt; Assumptions!$H$45, Income!G310*(1+Revenue!G63), IF(H$5 = Assumptions!$H$45, Assumptions!$AE21, 0))</f>
        <v>1063.99225</v>
      </c>
      <c r="I310" s="403">
        <f>IF(I$5 &gt; Assumptions!$H$45, Income!H310*(1+Revenue!H63), IF(I$5 = Assumptions!$H$45, Assumptions!$AE21, 0))</f>
        <v>1097.5080058750002</v>
      </c>
      <c r="J310" s="403">
        <f>IF(J$5 &gt; Assumptions!$H$45, Income!I310*(1+Revenue!I63), IF(J$5 = Assumptions!$H$45, Assumptions!$AE21, 0))</f>
        <v>1132.0795080600628</v>
      </c>
      <c r="K310" s="403">
        <f>IF(K$5 &gt; Assumptions!$H$45, Income!J310*(1+Revenue!J63), IF(K$5 = Assumptions!$H$45, Assumptions!$AE21, 0))</f>
        <v>1167.7400125639549</v>
      </c>
      <c r="L310" s="403">
        <f>IF(L$5 &gt; Assumptions!$H$45, Income!K310*(1+Revenue!K63), IF(L$5 = Assumptions!$H$45, Assumptions!$AE21, 0))</f>
        <v>1204.5238229597196</v>
      </c>
    </row>
    <row r="311" spans="1:12">
      <c r="A311" s="408" t="s">
        <v>27</v>
      </c>
      <c r="B311" s="405"/>
      <c r="C311" s="403">
        <f>IF(C$5 &gt;= Assumptions!$H$45, Assumptions!AE22, 0)</f>
        <v>0</v>
      </c>
      <c r="D311" s="403">
        <f>IF(D$5 &gt; Assumptions!$H$45, Income!C311*(1+Revenue!C63), IF(D$5 = Assumptions!$H$45, Assumptions!$AE22, 0))</f>
        <v>0</v>
      </c>
      <c r="E311" s="403">
        <f>IF(E$5 &gt; Assumptions!$H$45, Income!D311*(1+Revenue!D63), IF(E$5 = Assumptions!$H$45, Assumptions!$AE22, 0))</f>
        <v>0</v>
      </c>
      <c r="F311" s="403">
        <f>IF(F$5 &gt; Assumptions!$H$45, Income!E311*(1+Revenue!E63), IF(F$5 = Assumptions!$H$45, Assumptions!$AE22, 0))</f>
        <v>1000</v>
      </c>
      <c r="G311" s="403">
        <f>IF(G$5 &gt; Assumptions!$H$45, Income!F311*(1+Revenue!F63), IF(G$5 = Assumptions!$H$45, Assumptions!$AE22, 0))</f>
        <v>1031.5</v>
      </c>
      <c r="H311" s="403">
        <f>IF(H$5 &gt; Assumptions!$H$45, Income!G311*(1+Revenue!G63), IF(H$5 = Assumptions!$H$45, Assumptions!$AE22, 0))</f>
        <v>1063.99225</v>
      </c>
      <c r="I311" s="403">
        <f>IF(I$5 &gt; Assumptions!$H$45, Income!H311*(1+Revenue!H63), IF(I$5 = Assumptions!$H$45, Assumptions!$AE22, 0))</f>
        <v>1097.5080058750002</v>
      </c>
      <c r="J311" s="403">
        <f>IF(J$5 &gt; Assumptions!$H$45, Income!I311*(1+Revenue!I63), IF(J$5 = Assumptions!$H$45, Assumptions!$AE22, 0))</f>
        <v>1132.0795080600628</v>
      </c>
      <c r="K311" s="403">
        <f>IF(K$5 &gt; Assumptions!$H$45, Income!J311*(1+Revenue!J63), IF(K$5 = Assumptions!$H$45, Assumptions!$AE22, 0))</f>
        <v>1167.7400125639549</v>
      </c>
      <c r="L311" s="403">
        <f>IF(L$5 &gt; Assumptions!$H$45, Income!K311*(1+Revenue!K63), IF(L$5 = Assumptions!$H$45, Assumptions!$AE22, 0))</f>
        <v>1204.5238229597196</v>
      </c>
    </row>
    <row r="312" spans="1:12">
      <c r="A312" s="408" t="s">
        <v>278</v>
      </c>
      <c r="B312" s="405"/>
      <c r="C312" s="403">
        <f>IF(C$5 &gt;= Assumptions!$H$45, Assumptions!$AE$23 + (Revenue!Q70+Revenue!Q71+Revenue!Q72)*Assumptions!$AE$24, 0)</f>
        <v>0</v>
      </c>
      <c r="D312" s="403">
        <f>IF(D$5&gt;Assumptions!$H$45,(Assumptions!$AE$23+(Revenue!R70+Revenue!R71+Revenue!R72)*Assumptions!$AE$24)*(1+Revenue!C63),IF(D$5=Assumptions!$H$45,Assumptions!$AE$23+(Revenue!R70+Revenue!R71+Revenue!R72)*Assumptions!$AE$24,0))</f>
        <v>0</v>
      </c>
      <c r="E312" s="403">
        <f>IF(E$5&gt;Assumptions!$H$45,(Assumptions!$AE$23+(Revenue!S70+Revenue!S71+Revenue!S72)*Assumptions!$AE$24)*(1+Revenue!D63),IF(E$5=Assumptions!$H$45,Assumptions!$AE$23+(Revenue!S70+Revenue!S71+Revenue!S72)*Assumptions!$AE$24,0))</f>
        <v>0</v>
      </c>
      <c r="F312" s="403">
        <f>IF(F$5&gt;Assumptions!$H$45,(Assumptions!$AE$23+(Revenue!T70+Revenue!T71+Revenue!T72)*Assumptions!$AE$24)*(1+Revenue!E63),IF(F$5=Assumptions!$H$45,Assumptions!$AE$23+(Revenue!T70+Revenue!T71+Revenue!T72)*Assumptions!$AE$24,0))</f>
        <v>12350</v>
      </c>
      <c r="G312" s="403">
        <f ca="1">IF(G$5&gt;Assumptions!$H$45,(Assumptions!$AE$23+(Revenue!U70+Revenue!U71+Revenue!U72)*Assumptions!$AE$24)*(1+Revenue!F63),IF(G$5=Assumptions!$H$45,Assumptions!$AE$23+(Revenue!U70+Revenue!U71+Revenue!U72)*Assumptions!$AE$24,0))</f>
        <v>16220.880020296723</v>
      </c>
      <c r="H312" s="403">
        <f ca="1">IF(H$5&gt;Assumptions!$H$45,(Assumptions!$AE$23+(Revenue!V70+Revenue!V71+Revenue!V72)*Assumptions!$AE$24)*(1+Revenue!G63),IF(H$5=Assumptions!$H$45,Assumptions!$AE$23+(Revenue!V70+Revenue!V71+Revenue!V72)*Assumptions!$AE$24,0))</f>
        <v>18268.711610894166</v>
      </c>
      <c r="I312" s="403">
        <f ca="1">IF(I$5&gt;Assumptions!$H$45,(Assumptions!$AE$23+(Revenue!W70+Revenue!W71+Revenue!W72)*Assumptions!$AE$24)*(1+Revenue!H63),IF(I$5=Assumptions!$H$45,Assumptions!$AE$23+(Revenue!W70+Revenue!W71+Revenue!W72)*Assumptions!$AE$24,0))</f>
        <v>18825.300303839107</v>
      </c>
      <c r="J312" s="403">
        <f ca="1">IF(J$5&gt;Assumptions!$H$45,(Assumptions!$AE$23+(Revenue!X70+Revenue!X71+Revenue!X72)*Assumptions!$AE$24)*(1+Revenue!I63),IF(J$5=Assumptions!$H$45,Assumptions!$AE$23+(Revenue!X70+Revenue!X71+Revenue!X72)*Assumptions!$AE$24,0))</f>
        <v>19454.575228928959</v>
      </c>
      <c r="K312" s="403">
        <f ca="1">IF(K$5&gt;Assumptions!$H$45,(Assumptions!$AE$23+(Revenue!Y70+Revenue!Y71+Revenue!Y72)*Assumptions!$AE$24)*(1+Revenue!J63),IF(K$5=Assumptions!$H$45,Assumptions!$AE$23+(Revenue!Y70+Revenue!Y71+Revenue!Y72)*Assumptions!$AE$24,0))</f>
        <v>20158.909856218612</v>
      </c>
      <c r="L312" s="403">
        <f ca="1">IF(L$5&gt;Assumptions!$H$45,(Assumptions!$AE$23+(Revenue!Z70+Revenue!Z71+Revenue!Z72)*Assumptions!$AE$24)*(1+Revenue!K63),IF(L$5=Assumptions!$H$45,Assumptions!$AE$23+(Revenue!Z70+Revenue!Z71+Revenue!Z72)*Assumptions!$AE$24,0))</f>
        <v>20954.37943415836</v>
      </c>
    </row>
    <row r="313" spans="1:12">
      <c r="A313" s="408" t="s">
        <v>29</v>
      </c>
      <c r="B313" s="405"/>
      <c r="C313" s="403">
        <f>IF(C$5 &gt;= Assumptions!$H$45, Assumptions!AE25, 0)</f>
        <v>0</v>
      </c>
      <c r="D313" s="403">
        <f>IF(D$5&gt;Assumptions!$H$45,C313*(1+Revenue!C63)*(1+Assumptions!$J$10),IF(D$5=Assumptions!$H$45,Assumptions!AE25,0))</f>
        <v>0</v>
      </c>
      <c r="E313" s="403">
        <f>IF(E$5&gt;Assumptions!$H$45,D313*(1+Revenue!D63)*(1+Assumptions!$J$10),IF(E$5=Assumptions!$H$45,Assumptions!AF25,0))</f>
        <v>0</v>
      </c>
      <c r="F313" s="403">
        <f>IF(F$5&gt;Assumptions!$H$45,E313*(1+Revenue!E63)*(1+Assumptions!$J$10),IF(F$5=Assumptions!$H$45,Assumptions!AG25,0))</f>
        <v>0</v>
      </c>
      <c r="G313" s="403">
        <f>IF(G$5&gt;Assumptions!$H$45,F313*(1+Revenue!F63)*(1+Assumptions!$J$10),IF(G$5=Assumptions!$H$45,Assumptions!AH25,0))</f>
        <v>0</v>
      </c>
      <c r="H313" s="403">
        <f>IF(H$5&gt;Assumptions!$H$45,G313*(1+Revenue!G63)*(1+Assumptions!$J$10),IF(H$5=Assumptions!$H$45,Assumptions!AI25,0))</f>
        <v>0</v>
      </c>
      <c r="I313" s="403">
        <f>IF(I$5&gt;Assumptions!$H$45,H313*(1+Revenue!H63)*(1+Assumptions!$J$10),IF(I$5=Assumptions!$H$45,Assumptions!AJ25,0))</f>
        <v>0</v>
      </c>
      <c r="J313" s="403">
        <f>IF(J$5&gt;Assumptions!$H$45,I313*(1+Revenue!I63)*(1+Assumptions!$J$10),IF(J$5=Assumptions!$H$45,Assumptions!AK25,0))</f>
        <v>0</v>
      </c>
      <c r="K313" s="403">
        <f>IF(K$5&gt;Assumptions!$H$45,J313*(1+Revenue!J63)*(1+Assumptions!$J$10),IF(K$5=Assumptions!$H$45,Assumptions!AL25,0))</f>
        <v>0</v>
      </c>
      <c r="L313" s="403">
        <f>IF(L$5&gt;Assumptions!$H$45,K313*(1+Revenue!K63)*(1+Assumptions!$J$10),IF(L$5=Assumptions!$H$45,Assumptions!AM25,0))</f>
        <v>0</v>
      </c>
    </row>
    <row r="314" spans="1:12">
      <c r="A314" s="408" t="s">
        <v>279</v>
      </c>
      <c r="B314" s="405"/>
      <c r="C314" s="403">
        <f>IF(C$5 &gt;= Assumptions!$H$45, Assumptions!AE26, 0)</f>
        <v>0</v>
      </c>
      <c r="D314" s="403">
        <f>IF(D$5 &gt; Assumptions!$H$45, C314*(1+Revenue!C63)*(1+Assumptions!$J$11), IF(D$5 = Assumptions!$H$45, Assumptions!$AE26, 0))</f>
        <v>0</v>
      </c>
      <c r="E314" s="403">
        <f>IF(E$5 &gt; Assumptions!$H$45, D314*(1+Revenue!D63)*(1+Assumptions!$J$11), IF(E$5 = Assumptions!$H$45, Assumptions!$AE26, 0))</f>
        <v>0</v>
      </c>
      <c r="F314" s="403">
        <f>IF(F$5 &gt; Assumptions!$H$45, E314*(1+Revenue!E63)*(1+Assumptions!$J$11), IF(F$5 = Assumptions!$H$45, Assumptions!$AE26, 0))</f>
        <v>0</v>
      </c>
      <c r="G314" s="403">
        <f>IF(G$5 &gt; Assumptions!$H$45, F314*(1+Revenue!F63)*(1+Assumptions!$J$11), IF(G$5 = Assumptions!$H$45, Assumptions!$AE26, 0))</f>
        <v>0</v>
      </c>
      <c r="H314" s="403">
        <f>IF(H$5 &gt; Assumptions!$H$45, G314*(1+Revenue!G63)*(1+Assumptions!$J$11), IF(H$5 = Assumptions!$H$45, Assumptions!$AE26, 0))</f>
        <v>0</v>
      </c>
      <c r="I314" s="403">
        <f>IF(I$5 &gt; Assumptions!$H$45, H314*(1+Revenue!H63)*(1+Assumptions!$J$11), IF(I$5 = Assumptions!$H$45, Assumptions!$AE26, 0))</f>
        <v>0</v>
      </c>
      <c r="J314" s="403">
        <f>IF(J$5 &gt; Assumptions!$H$45, I314*(1+Revenue!I63)*(1+Assumptions!$J$11), IF(J$5 = Assumptions!$H$45, Assumptions!$AE26, 0))</f>
        <v>0</v>
      </c>
      <c r="K314" s="403">
        <f>IF(K$5 &gt; Assumptions!$H$45, J314*(1+Revenue!J63)*(1+Assumptions!$J$11), IF(K$5 = Assumptions!$H$45, Assumptions!$AE26, 0))</f>
        <v>0</v>
      </c>
      <c r="L314" s="403">
        <f>IF(L$5 &gt; Assumptions!$H$45, K314*(1+Revenue!K63)*(1+Assumptions!$J$11), IF(L$5 = Assumptions!$H$45, Assumptions!$AE26, 0))</f>
        <v>0</v>
      </c>
    </row>
    <row r="315" spans="1:12">
      <c r="A315" s="408" t="s">
        <v>31</v>
      </c>
      <c r="B315" s="405"/>
      <c r="C315" s="403">
        <f>IF(C$5 &gt;= Assumptions!$H$45, Assumptions!AE27, 0)</f>
        <v>0</v>
      </c>
      <c r="D315" s="403">
        <f>IF(D$5 &gt; Assumptions!$H$45, C315*(1+Revenue!C63), IF(D$5 = Assumptions!$H$45, Assumptions!AE27, 0))</f>
        <v>0</v>
      </c>
      <c r="E315" s="403">
        <f>IF(E$5 &gt; Assumptions!$H$45, D315*(1+Revenue!D63), IF(E$5 = Assumptions!$H$45, Assumptions!AF27, 0))</f>
        <v>0</v>
      </c>
      <c r="F315" s="403">
        <f>IF(F$5 &gt; Assumptions!$H$45, E315*(1+Revenue!E63), IF(F$5 = Assumptions!$H$45, Assumptions!AG27, 0))</f>
        <v>1200</v>
      </c>
      <c r="G315" s="403">
        <f>IF(G$5 &gt; Assumptions!$H$45, F315*(1+Revenue!F63), IF(G$5 = Assumptions!$H$45, Assumptions!AH27, 0))</f>
        <v>1237.8000000000002</v>
      </c>
      <c r="H315" s="403">
        <f>IF(H$5 &gt; Assumptions!$H$45, G315*(1+Revenue!G63), IF(H$5 = Assumptions!$H$45, Assumptions!AI27, 0))</f>
        <v>1276.7907000000002</v>
      </c>
      <c r="I315" s="403">
        <f>IF(I$5 &gt; Assumptions!$H$45, H315*(1+Revenue!H63), IF(I$5 = Assumptions!$H$45, Assumptions!AJ27, 0))</f>
        <v>1317.0096070500003</v>
      </c>
      <c r="J315" s="403">
        <f>IF(J$5 &gt; Assumptions!$H$45, I315*(1+Revenue!I63), IF(J$5 = Assumptions!$H$45, Assumptions!AK27, 0))</f>
        <v>1358.4954096720755</v>
      </c>
      <c r="K315" s="403">
        <f>IF(K$5 &gt; Assumptions!$H$45, J315*(1+Revenue!J63), IF(K$5 = Assumptions!$H$45, Assumptions!AL27, 0))</f>
        <v>1401.288015076746</v>
      </c>
      <c r="L315" s="403">
        <f>IF(L$5 &gt; Assumptions!$H$45, K315*(1+Revenue!K63), IF(L$5 = Assumptions!$H$45, Assumptions!AM27, 0))</f>
        <v>1445.4285875516637</v>
      </c>
    </row>
    <row r="316" spans="1:12">
      <c r="A316" s="408" t="s">
        <v>33</v>
      </c>
      <c r="B316" s="405"/>
      <c r="C316" s="403">
        <f>IF(C$5 &gt;= Assumptions!$H$45, Assumptions!AE28, 0)</f>
        <v>0</v>
      </c>
      <c r="D316" s="403">
        <f>IF(D$5 &gt; Assumptions!$H$45, C316*(1+Revenue!C63), IF(D$5 = Assumptions!$H$45, Assumptions!$AE28, 0))</f>
        <v>0</v>
      </c>
      <c r="E316" s="403">
        <f>IF(E$5 &gt; Assumptions!$H$45, D316*(1+Revenue!D63), IF(E$5 = Assumptions!$H$45, Assumptions!$AE28, 0))</f>
        <v>0</v>
      </c>
      <c r="F316" s="403">
        <f>IF(F$5 &gt; Assumptions!$H$45, E316*(1+Revenue!E63), IF(F$5 = Assumptions!$H$45, Assumptions!$AE28, 0))</f>
        <v>1000</v>
      </c>
      <c r="G316" s="403">
        <f>IF(G$5 &gt; Assumptions!$H$45, F316*(1+Revenue!F63), IF(G$5 = Assumptions!$H$45, Assumptions!$AE28, 0))</f>
        <v>1031.5</v>
      </c>
      <c r="H316" s="403">
        <f>IF(H$5 &gt; Assumptions!$H$45, G316*(1+Revenue!G63), IF(H$5 = Assumptions!$H$45, Assumptions!$AE28, 0))</f>
        <v>1063.99225</v>
      </c>
      <c r="I316" s="403">
        <f>IF(I$5 &gt; Assumptions!$H$45, H316*(1+Revenue!H63), IF(I$5 = Assumptions!$H$45, Assumptions!$AE28, 0))</f>
        <v>1097.5080058750002</v>
      </c>
      <c r="J316" s="403">
        <f>IF(J$5 &gt; Assumptions!$H$45, I316*(1+Revenue!I63), IF(J$5 = Assumptions!$H$45, Assumptions!$AE28, 0))</f>
        <v>1132.0795080600628</v>
      </c>
      <c r="K316" s="403">
        <f>IF(K$5 &gt; Assumptions!$H$45, J316*(1+Revenue!J63), IF(K$5 = Assumptions!$H$45, Assumptions!$AE28, 0))</f>
        <v>1167.7400125639549</v>
      </c>
      <c r="L316" s="403">
        <f>IF(L$5 &gt; Assumptions!$H$45, K316*(1+Revenue!K63), IF(L$5 = Assumptions!$H$45, Assumptions!$AE28, 0))</f>
        <v>1204.5238229597196</v>
      </c>
    </row>
    <row r="317" spans="1:12">
      <c r="A317" s="408" t="s">
        <v>35</v>
      </c>
      <c r="B317" s="405"/>
      <c r="C317" s="403">
        <f>IF(C$5 &gt;= Assumptions!$H$45, Assumptions!AE28, 0)</f>
        <v>0</v>
      </c>
      <c r="D317" s="403">
        <f>IF(D$5 &gt; Assumptions!$H$45, C317*(1+Revenue!C63), IF(D$5 = Assumptions!$H$45, Assumptions!$AE28, 0))</f>
        <v>0</v>
      </c>
      <c r="E317" s="403">
        <f>IF(E$5 &gt; Assumptions!$H$45, D317*(1+Revenue!D63), IF(E$5 = Assumptions!$H$45, Assumptions!$AE28, 0))</f>
        <v>0</v>
      </c>
      <c r="F317" s="403">
        <f>IF(F$5 &gt; Assumptions!$H$45, E317*(1+Revenue!E63), IF(F$5 = Assumptions!$H$45, Assumptions!$AE28, 0))</f>
        <v>1000</v>
      </c>
      <c r="G317" s="403">
        <f>IF(G$5 &gt; Assumptions!$H$45, F317*(1+Revenue!F63), IF(G$5 = Assumptions!$H$45, Assumptions!$AE28, 0))</f>
        <v>1031.5</v>
      </c>
      <c r="H317" s="403">
        <f>IF(H$5 &gt; Assumptions!$H$45, G317*(1+Revenue!G63), IF(H$5 = Assumptions!$H$45, Assumptions!$AE28, 0))</f>
        <v>1063.99225</v>
      </c>
      <c r="I317" s="403">
        <f>IF(I$5 &gt; Assumptions!$H$45, H317*(1+Revenue!H63), IF(I$5 = Assumptions!$H$45, Assumptions!$AE28, 0))</f>
        <v>1097.5080058750002</v>
      </c>
      <c r="J317" s="403">
        <f>IF(J$5 &gt; Assumptions!$H$45, I317*(1+Revenue!I63), IF(J$5 = Assumptions!$H$45, Assumptions!$AE28, 0))</f>
        <v>1132.0795080600628</v>
      </c>
      <c r="K317" s="403">
        <f>IF(K$5 &gt; Assumptions!$H$45, J317*(1+Revenue!J63), IF(K$5 = Assumptions!$H$45, Assumptions!$AE28, 0))</f>
        <v>1167.7400125639549</v>
      </c>
      <c r="L317" s="403">
        <f>IF(L$5 &gt; Assumptions!$H$45, K317*(1+Revenue!K63), IF(L$5 = Assumptions!$H$45, Assumptions!$AE28, 0))</f>
        <v>1204.5238229597196</v>
      </c>
    </row>
    <row r="318" spans="1:12">
      <c r="A318" s="408"/>
      <c r="B318" s="405"/>
      <c r="C318" s="403"/>
      <c r="D318" s="403"/>
      <c r="E318" s="403"/>
      <c r="F318" s="403"/>
      <c r="G318" s="403"/>
      <c r="H318" s="403"/>
      <c r="I318" s="403"/>
      <c r="J318" s="403"/>
      <c r="K318" s="403"/>
      <c r="L318" s="403"/>
    </row>
    <row r="319" spans="1:12" ht="15.5">
      <c r="A319" s="409" t="s">
        <v>156</v>
      </c>
      <c r="B319" s="405"/>
      <c r="C319" s="403">
        <f t="shared" ref="C319:L319" si="109">SUM(C304:C317)</f>
        <v>0</v>
      </c>
      <c r="D319" s="403">
        <f t="shared" si="109"/>
        <v>0</v>
      </c>
      <c r="E319" s="403">
        <f t="shared" si="109"/>
        <v>0</v>
      </c>
      <c r="F319" s="403">
        <f t="shared" si="109"/>
        <v>5823750</v>
      </c>
      <c r="G319" s="403">
        <f t="shared" ca="1" si="109"/>
        <v>8202420.1882745447</v>
      </c>
      <c r="H319" s="403">
        <f t="shared" ca="1" si="109"/>
        <v>9696314.8976266012</v>
      </c>
      <c r="I319" s="403">
        <f t="shared" ca="1" si="109"/>
        <v>10635697.883142082</v>
      </c>
      <c r="J319" s="403">
        <f t="shared" ca="1" si="109"/>
        <v>11700900.577662244</v>
      </c>
      <c r="K319" s="403">
        <f t="shared" ca="1" si="109"/>
        <v>12912362.902700087</v>
      </c>
      <c r="L319" s="403">
        <f t="shared" ca="1" si="109"/>
        <v>14298078.218389859</v>
      </c>
    </row>
    <row r="320" spans="1:12" ht="15.5">
      <c r="A320" s="409"/>
      <c r="B320" s="405"/>
      <c r="C320" s="403"/>
      <c r="D320" s="403"/>
      <c r="E320" s="403"/>
      <c r="F320" s="403"/>
      <c r="G320" s="403"/>
      <c r="H320" s="403"/>
      <c r="I320" s="403"/>
      <c r="J320" s="403"/>
      <c r="K320" s="403"/>
      <c r="L320" s="403"/>
    </row>
    <row r="321" spans="1:12" ht="15.5">
      <c r="A321" s="409" t="s">
        <v>36</v>
      </c>
      <c r="B321" s="405"/>
      <c r="C321" s="403"/>
      <c r="D321" s="403"/>
      <c r="E321" s="403"/>
      <c r="F321" s="403"/>
      <c r="G321" s="403"/>
      <c r="H321" s="403"/>
      <c r="I321" s="403"/>
      <c r="J321" s="403"/>
      <c r="K321" s="403"/>
      <c r="L321" s="403"/>
    </row>
    <row r="322" spans="1:12">
      <c r="A322" s="408" t="s">
        <v>38</v>
      </c>
      <c r="B322" s="405"/>
      <c r="C322" s="403">
        <f>IF(C$5 &gt;= Assumptions!$H$45, Assumptions!AQ22, 0)</f>
        <v>0</v>
      </c>
      <c r="D322" s="403">
        <f>IF(D$5 &gt; Assumptions!$H$45, C322*(1+Revenue!C63), IF(D$5 = Assumptions!$H$45, Assumptions!$AQ22, 0))</f>
        <v>0</v>
      </c>
      <c r="E322" s="403">
        <f>IF(E$5 &gt; Assumptions!$H$45, D322*(1+Revenue!D63), IF(E$5 = Assumptions!$H$45, Assumptions!$AQ22, 0))</f>
        <v>0</v>
      </c>
      <c r="F322" s="403">
        <f>IF(F$5 &gt; Assumptions!$H$45, E322*(1+Revenue!E63), IF(F$5 = Assumptions!$H$45, Assumptions!$AQ22, 0))</f>
        <v>5000</v>
      </c>
      <c r="G322" s="403">
        <f>IF(G$5 &gt; Assumptions!$H$45, F322*(1+Revenue!F63), IF(G$5 = Assumptions!$H$45, Assumptions!$AQ22, 0))</f>
        <v>5157.5</v>
      </c>
      <c r="H322" s="403">
        <f>IF(H$5 &gt; Assumptions!$H$45, G322*(1+Revenue!G63), IF(H$5 = Assumptions!$H$45, Assumptions!$AQ22, 0))</f>
        <v>5319.9612500000003</v>
      </c>
      <c r="I322" s="403">
        <f>IF(I$5 &gt; Assumptions!$H$45, H322*(1+Revenue!H63), IF(I$5 = Assumptions!$H$45, Assumptions!$AQ22, 0))</f>
        <v>5487.5400293750008</v>
      </c>
      <c r="J322" s="403">
        <f>IF(J$5 &gt; Assumptions!$H$45, I322*(1+Revenue!I63), IF(J$5 = Assumptions!$H$45, Assumptions!$AQ22, 0))</f>
        <v>5660.3975403003142</v>
      </c>
      <c r="K322" s="403">
        <f>IF(K$5 &gt; Assumptions!$H$45, J322*(1+Revenue!J63), IF(K$5 = Assumptions!$H$45, Assumptions!$AQ22, 0))</f>
        <v>5838.7000628197748</v>
      </c>
      <c r="L322" s="403">
        <f>IF(L$5 &gt; Assumptions!$H$45, K322*(1+Revenue!K63), IF(L$5 = Assumptions!$H$45, Assumptions!$AQ22, 0))</f>
        <v>6022.6191147985983</v>
      </c>
    </row>
    <row r="323" spans="1:12">
      <c r="A323" s="408" t="s">
        <v>39</v>
      </c>
      <c r="B323" s="405"/>
      <c r="C323" s="403">
        <f>IF(C$5 &gt;= Assumptions!$H$45, Assumptions!AQ23, 0)</f>
        <v>0</v>
      </c>
      <c r="D323" s="403">
        <f>IF(D$5 &gt; Assumptions!$H$45, C322*(1+Revenue!C63), IF(D$5 = Assumptions!$G$45, Assumptions!$AQ23, 0))</f>
        <v>0</v>
      </c>
      <c r="E323" s="403">
        <f>IF(E$5 &gt; Assumptions!$H$45, D322*(1+Revenue!D63), IF(E$5 = Assumptions!$G$45, Assumptions!$AQ23, 0))</f>
        <v>0</v>
      </c>
      <c r="F323" s="403">
        <f>IF(F$5 &gt; Assumptions!$H$45, E322*(1+Revenue!E63), IF(F$5 = Assumptions!$G$45, Assumptions!$AQ23, 0))</f>
        <v>500</v>
      </c>
      <c r="G323" s="403">
        <f>IF(G$5 &gt; Assumptions!$H$45, F322*(1+Revenue!F63), IF(G$5 = Assumptions!$G$45, Assumptions!$AQ23, 0))</f>
        <v>5157.5</v>
      </c>
      <c r="H323" s="403">
        <f>IF(H$5 &gt; Assumptions!$H$45, G322*(1+Revenue!G63), IF(H$5 = Assumptions!$G$45, Assumptions!$AQ23, 0))</f>
        <v>5319.9612500000003</v>
      </c>
      <c r="I323" s="403">
        <f>IF(I$5 &gt; Assumptions!$H$45, H322*(1+Revenue!H63), IF(I$5 = Assumptions!$G$45, Assumptions!$AQ23, 0))</f>
        <v>5487.5400293750008</v>
      </c>
      <c r="J323" s="403">
        <f>IF(J$5 &gt; Assumptions!$H$45, I322*(1+Revenue!I63), IF(J$5 = Assumptions!$G$45, Assumptions!$AQ23, 0))</f>
        <v>5660.3975403003142</v>
      </c>
      <c r="K323" s="403">
        <f>IF(K$5 &gt; Assumptions!$H$45, J322*(1+Revenue!J63), IF(K$5 = Assumptions!$G$45, Assumptions!$AQ23, 0))</f>
        <v>5838.7000628197748</v>
      </c>
      <c r="L323" s="403">
        <f>IF(L$5 &gt; Assumptions!$H$45, K322*(1+Revenue!K63), IF(L$5 = Assumptions!$G$45, Assumptions!$AQ23, 0))</f>
        <v>6022.6191147985983</v>
      </c>
    </row>
    <row r="324" spans="1:12">
      <c r="A324" s="408"/>
      <c r="B324" s="405"/>
      <c r="C324" s="403"/>
      <c r="D324" s="403"/>
      <c r="E324" s="403"/>
      <c r="F324" s="403"/>
      <c r="G324" s="403"/>
      <c r="H324" s="403"/>
      <c r="I324" s="403"/>
      <c r="J324" s="403"/>
      <c r="K324" s="403"/>
      <c r="L324" s="403"/>
    </row>
    <row r="325" spans="1:12" ht="15.5">
      <c r="A325" s="409" t="s">
        <v>157</v>
      </c>
      <c r="B325" s="405"/>
      <c r="C325" s="403">
        <f t="shared" ref="C325:L325" si="110">SUM(C322:C323)</f>
        <v>0</v>
      </c>
      <c r="D325" s="403">
        <f t="shared" si="110"/>
        <v>0</v>
      </c>
      <c r="E325" s="403">
        <f t="shared" si="110"/>
        <v>0</v>
      </c>
      <c r="F325" s="403">
        <f t="shared" si="110"/>
        <v>5500</v>
      </c>
      <c r="G325" s="403">
        <f t="shared" si="110"/>
        <v>10315</v>
      </c>
      <c r="H325" s="403">
        <f t="shared" si="110"/>
        <v>10639.922500000001</v>
      </c>
      <c r="I325" s="403">
        <f t="shared" si="110"/>
        <v>10975.080058750002</v>
      </c>
      <c r="J325" s="403">
        <f t="shared" si="110"/>
        <v>11320.795080600628</v>
      </c>
      <c r="K325" s="403">
        <f t="shared" si="110"/>
        <v>11677.40012563955</v>
      </c>
      <c r="L325" s="403">
        <f t="shared" si="110"/>
        <v>12045.238229597197</v>
      </c>
    </row>
    <row r="326" spans="1:12">
      <c r="A326" s="408"/>
      <c r="B326" s="405"/>
      <c r="C326" s="403"/>
      <c r="D326" s="403"/>
      <c r="E326" s="403"/>
      <c r="F326" s="403"/>
      <c r="G326" s="403"/>
      <c r="H326" s="403"/>
      <c r="I326" s="403"/>
      <c r="J326" s="403"/>
      <c r="K326" s="403"/>
      <c r="L326" s="403"/>
    </row>
    <row r="327" spans="1:12" ht="15.5">
      <c r="A327" s="409" t="s">
        <v>112</v>
      </c>
      <c r="B327" s="405"/>
      <c r="C327" s="403">
        <f t="shared" ref="C327:L327" si="111">C300+C319+C325</f>
        <v>0</v>
      </c>
      <c r="D327" s="403">
        <f t="shared" si="111"/>
        <v>0</v>
      </c>
      <c r="E327" s="403">
        <f t="shared" si="111"/>
        <v>0</v>
      </c>
      <c r="F327" s="403">
        <f t="shared" si="111"/>
        <v>5864250</v>
      </c>
      <c r="G327" s="403">
        <f t="shared" ca="1" si="111"/>
        <v>8212735.1882745447</v>
      </c>
      <c r="H327" s="403">
        <f t="shared" ca="1" si="111"/>
        <v>9706954.8201266006</v>
      </c>
      <c r="I327" s="403">
        <f t="shared" ca="1" si="111"/>
        <v>10646672.963200832</v>
      </c>
      <c r="J327" s="403">
        <f t="shared" ca="1" si="111"/>
        <v>11712221.372742845</v>
      </c>
      <c r="K327" s="403">
        <f t="shared" ca="1" si="111"/>
        <v>12924040.302825727</v>
      </c>
      <c r="L327" s="403">
        <f t="shared" ca="1" si="111"/>
        <v>14310123.456619456</v>
      </c>
    </row>
    <row r="328" spans="1:12">
      <c r="A328" s="408"/>
      <c r="B328" s="405"/>
      <c r="C328" s="403"/>
      <c r="D328" s="403"/>
      <c r="E328" s="403"/>
      <c r="F328" s="403"/>
      <c r="G328" s="403"/>
      <c r="H328" s="403"/>
      <c r="I328" s="403"/>
      <c r="J328" s="403"/>
      <c r="K328" s="403"/>
      <c r="L328" s="403"/>
    </row>
    <row r="329" spans="1:12" ht="15.5">
      <c r="A329" s="409" t="s">
        <v>372</v>
      </c>
      <c r="B329" s="405"/>
      <c r="C329" s="403">
        <f>C286-C327</f>
        <v>0</v>
      </c>
      <c r="D329" s="403">
        <f t="shared" ref="D329:L329" si="112">D286-D327</f>
        <v>0</v>
      </c>
      <c r="E329" s="403">
        <f t="shared" si="112"/>
        <v>0</v>
      </c>
      <c r="F329" s="403">
        <f t="shared" si="112"/>
        <v>10164750</v>
      </c>
      <c r="G329" s="403">
        <f t="shared" ca="1" si="112"/>
        <v>13524181.704572435</v>
      </c>
      <c r="H329" s="403">
        <f t="shared" ca="1" si="112"/>
        <v>16029067.198855918</v>
      </c>
      <c r="I329" s="403">
        <f t="shared" ca="1" si="112"/>
        <v>17633761.146660984</v>
      </c>
      <c r="J329" s="403">
        <f t="shared" ca="1" si="112"/>
        <v>19454225.713923998</v>
      </c>
      <c r="K329" s="403">
        <f t="shared" ca="1" si="112"/>
        <v>21526180.139921769</v>
      </c>
      <c r="L329" s="403">
        <f t="shared" ca="1" si="112"/>
        <v>23898111.804191999</v>
      </c>
    </row>
    <row r="330" spans="1:12">
      <c r="A330" s="408"/>
      <c r="B330" s="405"/>
      <c r="C330" s="403"/>
      <c r="D330" s="403"/>
      <c r="E330" s="403"/>
      <c r="F330" s="403"/>
      <c r="G330" s="403"/>
      <c r="H330" s="403"/>
      <c r="I330" s="403"/>
      <c r="J330" s="403"/>
      <c r="K330" s="403"/>
      <c r="L330" s="403"/>
    </row>
    <row r="331" spans="1:12">
      <c r="A331" s="408" t="s">
        <v>159</v>
      </c>
      <c r="B331" s="405"/>
      <c r="C331" s="403">
        <f>0</f>
        <v>0</v>
      </c>
      <c r="D331" s="403">
        <f>0</f>
        <v>0</v>
      </c>
      <c r="E331" s="403">
        <f>0</f>
        <v>0</v>
      </c>
      <c r="F331" s="403">
        <f>0</f>
        <v>0</v>
      </c>
      <c r="G331" s="403">
        <f>0</f>
        <v>0</v>
      </c>
      <c r="H331" s="403">
        <f>0</f>
        <v>0</v>
      </c>
      <c r="I331" s="403">
        <f>0</f>
        <v>0</v>
      </c>
      <c r="J331" s="403">
        <f>0</f>
        <v>0</v>
      </c>
      <c r="K331" s="403">
        <f>0</f>
        <v>0</v>
      </c>
      <c r="L331" s="403">
        <f>0</f>
        <v>0</v>
      </c>
    </row>
    <row r="332" spans="1:12">
      <c r="A332" s="408" t="s">
        <v>160</v>
      </c>
      <c r="B332" s="405"/>
      <c r="C332" s="403">
        <v>0</v>
      </c>
      <c r="D332" s="403">
        <v>0</v>
      </c>
      <c r="E332" s="403">
        <v>0</v>
      </c>
      <c r="F332" s="403">
        <v>0</v>
      </c>
      <c r="G332" s="403">
        <v>0</v>
      </c>
      <c r="H332" s="403">
        <v>0</v>
      </c>
      <c r="I332" s="403">
        <v>0</v>
      </c>
      <c r="J332" s="403">
        <v>0</v>
      </c>
      <c r="K332" s="403">
        <v>0</v>
      </c>
      <c r="L332" s="403">
        <v>0</v>
      </c>
    </row>
    <row r="333" spans="1:12">
      <c r="A333" s="408"/>
      <c r="B333" s="405"/>
      <c r="C333" s="403"/>
      <c r="D333" s="403"/>
      <c r="E333" s="403"/>
      <c r="F333" s="403"/>
      <c r="G333" s="403"/>
      <c r="H333" s="403"/>
      <c r="I333" s="403"/>
      <c r="J333" s="403"/>
      <c r="K333" s="403"/>
      <c r="L333" s="403"/>
    </row>
    <row r="334" spans="1:12" ht="15.5">
      <c r="A334" s="409" t="s">
        <v>373</v>
      </c>
      <c r="B334" s="405"/>
      <c r="C334" s="403">
        <f>C329-C331-C332</f>
        <v>0</v>
      </c>
      <c r="D334" s="403">
        <f t="shared" ref="D334:L334" si="113">D329-D331-D332</f>
        <v>0</v>
      </c>
      <c r="E334" s="403">
        <f t="shared" si="113"/>
        <v>0</v>
      </c>
      <c r="F334" s="403">
        <f t="shared" si="113"/>
        <v>10164750</v>
      </c>
      <c r="G334" s="403">
        <f t="shared" ca="1" si="113"/>
        <v>13524181.704572435</v>
      </c>
      <c r="H334" s="403">
        <f t="shared" ca="1" si="113"/>
        <v>16029067.198855918</v>
      </c>
      <c r="I334" s="403">
        <f t="shared" ca="1" si="113"/>
        <v>17633761.146660984</v>
      </c>
      <c r="J334" s="403">
        <f t="shared" ca="1" si="113"/>
        <v>19454225.713923998</v>
      </c>
      <c r="K334" s="403">
        <f t="shared" ca="1" si="113"/>
        <v>21526180.139921769</v>
      </c>
      <c r="L334" s="403">
        <f t="shared" ca="1" si="113"/>
        <v>23898111.804191999</v>
      </c>
    </row>
    <row r="335" spans="1:12">
      <c r="A335" s="408"/>
      <c r="B335" s="405"/>
      <c r="C335" s="403"/>
      <c r="D335" s="403"/>
      <c r="E335" s="403"/>
      <c r="F335" s="403"/>
      <c r="G335" s="403"/>
      <c r="H335" s="403"/>
      <c r="I335" s="403"/>
      <c r="J335" s="403"/>
      <c r="K335" s="403"/>
      <c r="L335" s="403"/>
    </row>
    <row r="336" spans="1:12">
      <c r="A336" s="408" t="s">
        <v>162</v>
      </c>
      <c r="B336" s="405"/>
      <c r="C336" s="403">
        <f>0</f>
        <v>0</v>
      </c>
      <c r="D336" s="403">
        <f>0</f>
        <v>0</v>
      </c>
      <c r="E336" s="403">
        <f>0</f>
        <v>0</v>
      </c>
      <c r="F336" s="403">
        <f>0</f>
        <v>0</v>
      </c>
      <c r="G336" s="403">
        <f>0</f>
        <v>0</v>
      </c>
      <c r="H336" s="403">
        <f>0</f>
        <v>0</v>
      </c>
      <c r="I336" s="403">
        <f>0</f>
        <v>0</v>
      </c>
      <c r="J336" s="403">
        <f>0</f>
        <v>0</v>
      </c>
      <c r="K336" s="403">
        <f>0</f>
        <v>0</v>
      </c>
      <c r="L336" s="403">
        <f>0</f>
        <v>0</v>
      </c>
    </row>
    <row r="337" spans="1:12">
      <c r="A337" s="408"/>
      <c r="B337" s="405"/>
      <c r="C337" s="403"/>
      <c r="D337" s="403"/>
      <c r="E337" s="403"/>
      <c r="F337" s="403"/>
      <c r="G337" s="403"/>
      <c r="H337" s="403"/>
      <c r="I337" s="403"/>
      <c r="J337" s="403"/>
      <c r="K337" s="403"/>
      <c r="L337" s="403"/>
    </row>
    <row r="338" spans="1:12" ht="15.5">
      <c r="A338" s="409" t="s">
        <v>374</v>
      </c>
      <c r="B338" s="405"/>
      <c r="C338" s="403">
        <f>C334-C336</f>
        <v>0</v>
      </c>
      <c r="D338" s="403">
        <f t="shared" ref="D338:L338" si="114">D334-D336</f>
        <v>0</v>
      </c>
      <c r="E338" s="403">
        <f t="shared" si="114"/>
        <v>0</v>
      </c>
      <c r="F338" s="403">
        <f t="shared" si="114"/>
        <v>10164750</v>
      </c>
      <c r="G338" s="403">
        <f t="shared" ca="1" si="114"/>
        <v>13524181.704572435</v>
      </c>
      <c r="H338" s="403">
        <f t="shared" ca="1" si="114"/>
        <v>16029067.198855918</v>
      </c>
      <c r="I338" s="403">
        <f t="shared" ca="1" si="114"/>
        <v>17633761.146660984</v>
      </c>
      <c r="J338" s="403">
        <f t="shared" ca="1" si="114"/>
        <v>19454225.713923998</v>
      </c>
      <c r="K338" s="403">
        <f t="shared" ca="1" si="114"/>
        <v>21526180.139921769</v>
      </c>
      <c r="L338" s="403">
        <f t="shared" ca="1" si="114"/>
        <v>23898111.804191999</v>
      </c>
    </row>
    <row r="339" spans="1:12">
      <c r="A339" s="408"/>
      <c r="B339" s="405"/>
      <c r="C339" s="403"/>
      <c r="D339" s="403"/>
      <c r="E339" s="403"/>
      <c r="F339" s="403"/>
      <c r="G339" s="403"/>
      <c r="H339" s="403"/>
      <c r="I339" s="403"/>
      <c r="J339" s="403"/>
      <c r="K339" s="403"/>
      <c r="L339" s="403"/>
    </row>
    <row r="340" spans="1:12">
      <c r="A340" s="408" t="s">
        <v>164</v>
      </c>
      <c r="B340" s="405"/>
      <c r="C340" s="403">
        <f>C338*Assumptions!$Y$19</f>
        <v>0</v>
      </c>
      <c r="D340" s="403">
        <f>D338*Assumptions!$Y$19</f>
        <v>0</v>
      </c>
      <c r="E340" s="403">
        <f>E338*Assumptions!$Y$19</f>
        <v>0</v>
      </c>
      <c r="F340" s="403">
        <f>F338*Assumptions!$Y$19</f>
        <v>1931302.5</v>
      </c>
      <c r="G340" s="403">
        <f ca="1">G338*Assumptions!$Y$19</f>
        <v>2569594.5238687629</v>
      </c>
      <c r="H340" s="403">
        <f ca="1">H338*Assumptions!$Y$19</f>
        <v>3045522.7677826243</v>
      </c>
      <c r="I340" s="403">
        <f ca="1">I338*Assumptions!$Y$19</f>
        <v>3350414.6178655871</v>
      </c>
      <c r="J340" s="403">
        <f ca="1">J338*Assumptions!$Y$19</f>
        <v>3696302.8856455595</v>
      </c>
      <c r="K340" s="403">
        <f ca="1">K338*Assumptions!$Y$19</f>
        <v>4089974.2265851363</v>
      </c>
      <c r="L340" s="403">
        <f ca="1">L338*Assumptions!$Y$19</f>
        <v>4540641.2427964797</v>
      </c>
    </row>
    <row r="341" spans="1:12">
      <c r="A341" s="408"/>
      <c r="B341" s="405"/>
      <c r="C341" s="403"/>
      <c r="D341" s="403"/>
      <c r="E341" s="403"/>
      <c r="F341" s="403"/>
      <c r="G341" s="403"/>
      <c r="H341" s="403"/>
      <c r="I341" s="403"/>
      <c r="J341" s="403"/>
      <c r="K341" s="403"/>
      <c r="L341" s="403"/>
    </row>
    <row r="342" spans="1:12" ht="15.5">
      <c r="A342" s="409" t="s">
        <v>97</v>
      </c>
      <c r="B342" s="405"/>
      <c r="C342" s="403">
        <f>C338-C340</f>
        <v>0</v>
      </c>
      <c r="D342" s="403">
        <f t="shared" ref="D342:L342" si="115">D338-D340</f>
        <v>0</v>
      </c>
      <c r="E342" s="403">
        <f t="shared" si="115"/>
        <v>0</v>
      </c>
      <c r="F342" s="403">
        <f t="shared" si="115"/>
        <v>8233447.5</v>
      </c>
      <c r="G342" s="403">
        <f t="shared" ca="1" si="115"/>
        <v>10954587.180703674</v>
      </c>
      <c r="H342" s="403">
        <f t="shared" ca="1" si="115"/>
        <v>12983544.431073293</v>
      </c>
      <c r="I342" s="403">
        <f t="shared" ca="1" si="115"/>
        <v>14283346.528795397</v>
      </c>
      <c r="J342" s="403">
        <f t="shared" ca="1" si="115"/>
        <v>15757922.828278439</v>
      </c>
      <c r="K342" s="403">
        <f t="shared" ca="1" si="115"/>
        <v>17436205.913336635</v>
      </c>
      <c r="L342" s="403">
        <f t="shared" ca="1" si="115"/>
        <v>19357470.561395518</v>
      </c>
    </row>
    <row r="343" spans="1:12">
      <c r="A343" s="408"/>
      <c r="B343" s="405"/>
      <c r="C343" s="403"/>
      <c r="D343" s="403"/>
      <c r="E343" s="403"/>
      <c r="F343" s="403"/>
      <c r="G343" s="403"/>
      <c r="H343" s="403"/>
      <c r="I343" s="403"/>
      <c r="J343" s="403"/>
      <c r="K343" s="403"/>
      <c r="L343" s="403"/>
    </row>
    <row r="344" spans="1:12" ht="16" thickBot="1">
      <c r="A344" s="412" t="s">
        <v>165</v>
      </c>
      <c r="B344" s="406"/>
      <c r="C344" s="407">
        <f>C342</f>
        <v>0</v>
      </c>
      <c r="D344" s="407">
        <f t="shared" ref="D344:L344" si="116">C344+D342</f>
        <v>0</v>
      </c>
      <c r="E344" s="407">
        <f t="shared" si="116"/>
        <v>0</v>
      </c>
      <c r="F344" s="407">
        <f t="shared" si="116"/>
        <v>8233447.5</v>
      </c>
      <c r="G344" s="407">
        <f t="shared" ca="1" si="116"/>
        <v>19188034.680703674</v>
      </c>
      <c r="H344" s="407">
        <f t="shared" ca="1" si="116"/>
        <v>32171579.111776967</v>
      </c>
      <c r="I344" s="407">
        <f t="shared" ca="1" si="116"/>
        <v>46454925.640572362</v>
      </c>
      <c r="J344" s="407">
        <f t="shared" ca="1" si="116"/>
        <v>62212848.468850799</v>
      </c>
      <c r="K344" s="407">
        <f t="shared" ca="1" si="116"/>
        <v>79649054.382187426</v>
      </c>
      <c r="L344" s="407">
        <f t="shared" ca="1" si="116"/>
        <v>99006524.943582952</v>
      </c>
    </row>
    <row r="345" spans="1:12" ht="15" thickTop="1">
      <c r="B345" s="419"/>
      <c r="C345" s="420"/>
      <c r="D345" s="420"/>
      <c r="E345" s="420"/>
      <c r="F345" s="420"/>
      <c r="G345" s="420"/>
      <c r="H345" s="420"/>
      <c r="I345" s="420"/>
      <c r="J345" s="420"/>
      <c r="K345" s="420"/>
      <c r="L345" s="420"/>
    </row>
    <row r="346" spans="1:12" ht="15.5">
      <c r="A346" s="413" t="s">
        <v>350</v>
      </c>
      <c r="B346" s="405"/>
      <c r="C346" s="135"/>
      <c r="D346" s="135"/>
      <c r="E346" s="135"/>
      <c r="F346" s="135"/>
      <c r="G346" s="135"/>
      <c r="H346" s="135"/>
      <c r="I346" s="135"/>
      <c r="J346" s="135"/>
      <c r="K346" s="135"/>
      <c r="L346" s="136"/>
    </row>
    <row r="347" spans="1:12" ht="15.5">
      <c r="A347" s="414" t="s">
        <v>355</v>
      </c>
      <c r="B347" s="405"/>
      <c r="C347" s="48"/>
      <c r="D347" s="48"/>
      <c r="E347" s="48"/>
      <c r="F347" s="48"/>
      <c r="G347" s="48"/>
      <c r="H347" s="48"/>
      <c r="I347" s="48"/>
      <c r="J347" s="48"/>
      <c r="K347" s="48"/>
      <c r="L347" s="48"/>
    </row>
    <row r="348" spans="1:12">
      <c r="A348" s="415" t="s">
        <v>289</v>
      </c>
      <c r="B348" s="405"/>
      <c r="C348" s="133">
        <f>Revenue!AQ8</f>
        <v>0</v>
      </c>
      <c r="D348" s="133">
        <f>Revenue!AR8</f>
        <v>0</v>
      </c>
      <c r="E348" s="133">
        <f>Revenue!AS8</f>
        <v>0</v>
      </c>
      <c r="F348" s="133">
        <f>Revenue!AT8</f>
        <v>1540</v>
      </c>
      <c r="G348" s="133">
        <f ca="1">Revenue!AU8</f>
        <v>1586.5130374791033</v>
      </c>
      <c r="H348" s="133">
        <f ca="1">Revenue!AV8</f>
        <v>1638.5198998762371</v>
      </c>
      <c r="I348" s="133">
        <f ca="1">Revenue!AW8</f>
        <v>1697.5538890688401</v>
      </c>
      <c r="J348" s="133">
        <f ca="1">Revenue!AX8</f>
        <v>1763.2845752835804</v>
      </c>
      <c r="K348" s="133">
        <f ca="1">Revenue!AY8</f>
        <v>1838.5711564271814</v>
      </c>
      <c r="L348" s="133">
        <f ca="1">Revenue!AZ8</f>
        <v>1921.6894283459778</v>
      </c>
    </row>
    <row r="349" spans="1:12">
      <c r="A349" s="415" t="s">
        <v>60</v>
      </c>
      <c r="B349" s="405"/>
      <c r="C349" s="403">
        <f>Revenue!AC8</f>
        <v>0</v>
      </c>
      <c r="D349" s="403">
        <f>Revenue!AD8</f>
        <v>0</v>
      </c>
      <c r="E349" s="403">
        <f>Revenue!AE8</f>
        <v>0</v>
      </c>
      <c r="F349" s="403">
        <f>Revenue!AF8</f>
        <v>5000</v>
      </c>
      <c r="G349" s="403">
        <f>Revenue!AG8</f>
        <v>5200</v>
      </c>
      <c r="H349" s="403">
        <f>Revenue!AH8</f>
        <v>5408</v>
      </c>
      <c r="I349" s="403">
        <f>Revenue!AI8</f>
        <v>5624.3200000000006</v>
      </c>
      <c r="J349" s="403">
        <f>Revenue!AJ8</f>
        <v>5849.2928000000011</v>
      </c>
      <c r="K349" s="403">
        <f>Revenue!AK8</f>
        <v>6083.2645120000016</v>
      </c>
      <c r="L349" s="403">
        <f>Revenue!AL8</f>
        <v>6326.5950924800018</v>
      </c>
    </row>
    <row r="350" spans="1:12">
      <c r="A350" s="415" t="s">
        <v>366</v>
      </c>
      <c r="B350" s="405"/>
      <c r="C350" s="403">
        <f t="shared" ref="C350:L350" si="117">C348*C349</f>
        <v>0</v>
      </c>
      <c r="D350" s="403">
        <f t="shared" si="117"/>
        <v>0</v>
      </c>
      <c r="E350" s="403">
        <f t="shared" si="117"/>
        <v>0</v>
      </c>
      <c r="F350" s="403">
        <f t="shared" si="117"/>
        <v>7700000</v>
      </c>
      <c r="G350" s="403">
        <f t="shared" ca="1" si="117"/>
        <v>8249867.7948913369</v>
      </c>
      <c r="H350" s="403">
        <f t="shared" ca="1" si="117"/>
        <v>8861115.6185306907</v>
      </c>
      <c r="I350" s="403">
        <f t="shared" ca="1" si="117"/>
        <v>9547586.2893676609</v>
      </c>
      <c r="J350" s="403">
        <f t="shared" ca="1" si="117"/>
        <v>10313967.770557307</v>
      </c>
      <c r="K350" s="403">
        <f t="shared" ca="1" si="117"/>
        <v>11184514.668680277</v>
      </c>
      <c r="L350" s="403">
        <f t="shared" ca="1" si="117"/>
        <v>12157750.906644363</v>
      </c>
    </row>
    <row r="351" spans="1:12" ht="15.5">
      <c r="A351" s="416" t="s">
        <v>356</v>
      </c>
      <c r="B351" s="405"/>
      <c r="C351" s="48"/>
      <c r="D351" s="48"/>
      <c r="E351" s="48"/>
      <c r="F351" s="48"/>
      <c r="G351" s="48"/>
      <c r="H351" s="48"/>
      <c r="I351" s="48"/>
      <c r="J351" s="48"/>
      <c r="K351" s="48"/>
      <c r="L351" s="48"/>
    </row>
    <row r="352" spans="1:12">
      <c r="A352" s="417" t="s">
        <v>358</v>
      </c>
      <c r="B352" s="405"/>
      <c r="C352" s="133">
        <f>Revenue!AQ9</f>
        <v>0</v>
      </c>
      <c r="D352" s="133">
        <f>Revenue!AR9</f>
        <v>0</v>
      </c>
      <c r="E352" s="133">
        <f>Revenue!AS9</f>
        <v>0</v>
      </c>
      <c r="F352" s="133">
        <f>Revenue!AT9</f>
        <v>1000</v>
      </c>
      <c r="G352" s="133">
        <f ca="1">Revenue!AU9</f>
        <v>1059.8638231047019</v>
      </c>
      <c r="H352" s="133">
        <f ca="1">Revenue!AV9</f>
        <v>1126.776706294296</v>
      </c>
      <c r="I352" s="133">
        <f ca="1">Revenue!AW9</f>
        <v>1201.2485146336396</v>
      </c>
      <c r="J352" s="133">
        <f ca="1">Revenue!AX9</f>
        <v>1284.6964739601522</v>
      </c>
      <c r="K352" s="133">
        <f ca="1">Revenue!AY9</f>
        <v>1378.1671475762942</v>
      </c>
      <c r="L352" s="133">
        <f ca="1">Revenue!AZ9</f>
        <v>1483.5935134161516</v>
      </c>
    </row>
    <row r="353" spans="1:12">
      <c r="A353" s="417" t="s">
        <v>359</v>
      </c>
      <c r="B353" s="405"/>
      <c r="C353" s="403">
        <f>Revenue!AC9</f>
        <v>0</v>
      </c>
      <c r="D353" s="403">
        <f>Revenue!AD9</f>
        <v>0</v>
      </c>
      <c r="E353" s="403">
        <f>Revenue!AE9</f>
        <v>0</v>
      </c>
      <c r="F353" s="403">
        <f>Revenue!AF9</f>
        <v>7000</v>
      </c>
      <c r="G353" s="403">
        <f>Revenue!AG9</f>
        <v>7280</v>
      </c>
      <c r="H353" s="403">
        <f>Revenue!AH9</f>
        <v>7571.2</v>
      </c>
      <c r="I353" s="403">
        <f>Revenue!AI9</f>
        <v>7874.0479999999998</v>
      </c>
      <c r="J353" s="403">
        <f>Revenue!AJ9</f>
        <v>8189.0099200000004</v>
      </c>
      <c r="K353" s="403">
        <f>Revenue!AK9</f>
        <v>8516.5703168</v>
      </c>
      <c r="L353" s="403">
        <f>Revenue!AL9</f>
        <v>8857.2331294720007</v>
      </c>
    </row>
    <row r="354" spans="1:12">
      <c r="A354" s="418" t="s">
        <v>366</v>
      </c>
      <c r="B354" s="405"/>
      <c r="C354" s="403">
        <f t="shared" ref="C354:L354" si="118">C352*C353</f>
        <v>0</v>
      </c>
      <c r="D354" s="403">
        <f t="shared" si="118"/>
        <v>0</v>
      </c>
      <c r="E354" s="403">
        <f t="shared" si="118"/>
        <v>0</v>
      </c>
      <c r="F354" s="403">
        <f t="shared" si="118"/>
        <v>7000000</v>
      </c>
      <c r="G354" s="403">
        <f t="shared" ca="1" si="118"/>
        <v>7715808.6322022295</v>
      </c>
      <c r="H354" s="403">
        <f t="shared" ca="1" si="118"/>
        <v>8531051.7986953743</v>
      </c>
      <c r="I354" s="403">
        <f t="shared" ca="1" si="118"/>
        <v>9458688.4641539808</v>
      </c>
      <c r="J354" s="403">
        <f t="shared" ca="1" si="118"/>
        <v>10520392.169448709</v>
      </c>
      <c r="K354" s="403">
        <f t="shared" ca="1" si="118"/>
        <v>11737257.420637192</v>
      </c>
      <c r="L354" s="403">
        <f t="shared" ca="1" si="118"/>
        <v>13140533.617699301</v>
      </c>
    </row>
    <row r="355" spans="1:12" ht="15.5">
      <c r="A355" s="416" t="s">
        <v>357</v>
      </c>
      <c r="B355" s="405"/>
      <c r="C355" s="48"/>
      <c r="D355" s="48"/>
      <c r="E355" s="48"/>
      <c r="F355" s="48"/>
      <c r="G355" s="48"/>
      <c r="H355" s="48"/>
      <c r="I355" s="48"/>
      <c r="J355" s="48"/>
      <c r="K355" s="48"/>
      <c r="L355" s="48"/>
    </row>
    <row r="356" spans="1:12">
      <c r="A356" s="417" t="s">
        <v>358</v>
      </c>
      <c r="B356" s="405"/>
      <c r="C356" s="133">
        <f>Revenue!AQ10</f>
        <v>0</v>
      </c>
      <c r="D356" s="133">
        <f>Revenue!AR10</f>
        <v>0</v>
      </c>
      <c r="E356" s="133">
        <f>Revenue!AS10</f>
        <v>0</v>
      </c>
      <c r="F356" s="133">
        <f>Revenue!AT10</f>
        <v>1270</v>
      </c>
      <c r="G356" s="133">
        <f ca="1">Revenue!AU10</f>
        <v>1320.9412512309136</v>
      </c>
      <c r="H356" s="133">
        <f ca="1">Revenue!AV10</f>
        <v>1378.679945474752</v>
      </c>
      <c r="I356" s="133">
        <f ca="1">Revenue!AW10</f>
        <v>1444.3893056136369</v>
      </c>
      <c r="J356" s="133">
        <f ca="1">Revenue!AX10</f>
        <v>1518.9926345992828</v>
      </c>
      <c r="K356" s="133">
        <f ca="1">Revenue!AY10</f>
        <v>1602.5892935947099</v>
      </c>
      <c r="L356" s="133">
        <f ca="1">Revenue!AZ10</f>
        <v>1696.1657925317277</v>
      </c>
    </row>
    <row r="357" spans="1:12">
      <c r="A357" s="417" t="s">
        <v>359</v>
      </c>
      <c r="B357" s="405"/>
      <c r="C357" s="403">
        <f>Revenue!AC10</f>
        <v>0</v>
      </c>
      <c r="D357" s="403">
        <f>Revenue!AD10</f>
        <v>0</v>
      </c>
      <c r="E357" s="403">
        <f>Revenue!AE10</f>
        <v>0</v>
      </c>
      <c r="F357" s="403">
        <f>Revenue!AF10</f>
        <v>4000</v>
      </c>
      <c r="G357" s="403">
        <f>Revenue!AG10</f>
        <v>4160</v>
      </c>
      <c r="H357" s="403">
        <f>Revenue!AH10</f>
        <v>4326.4000000000005</v>
      </c>
      <c r="I357" s="403">
        <f>Revenue!AI10</f>
        <v>4499.456000000001</v>
      </c>
      <c r="J357" s="403">
        <f>Revenue!AJ10</f>
        <v>4679.4342400000014</v>
      </c>
      <c r="K357" s="403">
        <f>Revenue!AK10</f>
        <v>4866.6116096000014</v>
      </c>
      <c r="L357" s="403">
        <f>Revenue!AL10</f>
        <v>5061.2760739840014</v>
      </c>
    </row>
    <row r="358" spans="1:12">
      <c r="A358" s="418" t="s">
        <v>366</v>
      </c>
      <c r="B358" s="405"/>
      <c r="C358" s="403">
        <f t="shared" ref="C358:L358" si="119">C356*C357</f>
        <v>0</v>
      </c>
      <c r="D358" s="403">
        <f t="shared" si="119"/>
        <v>0</v>
      </c>
      <c r="E358" s="403">
        <f t="shared" si="119"/>
        <v>0</v>
      </c>
      <c r="F358" s="403">
        <f t="shared" si="119"/>
        <v>5080000</v>
      </c>
      <c r="G358" s="403">
        <f t="shared" ca="1" si="119"/>
        <v>5495115.6051206011</v>
      </c>
      <c r="H358" s="403">
        <f t="shared" ca="1" si="119"/>
        <v>5964720.9161019679</v>
      </c>
      <c r="I358" s="403">
        <f t="shared" ca="1" si="119"/>
        <v>6498966.1274791136</v>
      </c>
      <c r="J358" s="403">
        <f t="shared" ca="1" si="119"/>
        <v>7108026.1446516952</v>
      </c>
      <c r="K358" s="403">
        <f t="shared" ca="1" si="119"/>
        <v>7799179.6616286803</v>
      </c>
      <c r="L358" s="403">
        <f t="shared" ca="1" si="119"/>
        <v>8584763.3432509452</v>
      </c>
    </row>
    <row r="359" spans="1:12" ht="15.5">
      <c r="A359" s="416" t="s">
        <v>360</v>
      </c>
      <c r="B359" s="405"/>
      <c r="C359" s="48"/>
      <c r="D359" s="48"/>
      <c r="E359" s="48"/>
      <c r="F359" s="48"/>
      <c r="G359" s="48"/>
      <c r="H359" s="48"/>
      <c r="I359" s="48"/>
      <c r="J359" s="48"/>
      <c r="K359" s="48"/>
      <c r="L359" s="48"/>
    </row>
    <row r="360" spans="1:12">
      <c r="A360" s="417" t="s">
        <v>358</v>
      </c>
      <c r="B360" s="405"/>
      <c r="C360" s="133">
        <f>Revenue!AQ11</f>
        <v>0</v>
      </c>
      <c r="D360" s="133">
        <f>Revenue!AR11</f>
        <v>0</v>
      </c>
      <c r="E360" s="133">
        <f>Revenue!AS11</f>
        <v>0</v>
      </c>
      <c r="F360" s="133">
        <f>Revenue!AT11</f>
        <v>0</v>
      </c>
      <c r="G360" s="133">
        <f>Revenue!AU11</f>
        <v>635</v>
      </c>
      <c r="H360" s="133">
        <f ca="1">Revenue!AV11</f>
        <v>668.72619837160528</v>
      </c>
      <c r="I360" s="133">
        <f ca="1">Revenue!AW11</f>
        <v>706.48755480756574</v>
      </c>
      <c r="J360" s="133">
        <f ca="1">Revenue!AX11</f>
        <v>748.48107713221953</v>
      </c>
      <c r="K360" s="133">
        <f ca="1">Revenue!AY11</f>
        <v>795.49194158101147</v>
      </c>
      <c r="L360" s="133">
        <f ca="1">Revenue!AZ11</f>
        <v>847.57291066372488</v>
      </c>
    </row>
    <row r="361" spans="1:12">
      <c r="A361" s="417" t="s">
        <v>359</v>
      </c>
      <c r="B361" s="405"/>
      <c r="C361" s="403">
        <f>Revenue!AC11</f>
        <v>0</v>
      </c>
      <c r="D361" s="403">
        <f>Revenue!AD11</f>
        <v>0</v>
      </c>
      <c r="E361" s="403">
        <f>Revenue!AE11</f>
        <v>0</v>
      </c>
      <c r="F361" s="403">
        <f>Revenue!AF11</f>
        <v>0</v>
      </c>
      <c r="G361" s="403">
        <f>Revenue!AG11</f>
        <v>9500</v>
      </c>
      <c r="H361" s="403">
        <f>Revenue!AH11</f>
        <v>9880</v>
      </c>
      <c r="I361" s="403">
        <f>Revenue!AI11</f>
        <v>10275.200000000001</v>
      </c>
      <c r="J361" s="403">
        <f>Revenue!AJ11</f>
        <v>10686.208000000001</v>
      </c>
      <c r="K361" s="403">
        <f>Revenue!AK11</f>
        <v>11113.65632</v>
      </c>
      <c r="L361" s="403">
        <f>Revenue!AL11</f>
        <v>11558.202572800001</v>
      </c>
    </row>
    <row r="362" spans="1:12">
      <c r="A362" s="418" t="s">
        <v>366</v>
      </c>
      <c r="B362" s="405"/>
      <c r="C362" s="403">
        <f t="shared" ref="C362:L362" si="120">C360*C361</f>
        <v>0</v>
      </c>
      <c r="D362" s="403">
        <f t="shared" si="120"/>
        <v>0</v>
      </c>
      <c r="E362" s="403">
        <f t="shared" si="120"/>
        <v>0</v>
      </c>
      <c r="F362" s="403">
        <f t="shared" si="120"/>
        <v>0</v>
      </c>
      <c r="G362" s="403">
        <f t="shared" si="120"/>
        <v>6032500</v>
      </c>
      <c r="H362" s="403">
        <f t="shared" ca="1" si="120"/>
        <v>6607014.8399114599</v>
      </c>
      <c r="I362" s="403">
        <f t="shared" ca="1" si="120"/>
        <v>7259300.9231586996</v>
      </c>
      <c r="J362" s="403">
        <f t="shared" ca="1" si="120"/>
        <v>7998424.4742989419</v>
      </c>
      <c r="K362" s="403">
        <f t="shared" ca="1" si="120"/>
        <v>8840824.0440608785</v>
      </c>
      <c r="L362" s="403">
        <f t="shared" ca="1" si="120"/>
        <v>9796419.3966690507</v>
      </c>
    </row>
    <row r="363" spans="1:12" ht="15.5">
      <c r="A363" s="416" t="s">
        <v>362</v>
      </c>
      <c r="B363" s="405"/>
      <c r="C363" s="48"/>
      <c r="D363" s="48"/>
      <c r="E363" s="48"/>
      <c r="F363" s="48"/>
      <c r="G363" s="48"/>
      <c r="H363" s="48"/>
      <c r="I363" s="48"/>
      <c r="J363" s="48"/>
      <c r="K363" s="48"/>
      <c r="L363" s="48"/>
    </row>
    <row r="364" spans="1:12">
      <c r="A364" s="417" t="s">
        <v>358</v>
      </c>
      <c r="B364" s="405"/>
      <c r="C364" s="133">
        <f>Revenue!AQ12</f>
        <v>0</v>
      </c>
      <c r="D364" s="133">
        <f>Revenue!AR12</f>
        <v>0</v>
      </c>
      <c r="E364" s="133">
        <f>Revenue!AS12</f>
        <v>0</v>
      </c>
      <c r="F364" s="133">
        <f>Revenue!AT12</f>
        <v>0</v>
      </c>
      <c r="G364" s="133">
        <f>Revenue!AU12</f>
        <v>0</v>
      </c>
      <c r="H364" s="133">
        <f>Revenue!AV12</f>
        <v>318</v>
      </c>
      <c r="I364" s="133">
        <f ca="1">Revenue!AW12</f>
        <v>345.54318492936812</v>
      </c>
      <c r="J364" s="133">
        <f ca="1">Revenue!AX12</f>
        <v>376.84304802161233</v>
      </c>
      <c r="K364" s="133">
        <f ca="1">Revenue!AY12</f>
        <v>412.47138540201587</v>
      </c>
      <c r="L364" s="133">
        <f ca="1">Revenue!AZ12</f>
        <v>452.94247864214606</v>
      </c>
    </row>
    <row r="365" spans="1:12">
      <c r="A365" s="417" t="s">
        <v>359</v>
      </c>
      <c r="B365" s="405"/>
      <c r="C365" s="403">
        <f>Revenue!AC12</f>
        <v>0</v>
      </c>
      <c r="D365" s="403">
        <f>Revenue!AD12</f>
        <v>0</v>
      </c>
      <c r="E365" s="403">
        <f>Revenue!AE12</f>
        <v>0</v>
      </c>
      <c r="F365" s="403">
        <f>Revenue!AF12</f>
        <v>0</v>
      </c>
      <c r="G365" s="403">
        <f>Revenue!AG12</f>
        <v>0</v>
      </c>
      <c r="H365" s="403">
        <f>Revenue!AH12</f>
        <v>10000</v>
      </c>
      <c r="I365" s="403">
        <f>Revenue!AI12</f>
        <v>10400</v>
      </c>
      <c r="J365" s="403">
        <f>Revenue!AJ12</f>
        <v>10816</v>
      </c>
      <c r="K365" s="403">
        <f>Revenue!AK12</f>
        <v>11248.640000000001</v>
      </c>
      <c r="L365" s="403">
        <f>Revenue!AL12</f>
        <v>11698.585600000002</v>
      </c>
    </row>
    <row r="366" spans="1:12">
      <c r="A366" s="418" t="s">
        <v>366</v>
      </c>
      <c r="B366" s="405"/>
      <c r="C366" s="403">
        <f t="shared" ref="C366:L366" si="121">C364*C365</f>
        <v>0</v>
      </c>
      <c r="D366" s="403">
        <f t="shared" si="121"/>
        <v>0</v>
      </c>
      <c r="E366" s="403">
        <f t="shared" si="121"/>
        <v>0</v>
      </c>
      <c r="F366" s="403">
        <f t="shared" si="121"/>
        <v>0</v>
      </c>
      <c r="G366" s="403">
        <f t="shared" si="121"/>
        <v>0</v>
      </c>
      <c r="H366" s="403">
        <f t="shared" si="121"/>
        <v>3180000</v>
      </c>
      <c r="I366" s="403">
        <f t="shared" ca="1" si="121"/>
        <v>3593649.1232654285</v>
      </c>
      <c r="J366" s="403">
        <f t="shared" ca="1" si="121"/>
        <v>4075934.4074017592</v>
      </c>
      <c r="K366" s="403">
        <f t="shared" ca="1" si="121"/>
        <v>4639742.1246885322</v>
      </c>
      <c r="L366" s="403">
        <f t="shared" ca="1" si="121"/>
        <v>5298786.3582713185</v>
      </c>
    </row>
    <row r="367" spans="1:12" ht="15.5">
      <c r="A367" s="416" t="s">
        <v>361</v>
      </c>
      <c r="B367" s="405"/>
      <c r="C367" s="48"/>
      <c r="D367" s="48"/>
      <c r="E367" s="48"/>
      <c r="F367" s="48"/>
      <c r="G367" s="48"/>
      <c r="H367" s="48"/>
      <c r="I367" s="48"/>
      <c r="J367" s="48"/>
      <c r="K367" s="48"/>
      <c r="L367" s="48"/>
    </row>
    <row r="368" spans="1:12">
      <c r="A368" s="417" t="s">
        <v>358</v>
      </c>
      <c r="B368" s="405"/>
      <c r="C368" s="133">
        <f>Revenue!AQ13</f>
        <v>0</v>
      </c>
      <c r="D368" s="133">
        <f>Revenue!AR13</f>
        <v>0</v>
      </c>
      <c r="E368" s="133">
        <f>Revenue!AS13</f>
        <v>0</v>
      </c>
      <c r="F368" s="133">
        <f>Revenue!AT13</f>
        <v>1900</v>
      </c>
      <c r="G368" s="133">
        <f ca="1">Revenue!AU13</f>
        <v>1922.1615986353638</v>
      </c>
      <c r="H368" s="133">
        <f ca="1">Revenue!AV13</f>
        <v>1949.3125253972817</v>
      </c>
      <c r="I368" s="133">
        <f ca="1">Revenue!AW13</f>
        <v>1983.0224009753049</v>
      </c>
      <c r="J368" s="133">
        <f ca="1">Revenue!AX13</f>
        <v>2025.0283451845471</v>
      </c>
      <c r="K368" s="133">
        <f ca="1">Revenue!AY13</f>
        <v>2074.5840085601385</v>
      </c>
      <c r="L368" s="133">
        <f ca="1">Revenue!AZ13</f>
        <v>2133.5234257730067</v>
      </c>
    </row>
    <row r="369" spans="1:12">
      <c r="A369" s="417" t="s">
        <v>359</v>
      </c>
      <c r="B369" s="405"/>
      <c r="C369" s="403">
        <f>Revenue!AC13</f>
        <v>0</v>
      </c>
      <c r="D369" s="403">
        <f>Revenue!AD13</f>
        <v>0</v>
      </c>
      <c r="E369" s="403">
        <f>Revenue!AE13</f>
        <v>0</v>
      </c>
      <c r="F369" s="403">
        <f>Revenue!AF13</f>
        <v>1900</v>
      </c>
      <c r="G369" s="403">
        <f>Revenue!AG13</f>
        <v>1976</v>
      </c>
      <c r="H369" s="403">
        <f>Revenue!AH13</f>
        <v>2055.04</v>
      </c>
      <c r="I369" s="403">
        <f>Revenue!AI13</f>
        <v>2137.2415999999998</v>
      </c>
      <c r="J369" s="403">
        <f>Revenue!AJ13</f>
        <v>2222.731264</v>
      </c>
      <c r="K369" s="403">
        <f>Revenue!AK13</f>
        <v>2311.6405145600002</v>
      </c>
      <c r="L369" s="403">
        <f>Revenue!AL13</f>
        <v>2404.1061351424</v>
      </c>
    </row>
    <row r="370" spans="1:12">
      <c r="A370" s="418" t="s">
        <v>366</v>
      </c>
      <c r="B370" s="405"/>
      <c r="C370" s="403">
        <f t="shared" ref="C370:L370" si="122">C368*C369</f>
        <v>0</v>
      </c>
      <c r="D370" s="403">
        <f t="shared" si="122"/>
        <v>0</v>
      </c>
      <c r="E370" s="403">
        <f t="shared" si="122"/>
        <v>0</v>
      </c>
      <c r="F370" s="403">
        <f t="shared" si="122"/>
        <v>3610000</v>
      </c>
      <c r="G370" s="403">
        <f t="shared" ca="1" si="122"/>
        <v>3798191.3189034788</v>
      </c>
      <c r="H370" s="403">
        <f t="shared" ca="1" si="122"/>
        <v>4005915.2121924297</v>
      </c>
      <c r="I370" s="403">
        <f t="shared" ca="1" si="122"/>
        <v>4238197.9690963021</v>
      </c>
      <c r="J370" s="403">
        <f t="shared" ca="1" si="122"/>
        <v>4501093.8133278769</v>
      </c>
      <c r="K370" s="403">
        <f t="shared" ca="1" si="122"/>
        <v>4795692.4450459061</v>
      </c>
      <c r="L370" s="403">
        <f t="shared" ca="1" si="122"/>
        <v>5129216.7573709162</v>
      </c>
    </row>
    <row r="371" spans="1:12" ht="15.5">
      <c r="A371" s="416" t="s">
        <v>363</v>
      </c>
      <c r="B371" s="405"/>
      <c r="C371" s="48"/>
      <c r="D371" s="48"/>
      <c r="E371" s="48"/>
      <c r="F371" s="48"/>
      <c r="G371" s="48"/>
      <c r="H371" s="48"/>
      <c r="I371" s="48"/>
      <c r="J371" s="48"/>
      <c r="K371" s="48"/>
      <c r="L371" s="48"/>
    </row>
    <row r="372" spans="1:12">
      <c r="A372" s="417" t="s">
        <v>358</v>
      </c>
      <c r="B372" s="405"/>
      <c r="C372" s="133">
        <f>Revenue!AQ14</f>
        <v>0</v>
      </c>
      <c r="D372" s="133">
        <f>Revenue!AR14</f>
        <v>0</v>
      </c>
      <c r="E372" s="133">
        <f>Revenue!AS14</f>
        <v>0</v>
      </c>
      <c r="F372" s="133">
        <f>Revenue!AT14</f>
        <v>0</v>
      </c>
      <c r="G372" s="133">
        <f>Revenue!AU14</f>
        <v>400</v>
      </c>
      <c r="H372" s="133">
        <f ca="1">Revenue!AV14</f>
        <v>749.65008202873128</v>
      </c>
      <c r="I372" s="133">
        <f ca="1">Revenue!AW14</f>
        <v>1051.6163555133987</v>
      </c>
      <c r="J372" s="133">
        <f ca="1">Revenue!AX14</f>
        <v>1312.8631811614159</v>
      </c>
      <c r="K372" s="133">
        <f ca="1">Revenue!AY14</f>
        <v>1538.8509717936536</v>
      </c>
      <c r="L372" s="133">
        <f ca="1">Revenue!AZ14</f>
        <v>1734.7759293573918</v>
      </c>
    </row>
    <row r="373" spans="1:12">
      <c r="A373" s="417" t="s">
        <v>359</v>
      </c>
      <c r="B373" s="405"/>
      <c r="C373" s="403">
        <f>Revenue!AC14</f>
        <v>0</v>
      </c>
      <c r="D373" s="403">
        <f>Revenue!AD14</f>
        <v>0</v>
      </c>
      <c r="E373" s="403">
        <f>Revenue!AE14</f>
        <v>0</v>
      </c>
      <c r="F373" s="403">
        <f>Revenue!AF14</f>
        <v>0</v>
      </c>
      <c r="G373" s="403">
        <f>Revenue!AG14</f>
        <v>500</v>
      </c>
      <c r="H373" s="403">
        <f>Revenue!AH14</f>
        <v>500</v>
      </c>
      <c r="I373" s="403">
        <f>Revenue!AI14</f>
        <v>500</v>
      </c>
      <c r="J373" s="403">
        <f>Revenue!AJ14</f>
        <v>500</v>
      </c>
      <c r="K373" s="403">
        <f>Revenue!AK14</f>
        <v>500</v>
      </c>
      <c r="L373" s="403">
        <f>Revenue!AL14</f>
        <v>500</v>
      </c>
    </row>
    <row r="374" spans="1:12">
      <c r="A374" s="418" t="s">
        <v>366</v>
      </c>
      <c r="B374" s="405"/>
      <c r="C374" s="403">
        <f t="shared" ref="C374:L374" si="123">C372*C373</f>
        <v>0</v>
      </c>
      <c r="D374" s="403">
        <f t="shared" si="123"/>
        <v>0</v>
      </c>
      <c r="E374" s="403">
        <f t="shared" si="123"/>
        <v>0</v>
      </c>
      <c r="F374" s="403">
        <f t="shared" si="123"/>
        <v>0</v>
      </c>
      <c r="G374" s="403">
        <f t="shared" si="123"/>
        <v>200000</v>
      </c>
      <c r="H374" s="403">
        <f t="shared" ca="1" si="123"/>
        <v>374825.04101436562</v>
      </c>
      <c r="I374" s="403">
        <f t="shared" ca="1" si="123"/>
        <v>525808.17775669938</v>
      </c>
      <c r="J374" s="403">
        <f t="shared" ca="1" si="123"/>
        <v>656431.590580708</v>
      </c>
      <c r="K374" s="403">
        <f t="shared" ca="1" si="123"/>
        <v>769425.48589682684</v>
      </c>
      <c r="L374" s="403">
        <f t="shared" ca="1" si="123"/>
        <v>867387.96467869589</v>
      </c>
    </row>
    <row r="375" spans="1:12" ht="15.5">
      <c r="A375" s="416" t="s">
        <v>364</v>
      </c>
      <c r="B375" s="405"/>
      <c r="C375" s="48"/>
      <c r="D375" s="48"/>
      <c r="E375" s="48"/>
      <c r="F375" s="48"/>
      <c r="G375" s="48"/>
      <c r="H375" s="48"/>
      <c r="I375" s="48"/>
      <c r="J375" s="48"/>
      <c r="K375" s="48"/>
      <c r="L375" s="48"/>
    </row>
    <row r="376" spans="1:12">
      <c r="A376" s="417" t="s">
        <v>358</v>
      </c>
      <c r="B376" s="405"/>
      <c r="C376" s="133">
        <f>Revenue!AQ15</f>
        <v>0</v>
      </c>
      <c r="D376" s="133">
        <f>Revenue!AR15</f>
        <v>0</v>
      </c>
      <c r="E376" s="133">
        <f ca="1">Revenue!AS15</f>
        <v>0</v>
      </c>
      <c r="F376" s="133">
        <f ca="1">Revenue!AT15</f>
        <v>0</v>
      </c>
      <c r="G376" s="133">
        <f ca="1">Revenue!AU15</f>
        <v>0</v>
      </c>
      <c r="H376" s="133">
        <f ca="1">Revenue!AV15</f>
        <v>0</v>
      </c>
      <c r="I376" s="133">
        <f ca="1">Revenue!AW15</f>
        <v>0</v>
      </c>
      <c r="J376" s="133">
        <f ca="1">Revenue!AX15</f>
        <v>0</v>
      </c>
      <c r="K376" s="133">
        <f ca="1">Revenue!AY15</f>
        <v>0</v>
      </c>
      <c r="L376" s="133">
        <f ca="1">Revenue!AZ15</f>
        <v>0</v>
      </c>
    </row>
    <row r="377" spans="1:12">
      <c r="A377" s="417" t="s">
        <v>359</v>
      </c>
      <c r="B377" s="405"/>
      <c r="C377" s="403">
        <f>Revenue!AC15</f>
        <v>0</v>
      </c>
      <c r="D377" s="403">
        <f>Revenue!AD15</f>
        <v>0</v>
      </c>
      <c r="E377" s="403">
        <f>Revenue!AE15</f>
        <v>0</v>
      </c>
      <c r="F377" s="403">
        <f>Revenue!AF15</f>
        <v>0</v>
      </c>
      <c r="G377" s="403">
        <f>Revenue!AG15</f>
        <v>500</v>
      </c>
      <c r="H377" s="403">
        <f>Revenue!AH15</f>
        <v>520</v>
      </c>
      <c r="I377" s="403">
        <f>Revenue!AI15</f>
        <v>540.80000000000007</v>
      </c>
      <c r="J377" s="403">
        <f>Revenue!AJ15</f>
        <v>562.43200000000013</v>
      </c>
      <c r="K377" s="403">
        <f>Revenue!AK15</f>
        <v>584.92928000000018</v>
      </c>
      <c r="L377" s="403">
        <f>Revenue!AL15</f>
        <v>608.32645120000018</v>
      </c>
    </row>
    <row r="378" spans="1:12">
      <c r="A378" s="418" t="s">
        <v>366</v>
      </c>
      <c r="B378" s="405"/>
      <c r="C378" s="403">
        <f t="shared" ref="C378:L378" si="124">C376*C377</f>
        <v>0</v>
      </c>
      <c r="D378" s="403">
        <f t="shared" si="124"/>
        <v>0</v>
      </c>
      <c r="E378" s="403">
        <f t="shared" ca="1" si="124"/>
        <v>0</v>
      </c>
      <c r="F378" s="403">
        <f t="shared" ca="1" si="124"/>
        <v>0</v>
      </c>
      <c r="G378" s="403">
        <f t="shared" ca="1" si="124"/>
        <v>0</v>
      </c>
      <c r="H378" s="403">
        <f t="shared" ca="1" si="124"/>
        <v>0</v>
      </c>
      <c r="I378" s="403">
        <f t="shared" ca="1" si="124"/>
        <v>0</v>
      </c>
      <c r="J378" s="403">
        <f t="shared" ca="1" si="124"/>
        <v>0</v>
      </c>
      <c r="K378" s="403">
        <f t="shared" ca="1" si="124"/>
        <v>0</v>
      </c>
      <c r="L378" s="403">
        <f t="shared" ca="1" si="124"/>
        <v>0</v>
      </c>
    </row>
    <row r="379" spans="1:12" ht="15.5">
      <c r="A379" s="416" t="s">
        <v>365</v>
      </c>
      <c r="B379" s="405"/>
      <c r="C379" s="48"/>
      <c r="D379" s="48"/>
      <c r="E379" s="48"/>
      <c r="F379" s="48"/>
      <c r="G379" s="48"/>
      <c r="H379" s="48"/>
      <c r="I379" s="48"/>
      <c r="J379" s="48"/>
      <c r="K379" s="48"/>
      <c r="L379" s="48"/>
    </row>
    <row r="380" spans="1:12">
      <c r="A380" s="417" t="s">
        <v>358</v>
      </c>
      <c r="B380" s="405"/>
      <c r="C380" s="133">
        <f>Revenue!AQ16</f>
        <v>0</v>
      </c>
      <c r="D380" s="133">
        <f>Revenue!AR16</f>
        <v>0</v>
      </c>
      <c r="E380" s="133">
        <f>Revenue!AS16</f>
        <v>0</v>
      </c>
      <c r="F380" s="133">
        <f>Revenue!AT16</f>
        <v>0</v>
      </c>
      <c r="G380" s="133">
        <f>Revenue!AU16</f>
        <v>1500</v>
      </c>
      <c r="H380" s="133">
        <f ca="1">Revenue!AV16</f>
        <v>1521.7306280984353</v>
      </c>
      <c r="I380" s="133">
        <f ca="1">Revenue!AW16</f>
        <v>1548.9369528779616</v>
      </c>
      <c r="J380" s="133">
        <f ca="1">Revenue!AX16</f>
        <v>1582.6627766165923</v>
      </c>
      <c r="K380" s="133">
        <f ca="1">Revenue!AY16</f>
        <v>1621.7023774317759</v>
      </c>
      <c r="L380" s="133">
        <f ca="1">Revenue!AZ16</f>
        <v>1667.4294466710155</v>
      </c>
    </row>
    <row r="381" spans="1:12">
      <c r="A381" s="417" t="s">
        <v>359</v>
      </c>
      <c r="B381" s="405"/>
      <c r="C381" s="403">
        <f>Revenue!AC16</f>
        <v>0</v>
      </c>
      <c r="D381" s="403">
        <f>Revenue!AD16</f>
        <v>0</v>
      </c>
      <c r="E381" s="403">
        <f>Revenue!AE16</f>
        <v>0</v>
      </c>
      <c r="F381" s="403">
        <f>Revenue!AF16</f>
        <v>0</v>
      </c>
      <c r="G381" s="403">
        <f>Revenue!AG16</f>
        <v>300</v>
      </c>
      <c r="H381" s="403">
        <f>Revenue!AH16</f>
        <v>312</v>
      </c>
      <c r="I381" s="403">
        <f>Revenue!AI16</f>
        <v>324.48</v>
      </c>
      <c r="J381" s="403">
        <f>Revenue!AJ16</f>
        <v>337.45920000000001</v>
      </c>
      <c r="K381" s="403">
        <f>Revenue!AK16</f>
        <v>350.95756800000004</v>
      </c>
      <c r="L381" s="403">
        <f>Revenue!AL16</f>
        <v>364.99587072000003</v>
      </c>
    </row>
    <row r="382" spans="1:12">
      <c r="A382" s="417" t="s">
        <v>366</v>
      </c>
      <c r="B382" s="405"/>
      <c r="C382" s="403">
        <f t="shared" ref="C382:L382" si="125">C380*C381</f>
        <v>0</v>
      </c>
      <c r="D382" s="403">
        <f t="shared" si="125"/>
        <v>0</v>
      </c>
      <c r="E382" s="403">
        <f t="shared" si="125"/>
        <v>0</v>
      </c>
      <c r="F382" s="403">
        <f t="shared" si="125"/>
        <v>0</v>
      </c>
      <c r="G382" s="403">
        <f t="shared" si="125"/>
        <v>450000</v>
      </c>
      <c r="H382" s="403">
        <f t="shared" ca="1" si="125"/>
        <v>474779.9559667118</v>
      </c>
      <c r="I382" s="403">
        <f t="shared" ca="1" si="125"/>
        <v>502599.06246984104</v>
      </c>
      <c r="J382" s="403">
        <f t="shared" ca="1" si="125"/>
        <v>534084.11446681398</v>
      </c>
      <c r="K382" s="403">
        <f t="shared" ca="1" si="125"/>
        <v>569148.72240327415</v>
      </c>
      <c r="L382" s="403">
        <f t="shared" ca="1" si="125"/>
        <v>608604.86275185517</v>
      </c>
    </row>
    <row r="383" spans="1:12">
      <c r="A383" s="418"/>
      <c r="B383" s="405"/>
      <c r="C383" s="48"/>
      <c r="D383" s="48"/>
      <c r="E383" s="48"/>
      <c r="F383" s="48"/>
      <c r="G383" s="48"/>
      <c r="H383" s="48"/>
      <c r="I383" s="48"/>
      <c r="J383" s="48"/>
      <c r="K383" s="48"/>
      <c r="L383" s="138"/>
    </row>
    <row r="384" spans="1:12" ht="15.5">
      <c r="A384" s="409" t="s">
        <v>367</v>
      </c>
      <c r="B384" s="405"/>
      <c r="C384" s="403">
        <f>SUM(C382,C378,C374,C370,C366,C362,C358,C354,C350)</f>
        <v>0</v>
      </c>
      <c r="D384" s="403">
        <f t="shared" ref="D384:L384" si="126">SUM(D382,D378,D374,D370,D366,D362,D358,D354,D350)</f>
        <v>0</v>
      </c>
      <c r="E384" s="403">
        <f t="shared" ca="1" si="126"/>
        <v>0</v>
      </c>
      <c r="F384" s="403">
        <f t="shared" ca="1" si="126"/>
        <v>23390000</v>
      </c>
      <c r="G384" s="403">
        <f t="shared" ca="1" si="126"/>
        <v>31941483.351117648</v>
      </c>
      <c r="H384" s="403">
        <f t="shared" ca="1" si="126"/>
        <v>37999423.382413</v>
      </c>
      <c r="I384" s="403">
        <f t="shared" ca="1" si="126"/>
        <v>41624796.136747725</v>
      </c>
      <c r="J384" s="403">
        <f t="shared" ca="1" si="126"/>
        <v>45708354.484733813</v>
      </c>
      <c r="K384" s="403">
        <f t="shared" ca="1" si="126"/>
        <v>50335784.573041558</v>
      </c>
      <c r="L384" s="403">
        <f t="shared" ca="1" si="126"/>
        <v>55583463.207336441</v>
      </c>
    </row>
    <row r="385" spans="1:12">
      <c r="A385" s="408"/>
      <c r="B385" s="405"/>
      <c r="C385" s="48"/>
      <c r="D385" s="48"/>
      <c r="E385" s="48"/>
      <c r="F385" s="48"/>
      <c r="G385" s="48"/>
      <c r="H385" s="48"/>
      <c r="I385" s="48"/>
      <c r="J385" s="48"/>
      <c r="K385" s="48"/>
      <c r="L385" s="48"/>
    </row>
    <row r="386" spans="1:12" ht="18.5">
      <c r="A386" s="411" t="s">
        <v>152</v>
      </c>
      <c r="B386" s="405"/>
      <c r="C386" s="48"/>
      <c r="D386" s="48"/>
      <c r="E386" s="48"/>
      <c r="F386" s="48"/>
      <c r="G386" s="48"/>
      <c r="H386" s="48"/>
      <c r="I386" s="48"/>
      <c r="J386" s="48"/>
      <c r="K386" s="48"/>
      <c r="L386" s="48"/>
    </row>
    <row r="387" spans="1:12" ht="15.5">
      <c r="A387" s="409" t="s">
        <v>296</v>
      </c>
      <c r="B387" s="405"/>
      <c r="C387" s="403">
        <f>Assumptions!$Q$45*(C350+C354)</f>
        <v>0</v>
      </c>
      <c r="D387" s="403">
        <f>Assumptions!$Q$45*(D350+D354)</f>
        <v>0</v>
      </c>
      <c r="E387" s="403">
        <f>Assumptions!$Q$45*(E350+E354)</f>
        <v>0</v>
      </c>
      <c r="F387" s="403">
        <f>Assumptions!$Q$45*(F350+F354)</f>
        <v>5145000</v>
      </c>
      <c r="G387" s="403">
        <f ca="1">Assumptions!$Q$45*(G350+G354)</f>
        <v>5587986.7494827472</v>
      </c>
      <c r="H387" s="403">
        <f ca="1">Assumptions!$Q$45*(H350+H354)</f>
        <v>6087258.5960291224</v>
      </c>
      <c r="I387" s="403">
        <f ca="1">Assumptions!$Q$45*(I350+I354)</f>
        <v>6652196.1637325753</v>
      </c>
      <c r="J387" s="403">
        <f ca="1">Assumptions!$Q$45*(J350+J354)</f>
        <v>7292025.979002106</v>
      </c>
      <c r="K387" s="403">
        <f ca="1">Assumptions!$Q$45*(K350+K354)</f>
        <v>8022620.2312611146</v>
      </c>
      <c r="L387" s="403">
        <f ca="1">Assumptions!$Q$45*(L350+L354)</f>
        <v>8854399.5835202802</v>
      </c>
    </row>
    <row r="388" spans="1:12" ht="15.5">
      <c r="A388" s="409" t="s">
        <v>297</v>
      </c>
      <c r="B388" s="405"/>
      <c r="C388" s="403">
        <f>Assumptions!$Q$47*C358</f>
        <v>0</v>
      </c>
      <c r="D388" s="403">
        <f>Assumptions!$Q$47*D358</f>
        <v>0</v>
      </c>
      <c r="E388" s="403">
        <f>Assumptions!$Q$47*E358</f>
        <v>0</v>
      </c>
      <c r="F388" s="403">
        <f>Assumptions!$Q$47*F358</f>
        <v>1778000</v>
      </c>
      <c r="G388" s="403">
        <f ca="1">Assumptions!$Q$47*G358</f>
        <v>1923290.4617922103</v>
      </c>
      <c r="H388" s="403">
        <f ca="1">Assumptions!$Q$47*H358</f>
        <v>2087652.3206356887</v>
      </c>
      <c r="I388" s="403">
        <f ca="1">Assumptions!$Q$47*I358</f>
        <v>2274638.1446176898</v>
      </c>
      <c r="J388" s="403">
        <f ca="1">Assumptions!$Q$47*J358</f>
        <v>2487809.1506280932</v>
      </c>
      <c r="K388" s="403">
        <f ca="1">Assumptions!$Q$47*K358</f>
        <v>2729712.8815700379</v>
      </c>
      <c r="L388" s="403">
        <f ca="1">Assumptions!$Q$47*L358</f>
        <v>3004667.1701378305</v>
      </c>
    </row>
    <row r="389" spans="1:12" ht="15.5">
      <c r="A389" s="409" t="s">
        <v>298</v>
      </c>
      <c r="B389" s="405"/>
      <c r="C389" s="403">
        <f>Assumptions!$Q$48*C362</f>
        <v>0</v>
      </c>
      <c r="D389" s="403">
        <f>Assumptions!$Q$48*D362</f>
        <v>0</v>
      </c>
      <c r="E389" s="403">
        <f>Assumptions!$Q$48*E362</f>
        <v>0</v>
      </c>
      <c r="F389" s="403">
        <f>Assumptions!$Q$48*F362</f>
        <v>0</v>
      </c>
      <c r="G389" s="403">
        <f>Assumptions!$Q$48*G362</f>
        <v>2413000</v>
      </c>
      <c r="H389" s="403">
        <f ca="1">Assumptions!$Q$48*H362</f>
        <v>2642805.9359645844</v>
      </c>
      <c r="I389" s="403">
        <f ca="1">Assumptions!$Q$48*I362</f>
        <v>2903720.36926348</v>
      </c>
      <c r="J389" s="403">
        <f ca="1">Assumptions!$Q$48*J362</f>
        <v>3199369.7897195769</v>
      </c>
      <c r="K389" s="403">
        <f ca="1">Assumptions!$Q$48*K362</f>
        <v>3536329.6176243518</v>
      </c>
      <c r="L389" s="403">
        <f ca="1">Assumptions!$Q$48*L362</f>
        <v>3918567.7586676204</v>
      </c>
    </row>
    <row r="390" spans="1:12" ht="15.5">
      <c r="A390" s="409" t="s">
        <v>299</v>
      </c>
      <c r="B390" s="405"/>
      <c r="C390" s="403">
        <f>Assumptions!$Q$49*C366</f>
        <v>0</v>
      </c>
      <c r="D390" s="403">
        <f>Assumptions!$Q$49*D366</f>
        <v>0</v>
      </c>
      <c r="E390" s="403">
        <f>Assumptions!$Q$49*E366</f>
        <v>0</v>
      </c>
      <c r="F390" s="403">
        <f>Assumptions!$Q$49*F366</f>
        <v>0</v>
      </c>
      <c r="G390" s="403">
        <f>Assumptions!$Q$49*G366</f>
        <v>0</v>
      </c>
      <c r="H390" s="403">
        <f>Assumptions!$Q$49*H366</f>
        <v>1272000</v>
      </c>
      <c r="I390" s="403">
        <f ca="1">Assumptions!$Q$49*I366</f>
        <v>1437459.6493061716</v>
      </c>
      <c r="J390" s="403">
        <f ca="1">Assumptions!$Q$49*J366</f>
        <v>1630373.7629607038</v>
      </c>
      <c r="K390" s="403">
        <f ca="1">Assumptions!$Q$49*K366</f>
        <v>1855896.8498754129</v>
      </c>
      <c r="L390" s="403">
        <f ca="1">Assumptions!$Q$49*L366</f>
        <v>2119514.5433085277</v>
      </c>
    </row>
    <row r="391" spans="1:12" ht="15.5">
      <c r="A391" s="409" t="s">
        <v>368</v>
      </c>
      <c r="B391" s="405"/>
      <c r="C391" s="403">
        <f>Assumptions!$Q$50*C370</f>
        <v>0</v>
      </c>
      <c r="D391" s="403">
        <f>Assumptions!$Q$50*D370</f>
        <v>0</v>
      </c>
      <c r="E391" s="403">
        <f>Assumptions!$Q$50*E370</f>
        <v>0</v>
      </c>
      <c r="F391" s="403">
        <f>Assumptions!$Q$50*F370</f>
        <v>1263500</v>
      </c>
      <c r="G391" s="403">
        <f ca="1">Assumptions!$Q$50*G370</f>
        <v>1329366.9616162174</v>
      </c>
      <c r="H391" s="403">
        <f ca="1">Assumptions!$Q$50*H370</f>
        <v>1402070.3242673504</v>
      </c>
      <c r="I391" s="403">
        <f ca="1">Assumptions!$Q$50*I370</f>
        <v>1483369.2891837056</v>
      </c>
      <c r="J391" s="403">
        <f ca="1">Assumptions!$Q$50*J370</f>
        <v>1575382.8346647569</v>
      </c>
      <c r="K391" s="403">
        <f ca="1">Assumptions!$Q$50*K370</f>
        <v>1678492.355766067</v>
      </c>
      <c r="L391" s="403">
        <f ca="1">Assumptions!$Q$50*L370</f>
        <v>1795225.8650798206</v>
      </c>
    </row>
    <row r="392" spans="1:12" ht="15.5">
      <c r="A392" s="409" t="s">
        <v>369</v>
      </c>
      <c r="B392" s="405"/>
      <c r="C392" s="403">
        <f>Assumptions!$Q$51*C374</f>
        <v>0</v>
      </c>
      <c r="D392" s="403">
        <f>Assumptions!$Q$51*D374</f>
        <v>0</v>
      </c>
      <c r="E392" s="403">
        <f>Assumptions!$Q$51*E374</f>
        <v>0</v>
      </c>
      <c r="F392" s="403">
        <f>Assumptions!$Q$51*F374</f>
        <v>0</v>
      </c>
      <c r="G392" s="403">
        <f>Assumptions!$Q$51*G374</f>
        <v>70000</v>
      </c>
      <c r="H392" s="403">
        <f ca="1">Assumptions!$Q$51*H374</f>
        <v>131188.76435502796</v>
      </c>
      <c r="I392" s="403">
        <f ca="1">Assumptions!$Q$51*I374</f>
        <v>184032.86221484476</v>
      </c>
      <c r="J392" s="403">
        <f ca="1">Assumptions!$Q$51*J374</f>
        <v>229751.05670324777</v>
      </c>
      <c r="K392" s="403">
        <f ca="1">Assumptions!$Q$51*K374</f>
        <v>269298.92006388935</v>
      </c>
      <c r="L392" s="403">
        <f ca="1">Assumptions!$Q$51*L374</f>
        <v>303585.78763754352</v>
      </c>
    </row>
    <row r="393" spans="1:12" ht="15.5">
      <c r="A393" s="409" t="s">
        <v>370</v>
      </c>
      <c r="B393" s="405"/>
      <c r="C393" s="403">
        <f>Assumptions!$Q$52*C378</f>
        <v>0</v>
      </c>
      <c r="D393" s="403">
        <f>Assumptions!$Q$52*D378</f>
        <v>0</v>
      </c>
      <c r="E393" s="403">
        <f ca="1">Assumptions!$Q$52*E378</f>
        <v>0</v>
      </c>
      <c r="F393" s="403">
        <f ca="1">Assumptions!$Q$52*F378</f>
        <v>0</v>
      </c>
      <c r="G393" s="403">
        <f ca="1">Assumptions!$Q$52*G378</f>
        <v>0</v>
      </c>
      <c r="H393" s="403">
        <f ca="1">Assumptions!$Q$52*H378</f>
        <v>0</v>
      </c>
      <c r="I393" s="403">
        <f ca="1">Assumptions!$Q$52*I378</f>
        <v>0</v>
      </c>
      <c r="J393" s="403">
        <f ca="1">Assumptions!$Q$52*J378</f>
        <v>0</v>
      </c>
      <c r="K393" s="403">
        <f ca="1">Assumptions!$Q$52*K378</f>
        <v>0</v>
      </c>
      <c r="L393" s="403">
        <f ca="1">Assumptions!$Q$52*L378</f>
        <v>0</v>
      </c>
    </row>
    <row r="394" spans="1:12" ht="15.5">
      <c r="A394" s="409" t="s">
        <v>371</v>
      </c>
      <c r="B394" s="405"/>
      <c r="C394" s="403">
        <f>Assumptions!$Q$53*C382</f>
        <v>0</v>
      </c>
      <c r="D394" s="403">
        <f>Assumptions!$Q$53*D382</f>
        <v>0</v>
      </c>
      <c r="E394" s="403">
        <f>Assumptions!$Q$53*E382</f>
        <v>0</v>
      </c>
      <c r="F394" s="403">
        <f>Assumptions!$Q$53*F382</f>
        <v>0</v>
      </c>
      <c r="G394" s="403">
        <f>Assumptions!$Q$53*G382</f>
        <v>157500</v>
      </c>
      <c r="H394" s="403">
        <f ca="1">Assumptions!$Q$53*H382</f>
        <v>166172.98458834912</v>
      </c>
      <c r="I394" s="403">
        <f ca="1">Assumptions!$Q$53*I382</f>
        <v>175909.67186444436</v>
      </c>
      <c r="J394" s="403">
        <f ca="1">Assumptions!$Q$53*J382</f>
        <v>186929.44006338489</v>
      </c>
      <c r="K394" s="403">
        <f ca="1">Assumptions!$Q$53*K382</f>
        <v>199202.05284114595</v>
      </c>
      <c r="L394" s="403">
        <f ca="1">Assumptions!$Q$53*L382</f>
        <v>213011.7019631493</v>
      </c>
    </row>
    <row r="395" spans="1:12" ht="15.5">
      <c r="A395" s="409" t="s">
        <v>354</v>
      </c>
      <c r="B395" s="405"/>
      <c r="C395" s="403">
        <f t="shared" ref="C395:L395" si="127">SUM(C387:C394)</f>
        <v>0</v>
      </c>
      <c r="D395" s="403">
        <f t="shared" si="127"/>
        <v>0</v>
      </c>
      <c r="E395" s="403">
        <f t="shared" ca="1" si="127"/>
        <v>0</v>
      </c>
      <c r="F395" s="403">
        <f t="shared" ca="1" si="127"/>
        <v>8186500</v>
      </c>
      <c r="G395" s="403">
        <f t="shared" ca="1" si="127"/>
        <v>11481144.172891175</v>
      </c>
      <c r="H395" s="403">
        <f t="shared" ca="1" si="127"/>
        <v>13789148.925840123</v>
      </c>
      <c r="I395" s="403">
        <f t="shared" ca="1" si="127"/>
        <v>15111326.150182912</v>
      </c>
      <c r="J395" s="403">
        <f t="shared" ca="1" si="127"/>
        <v>16601642.013741868</v>
      </c>
      <c r="K395" s="403">
        <f t="shared" ca="1" si="127"/>
        <v>18291552.909002021</v>
      </c>
      <c r="L395" s="403">
        <f t="shared" ca="1" si="127"/>
        <v>20208972.410314769</v>
      </c>
    </row>
    <row r="396" spans="1:12">
      <c r="A396" s="408"/>
      <c r="B396" s="405"/>
      <c r="C396" s="403"/>
      <c r="D396" s="403"/>
      <c r="E396" s="403"/>
      <c r="F396" s="403"/>
      <c r="G396" s="403"/>
      <c r="H396" s="403"/>
      <c r="I396" s="403"/>
      <c r="J396" s="403"/>
      <c r="K396" s="403"/>
      <c r="L396" s="403"/>
    </row>
    <row r="397" spans="1:12" ht="15.5">
      <c r="A397" s="409" t="s">
        <v>154</v>
      </c>
      <c r="B397" s="405"/>
      <c r="C397" s="403">
        <f>C384-C395</f>
        <v>0</v>
      </c>
      <c r="D397" s="403">
        <f t="shared" ref="D397:L397" si="128">D384-D395</f>
        <v>0</v>
      </c>
      <c r="E397" s="403">
        <f t="shared" ca="1" si="128"/>
        <v>0</v>
      </c>
      <c r="F397" s="403">
        <f t="shared" ca="1" si="128"/>
        <v>15203500</v>
      </c>
      <c r="G397" s="403">
        <f t="shared" ca="1" si="128"/>
        <v>20460339.178226471</v>
      </c>
      <c r="H397" s="403">
        <f t="shared" ca="1" si="128"/>
        <v>24210274.456572875</v>
      </c>
      <c r="I397" s="403">
        <f t="shared" ca="1" si="128"/>
        <v>26513469.986564815</v>
      </c>
      <c r="J397" s="403">
        <f t="shared" ca="1" si="128"/>
        <v>29106712.470991947</v>
      </c>
      <c r="K397" s="403">
        <f t="shared" ca="1" si="128"/>
        <v>32044231.664039537</v>
      </c>
      <c r="L397" s="403">
        <f t="shared" ca="1" si="128"/>
        <v>35374490.797021672</v>
      </c>
    </row>
    <row r="398" spans="1:12">
      <c r="A398" s="408"/>
      <c r="B398" s="405"/>
      <c r="C398" s="403"/>
      <c r="D398" s="403"/>
      <c r="E398" s="403"/>
      <c r="F398" s="403"/>
      <c r="G398" s="403"/>
      <c r="H398" s="403"/>
      <c r="I398" s="403"/>
      <c r="J398" s="403"/>
      <c r="K398" s="403"/>
      <c r="L398" s="403"/>
    </row>
    <row r="399" spans="1:12" ht="18.5">
      <c r="A399" s="411" t="s">
        <v>96</v>
      </c>
      <c r="B399" s="405"/>
      <c r="C399" s="403"/>
      <c r="D399" s="403"/>
      <c r="E399" s="403"/>
      <c r="F399" s="403"/>
      <c r="G399" s="403"/>
      <c r="H399" s="403"/>
      <c r="I399" s="403"/>
      <c r="J399" s="403"/>
      <c r="K399" s="403"/>
      <c r="L399" s="403"/>
    </row>
    <row r="400" spans="1:12">
      <c r="A400" s="408"/>
      <c r="B400" s="405"/>
      <c r="C400" s="403"/>
      <c r="D400" s="403"/>
      <c r="E400" s="403"/>
      <c r="F400" s="403"/>
      <c r="G400" s="403"/>
      <c r="H400" s="403"/>
      <c r="I400" s="403"/>
      <c r="J400" s="403"/>
      <c r="K400" s="403"/>
      <c r="L400" s="403"/>
    </row>
    <row r="401" spans="1:12" ht="15.5">
      <c r="A401" s="409" t="s">
        <v>28</v>
      </c>
      <c r="B401" s="405"/>
      <c r="C401" s="403"/>
      <c r="D401" s="403"/>
      <c r="E401" s="403"/>
      <c r="F401" s="403"/>
      <c r="G401" s="403"/>
      <c r="H401" s="403"/>
      <c r="I401" s="403"/>
      <c r="J401" s="403"/>
      <c r="K401" s="403"/>
      <c r="L401" s="403"/>
    </row>
    <row r="402" spans="1:12" ht="15.5">
      <c r="A402" s="409"/>
      <c r="B402" s="405"/>
      <c r="C402" s="403"/>
      <c r="D402" s="403"/>
      <c r="E402" s="403"/>
      <c r="F402" s="403"/>
      <c r="G402" s="403"/>
      <c r="H402" s="403"/>
      <c r="I402" s="403"/>
      <c r="J402" s="403"/>
      <c r="K402" s="403"/>
      <c r="L402" s="403"/>
    </row>
    <row r="403" spans="1:12">
      <c r="A403" s="408" t="s">
        <v>37</v>
      </c>
      <c r="B403" s="405"/>
      <c r="C403" s="403">
        <f>IF(C$5 = Assumptions!$I$45, Assumptions!$AR15, 0)</f>
        <v>0</v>
      </c>
      <c r="D403" s="403">
        <f>IF(D$5 = Assumptions!$I$45, Assumptions!$AR15, 0)</f>
        <v>0</v>
      </c>
      <c r="E403" s="403">
        <f>IF(E$5 = Assumptions!$I$45, Assumptions!$AR15, 0)</f>
        <v>0</v>
      </c>
      <c r="F403" s="403">
        <f>IF(F$5 = Assumptions!$I$45, Assumptions!$AR15, 0)</f>
        <v>5000</v>
      </c>
      <c r="G403" s="403">
        <f>IF(G$5 = Assumptions!$I$45, Assumptions!$AR15, 0)</f>
        <v>0</v>
      </c>
      <c r="H403" s="403">
        <f>IF(H$5 = Assumptions!$I$45, Assumptions!$AR15, 0)</f>
        <v>0</v>
      </c>
      <c r="I403" s="403">
        <f>IF(I$5 = Assumptions!$I$45, Assumptions!$AR15, 0)</f>
        <v>0</v>
      </c>
      <c r="J403" s="403">
        <f>IF(J$5 = Assumptions!$I$45, Assumptions!$AR15, 0)</f>
        <v>0</v>
      </c>
      <c r="K403" s="403">
        <f>IF(K$5 = Assumptions!$I$45, Assumptions!$AR15, 0)</f>
        <v>0</v>
      </c>
      <c r="L403" s="403">
        <f>IF(L$5 = Assumptions!$I$45, Assumptions!$AR15, 0)</f>
        <v>0</v>
      </c>
    </row>
    <row r="404" spans="1:12">
      <c r="A404" s="408" t="s">
        <v>309</v>
      </c>
      <c r="B404" s="405"/>
      <c r="C404" s="403">
        <f>IF(C$5 = Assumptions!$I$45, Assumptions!$AR16, 0)</f>
        <v>0</v>
      </c>
      <c r="D404" s="403">
        <f>IF(D$5 = Assumptions!$I$45, Assumptions!$AR16, 0)</f>
        <v>0</v>
      </c>
      <c r="E404" s="403">
        <f>IF(E$5 = Assumptions!$I$45, Assumptions!$AR16, 0)</f>
        <v>0</v>
      </c>
      <c r="F404" s="403">
        <f>IF(F$5 = Assumptions!$I$45, Assumptions!$AR16, 0)</f>
        <v>15000</v>
      </c>
      <c r="G404" s="403">
        <f>IF(G$5 = Assumptions!$I$45, Assumptions!$AR16, 0)</f>
        <v>0</v>
      </c>
      <c r="H404" s="403">
        <f>IF(H$5 = Assumptions!$I$45, Assumptions!$AR16, 0)</f>
        <v>0</v>
      </c>
      <c r="I404" s="403">
        <f>IF(I$5 = Assumptions!$I$45, Assumptions!$AR16, 0)</f>
        <v>0</v>
      </c>
      <c r="J404" s="403">
        <f>IF(J$5 = Assumptions!$I$45, Assumptions!$AR16, 0)</f>
        <v>0</v>
      </c>
      <c r="K404" s="403">
        <f>IF(K$5 = Assumptions!$I$45, Assumptions!$AR16, 0)</f>
        <v>0</v>
      </c>
      <c r="L404" s="403">
        <f>IF(L$5 = Assumptions!$I$45, Assumptions!$AR16, 0)</f>
        <v>0</v>
      </c>
    </row>
    <row r="405" spans="1:12">
      <c r="A405" s="408" t="s">
        <v>40</v>
      </c>
      <c r="B405" s="405"/>
      <c r="C405" s="403">
        <f>IF(C$5 = Assumptions!$I$45, Assumptions!$AR17, 0)</f>
        <v>0</v>
      </c>
      <c r="D405" s="403">
        <f>IF(D$5 = Assumptions!$I$45, Assumptions!$AR17, 0)</f>
        <v>0</v>
      </c>
      <c r="E405" s="403">
        <f>IF(E$5 = Assumptions!$I$45, Assumptions!$AR17, 0)</f>
        <v>0</v>
      </c>
      <c r="F405" s="403">
        <f>IF(F$5 = Assumptions!$I$45, Assumptions!$AR17, 0)</f>
        <v>1000</v>
      </c>
      <c r="G405" s="403">
        <f>IF(G$5 = Assumptions!$I$45, Assumptions!$AR17, 0)</f>
        <v>0</v>
      </c>
      <c r="H405" s="403">
        <f>IF(H$5 = Assumptions!$I$45, Assumptions!$AR17, 0)</f>
        <v>0</v>
      </c>
      <c r="I405" s="403">
        <f>IF(I$5 = Assumptions!$I$45, Assumptions!$AR17, 0)</f>
        <v>0</v>
      </c>
      <c r="J405" s="403">
        <f>IF(J$5 = Assumptions!$I$45, Assumptions!$AR17, 0)</f>
        <v>0</v>
      </c>
      <c r="K405" s="403">
        <f>IF(K$5 = Assumptions!$I$45, Assumptions!$AR17, 0)</f>
        <v>0</v>
      </c>
      <c r="L405" s="403">
        <f>IF(L$5 = Assumptions!$I$45, Assumptions!$AR17, 0)</f>
        <v>0</v>
      </c>
    </row>
    <row r="406" spans="1:12">
      <c r="A406" s="408" t="s">
        <v>41</v>
      </c>
      <c r="B406" s="405"/>
      <c r="C406" s="403">
        <f>IF(C$5 = Assumptions!$I$45, Assumptions!$AR18, 0)</f>
        <v>0</v>
      </c>
      <c r="D406" s="403">
        <f>IF(D$5 = Assumptions!$I$45, Assumptions!$AR18, 0)</f>
        <v>0</v>
      </c>
      <c r="E406" s="403">
        <f>IF(E$5 = Assumptions!$I$45, Assumptions!$AR18, 0)</f>
        <v>0</v>
      </c>
      <c r="F406" s="403">
        <f>IF(F$5 = Assumptions!$I$45, Assumptions!$AR18, 0)</f>
        <v>5000</v>
      </c>
      <c r="G406" s="403">
        <f>IF(G$5 = Assumptions!$I$45, Assumptions!$AR18, 0)</f>
        <v>0</v>
      </c>
      <c r="H406" s="403">
        <f>IF(H$5 = Assumptions!$I$45, Assumptions!$AR18, 0)</f>
        <v>0</v>
      </c>
      <c r="I406" s="403">
        <f>IF(I$5 = Assumptions!$I$45, Assumptions!$AR18, 0)</f>
        <v>0</v>
      </c>
      <c r="J406" s="403">
        <f>IF(J$5 = Assumptions!$I$45, Assumptions!$AR18, 0)</f>
        <v>0</v>
      </c>
      <c r="K406" s="403">
        <f>IF(K$5 = Assumptions!$I$45, Assumptions!$AR18, 0)</f>
        <v>0</v>
      </c>
      <c r="L406" s="403">
        <f>IF(L$5 = Assumptions!$I$45, Assumptions!$AR18, 0)</f>
        <v>0</v>
      </c>
    </row>
    <row r="407" spans="1:12">
      <c r="A407" s="408" t="s">
        <v>43</v>
      </c>
      <c r="B407" s="405"/>
      <c r="C407" s="403">
        <f>IF(C$5 = Assumptions!$I$45, Assumptions!$AR19, 0)</f>
        <v>0</v>
      </c>
      <c r="D407" s="403">
        <f>IF(D$5 = Assumptions!$I$45, Assumptions!$AR19, 0)</f>
        <v>0</v>
      </c>
      <c r="E407" s="403">
        <f>IF(E$5 = Assumptions!$I$45, Assumptions!$AR19, 0)</f>
        <v>0</v>
      </c>
      <c r="F407" s="403">
        <f>IF(F$5 = Assumptions!$I$45, Assumptions!$AR19, 0)</f>
        <v>1000</v>
      </c>
      <c r="G407" s="403">
        <f>IF(G$5 = Assumptions!$I$45, Assumptions!$AR19, 0)</f>
        <v>0</v>
      </c>
      <c r="H407" s="403">
        <f>IF(H$5 = Assumptions!$I$45, Assumptions!$AR19, 0)</f>
        <v>0</v>
      </c>
      <c r="I407" s="403">
        <f>IF(I$5 = Assumptions!$I$45, Assumptions!$AR19, 0)</f>
        <v>0</v>
      </c>
      <c r="J407" s="403">
        <f>IF(J$5 = Assumptions!$I$45, Assumptions!$AR19, 0)</f>
        <v>0</v>
      </c>
      <c r="K407" s="403">
        <f>IF(K$5 = Assumptions!$I$45, Assumptions!$AR19, 0)</f>
        <v>0</v>
      </c>
      <c r="L407" s="403">
        <f>IF(L$5 = Assumptions!$I$45, Assumptions!$AR19, 0)</f>
        <v>0</v>
      </c>
    </row>
    <row r="408" spans="1:12">
      <c r="A408" s="408" t="s">
        <v>45</v>
      </c>
      <c r="B408" s="405"/>
      <c r="C408" s="403">
        <f>IF(C$5 = Assumptions!$I$45, Assumptions!$AR20, 0)</f>
        <v>0</v>
      </c>
      <c r="D408" s="403">
        <f>IF(D$5 = Assumptions!$I$45, Assumptions!$AR20, 0)</f>
        <v>0</v>
      </c>
      <c r="E408" s="403">
        <f>IF(E$5 = Assumptions!$I$45, Assumptions!$AR20, 0)</f>
        <v>0</v>
      </c>
      <c r="F408" s="403">
        <f>IF(F$5 = Assumptions!$I$45, Assumptions!$AR20, 0)</f>
        <v>3000</v>
      </c>
      <c r="G408" s="403">
        <f>IF(G$5 = Assumptions!$I$45, Assumptions!$AR20, 0)</f>
        <v>0</v>
      </c>
      <c r="H408" s="403">
        <f>IF(H$5 = Assumptions!$I$45, Assumptions!$AR20, 0)</f>
        <v>0</v>
      </c>
      <c r="I408" s="403">
        <f>IF(I$5 = Assumptions!$I$45, Assumptions!$AR20, 0)</f>
        <v>0</v>
      </c>
      <c r="J408" s="403">
        <f>IF(J$5 = Assumptions!$I$45, Assumptions!$AR20, 0)</f>
        <v>0</v>
      </c>
      <c r="K408" s="403">
        <f>IF(K$5 = Assumptions!$I$45, Assumptions!$AR20, 0)</f>
        <v>0</v>
      </c>
      <c r="L408" s="403">
        <f>IF(L$5 = Assumptions!$I$45, Assumptions!$AR20, 0)</f>
        <v>0</v>
      </c>
    </row>
    <row r="409" spans="1:12">
      <c r="A409" s="408" t="s">
        <v>35</v>
      </c>
      <c r="B409" s="405"/>
      <c r="C409" s="403">
        <f>IF(C$5 = Assumptions!$I$45, Assumptions!$AR21, 0)</f>
        <v>0</v>
      </c>
      <c r="D409" s="403">
        <f>IF(D$5 = Assumptions!$I$45, Assumptions!$AR21, 0)</f>
        <v>0</v>
      </c>
      <c r="E409" s="403">
        <f>IF(E$5 = Assumptions!$I$45, Assumptions!$AR21, 0)</f>
        <v>0</v>
      </c>
      <c r="F409" s="403">
        <f>IF(F$5 = Assumptions!$I$45, Assumptions!$AR21, 0)</f>
        <v>5000</v>
      </c>
      <c r="G409" s="403">
        <f>IF(G$5 = Assumptions!$I$45, Assumptions!$AR21, 0)</f>
        <v>0</v>
      </c>
      <c r="H409" s="403">
        <f>IF(H$5 = Assumptions!$I$45, Assumptions!$AR21, 0)</f>
        <v>0</v>
      </c>
      <c r="I409" s="403">
        <f>IF(I$5 = Assumptions!$I$45, Assumptions!$AR21, 0)</f>
        <v>0</v>
      </c>
      <c r="J409" s="403">
        <f>IF(J$5 = Assumptions!$I$45, Assumptions!$AR21, 0)</f>
        <v>0</v>
      </c>
      <c r="K409" s="403">
        <f>IF(K$5 = Assumptions!$I$45, Assumptions!$AR21, 0)</f>
        <v>0</v>
      </c>
      <c r="L409" s="403">
        <f>IF(L$5 = Assumptions!$I$45, Assumptions!$AR21, 0)</f>
        <v>0</v>
      </c>
    </row>
    <row r="410" spans="1:12">
      <c r="A410" s="408"/>
      <c r="B410" s="405"/>
      <c r="C410" s="403"/>
      <c r="D410" s="403"/>
      <c r="E410" s="403"/>
      <c r="F410" s="403"/>
      <c r="G410" s="403"/>
      <c r="H410" s="403"/>
      <c r="I410" s="403"/>
      <c r="J410" s="403"/>
      <c r="K410" s="403"/>
      <c r="L410" s="403"/>
    </row>
    <row r="411" spans="1:12" ht="15.5">
      <c r="A411" s="409" t="s">
        <v>155</v>
      </c>
      <c r="B411" s="405"/>
      <c r="C411" s="403">
        <f t="shared" ref="C411:L411" si="129">SUM(C403:C409)</f>
        <v>0</v>
      </c>
      <c r="D411" s="403">
        <f t="shared" si="129"/>
        <v>0</v>
      </c>
      <c r="E411" s="403">
        <f t="shared" si="129"/>
        <v>0</v>
      </c>
      <c r="F411" s="403">
        <f t="shared" si="129"/>
        <v>35000</v>
      </c>
      <c r="G411" s="403">
        <f t="shared" si="129"/>
        <v>0</v>
      </c>
      <c r="H411" s="403">
        <f t="shared" si="129"/>
        <v>0</v>
      </c>
      <c r="I411" s="403">
        <f t="shared" si="129"/>
        <v>0</v>
      </c>
      <c r="J411" s="403">
        <f t="shared" si="129"/>
        <v>0</v>
      </c>
      <c r="K411" s="403">
        <f t="shared" si="129"/>
        <v>0</v>
      </c>
      <c r="L411" s="403">
        <f t="shared" si="129"/>
        <v>0</v>
      </c>
    </row>
    <row r="412" spans="1:12">
      <c r="A412" s="408"/>
      <c r="B412" s="405"/>
      <c r="C412" s="403"/>
      <c r="D412" s="403"/>
      <c r="E412" s="403"/>
      <c r="F412" s="403"/>
      <c r="G412" s="403"/>
      <c r="H412" s="403"/>
      <c r="I412" s="403"/>
      <c r="J412" s="403"/>
      <c r="K412" s="403"/>
      <c r="L412" s="403"/>
    </row>
    <row r="413" spans="1:12" ht="15.5">
      <c r="A413" s="409" t="s">
        <v>13</v>
      </c>
      <c r="B413" s="405"/>
      <c r="C413" s="403"/>
      <c r="D413" s="403"/>
      <c r="E413" s="403"/>
      <c r="F413" s="403"/>
      <c r="G413" s="403"/>
      <c r="H413" s="403"/>
      <c r="I413" s="403"/>
      <c r="J413" s="403"/>
      <c r="K413" s="403"/>
      <c r="L413" s="403"/>
    </row>
    <row r="414" spans="1:12">
      <c r="A414" s="408"/>
      <c r="B414" s="405"/>
      <c r="C414" s="403"/>
      <c r="D414" s="403"/>
      <c r="E414" s="403"/>
      <c r="F414" s="403"/>
      <c r="G414" s="403"/>
      <c r="H414" s="403"/>
      <c r="I414" s="403"/>
      <c r="J414" s="403"/>
      <c r="K414" s="403"/>
      <c r="L414" s="403"/>
    </row>
    <row r="415" spans="1:12">
      <c r="A415" s="408" t="s">
        <v>14</v>
      </c>
      <c r="B415" s="405"/>
      <c r="C415" s="403">
        <f>IF(C$5 &gt;= Assumptions!$I$45, Assumptions!$AF15, 0)</f>
        <v>0</v>
      </c>
      <c r="D415" s="403">
        <f>IF(D$5&gt;Assumptions!$I$45,C415*(1+Revenue!AC3),IF(D$5=Assumptions!$I$45, Assumptions!$AF15, 0))</f>
        <v>0</v>
      </c>
      <c r="E415" s="403">
        <f>IF(E$5&gt;Assumptions!$I$45,D415*(1+Revenue!AD3),IF(E$5=Assumptions!$I$45, Assumptions!$AF15, 0))</f>
        <v>0</v>
      </c>
      <c r="F415" s="403">
        <f>IF(F$5&gt;Assumptions!$I$45,E415*(1+Revenue!AE3),IF(F$5=Assumptions!$I$45, Assumptions!$AF15, 0))</f>
        <v>0</v>
      </c>
      <c r="G415" s="403">
        <f>IF(G$5&gt;Assumptions!$I$45,F415*(1+Revenue!AF3),IF(G$5=Assumptions!$I$45, Assumptions!$AF15, 0))</f>
        <v>0</v>
      </c>
      <c r="H415" s="403">
        <f>IF(H$5&gt;Assumptions!$I$45,G415*(1+Revenue!AG3),IF(H$5=Assumptions!$I$45, Assumptions!$AF15, 0))</f>
        <v>0</v>
      </c>
      <c r="I415" s="403">
        <f>IF(I$5&gt;Assumptions!$I$45,H415*(1+Revenue!AH3),IF(I$5=Assumptions!$I$45, Assumptions!$AF15, 0))</f>
        <v>0</v>
      </c>
      <c r="J415" s="403">
        <f>IF(J$5&gt;Assumptions!$I$45,I415*(1+Revenue!AI3),IF(J$5=Assumptions!$I$45, Assumptions!$AF15, 0))</f>
        <v>0</v>
      </c>
      <c r="K415" s="403">
        <f>IF(K$5&gt;Assumptions!$I$45,J415*(1+Revenue!AJ3),IF(K$5=Assumptions!$I$45, Assumptions!$AF15, 0))</f>
        <v>0</v>
      </c>
      <c r="L415" s="403">
        <f>IF(L$5&gt;Assumptions!$I$45,K415*(1+Revenue!AK3),IF(L$5=Assumptions!$I$45, Assumptions!$AF15, 0))</f>
        <v>0</v>
      </c>
    </row>
    <row r="416" spans="1:12">
      <c r="A416" s="408" t="s">
        <v>15</v>
      </c>
      <c r="B416" s="405"/>
      <c r="C416" s="403">
        <f>IF(C$5 &gt;= Assumptions!$I$45, Assumptions!$AF16, 0)</f>
        <v>0</v>
      </c>
      <c r="D416" s="403">
        <f>IF(D$5&gt;Assumptions!$I$45,C416*(1+Revenue!AC3),IF(D$5=Assumptions!$I$45, Assumptions!$AF16, 0))</f>
        <v>0</v>
      </c>
      <c r="E416" s="403">
        <f>IF(E$5&gt;Assumptions!$I$45,D416*(1+Assumptions!AD3),IF(E$5=Assumptions!$I$45, Assumptions!$AF16, 0))</f>
        <v>0</v>
      </c>
      <c r="F416" s="403">
        <f>IF(F$5&gt;Assumptions!$I$45,E416*(1+Assumptions!AE3),IF(F$5=Assumptions!$I$45, Assumptions!$AF16, 0))</f>
        <v>0</v>
      </c>
      <c r="G416" s="403">
        <f>IF(G$5&gt;Assumptions!$I$45,F416*(1+Assumptions!AF3),IF(G$5=Assumptions!$I$45, Assumptions!$AF16, 0))</f>
        <v>0</v>
      </c>
      <c r="H416" s="403">
        <f>IF(H$5&gt;Assumptions!$I$45,G416*(1+Assumptions!AG3),IF(H$5=Assumptions!$I$45, Assumptions!$AF16, 0))</f>
        <v>0</v>
      </c>
      <c r="I416" s="403">
        <f>IF(I$5&gt;Assumptions!$I$45,H416*(1+Assumptions!AH3),IF(I$5=Assumptions!$I$45, Assumptions!$AF16, 0))</f>
        <v>0</v>
      </c>
      <c r="J416" s="403">
        <f>IF(J$5&gt;Assumptions!$I$45,I416*(1+Assumptions!AI3),IF(J$5=Assumptions!$I$45, Assumptions!$AF16, 0))</f>
        <v>0</v>
      </c>
      <c r="K416" s="403">
        <f>IF(K$5&gt;Assumptions!$I$45,J416*(1+Assumptions!AJ3),IF(K$5=Assumptions!$I$45, Assumptions!$AF16, 0))</f>
        <v>0</v>
      </c>
      <c r="L416" s="403">
        <f>IF(L$5&gt;Assumptions!$I$45,K416*(1+Assumptions!AK3),IF(L$5=Assumptions!$I$45, Assumptions!$AF16, 0))</f>
        <v>0</v>
      </c>
    </row>
    <row r="417" spans="1:12">
      <c r="A417" s="408" t="s">
        <v>17</v>
      </c>
      <c r="B417" s="405"/>
      <c r="C417" s="403">
        <f>IF(C$5 &gt;= Assumptions!$I$45, Assumptions!$AF17, 0)</f>
        <v>0</v>
      </c>
      <c r="D417" s="403">
        <f>IF(D$5&gt;Assumptions!$I$45,C417*(1+Revenue!AC3),IF(D$5=Assumptions!$I$45, Assumptions!$AF17, 0))</f>
        <v>0</v>
      </c>
      <c r="E417" s="403">
        <f>IF(E$5&gt;Assumptions!$I$45,D417*(1+Revenue!AD3),IF(E$5=Assumptions!$I$45, Assumptions!$AF17, 0))</f>
        <v>0</v>
      </c>
      <c r="F417" s="403">
        <f>IF(F$5&gt;Assumptions!$I$45,E417*(1+Revenue!AE3),IF(F$5=Assumptions!$I$45, Assumptions!$AF17, 0))</f>
        <v>0</v>
      </c>
      <c r="G417" s="403">
        <f>IF(G$5&gt;Assumptions!$I$45,F417*(1+Revenue!AF3),IF(G$5=Assumptions!$I$45, Assumptions!$AF17, 0))</f>
        <v>0</v>
      </c>
      <c r="H417" s="403">
        <f>IF(H$5&gt;Assumptions!$I$45,G417*(1+Revenue!AG3),IF(H$5=Assumptions!$I$45, Assumptions!$AF17, 0))</f>
        <v>0</v>
      </c>
      <c r="I417" s="403">
        <f>IF(I$5&gt;Assumptions!$I$45,H417*(1+Revenue!AH3),IF(I$5=Assumptions!$I$45, Assumptions!$AF17, 0))</f>
        <v>0</v>
      </c>
      <c r="J417" s="403">
        <f>IF(J$5&gt;Assumptions!$I$45,I417*(1+Revenue!AI3),IF(J$5=Assumptions!$I$45, Assumptions!$AF17, 0))</f>
        <v>0</v>
      </c>
      <c r="K417" s="403">
        <f>IF(K$5&gt;Assumptions!$I$45,J417*(1+Revenue!AJ3),IF(K$5=Assumptions!$I$45, Assumptions!$AF17, 0))</f>
        <v>0</v>
      </c>
      <c r="L417" s="403">
        <f>IF(L$5&gt;Assumptions!$I$45,K417*(1+Revenue!AK3),IF(L$5=Assumptions!$I$45, Assumptions!$AF17, 0))</f>
        <v>0</v>
      </c>
    </row>
    <row r="418" spans="1:12">
      <c r="A418" s="408" t="s">
        <v>19</v>
      </c>
      <c r="B418" s="405"/>
      <c r="C418" s="403">
        <f>IF(C$5 &gt;= Assumptions!$I$45, Assumptions!$AF$18 * (Revenue!AQ8+Revenue!AQ9+Revenue!AQ10+Revenue!AQ11), 0)</f>
        <v>0</v>
      </c>
      <c r="D418" s="403">
        <f>IF(D$5&gt;Assumptions!$I$45, Assumptions!$AF$18*(Revenue!AR8+Revenue!AR9+Revenue!AR10+Revenue!AR11)*(1+Revenue!AC3), IF(D$5=Assumptions!$I$45, Assumptions!$AF$18 * (Revenue!AR8+Revenue!AR9+Revenue!AR10+Revenue!AR11), 0))</f>
        <v>0</v>
      </c>
      <c r="E418" s="403">
        <f>IF(E$5&gt;Assumptions!$I$45, Assumptions!$AF$18*(Revenue!AS8+Revenue!AS9+Revenue!AS10+Revenue!AS11)*(1+Revenue!AD3), IF(E$5=Assumptions!$I$45, Assumptions!$AF$18 * (Revenue!AS8+Revenue!AS9+Revenue!AS10+Revenue!AS11), 0))</f>
        <v>0</v>
      </c>
      <c r="F418" s="403">
        <f>IF(F$5&gt;Assumptions!$I$45, Assumptions!$AF$18*(Revenue!AT8+Revenue!AT9+Revenue!AT10+Revenue!AT11)*(1+Revenue!AE3), IF(F$5=Assumptions!$I$45, Assumptions!$AF$18 * (Revenue!AT8+Revenue!AT9+Revenue!AT10+Revenue!AT11), 0))</f>
        <v>323850</v>
      </c>
      <c r="G418" s="403">
        <f ca="1">IF(G$5&gt;Assumptions!$I$45, Assumptions!$AF$18*(Revenue!AU8+Revenue!AU9+Revenue!AU10+Revenue!AU11)*(1+Revenue!AF3), IF(G$5=Assumptions!$I$45, Assumptions!$AF$18 * (Revenue!AU8+Revenue!AU9+Revenue!AU10+Revenue!AU11), 0))</f>
        <v>406844.92108442116</v>
      </c>
      <c r="H418" s="403">
        <f ca="1">IF(H$5&gt;Assumptions!$I$45, Assumptions!$AF$18*(Revenue!AV8+Revenue!AV9+Revenue!AV10+Revenue!AV11)*(1+Revenue!AG3), IF(H$5=Assumptions!$I$45, Assumptions!$AF$18 * (Revenue!AV8+Revenue!AV9+Revenue!AV10+Revenue!AV11), 0))</f>
        <v>425442.9231014931</v>
      </c>
      <c r="I418" s="403">
        <f ca="1">IF(I$5&gt;Assumptions!$I$45, Assumptions!$AF$18*(Revenue!AW8+Revenue!AW9+Revenue!AW10+Revenue!AW11)*(1+Revenue!AH3), IF(I$5=Assumptions!$I$45, Assumptions!$AF$18 * (Revenue!AW8+Revenue!AW9+Revenue!AW10+Revenue!AW11), 0))</f>
        <v>446391.64694853354</v>
      </c>
      <c r="J418" s="403">
        <f ca="1">IF(J$5&gt;Assumptions!$I$45, Assumptions!$AF$18*(Revenue!AX8+Revenue!AX9+Revenue!AX10+Revenue!AX11)*(1+Revenue!AI3), IF(J$5=Assumptions!$I$45, Assumptions!$AF$18 * (Revenue!AX8+Revenue!AX9+Revenue!AX10+Revenue!AX11), 0))</f>
        <v>469886.20087021083</v>
      </c>
      <c r="K418" s="403">
        <f ca="1">IF(K$5&gt;Assumptions!$I$45, Assumptions!$AF$18*(Revenue!AY8+Revenue!AY9+Revenue!AY10+Revenue!AY11)*(1+Revenue!AJ3), IF(K$5=Assumptions!$I$45, Assumptions!$AF$18 * (Revenue!AY8+Revenue!AY9+Revenue!AY10+Revenue!AY11), 0))</f>
        <v>496350.04726344103</v>
      </c>
      <c r="L418" s="403">
        <f ca="1">IF(L$5&gt;Assumptions!$I$45, Assumptions!$AF$18*(Revenue!AZ8+Revenue!AZ9+Revenue!AZ10+Revenue!AZ11)*(1+Revenue!AK3), IF(L$5=Assumptions!$I$45, Assumptions!$AF$18 * (Revenue!AZ8+Revenue!AZ9+Revenue!AZ10+Revenue!AZ11), 0))</f>
        <v>525893.51341425022</v>
      </c>
    </row>
    <row r="419" spans="1:12">
      <c r="A419" s="408" t="s">
        <v>20</v>
      </c>
      <c r="B419" s="405"/>
      <c r="C419" s="403">
        <f>IF(C$5 &gt;= Assumptions!$I$45, Assumptions!$AF$19*C384, 0)</f>
        <v>0</v>
      </c>
      <c r="D419" s="403">
        <f>IF(D$5 &gt; Assumptions!$I$45, Assumptions!$AF$19*D384*(1 + Revenue!AC3), IF(D$5 = Assumptions!$I$45, Assumptions!$AF$19*D384, 0))</f>
        <v>0</v>
      </c>
      <c r="E419" s="403">
        <f>IF(E$5 &gt; Assumptions!$I$45, Assumptions!$AF$19*E384*(1 + Revenue!AD3), IF(E$5 = Assumptions!$I$45, Assumptions!$AF$19*E384, 0))</f>
        <v>0</v>
      </c>
      <c r="F419" s="403">
        <f ca="1">IF(F$5 &gt; Assumptions!$I$45, Assumptions!$AF$19*F384*(1 + Revenue!AE3), IF(F$5 = Assumptions!$I$45, Assumptions!$AF$19*F384, 0))</f>
        <v>5145800</v>
      </c>
      <c r="G419" s="403">
        <f ca="1">IF(G$5 &gt; Assumptions!$I$45, Assumptions!$AF$19*G384*(1 + Revenue!AF3), IF(G$5 = Assumptions!$I$45, Assumptions!$AF$19*G384, 0))</f>
        <v>7308211.3907357184</v>
      </c>
      <c r="H419" s="403">
        <f ca="1">IF(H$5 &gt; Assumptions!$I$45, Assumptions!$AF$19*H384*(1 + Revenue!AG3), IF(H$5 = Assumptions!$I$45, Assumptions!$AF$19*H384, 0))</f>
        <v>8694268.0698960945</v>
      </c>
      <c r="I419" s="403">
        <f ca="1">IF(I$5 &gt; Assumptions!$I$45, Assumptions!$AF$19*I384*(1 + Revenue!AH3), IF(I$5 = Assumptions!$I$45, Assumptions!$AF$19*I384, 0))</f>
        <v>9523753.3560878802</v>
      </c>
      <c r="J419" s="403">
        <f ca="1">IF(J$5 &gt; Assumptions!$I$45, Assumptions!$AF$19*J384*(1 + Revenue!AI3), IF(J$5 = Assumptions!$I$45, Assumptions!$AF$19*J384, 0))</f>
        <v>10458071.506107097</v>
      </c>
      <c r="K419" s="403">
        <f ca="1">IF(K$5 &gt; Assumptions!$I$45, Assumptions!$AF$19*K384*(1 + Revenue!AJ3), IF(K$5 = Assumptions!$I$45, Assumptions!$AF$19*K384, 0))</f>
        <v>11516827.510311907</v>
      </c>
      <c r="L419" s="403">
        <f ca="1">IF(L$5 &gt; Assumptions!$I$45, Assumptions!$AF$19*L384*(1 + Revenue!AK3), IF(L$5 = Assumptions!$I$45, Assumptions!$AF$19*L384, 0))</f>
        <v>12717496.381838577</v>
      </c>
    </row>
    <row r="420" spans="1:12">
      <c r="A420" s="408" t="s">
        <v>22</v>
      </c>
      <c r="B420" s="405"/>
      <c r="C420" s="403">
        <f>IF(C$5 &gt;= Assumptions!$I$45, Assumptions!AF20, 0)</f>
        <v>0</v>
      </c>
      <c r="D420" s="403">
        <f>IF(D$5 &gt; Assumptions!$I$45, C420*(1+Revenue!AC3), IF(D$5 = Assumptions!$I$45, Assumptions!$AF20, 0))</f>
        <v>0</v>
      </c>
      <c r="E420" s="403">
        <f>IF(E$5 &gt; Assumptions!$I$45, D420*(1+Revenue!AD3), IF(E$5 = Assumptions!$I$45, Assumptions!$AF20, 0))</f>
        <v>0</v>
      </c>
      <c r="F420" s="403">
        <f>IF(F$5 &gt; Assumptions!$I$45, E420*(1+Revenue!AE3), IF(F$5 = Assumptions!$I$45, Assumptions!$AF20, 0))</f>
        <v>0</v>
      </c>
      <c r="G420" s="403">
        <f>IF(G$5 &gt; Assumptions!$I$45, F420*(1+Revenue!AF3), IF(G$5 = Assumptions!$I$45, Assumptions!$AF20, 0))</f>
        <v>0</v>
      </c>
      <c r="H420" s="403">
        <f>IF(H$5 &gt; Assumptions!$I$45, G420*(1+Revenue!AG3), IF(H$5 = Assumptions!$I$45, Assumptions!$AF20, 0))</f>
        <v>0</v>
      </c>
      <c r="I420" s="403">
        <f>IF(I$5 &gt; Assumptions!$I$45, H420*(1+Revenue!AH3), IF(I$5 = Assumptions!$I$45, Assumptions!$AF20, 0))</f>
        <v>0</v>
      </c>
      <c r="J420" s="403">
        <f>IF(J$5 &gt; Assumptions!$I$45, I420*(1+Revenue!AI3), IF(J$5 = Assumptions!$I$45, Assumptions!$AF20, 0))</f>
        <v>0</v>
      </c>
      <c r="K420" s="403">
        <f>IF(K$5 &gt; Assumptions!$I$45, J420*(1+Revenue!AJ3), IF(K$5 = Assumptions!$I$45, Assumptions!$AF20, 0))</f>
        <v>0</v>
      </c>
      <c r="L420" s="403">
        <f>IF(L$5 &gt; Assumptions!$I$45, K420*(1+Revenue!AK3), IF(L$5 = Assumptions!$I$45, Assumptions!$AF20, 0))</f>
        <v>0</v>
      </c>
    </row>
    <row r="421" spans="1:12">
      <c r="A421" s="408" t="s">
        <v>25</v>
      </c>
      <c r="B421" s="405"/>
      <c r="C421" s="403">
        <f>IF(C$5 &gt;= Assumptions!$I$45, Assumptions!$AF21, 0)</f>
        <v>0</v>
      </c>
      <c r="D421" s="403">
        <f>IF(D$5 &gt; Assumptions!$I$45, Income!C421*(1+Revenue!AC3), IF(D$5 = Assumptions!$I$45, Assumptions!$AF21, 0))</f>
        <v>0</v>
      </c>
      <c r="E421" s="403">
        <f>IF(E$5 &gt; Assumptions!$I$45, Income!D421*(1+Revenue!AD3), IF(E$5 = Assumptions!$I$45, Assumptions!$AF21, 0))</f>
        <v>0</v>
      </c>
      <c r="F421" s="403">
        <f>IF(F$5 &gt; Assumptions!$I$45, Income!E421*(1+Revenue!AE3), IF(F$5 = Assumptions!$I$45, Assumptions!$AF21, 0))</f>
        <v>1000</v>
      </c>
      <c r="G421" s="403">
        <f>IF(G$5 &gt; Assumptions!$I$45, Income!F421*(1+Revenue!AF3), IF(G$5 = Assumptions!$I$45, Assumptions!$AF21, 0))</f>
        <v>1040</v>
      </c>
      <c r="H421" s="403">
        <f>IF(H$5 &gt; Assumptions!$I$45, Income!G421*(1+Revenue!AG3), IF(H$5 = Assumptions!$I$45, Assumptions!$AF21, 0))</f>
        <v>1081.6000000000001</v>
      </c>
      <c r="I421" s="403">
        <f>IF(I$5 &gt; Assumptions!$I$45, Income!H421*(1+Revenue!AH3), IF(I$5 = Assumptions!$I$45, Assumptions!$AF21, 0))</f>
        <v>1124.8640000000003</v>
      </c>
      <c r="J421" s="403">
        <f>IF(J$5 &gt; Assumptions!$I$45, Income!I421*(1+Revenue!AI3), IF(J$5 = Assumptions!$I$45, Assumptions!$AF21, 0))</f>
        <v>1169.8585600000004</v>
      </c>
      <c r="K421" s="403">
        <f>IF(K$5 &gt; Assumptions!$I$45, Income!J421*(1+Revenue!AJ3), IF(K$5 = Assumptions!$I$45, Assumptions!$AF21, 0))</f>
        <v>1216.6529024000004</v>
      </c>
      <c r="L421" s="403">
        <f>IF(L$5 &gt; Assumptions!$I$45, Income!K421*(1+Revenue!AK3), IF(L$5 = Assumptions!$I$45, Assumptions!$AF21, 0))</f>
        <v>1265.3190184960004</v>
      </c>
    </row>
    <row r="422" spans="1:12">
      <c r="A422" s="408" t="s">
        <v>27</v>
      </c>
      <c r="B422" s="405"/>
      <c r="C422" s="403">
        <f>IF(C$5 &gt;= Assumptions!$I$45, Assumptions!AF22, 0)</f>
        <v>0</v>
      </c>
      <c r="D422" s="403">
        <f>IF(D$5 &gt; Assumptions!$I$45, Income!C422*(1+Revenue!AC3), IF(D$5 = Assumptions!$I$45, Assumptions!$AF22, 0))</f>
        <v>0</v>
      </c>
      <c r="E422" s="403">
        <f>IF(E$5 &gt; Assumptions!$I$45, Income!D422*(1+Revenue!AD3), IF(E$5 = Assumptions!$I$45, Assumptions!$AF22, 0))</f>
        <v>0</v>
      </c>
      <c r="F422" s="403">
        <f>IF(F$5 &gt; Assumptions!$I$45, Income!E422*(1+Revenue!AE3), IF(F$5 = Assumptions!$I$45, Assumptions!$AF22, 0))</f>
        <v>1000</v>
      </c>
      <c r="G422" s="403">
        <f>IF(G$5 &gt; Assumptions!$I$45, Income!F422*(1+Revenue!AF3), IF(G$5 = Assumptions!$I$45, Assumptions!$AF22, 0))</f>
        <v>1040</v>
      </c>
      <c r="H422" s="403">
        <f>IF(H$5 &gt; Assumptions!$I$45, Income!G422*(1+Revenue!AG3), IF(H$5 = Assumptions!$I$45, Assumptions!$AF22, 0))</f>
        <v>1081.6000000000001</v>
      </c>
      <c r="I422" s="403">
        <f>IF(I$5 &gt; Assumptions!$I$45, Income!H422*(1+Revenue!AH3), IF(I$5 = Assumptions!$I$45, Assumptions!$AF22, 0))</f>
        <v>1124.8640000000003</v>
      </c>
      <c r="J422" s="403">
        <f>IF(J$5 &gt; Assumptions!$I$45, Income!I422*(1+Revenue!AI3), IF(J$5 = Assumptions!$I$45, Assumptions!$AF22, 0))</f>
        <v>1169.8585600000004</v>
      </c>
      <c r="K422" s="403">
        <f>IF(K$5 &gt; Assumptions!$I$45, Income!J422*(1+Revenue!AJ3), IF(K$5 = Assumptions!$I$45, Assumptions!$AF22, 0))</f>
        <v>1216.6529024000004</v>
      </c>
      <c r="L422" s="403">
        <f>IF(L$5 &gt; Assumptions!$I$45, Income!K422*(1+Revenue!AK3), IF(L$5 = Assumptions!$I$45, Assumptions!$AF22, 0))</f>
        <v>1265.3190184960004</v>
      </c>
    </row>
    <row r="423" spans="1:12">
      <c r="A423" s="408" t="s">
        <v>278</v>
      </c>
      <c r="B423" s="405"/>
      <c r="C423" s="403">
        <f>IF(C$5 &gt;= Assumptions!$I$45, Assumptions!$AF$23 + (Revenue!AQ10+Revenue!AQ11+Revenue!AQ12)*Assumptions!$AF$24, 0)</f>
        <v>0</v>
      </c>
      <c r="D423" s="403">
        <f>IF(D$5&gt;Assumptions!$I$45,(Assumptions!$AF$23+(Revenue!AR10+Revenue!AR11+Revenue!AR12)*Assumptions!$AF$24)*(1+Revenue!AC3),IF(D$5=Assumptions!$I$45,Assumptions!$AF$23+(Revenue!AR10+Revenue!AR11+Revenue!AR12)*Assumptions!$AF$24,0))</f>
        <v>0</v>
      </c>
      <c r="E423" s="403">
        <f>IF(E$5&gt;Assumptions!$I$45,(Assumptions!$AF$23+(Revenue!AS10+Revenue!AS11+Revenue!AS12)*Assumptions!$AF$24)*(1+Revenue!AD3),IF(E$5=Assumptions!$I$45,Assumptions!$AF$23+(Revenue!AS10+Revenue!AS11+Revenue!AS12)*Assumptions!$AF$24,0))</f>
        <v>0</v>
      </c>
      <c r="F423" s="403">
        <f>IF(F$5&gt;Assumptions!$I$45,(Assumptions!$AF$23+(Revenue!AT10+Revenue!AT11+Revenue!AT12)*Assumptions!$AF$24)*(1+Revenue!AE3),IF(F$5=Assumptions!$I$45,Assumptions!$AF$23+(Revenue!AT10+Revenue!AT11+Revenue!AT12)*Assumptions!$AF$24,0))</f>
        <v>12350</v>
      </c>
      <c r="G423" s="403">
        <f ca="1">IF(G$5&gt;Assumptions!$I$45,(Assumptions!$AF$23+(Revenue!AU10+Revenue!AU11+Revenue!AU12)*Assumptions!$AF$24)*(1+Revenue!AF3),IF(G$5=Assumptions!$I$45,Assumptions!$AF$23+(Revenue!AU10+Revenue!AU11+Revenue!AU12)*Assumptions!$AF$24,0))</f>
        <v>16410.894506400753</v>
      </c>
      <c r="H423" s="403">
        <f ca="1">IF(H$5&gt;Assumptions!$I$45,(Assumptions!$AF$23+(Revenue!AV10+Revenue!AV11+Revenue!AV12)*Assumptions!$AF$24)*(1+Revenue!AG3),IF(H$5=Assumptions!$I$45,Assumptions!$AF$23+(Revenue!AV10+Revenue!AV11+Revenue!AV12)*Assumptions!$AF$24,0))</f>
        <v>18540.111948001057</v>
      </c>
      <c r="I423" s="403">
        <f ca="1">IF(I$5&gt;Assumptions!$I$45,(Assumptions!$AF$23+(Revenue!AW10+Revenue!AW11+Revenue!AW12)*Assumptions!$AF$24)*(1+Revenue!AH3),IF(I$5=Assumptions!$I$45,Assumptions!$AF$23+(Revenue!AW10+Revenue!AW11+Revenue!AW12)*Assumptions!$AF$24,0))</f>
        <v>19221.384235822967</v>
      </c>
      <c r="J423" s="403">
        <f ca="1">IF(J$5&gt;Assumptions!$I$45,(Assumptions!$AF$23+(Revenue!AX10+Revenue!AX11+Revenue!AX12)*Assumptions!$AF$24)*(1+Revenue!AI3),IF(J$5=Assumptions!$I$45,Assumptions!$AF$23+(Revenue!AX10+Revenue!AX11+Revenue!AX12)*Assumptions!$AF$24,0))</f>
        <v>19990.447150716198</v>
      </c>
      <c r="K423" s="403">
        <f ca="1">IF(K$5&gt;Assumptions!$I$45,(Assumptions!$AF$23+(Revenue!AY10+Revenue!AY11+Revenue!AY12)*Assumptions!$AF$24)*(1+Revenue!AJ3),IF(K$5=Assumptions!$I$45,Assumptions!$AF$23+(Revenue!AY10+Revenue!AY11+Revenue!AY12)*Assumptions!$AF$24,0))</f>
        <v>20854.873627004235</v>
      </c>
      <c r="L423" s="403">
        <f ca="1">IF(L$5&gt;Assumptions!$I$45,(Assumptions!$AF$23+(Revenue!AZ10+Revenue!AZ11+Revenue!AZ12)*Assumptions!$AF$24)*(1+Revenue!AK3),IF(L$5=Assumptions!$I$45,Assumptions!$AF$23+(Revenue!AZ10+Revenue!AZ11+Revenue!AZ12)*Assumptions!$AF$24,0))</f>
        <v>21822.742145555512</v>
      </c>
    </row>
    <row r="424" spans="1:12">
      <c r="A424" s="408" t="s">
        <v>29</v>
      </c>
      <c r="B424" s="405"/>
      <c r="C424" s="403">
        <f>IF(C$5 &gt;= Assumptions!$I$45, Assumptions!AF25, 0)</f>
        <v>0</v>
      </c>
      <c r="D424" s="403">
        <f>IF(D$5&gt;Assumptions!$I$45,C424*(1+Revenue!AC3)*(1+Assumptions!$J$10),IF(D$5=Assumptions!$I$45,Assumptions!$AF25,0))</f>
        <v>0</v>
      </c>
      <c r="E424" s="403">
        <f>IF(E$5&gt;Assumptions!$I$45,D424*(1+Revenue!AD3)*(1+Assumptions!$J$10),IF(E$5=Assumptions!$I$45,Assumptions!$AF25,0))</f>
        <v>0</v>
      </c>
      <c r="F424" s="403">
        <f>IF(F$5&gt;Assumptions!$I$45,E424*(1+Revenue!AE3)*(1+Assumptions!$J$10),IF(F$5=Assumptions!$I$45,Assumptions!$AF25,0))</f>
        <v>0</v>
      </c>
      <c r="G424" s="403">
        <f>IF(G$5&gt;Assumptions!$I$45,F424*(1+Revenue!AF3)*(1+Assumptions!$J$10),IF(G$5=Assumptions!$I$45,Assumptions!$AF25,0))</f>
        <v>0</v>
      </c>
      <c r="H424" s="403">
        <f>IF(H$5&gt;Assumptions!$I$45,G424*(1+Revenue!AG3)*(1+Assumptions!$J$10),IF(H$5=Assumptions!$I$45,Assumptions!$AF25,0))</f>
        <v>0</v>
      </c>
      <c r="I424" s="403">
        <f>IF(I$5&gt;Assumptions!$I$45,H424*(1+Revenue!AH3)*(1+Assumptions!$J$10),IF(I$5=Assumptions!$I$45,Assumptions!$AF25,0))</f>
        <v>0</v>
      </c>
      <c r="J424" s="403">
        <f>IF(J$5&gt;Assumptions!$I$45,I424*(1+Revenue!AI3)*(1+Assumptions!$J$10),IF(J$5=Assumptions!$I$45,Assumptions!$AF25,0))</f>
        <v>0</v>
      </c>
      <c r="K424" s="403">
        <f>IF(K$5&gt;Assumptions!$I$45,J424*(1+Revenue!AJ3)*(1+Assumptions!$J$10),IF(K$5=Assumptions!$I$45,Assumptions!$AF25,0))</f>
        <v>0</v>
      </c>
      <c r="L424" s="403">
        <f>IF(L$5&gt;Assumptions!$I$45,K424*(1+Revenue!AK3)*(1+Assumptions!$J$10),IF(L$5=Assumptions!$I$45,Assumptions!$AF25,0))</f>
        <v>0</v>
      </c>
    </row>
    <row r="425" spans="1:12">
      <c r="A425" s="408" t="s">
        <v>279</v>
      </c>
      <c r="B425" s="405"/>
      <c r="C425" s="403">
        <f>IF(C$5 &gt;= Assumptions!$I$45, Assumptions!AF26, 0)</f>
        <v>0</v>
      </c>
      <c r="D425" s="403">
        <f>IF(D$5 &gt; Assumptions!$I$45, C425*(1+Revenue!AC3)*(1+Assumptions!$J$11), IF(D$5 = Assumptions!$I$45, Assumptions!$AF26, 0))</f>
        <v>0</v>
      </c>
      <c r="E425" s="403">
        <f>IF(E$5 &gt; Assumptions!$I$45, D425*(1+Revenue!AD3)*(1+Assumptions!$J$11), IF(E$5 = Assumptions!$I$45, Assumptions!$AF26, 0))</f>
        <v>0</v>
      </c>
      <c r="F425" s="403">
        <f>IF(F$5 &gt; Assumptions!$I$45, E425*(1+Revenue!AE3)*(1+Assumptions!$J$11), IF(F$5 = Assumptions!$I$45, Assumptions!$AF26, 0))</f>
        <v>0</v>
      </c>
      <c r="G425" s="403">
        <f>IF(G$5 &gt; Assumptions!$I$45, F425*(1+Revenue!AF3)*(1+Assumptions!$J$11), IF(G$5 = Assumptions!$I$45, Assumptions!$AF26, 0))</f>
        <v>0</v>
      </c>
      <c r="H425" s="403">
        <f>IF(H$5 &gt; Assumptions!$I$45, G425*(1+Revenue!AG3)*(1+Assumptions!$J$11), IF(H$5 = Assumptions!$I$45, Assumptions!$AF26, 0))</f>
        <v>0</v>
      </c>
      <c r="I425" s="403">
        <f>IF(I$5 &gt; Assumptions!$I$45, H425*(1+Revenue!AH3)*(1+Assumptions!$J$11), IF(I$5 = Assumptions!$I$45, Assumptions!$AF26, 0))</f>
        <v>0</v>
      </c>
      <c r="J425" s="403">
        <f>IF(J$5 &gt; Assumptions!$I$45, I425*(1+Revenue!AI3)*(1+Assumptions!$J$11), IF(J$5 = Assumptions!$I$45, Assumptions!$AF26, 0))</f>
        <v>0</v>
      </c>
      <c r="K425" s="403">
        <f>IF(K$5 &gt; Assumptions!$I$45, J425*(1+Revenue!AJ3)*(1+Assumptions!$J$11), IF(K$5 = Assumptions!$I$45, Assumptions!$AF26, 0))</f>
        <v>0</v>
      </c>
      <c r="L425" s="403">
        <f>IF(L$5 &gt; Assumptions!$I$45, K425*(1+Revenue!AK3)*(1+Assumptions!$J$11), IF(L$5 = Assumptions!$I$45, Assumptions!$AF26, 0))</f>
        <v>0</v>
      </c>
    </row>
    <row r="426" spans="1:12">
      <c r="A426" s="408" t="s">
        <v>31</v>
      </c>
      <c r="B426" s="405"/>
      <c r="C426" s="403">
        <f>IF(C$5 &gt;= Assumptions!$I$45, Assumptions!AF27, 0)</f>
        <v>0</v>
      </c>
      <c r="D426" s="403">
        <f>IF(D$5 &gt; Assumptions!$I$45, C426*(1+Revenue!AC3), IF(D$5 = Assumptions!$I$45, Assumptions!$AF27, 0))</f>
        <v>0</v>
      </c>
      <c r="E426" s="403">
        <f>IF(E$5 &gt; Assumptions!$I$45, D426*(1+Revenue!AD3), IF(E$5 = Assumptions!$I$45, Assumptions!$AF27, 0))</f>
        <v>0</v>
      </c>
      <c r="F426" s="403">
        <f>IF(F$5 &gt; Assumptions!$I$45, E426*(1+Revenue!AE3), IF(F$5 = Assumptions!$I$45, Assumptions!$AF27, 0))</f>
        <v>1200</v>
      </c>
      <c r="G426" s="403">
        <f>IF(G$5 &gt; Assumptions!$I$45, F426*(1+Revenue!AF3), IF(G$5 = Assumptions!$I$45, Assumptions!$AF27, 0))</f>
        <v>1248</v>
      </c>
      <c r="H426" s="403">
        <f>IF(H$5 &gt; Assumptions!$I$45, G426*(1+Revenue!AG3), IF(H$5 = Assumptions!$I$45, Assumptions!$AF27, 0))</f>
        <v>1297.92</v>
      </c>
      <c r="I426" s="403">
        <f>IF(I$5 &gt; Assumptions!$I$45, H426*(1+Revenue!AH3), IF(I$5 = Assumptions!$I$45, Assumptions!$AF27, 0))</f>
        <v>1349.8368</v>
      </c>
      <c r="J426" s="403">
        <f>IF(J$5 &gt; Assumptions!$I$45, I426*(1+Revenue!AI3), IF(J$5 = Assumptions!$I$45, Assumptions!$AF27, 0))</f>
        <v>1403.8302720000002</v>
      </c>
      <c r="K426" s="403">
        <f>IF(K$5 &gt; Assumptions!$I$45, J426*(1+Revenue!AJ3), IF(K$5 = Assumptions!$I$45, Assumptions!$AF27, 0))</f>
        <v>1459.9834828800001</v>
      </c>
      <c r="L426" s="403">
        <f>IF(L$5 &gt; Assumptions!$I$45, K426*(1+Revenue!AK3), IF(L$5 = Assumptions!$I$45, Assumptions!$AF27, 0))</f>
        <v>1518.3828221952001</v>
      </c>
    </row>
    <row r="427" spans="1:12">
      <c r="A427" s="408" t="s">
        <v>33</v>
      </c>
      <c r="B427" s="405"/>
      <c r="C427" s="403">
        <f>IF(C$5 &gt;= Assumptions!$I$45, Assumptions!AF28, 0)</f>
        <v>0</v>
      </c>
      <c r="D427" s="403">
        <f>IF(D$5 &gt; Assumptions!$I$45, C427*(1+Revenue!AC3), IF(D$5 = Assumptions!$I$45, Assumptions!$AF28, 0))</f>
        <v>0</v>
      </c>
      <c r="E427" s="403">
        <f>IF(E$5 &gt; Assumptions!$I$45, D427*(1+Revenue!AD3), IF(E$5 = Assumptions!$I$45, Assumptions!$AF28, 0))</f>
        <v>0</v>
      </c>
      <c r="F427" s="403">
        <f>IF(F$5 &gt; Assumptions!$I$45, E427*(1+Revenue!AE3), IF(F$5 = Assumptions!$I$45, Assumptions!$AF28, 0))</f>
        <v>1000</v>
      </c>
      <c r="G427" s="403">
        <f>IF(G$5 &gt; Assumptions!$I$45, F427*(1+Revenue!AF3), IF(G$5 = Assumptions!$I$45, Assumptions!$AF28, 0))</f>
        <v>1040</v>
      </c>
      <c r="H427" s="403">
        <f>IF(H$5 &gt; Assumptions!$I$45, G427*(1+Revenue!AG3), IF(H$5 = Assumptions!$I$45, Assumptions!$AF28, 0))</f>
        <v>1081.6000000000001</v>
      </c>
      <c r="I427" s="403">
        <f>IF(I$5 &gt; Assumptions!$I$45, H427*(1+Revenue!AH3), IF(I$5 = Assumptions!$I$45, Assumptions!$AF28, 0))</f>
        <v>1124.8640000000003</v>
      </c>
      <c r="J427" s="403">
        <f>IF(J$5 &gt; Assumptions!$I$45, I427*(1+Revenue!AI3), IF(J$5 = Assumptions!$I$45, Assumptions!$AF28, 0))</f>
        <v>1169.8585600000004</v>
      </c>
      <c r="K427" s="403">
        <f>IF(K$5 &gt; Assumptions!$I$45, J427*(1+Revenue!AJ3), IF(K$5 = Assumptions!$I$45, Assumptions!$AF28, 0))</f>
        <v>1216.6529024000004</v>
      </c>
      <c r="L427" s="403">
        <f>IF(L$5 &gt; Assumptions!$I$45, K427*(1+Revenue!AK3), IF(L$5 = Assumptions!$I$45, Assumptions!$AF28, 0))</f>
        <v>1265.3190184960004</v>
      </c>
    </row>
    <row r="428" spans="1:12">
      <c r="A428" s="408" t="s">
        <v>35</v>
      </c>
      <c r="B428" s="405"/>
      <c r="C428" s="403">
        <f>IF(C$5 &gt;= Assumptions!$I$45, Assumptions!AF29, 0)</f>
        <v>0</v>
      </c>
      <c r="D428" s="403">
        <f>IF(D$5 &gt; Assumptions!$I$45, C428*(1+Revenue!C174), IF(D$5 = Assumptions!$I$45, Assumptions!$AF29, 0))</f>
        <v>0</v>
      </c>
      <c r="E428" s="403">
        <f>IF(E$5 &gt; Assumptions!$I$45, D428*(1+Revenue!D174), IF(E$5 = Assumptions!$I$45, Assumptions!$AF29, 0))</f>
        <v>0</v>
      </c>
      <c r="F428" s="403">
        <f>IF(F$5 &gt; Assumptions!$I$45, E428*(1+Revenue!E174), IF(F$5 = Assumptions!$I$45, Assumptions!$AF29, 0))</f>
        <v>5000</v>
      </c>
      <c r="G428" s="403">
        <f>IF(G$5 &gt; Assumptions!$I$45, F428*(1+Revenue!F174), IF(G$5 = Assumptions!$I$45, Assumptions!$AF29, 0))</f>
        <v>5000</v>
      </c>
      <c r="H428" s="403">
        <f>IF(H$5 &gt; Assumptions!$I$45, G428*(1+Revenue!G174), IF(H$5 = Assumptions!$I$45, Assumptions!$AF29, 0))</f>
        <v>5000</v>
      </c>
      <c r="I428" s="403">
        <f>IF(I$5 &gt; Assumptions!$I$45, H428*(1+Revenue!H174), IF(I$5 = Assumptions!$I$45, Assumptions!$AF29, 0))</f>
        <v>5000</v>
      </c>
      <c r="J428" s="403">
        <f>IF(J$5 &gt; Assumptions!$I$45, I428*(1+Revenue!I174), IF(J$5 = Assumptions!$I$45, Assumptions!$AF29, 0))</f>
        <v>5000</v>
      </c>
      <c r="K428" s="403">
        <f>IF(K$5 &gt; Assumptions!$I$45, J428*(1+Revenue!J174), IF(K$5 = Assumptions!$I$45, Assumptions!$AF29, 0))</f>
        <v>5000</v>
      </c>
      <c r="L428" s="403">
        <f>IF(L$5 &gt; Assumptions!$I$45, K428*(1+Revenue!K174), IF(L$5 = Assumptions!$I$45, Assumptions!$AF29, 0))</f>
        <v>5000</v>
      </c>
    </row>
    <row r="429" spans="1:12">
      <c r="A429" s="408"/>
      <c r="B429" s="405"/>
      <c r="C429" s="403"/>
      <c r="D429" s="403"/>
      <c r="E429" s="403"/>
      <c r="F429" s="403"/>
      <c r="G429" s="403"/>
      <c r="H429" s="403"/>
      <c r="I429" s="403"/>
      <c r="J429" s="403"/>
      <c r="K429" s="403"/>
      <c r="L429" s="403"/>
    </row>
    <row r="430" spans="1:12" ht="15.5">
      <c r="A430" s="409" t="s">
        <v>156</v>
      </c>
      <c r="B430" s="405"/>
      <c r="C430" s="403">
        <f t="shared" ref="C430:L430" si="130">SUM(C415:C428)</f>
        <v>0</v>
      </c>
      <c r="D430" s="403">
        <f t="shared" si="130"/>
        <v>0</v>
      </c>
      <c r="E430" s="403">
        <f t="shared" si="130"/>
        <v>0</v>
      </c>
      <c r="F430" s="403">
        <f t="shared" ca="1" si="130"/>
        <v>5491200</v>
      </c>
      <c r="G430" s="403">
        <f t="shared" ca="1" si="130"/>
        <v>7740835.2063265396</v>
      </c>
      <c r="H430" s="403">
        <f t="shared" ca="1" si="130"/>
        <v>9147793.8249455858</v>
      </c>
      <c r="I430" s="403">
        <f t="shared" ca="1" si="130"/>
        <v>9999090.8160722367</v>
      </c>
      <c r="J430" s="403">
        <f t="shared" ca="1" si="130"/>
        <v>10957861.560080023</v>
      </c>
      <c r="K430" s="403">
        <f t="shared" ca="1" si="130"/>
        <v>12044142.373392435</v>
      </c>
      <c r="L430" s="403">
        <f t="shared" ca="1" si="130"/>
        <v>13275526.977276066</v>
      </c>
    </row>
    <row r="431" spans="1:12" ht="15.5">
      <c r="A431" s="409"/>
      <c r="B431" s="405"/>
      <c r="C431" s="403"/>
      <c r="D431" s="403"/>
      <c r="E431" s="403"/>
      <c r="F431" s="403"/>
      <c r="G431" s="403"/>
      <c r="H431" s="403"/>
      <c r="I431" s="403"/>
      <c r="J431" s="403"/>
      <c r="K431" s="403"/>
      <c r="L431" s="403"/>
    </row>
    <row r="432" spans="1:12" ht="15.5">
      <c r="A432" s="409" t="s">
        <v>36</v>
      </c>
      <c r="B432" s="405"/>
      <c r="C432" s="403"/>
      <c r="D432" s="403"/>
      <c r="E432" s="403"/>
      <c r="F432" s="403"/>
      <c r="G432" s="403"/>
      <c r="H432" s="403"/>
      <c r="I432" s="403"/>
      <c r="J432" s="403"/>
      <c r="K432" s="403"/>
      <c r="L432" s="403"/>
    </row>
    <row r="433" spans="1:12">
      <c r="A433" s="408" t="s">
        <v>38</v>
      </c>
      <c r="B433" s="405"/>
      <c r="C433" s="403">
        <f>IF(C$5 &gt;= Assumptions!$I$45, Assumptions!AR22, 0)</f>
        <v>0</v>
      </c>
      <c r="D433" s="403">
        <f>IF(D$5 &gt; Assumptions!$I$45, C433*(1+Revenue!AC3), IF(D$5 = Assumptions!$I$45, Assumptions!$AR22, 0))</f>
        <v>0</v>
      </c>
      <c r="E433" s="403">
        <f>IF(E$5 &gt; Assumptions!$I$45, D433*(1+Revenue!AD3), IF(E$5 = Assumptions!$I$45, Assumptions!$AR22, 0))</f>
        <v>0</v>
      </c>
      <c r="F433" s="403">
        <f>IF(F$5 &gt; Assumptions!$I$45, E433*(1+Revenue!AE3), IF(F$5 = Assumptions!$I$45, Assumptions!$AR22, 0))</f>
        <v>5000</v>
      </c>
      <c r="G433" s="403">
        <f>IF(G$5 &gt; Assumptions!$I$45, F433*(1+Revenue!AF3), IF(G$5 = Assumptions!$I$45, Assumptions!$AR22, 0))</f>
        <v>5200</v>
      </c>
      <c r="H433" s="403">
        <f>IF(H$5 &gt; Assumptions!$I$45, G433*(1+Revenue!AG3), IF(H$5 = Assumptions!$I$45, Assumptions!$AR22, 0))</f>
        <v>5408</v>
      </c>
      <c r="I433" s="403">
        <f>IF(I$5 &gt; Assumptions!$I$45, H433*(1+Revenue!AH3), IF(I$5 = Assumptions!$I$45, Assumptions!$AR22, 0))</f>
        <v>5624.3200000000006</v>
      </c>
      <c r="J433" s="403">
        <f>IF(J$5 &gt; Assumptions!$I$45, I433*(1+Revenue!AI3), IF(J$5 = Assumptions!$I$45, Assumptions!$AR22, 0))</f>
        <v>5849.2928000000011</v>
      </c>
      <c r="K433" s="403">
        <f>IF(K$5 &gt; Assumptions!$I$45, J433*(1+Revenue!AJ3), IF(K$5 = Assumptions!$I$45, Assumptions!$AR22, 0))</f>
        <v>6083.2645120000016</v>
      </c>
      <c r="L433" s="403">
        <f>IF(L$5 &gt; Assumptions!$I$45, K433*(1+Revenue!AK3), IF(L$5 = Assumptions!$I$45, Assumptions!$AR22, 0))</f>
        <v>6326.5950924800018</v>
      </c>
    </row>
    <row r="434" spans="1:12">
      <c r="A434" s="408" t="s">
        <v>39</v>
      </c>
      <c r="B434" s="405"/>
      <c r="C434" s="403">
        <f>IF(C$5 &gt;= Assumptions!$I$45, Assumptions!AR23, 0)</f>
        <v>0</v>
      </c>
      <c r="D434" s="403">
        <f>IF(D$5 &gt; Assumptions!$I$45, C433*(1+Revenue!AC3), IF(D$5 = Assumptions!$I$45, Assumptions!$AR23, 0))</f>
        <v>0</v>
      </c>
      <c r="E434" s="403">
        <f>IF(E$5 &gt; Assumptions!$I$45, D433*(1+Revenue!AD3), IF(E$5 = Assumptions!$I$45, Assumptions!$AR23, 0))</f>
        <v>0</v>
      </c>
      <c r="F434" s="403">
        <f>IF(F$5 &gt; Assumptions!$I$45, E433*(1+Revenue!AE3), IF(F$5 = Assumptions!$I$45, Assumptions!$AR23, 0))</f>
        <v>500</v>
      </c>
      <c r="G434" s="403">
        <f>IF(G$5 &gt; Assumptions!$I$45, F433*(1+Revenue!AF3), IF(G$5 = Assumptions!$I$45, Assumptions!$AR23, 0))</f>
        <v>5200</v>
      </c>
      <c r="H434" s="403">
        <f>IF(H$5 &gt; Assumptions!$I$45, G433*(1+Revenue!AG3), IF(H$5 = Assumptions!$I$45, Assumptions!$AR23, 0))</f>
        <v>5408</v>
      </c>
      <c r="I434" s="403">
        <f>IF(I$5 &gt; Assumptions!$I$45, H433*(1+Revenue!AH3), IF(I$5 = Assumptions!$I$45, Assumptions!$AR23, 0))</f>
        <v>5624.3200000000006</v>
      </c>
      <c r="J434" s="403">
        <f>IF(J$5 &gt; Assumptions!$I$45, I433*(1+Revenue!AI3), IF(J$5 = Assumptions!$I$45, Assumptions!$AR23, 0))</f>
        <v>5849.2928000000011</v>
      </c>
      <c r="K434" s="403">
        <f>IF(K$5 &gt; Assumptions!$I$45, J433*(1+Revenue!AJ3), IF(K$5 = Assumptions!$I$45, Assumptions!$AR23, 0))</f>
        <v>6083.2645120000016</v>
      </c>
      <c r="L434" s="403">
        <f>IF(L$5 &gt; Assumptions!$I$45, K433*(1+Revenue!AK3), IF(L$5 = Assumptions!$I$45, Assumptions!$AR23, 0))</f>
        <v>6326.5950924800018</v>
      </c>
    </row>
    <row r="435" spans="1:12">
      <c r="A435" s="408"/>
      <c r="B435" s="405"/>
      <c r="C435" s="403"/>
      <c r="D435" s="403"/>
      <c r="E435" s="403"/>
      <c r="F435" s="403"/>
      <c r="G435" s="403"/>
      <c r="H435" s="403"/>
      <c r="I435" s="403"/>
      <c r="J435" s="403"/>
      <c r="K435" s="403"/>
      <c r="L435" s="403"/>
    </row>
    <row r="436" spans="1:12" ht="15.5">
      <c r="A436" s="409" t="s">
        <v>157</v>
      </c>
      <c r="B436" s="405"/>
      <c r="C436" s="403">
        <f t="shared" ref="C436:L436" si="131">SUM(C433:C434)</f>
        <v>0</v>
      </c>
      <c r="D436" s="403">
        <f t="shared" si="131"/>
        <v>0</v>
      </c>
      <c r="E436" s="403">
        <f t="shared" si="131"/>
        <v>0</v>
      </c>
      <c r="F436" s="403">
        <f t="shared" si="131"/>
        <v>5500</v>
      </c>
      <c r="G436" s="403">
        <f t="shared" si="131"/>
        <v>10400</v>
      </c>
      <c r="H436" s="403">
        <f t="shared" si="131"/>
        <v>10816</v>
      </c>
      <c r="I436" s="403">
        <f t="shared" si="131"/>
        <v>11248.640000000001</v>
      </c>
      <c r="J436" s="403">
        <f t="shared" si="131"/>
        <v>11698.585600000002</v>
      </c>
      <c r="K436" s="403">
        <f t="shared" si="131"/>
        <v>12166.529024000003</v>
      </c>
      <c r="L436" s="403">
        <f t="shared" si="131"/>
        <v>12653.190184960004</v>
      </c>
    </row>
    <row r="437" spans="1:12">
      <c r="A437" s="408"/>
      <c r="B437" s="405"/>
      <c r="C437" s="403"/>
      <c r="D437" s="403"/>
      <c r="E437" s="403"/>
      <c r="F437" s="403"/>
      <c r="G437" s="403"/>
      <c r="H437" s="403"/>
      <c r="I437" s="403"/>
      <c r="J437" s="403"/>
      <c r="K437" s="403"/>
      <c r="L437" s="403"/>
    </row>
    <row r="438" spans="1:12" ht="15.5">
      <c r="A438" s="409" t="s">
        <v>112</v>
      </c>
      <c r="B438" s="405"/>
      <c r="C438" s="403">
        <f t="shared" ref="C438:L438" si="132">C411+C430+C436</f>
        <v>0</v>
      </c>
      <c r="D438" s="403">
        <f t="shared" si="132"/>
        <v>0</v>
      </c>
      <c r="E438" s="403">
        <f t="shared" si="132"/>
        <v>0</v>
      </c>
      <c r="F438" s="403">
        <f t="shared" ca="1" si="132"/>
        <v>5531700</v>
      </c>
      <c r="G438" s="403">
        <f t="shared" ca="1" si="132"/>
        <v>7751235.2063265396</v>
      </c>
      <c r="H438" s="403">
        <f t="shared" ca="1" si="132"/>
        <v>9158609.8249455858</v>
      </c>
      <c r="I438" s="403">
        <f t="shared" ca="1" si="132"/>
        <v>10010339.456072237</v>
      </c>
      <c r="J438" s="403">
        <f t="shared" ca="1" si="132"/>
        <v>10969560.145680023</v>
      </c>
      <c r="K438" s="403">
        <f t="shared" ca="1" si="132"/>
        <v>12056308.902416434</v>
      </c>
      <c r="L438" s="403">
        <f t="shared" ca="1" si="132"/>
        <v>13288180.167461026</v>
      </c>
    </row>
    <row r="439" spans="1:12">
      <c r="A439" s="408"/>
      <c r="B439" s="405"/>
      <c r="C439" s="403"/>
      <c r="D439" s="403"/>
      <c r="E439" s="403"/>
      <c r="F439" s="403"/>
      <c r="G439" s="403"/>
      <c r="H439" s="403"/>
      <c r="I439" s="403"/>
      <c r="J439" s="403"/>
      <c r="K439" s="403"/>
      <c r="L439" s="403"/>
    </row>
    <row r="440" spans="1:12" ht="15.5">
      <c r="A440" s="409" t="s">
        <v>372</v>
      </c>
      <c r="B440" s="405"/>
      <c r="C440" s="403">
        <f>C397-C438</f>
        <v>0</v>
      </c>
      <c r="D440" s="403">
        <f t="shared" ref="D440:L440" si="133">D397-D438</f>
        <v>0</v>
      </c>
      <c r="E440" s="403">
        <f t="shared" ca="1" si="133"/>
        <v>0</v>
      </c>
      <c r="F440" s="403">
        <f t="shared" ca="1" si="133"/>
        <v>9671800</v>
      </c>
      <c r="G440" s="403">
        <f t="shared" ca="1" si="133"/>
        <v>12709103.97189993</v>
      </c>
      <c r="H440" s="403">
        <f t="shared" ca="1" si="133"/>
        <v>15051664.63162729</v>
      </c>
      <c r="I440" s="403">
        <f t="shared" ca="1" si="133"/>
        <v>16503130.530492578</v>
      </c>
      <c r="J440" s="403">
        <f t="shared" ca="1" si="133"/>
        <v>18137152.325311922</v>
      </c>
      <c r="K440" s="403">
        <f t="shared" ca="1" si="133"/>
        <v>19987922.761623103</v>
      </c>
      <c r="L440" s="403">
        <f t="shared" ca="1" si="133"/>
        <v>22086310.629560646</v>
      </c>
    </row>
    <row r="441" spans="1:12">
      <c r="A441" s="408"/>
      <c r="B441" s="405"/>
      <c r="C441" s="403"/>
      <c r="D441" s="403"/>
      <c r="E441" s="403"/>
      <c r="F441" s="403"/>
      <c r="G441" s="403"/>
      <c r="H441" s="403"/>
      <c r="I441" s="403"/>
      <c r="J441" s="403"/>
      <c r="K441" s="403"/>
      <c r="L441" s="403"/>
    </row>
    <row r="442" spans="1:12">
      <c r="A442" s="408" t="s">
        <v>159</v>
      </c>
      <c r="B442" s="405"/>
      <c r="C442" s="403">
        <v>0</v>
      </c>
      <c r="D442" s="403">
        <v>0</v>
      </c>
      <c r="E442" s="403">
        <v>0</v>
      </c>
      <c r="F442" s="403">
        <v>0</v>
      </c>
      <c r="G442" s="403">
        <v>0</v>
      </c>
      <c r="H442" s="403">
        <v>0</v>
      </c>
      <c r="I442" s="403">
        <v>0</v>
      </c>
      <c r="J442" s="403">
        <v>0</v>
      </c>
      <c r="K442" s="403">
        <v>0</v>
      </c>
      <c r="L442" s="403">
        <v>0</v>
      </c>
    </row>
    <row r="443" spans="1:12">
      <c r="A443" s="408" t="s">
        <v>160</v>
      </c>
      <c r="B443" s="405"/>
      <c r="C443" s="403">
        <v>0</v>
      </c>
      <c r="D443" s="403">
        <v>0</v>
      </c>
      <c r="E443" s="403">
        <v>0</v>
      </c>
      <c r="F443" s="403">
        <v>0</v>
      </c>
      <c r="G443" s="403">
        <v>0</v>
      </c>
      <c r="H443" s="403">
        <v>0</v>
      </c>
      <c r="I443" s="403">
        <v>0</v>
      </c>
      <c r="J443" s="403">
        <v>0</v>
      </c>
      <c r="K443" s="403">
        <v>0</v>
      </c>
      <c r="L443" s="403">
        <v>0</v>
      </c>
    </row>
    <row r="444" spans="1:12">
      <c r="A444" s="408"/>
      <c r="B444" s="405"/>
      <c r="C444" s="403"/>
      <c r="D444" s="403"/>
      <c r="E444" s="403"/>
      <c r="F444" s="403"/>
      <c r="G444" s="403"/>
      <c r="H444" s="403"/>
      <c r="I444" s="403"/>
      <c r="J444" s="403"/>
      <c r="K444" s="403"/>
      <c r="L444" s="403"/>
    </row>
    <row r="445" spans="1:12" ht="15.5">
      <c r="A445" s="409" t="s">
        <v>373</v>
      </c>
      <c r="B445" s="405"/>
      <c r="C445" s="403">
        <f>C440-C442-C443</f>
        <v>0</v>
      </c>
      <c r="D445" s="403">
        <f t="shared" ref="D445:L445" si="134">D440-D442-D443</f>
        <v>0</v>
      </c>
      <c r="E445" s="403">
        <f t="shared" ca="1" si="134"/>
        <v>0</v>
      </c>
      <c r="F445" s="403">
        <f t="shared" ca="1" si="134"/>
        <v>9671800</v>
      </c>
      <c r="G445" s="403">
        <f t="shared" ca="1" si="134"/>
        <v>12709103.97189993</v>
      </c>
      <c r="H445" s="403">
        <f t="shared" ca="1" si="134"/>
        <v>15051664.63162729</v>
      </c>
      <c r="I445" s="403">
        <f t="shared" ca="1" si="134"/>
        <v>16503130.530492578</v>
      </c>
      <c r="J445" s="403">
        <f t="shared" ca="1" si="134"/>
        <v>18137152.325311922</v>
      </c>
      <c r="K445" s="403">
        <f t="shared" ca="1" si="134"/>
        <v>19987922.761623103</v>
      </c>
      <c r="L445" s="403">
        <f t="shared" ca="1" si="134"/>
        <v>22086310.629560646</v>
      </c>
    </row>
    <row r="446" spans="1:12">
      <c r="A446" s="408"/>
      <c r="B446" s="405"/>
      <c r="C446" s="403"/>
      <c r="D446" s="403"/>
      <c r="E446" s="403"/>
      <c r="F446" s="403"/>
      <c r="G446" s="403"/>
      <c r="H446" s="403"/>
      <c r="I446" s="403"/>
      <c r="J446" s="403"/>
      <c r="K446" s="403"/>
      <c r="L446" s="403"/>
    </row>
    <row r="447" spans="1:12">
      <c r="A447" s="408" t="s">
        <v>162</v>
      </c>
      <c r="B447" s="405"/>
      <c r="C447" s="403">
        <v>0</v>
      </c>
      <c r="D447" s="403">
        <v>0</v>
      </c>
      <c r="E447" s="403">
        <v>0</v>
      </c>
      <c r="F447" s="403">
        <v>0</v>
      </c>
      <c r="G447" s="403">
        <v>0</v>
      </c>
      <c r="H447" s="403">
        <v>0</v>
      </c>
      <c r="I447" s="403">
        <v>0</v>
      </c>
      <c r="J447" s="403">
        <v>0</v>
      </c>
      <c r="K447" s="403">
        <v>0</v>
      </c>
      <c r="L447" s="403">
        <v>0</v>
      </c>
    </row>
    <row r="448" spans="1:12">
      <c r="A448" s="408"/>
      <c r="B448" s="405"/>
      <c r="C448" s="403"/>
      <c r="D448" s="403"/>
      <c r="E448" s="403"/>
      <c r="F448" s="403"/>
      <c r="G448" s="403"/>
      <c r="H448" s="403"/>
      <c r="I448" s="403"/>
      <c r="J448" s="403"/>
      <c r="K448" s="403"/>
      <c r="L448" s="403"/>
    </row>
    <row r="449" spans="1:12" ht="15.5">
      <c r="A449" s="409" t="s">
        <v>374</v>
      </c>
      <c r="B449" s="405"/>
      <c r="C449" s="403">
        <f>C445-C447</f>
        <v>0</v>
      </c>
      <c r="D449" s="403">
        <f t="shared" ref="D449:L449" si="135">D445-D447</f>
        <v>0</v>
      </c>
      <c r="E449" s="403">
        <f t="shared" ca="1" si="135"/>
        <v>0</v>
      </c>
      <c r="F449" s="403">
        <f t="shared" ca="1" si="135"/>
        <v>9671800</v>
      </c>
      <c r="G449" s="403">
        <f t="shared" ca="1" si="135"/>
        <v>12709103.97189993</v>
      </c>
      <c r="H449" s="403">
        <f t="shared" ca="1" si="135"/>
        <v>15051664.63162729</v>
      </c>
      <c r="I449" s="403">
        <f t="shared" ca="1" si="135"/>
        <v>16503130.530492578</v>
      </c>
      <c r="J449" s="403">
        <f t="shared" ca="1" si="135"/>
        <v>18137152.325311922</v>
      </c>
      <c r="K449" s="403">
        <f t="shared" ca="1" si="135"/>
        <v>19987922.761623103</v>
      </c>
      <c r="L449" s="403">
        <f t="shared" ca="1" si="135"/>
        <v>22086310.629560646</v>
      </c>
    </row>
    <row r="450" spans="1:12">
      <c r="A450" s="408"/>
      <c r="B450" s="405"/>
      <c r="C450" s="403"/>
      <c r="D450" s="403"/>
      <c r="E450" s="403"/>
      <c r="F450" s="403"/>
      <c r="G450" s="403"/>
      <c r="H450" s="403"/>
      <c r="I450" s="403"/>
      <c r="J450" s="403"/>
      <c r="K450" s="403"/>
      <c r="L450" s="403"/>
    </row>
    <row r="451" spans="1:12">
      <c r="A451" s="408" t="s">
        <v>164</v>
      </c>
      <c r="B451" s="405"/>
      <c r="C451" s="403">
        <f>C449*Assumptions!$Y$17</f>
        <v>0</v>
      </c>
      <c r="D451" s="403">
        <f>D449*Assumptions!$Y$17</f>
        <v>0</v>
      </c>
      <c r="E451" s="403">
        <f ca="1">E449*Assumptions!$Y$17</f>
        <v>0</v>
      </c>
      <c r="F451" s="403">
        <f ca="1">F449*Assumptions!$Y$17</f>
        <v>3191694</v>
      </c>
      <c r="G451" s="403">
        <f ca="1">G449*Assumptions!$Y$17</f>
        <v>4194004.3107269774</v>
      </c>
      <c r="H451" s="403">
        <f ca="1">H449*Assumptions!$Y$17</f>
        <v>4967049.3284370061</v>
      </c>
      <c r="I451" s="403">
        <f ca="1">I449*Assumptions!$Y$17</f>
        <v>5446033.0750625506</v>
      </c>
      <c r="J451" s="403">
        <f ca="1">J449*Assumptions!$Y$17</f>
        <v>5985260.267352934</v>
      </c>
      <c r="K451" s="403">
        <f ca="1">K449*Assumptions!$Y$17</f>
        <v>6596014.5113356244</v>
      </c>
      <c r="L451" s="403">
        <f ca="1">L449*Assumptions!$Y$17</f>
        <v>7288482.5077550132</v>
      </c>
    </row>
    <row r="452" spans="1:12">
      <c r="A452" s="408"/>
      <c r="B452" s="405"/>
      <c r="C452" s="403"/>
      <c r="D452" s="403"/>
      <c r="E452" s="403"/>
      <c r="F452" s="403"/>
      <c r="G452" s="403"/>
      <c r="H452" s="403"/>
      <c r="I452" s="403"/>
      <c r="J452" s="403"/>
      <c r="K452" s="403"/>
      <c r="L452" s="403"/>
    </row>
    <row r="453" spans="1:12" ht="15.5">
      <c r="A453" s="409" t="s">
        <v>97</v>
      </c>
      <c r="B453" s="405"/>
      <c r="C453" s="403">
        <f>C449-C451</f>
        <v>0</v>
      </c>
      <c r="D453" s="403">
        <f t="shared" ref="D453:L453" si="136">D449-D451</f>
        <v>0</v>
      </c>
      <c r="E453" s="403">
        <f t="shared" ca="1" si="136"/>
        <v>0</v>
      </c>
      <c r="F453" s="403">
        <f t="shared" ca="1" si="136"/>
        <v>6480106</v>
      </c>
      <c r="G453" s="403">
        <f t="shared" ca="1" si="136"/>
        <v>8515099.6611729525</v>
      </c>
      <c r="H453" s="403">
        <f t="shared" ca="1" si="136"/>
        <v>10084615.303190283</v>
      </c>
      <c r="I453" s="403">
        <f t="shared" ca="1" si="136"/>
        <v>11057097.455430027</v>
      </c>
      <c r="J453" s="403">
        <f t="shared" ca="1" si="136"/>
        <v>12151892.057958987</v>
      </c>
      <c r="K453" s="403">
        <f t="shared" ca="1" si="136"/>
        <v>13391908.250287479</v>
      </c>
      <c r="L453" s="403">
        <f t="shared" ca="1" si="136"/>
        <v>14797828.121805632</v>
      </c>
    </row>
    <row r="454" spans="1:12">
      <c r="A454" s="408"/>
      <c r="B454" s="405"/>
      <c r="C454" s="403"/>
      <c r="D454" s="403"/>
      <c r="E454" s="403"/>
      <c r="F454" s="403"/>
      <c r="G454" s="403"/>
      <c r="H454" s="403"/>
      <c r="I454" s="403"/>
      <c r="J454" s="403"/>
      <c r="K454" s="403"/>
      <c r="L454" s="403"/>
    </row>
    <row r="455" spans="1:12" ht="16" thickBot="1">
      <c r="A455" s="412" t="s">
        <v>165</v>
      </c>
      <c r="B455" s="406"/>
      <c r="C455" s="407">
        <f>C453</f>
        <v>0</v>
      </c>
      <c r="D455" s="407">
        <f t="shared" ref="D455:L455" si="137">C455+D453</f>
        <v>0</v>
      </c>
      <c r="E455" s="407">
        <f t="shared" ca="1" si="137"/>
        <v>0</v>
      </c>
      <c r="F455" s="407">
        <f t="shared" ca="1" si="137"/>
        <v>6480106</v>
      </c>
      <c r="G455" s="407">
        <f t="shared" ca="1" si="137"/>
        <v>14995205.661172953</v>
      </c>
      <c r="H455" s="407">
        <f t="shared" ca="1" si="137"/>
        <v>25079820.964363236</v>
      </c>
      <c r="I455" s="407">
        <f t="shared" ca="1" si="137"/>
        <v>36136918.419793263</v>
      </c>
      <c r="J455" s="407">
        <f t="shared" ca="1" si="137"/>
        <v>48288810.477752253</v>
      </c>
      <c r="K455" s="407">
        <f t="shared" ca="1" si="137"/>
        <v>61680718.728039734</v>
      </c>
      <c r="L455" s="407">
        <f t="shared" ca="1" si="137"/>
        <v>76478546.849845365</v>
      </c>
    </row>
    <row r="456" spans="1:12" ht="15" thickTop="1">
      <c r="B456" s="419"/>
      <c r="C456" s="420"/>
      <c r="D456" s="420"/>
      <c r="E456" s="420"/>
      <c r="F456" s="420"/>
      <c r="G456" s="420"/>
      <c r="H456" s="420"/>
      <c r="I456" s="420"/>
      <c r="J456" s="420"/>
      <c r="K456" s="420"/>
      <c r="L456" s="420"/>
    </row>
    <row r="457" spans="1:12" ht="15.5">
      <c r="A457" s="413" t="s">
        <v>351</v>
      </c>
      <c r="B457" s="405"/>
      <c r="C457" s="135"/>
      <c r="D457" s="135"/>
      <c r="E457" s="135"/>
      <c r="F457" s="135"/>
      <c r="G457" s="135"/>
      <c r="H457" s="135"/>
      <c r="I457" s="135"/>
      <c r="J457" s="135"/>
      <c r="K457" s="135"/>
      <c r="L457" s="136"/>
    </row>
    <row r="458" spans="1:12" ht="15.5">
      <c r="A458" s="414" t="s">
        <v>355</v>
      </c>
      <c r="B458" s="405"/>
      <c r="C458" s="48"/>
      <c r="D458" s="48"/>
      <c r="E458" s="48"/>
      <c r="F458" s="48"/>
      <c r="G458" s="48"/>
      <c r="H458" s="48"/>
      <c r="I458" s="48"/>
      <c r="J458" s="48"/>
      <c r="K458" s="48"/>
      <c r="L458" s="48"/>
    </row>
    <row r="459" spans="1:12">
      <c r="A459" s="415" t="s">
        <v>289</v>
      </c>
      <c r="B459" s="405"/>
      <c r="C459" s="133">
        <f>Revenue!AQ38</f>
        <v>0</v>
      </c>
      <c r="D459" s="133">
        <f>Revenue!AR38</f>
        <v>0</v>
      </c>
      <c r="E459" s="133">
        <f>Revenue!AS38</f>
        <v>0</v>
      </c>
      <c r="F459" s="133">
        <f>Revenue!AT38</f>
        <v>1540</v>
      </c>
      <c r="G459" s="133">
        <f ca="1">Revenue!AU38</f>
        <v>1602.0536940322927</v>
      </c>
      <c r="H459" s="133">
        <f ca="1">Revenue!AV38</f>
        <v>1670.8949690251466</v>
      </c>
      <c r="I459" s="133">
        <f ca="1">Revenue!AW38</f>
        <v>1748.6038576110188</v>
      </c>
      <c r="J459" s="133">
        <f ca="1">Revenue!AX38</f>
        <v>1836.7465442342234</v>
      </c>
      <c r="K459" s="133">
        <f ca="1">Revenue!AY38</f>
        <v>1935.3658570083983</v>
      </c>
      <c r="L459" s="133">
        <f ca="1">Revenue!AZ38</f>
        <v>2044.6520118030369</v>
      </c>
    </row>
    <row r="460" spans="1:12">
      <c r="A460" s="415" t="s">
        <v>60</v>
      </c>
      <c r="B460" s="405"/>
      <c r="C460" s="403">
        <f>Revenue!AC38</f>
        <v>0</v>
      </c>
      <c r="D460" s="403">
        <f>Revenue!AD38</f>
        <v>0</v>
      </c>
      <c r="E460" s="403">
        <f>Revenue!AE38</f>
        <v>0</v>
      </c>
      <c r="F460" s="403">
        <f>Revenue!AF38</f>
        <v>5000</v>
      </c>
      <c r="G460" s="403">
        <f>Revenue!AG38</f>
        <v>5160</v>
      </c>
      <c r="H460" s="403">
        <f>Revenue!AH38</f>
        <v>5325.12</v>
      </c>
      <c r="I460" s="403">
        <f>Revenue!AI38</f>
        <v>5495.5238399999998</v>
      </c>
      <c r="J460" s="403">
        <f>Revenue!AJ38</f>
        <v>5671.38060288</v>
      </c>
      <c r="K460" s="403">
        <f>Revenue!AK38</f>
        <v>5852.8647821721597</v>
      </c>
      <c r="L460" s="403">
        <f>Revenue!AL38</f>
        <v>6040.1564552016689</v>
      </c>
    </row>
    <row r="461" spans="1:12">
      <c r="A461" s="415" t="s">
        <v>366</v>
      </c>
      <c r="B461" s="405"/>
      <c r="C461" s="403">
        <f t="shared" ref="C461:L461" si="138">C459*C460</f>
        <v>0</v>
      </c>
      <c r="D461" s="403">
        <f t="shared" si="138"/>
        <v>0</v>
      </c>
      <c r="E461" s="403">
        <f t="shared" si="138"/>
        <v>0</v>
      </c>
      <c r="F461" s="403">
        <f t="shared" si="138"/>
        <v>7700000</v>
      </c>
      <c r="G461" s="403">
        <f t="shared" ca="1" si="138"/>
        <v>8266597.0612066304</v>
      </c>
      <c r="H461" s="403">
        <f t="shared" ca="1" si="138"/>
        <v>8897716.2174551878</v>
      </c>
      <c r="I461" s="403">
        <f t="shared" ca="1" si="138"/>
        <v>9609494.1862173192</v>
      </c>
      <c r="J461" s="403">
        <f t="shared" ca="1" si="138"/>
        <v>10416888.723376846</v>
      </c>
      <c r="K461" s="403">
        <f t="shared" ca="1" si="138"/>
        <v>11327434.665102893</v>
      </c>
      <c r="L461" s="403">
        <f t="shared" ca="1" si="138"/>
        <v>12350018.047733191</v>
      </c>
    </row>
    <row r="462" spans="1:12" ht="15.5">
      <c r="A462" s="416" t="s">
        <v>356</v>
      </c>
      <c r="B462" s="405"/>
      <c r="C462" s="48"/>
      <c r="D462" s="48"/>
      <c r="E462" s="48"/>
      <c r="F462" s="48"/>
      <c r="G462" s="48"/>
      <c r="H462" s="48"/>
      <c r="I462" s="48"/>
      <c r="J462" s="48"/>
      <c r="K462" s="48"/>
      <c r="L462" s="48"/>
    </row>
    <row r="463" spans="1:12">
      <c r="A463" s="417" t="s">
        <v>358</v>
      </c>
      <c r="B463" s="405"/>
      <c r="C463" s="133">
        <f>Revenue!AQ39</f>
        <v>0</v>
      </c>
      <c r="D463" s="133">
        <f>Revenue!AR39</f>
        <v>0</v>
      </c>
      <c r="E463" s="133">
        <f>Revenue!AS39</f>
        <v>0</v>
      </c>
      <c r="F463" s="133">
        <f>Revenue!AT39</f>
        <v>1000</v>
      </c>
      <c r="G463" s="133">
        <f ca="1">Revenue!AU39</f>
        <v>1061.6593547885529</v>
      </c>
      <c r="H463" s="133">
        <f ca="1">Revenue!AV39</f>
        <v>1131.3519651648257</v>
      </c>
      <c r="I463" s="133">
        <f ca="1">Revenue!AW39</f>
        <v>1209.3586595555871</v>
      </c>
      <c r="J463" s="133">
        <f ca="1">Revenue!AX39</f>
        <v>1296.4666349846718</v>
      </c>
      <c r="K463" s="133">
        <f ca="1">Revenue!AY39</f>
        <v>1394.3736375401586</v>
      </c>
      <c r="L463" s="133">
        <f ca="1">Revenue!AZ39</f>
        <v>1505.1874206863092</v>
      </c>
    </row>
    <row r="464" spans="1:12">
      <c r="A464" s="417" t="s">
        <v>359</v>
      </c>
      <c r="B464" s="405"/>
      <c r="C464" s="403">
        <f>Revenue!AC39</f>
        <v>0</v>
      </c>
      <c r="D464" s="403">
        <f>Revenue!AD39</f>
        <v>0</v>
      </c>
      <c r="E464" s="403">
        <f>Revenue!AE39</f>
        <v>0</v>
      </c>
      <c r="F464" s="403">
        <f>Revenue!AF39</f>
        <v>7000</v>
      </c>
      <c r="G464" s="403">
        <f>Revenue!AG39</f>
        <v>7224</v>
      </c>
      <c r="H464" s="403">
        <f>Revenue!AH39</f>
        <v>7455.1680000000006</v>
      </c>
      <c r="I464" s="403">
        <f>Revenue!AI39</f>
        <v>7693.733376000001</v>
      </c>
      <c r="J464" s="403">
        <f>Revenue!AJ39</f>
        <v>7939.9328440320014</v>
      </c>
      <c r="K464" s="403">
        <f>Revenue!AK39</f>
        <v>8194.0106950410263</v>
      </c>
      <c r="L464" s="403">
        <f>Revenue!AL39</f>
        <v>8456.2190372823388</v>
      </c>
    </row>
    <row r="465" spans="1:12">
      <c r="A465" s="418" t="s">
        <v>366</v>
      </c>
      <c r="B465" s="405"/>
      <c r="C465" s="403">
        <f t="shared" ref="C465:L465" si="139">C463*C464</f>
        <v>0</v>
      </c>
      <c r="D465" s="403">
        <f t="shared" si="139"/>
        <v>0</v>
      </c>
      <c r="E465" s="403">
        <f t="shared" si="139"/>
        <v>0</v>
      </c>
      <c r="F465" s="403">
        <f t="shared" si="139"/>
        <v>7000000</v>
      </c>
      <c r="G465" s="403">
        <f t="shared" ca="1" si="139"/>
        <v>7669427.1789925061</v>
      </c>
      <c r="H465" s="403">
        <f t="shared" ca="1" si="139"/>
        <v>8434418.9674339239</v>
      </c>
      <c r="I465" s="403">
        <f t="shared" ca="1" si="139"/>
        <v>9304483.0825774428</v>
      </c>
      <c r="J465" s="403">
        <f t="shared" ca="1" si="139"/>
        <v>10293858.016306443</v>
      </c>
      <c r="K465" s="403">
        <f t="shared" ca="1" si="139"/>
        <v>11425512.498887319</v>
      </c>
      <c r="L465" s="403">
        <f t="shared" ca="1" si="139"/>
        <v>12728194.521485468</v>
      </c>
    </row>
    <row r="466" spans="1:12" ht="15.5">
      <c r="A466" s="416" t="s">
        <v>357</v>
      </c>
      <c r="B466" s="405"/>
      <c r="C466" s="48"/>
      <c r="D466" s="48"/>
      <c r="E466" s="48"/>
      <c r="F466" s="48"/>
      <c r="G466" s="48"/>
      <c r="H466" s="48"/>
      <c r="I466" s="48"/>
      <c r="J466" s="48"/>
      <c r="K466" s="48"/>
      <c r="L466" s="48"/>
    </row>
    <row r="467" spans="1:12">
      <c r="A467" s="417" t="s">
        <v>358</v>
      </c>
      <c r="B467" s="405"/>
      <c r="C467" s="133">
        <f>Revenue!AQ40</f>
        <v>0</v>
      </c>
      <c r="D467" s="133">
        <f>Revenue!AR40</f>
        <v>0</v>
      </c>
      <c r="E467" s="133">
        <f>Revenue!AS40</f>
        <v>0</v>
      </c>
      <c r="F467" s="133">
        <f>Revenue!AT40</f>
        <v>1270</v>
      </c>
      <c r="G467" s="133">
        <f ca="1">Revenue!AU40</f>
        <v>1320.7384604235151</v>
      </c>
      <c r="H467" s="133">
        <f ca="1">Revenue!AV40</f>
        <v>1377.192675398976</v>
      </c>
      <c r="I467" s="133">
        <f ca="1">Revenue!AW40</f>
        <v>1441.4778825802866</v>
      </c>
      <c r="J467" s="133">
        <f ca="1">Revenue!AX40</f>
        <v>1514.3148047358886</v>
      </c>
      <c r="K467" s="133">
        <f ca="1">Revenue!AY40</f>
        <v>1596.8526904993116</v>
      </c>
      <c r="L467" s="133">
        <f ca="1">Revenue!AZ40</f>
        <v>1690.2570595858208</v>
      </c>
    </row>
    <row r="468" spans="1:12">
      <c r="A468" s="417" t="s">
        <v>359</v>
      </c>
      <c r="B468" s="405"/>
      <c r="C468" s="403">
        <f>Revenue!AC40</f>
        <v>0</v>
      </c>
      <c r="D468" s="403">
        <f>Revenue!AD40</f>
        <v>0</v>
      </c>
      <c r="E468" s="403">
        <f>Revenue!AE40</f>
        <v>0</v>
      </c>
      <c r="F468" s="403">
        <f>Revenue!AF40</f>
        <v>5000</v>
      </c>
      <c r="G468" s="403">
        <f>Revenue!AG40</f>
        <v>5160</v>
      </c>
      <c r="H468" s="403">
        <f>Revenue!AH40</f>
        <v>5325.12</v>
      </c>
      <c r="I468" s="403">
        <f>Revenue!AI40</f>
        <v>5495.5238399999998</v>
      </c>
      <c r="J468" s="403">
        <f>Revenue!AJ40</f>
        <v>5671.38060288</v>
      </c>
      <c r="K468" s="403">
        <f>Revenue!AK40</f>
        <v>5852.8647821721597</v>
      </c>
      <c r="L468" s="403">
        <f>Revenue!AL40</f>
        <v>6040.1564552016689</v>
      </c>
    </row>
    <row r="469" spans="1:12">
      <c r="A469" s="418" t="s">
        <v>366</v>
      </c>
      <c r="B469" s="405"/>
      <c r="C469" s="403">
        <f t="shared" ref="C469:L469" si="140">C467*C468</f>
        <v>0</v>
      </c>
      <c r="D469" s="403">
        <f t="shared" si="140"/>
        <v>0</v>
      </c>
      <c r="E469" s="403">
        <f t="shared" si="140"/>
        <v>0</v>
      </c>
      <c r="F469" s="403">
        <f t="shared" si="140"/>
        <v>6350000</v>
      </c>
      <c r="G469" s="403">
        <f t="shared" ca="1" si="140"/>
        <v>6815010.4557853378</v>
      </c>
      <c r="H469" s="403">
        <f t="shared" ca="1" si="140"/>
        <v>7333716.2596205948</v>
      </c>
      <c r="I469" s="403">
        <f t="shared" ca="1" si="140"/>
        <v>7921676.0685526859</v>
      </c>
      <c r="J469" s="403">
        <f t="shared" ca="1" si="140"/>
        <v>8588255.6102331337</v>
      </c>
      <c r="K469" s="403">
        <f t="shared" ca="1" si="140"/>
        <v>9346162.8745402806</v>
      </c>
      <c r="L469" s="403">
        <f t="shared" ca="1" si="140"/>
        <v>10209417.089407487</v>
      </c>
    </row>
    <row r="470" spans="1:12" ht="15.5">
      <c r="A470" s="416" t="s">
        <v>360</v>
      </c>
      <c r="B470" s="405"/>
      <c r="C470" s="48"/>
      <c r="D470" s="48"/>
      <c r="E470" s="48"/>
      <c r="F470" s="48"/>
      <c r="G470" s="48"/>
      <c r="H470" s="48"/>
      <c r="I470" s="48"/>
      <c r="J470" s="48"/>
      <c r="K470" s="48"/>
      <c r="L470" s="48"/>
    </row>
    <row r="471" spans="1:12">
      <c r="A471" s="417" t="s">
        <v>358</v>
      </c>
      <c r="B471" s="405"/>
      <c r="C471" s="133">
        <f>Revenue!AQ41</f>
        <v>0</v>
      </c>
      <c r="D471" s="133">
        <f>Revenue!AR41</f>
        <v>0</v>
      </c>
      <c r="E471" s="133">
        <f>Revenue!AS41</f>
        <v>0</v>
      </c>
      <c r="F471" s="133">
        <f>Revenue!AT41</f>
        <v>0</v>
      </c>
      <c r="G471" s="133">
        <f>Revenue!AU41</f>
        <v>635</v>
      </c>
      <c r="H471" s="133">
        <f ca="1">Revenue!AV41</f>
        <v>668.93156337245978</v>
      </c>
      <c r="I471" s="133">
        <f ca="1">Revenue!AW41</f>
        <v>707.32804161806746</v>
      </c>
      <c r="J471" s="133">
        <f ca="1">Revenue!AX41</f>
        <v>750.70570308293804</v>
      </c>
      <c r="K471" s="133">
        <f ca="1">Revenue!AY41</f>
        <v>798.70594997075182</v>
      </c>
      <c r="L471" s="133">
        <f ca="1">Revenue!AZ41</f>
        <v>852.73247978755649</v>
      </c>
    </row>
    <row r="472" spans="1:12">
      <c r="A472" s="417" t="s">
        <v>359</v>
      </c>
      <c r="B472" s="405"/>
      <c r="C472" s="403">
        <f>Revenue!AC41</f>
        <v>0</v>
      </c>
      <c r="D472" s="403">
        <f>Revenue!AD41</f>
        <v>0</v>
      </c>
      <c r="E472" s="403">
        <f>Revenue!AE41</f>
        <v>0</v>
      </c>
      <c r="F472" s="403">
        <f>Revenue!AF41</f>
        <v>0</v>
      </c>
      <c r="G472" s="403">
        <f>Revenue!AG41</f>
        <v>9500</v>
      </c>
      <c r="H472" s="403">
        <f>Revenue!AH41</f>
        <v>9804</v>
      </c>
      <c r="I472" s="403">
        <f>Revenue!AI41</f>
        <v>10117.728000000001</v>
      </c>
      <c r="J472" s="403">
        <f>Revenue!AJ41</f>
        <v>10441.495296000001</v>
      </c>
      <c r="K472" s="403">
        <f>Revenue!AK41</f>
        <v>10775.623145472002</v>
      </c>
      <c r="L472" s="403">
        <f>Revenue!AL41</f>
        <v>11120.443086127107</v>
      </c>
    </row>
    <row r="473" spans="1:12">
      <c r="A473" s="418" t="s">
        <v>366</v>
      </c>
      <c r="B473" s="405"/>
      <c r="C473" s="403">
        <f t="shared" ref="C473:L473" si="141">C471*C472</f>
        <v>0</v>
      </c>
      <c r="D473" s="403">
        <f t="shared" si="141"/>
        <v>0</v>
      </c>
      <c r="E473" s="403">
        <f t="shared" si="141"/>
        <v>0</v>
      </c>
      <c r="F473" s="403">
        <f t="shared" si="141"/>
        <v>0</v>
      </c>
      <c r="G473" s="403">
        <f t="shared" si="141"/>
        <v>6032500</v>
      </c>
      <c r="H473" s="403">
        <f t="shared" ca="1" si="141"/>
        <v>6558205.0473035956</v>
      </c>
      <c r="I473" s="403">
        <f t="shared" ca="1" si="141"/>
        <v>7156552.7318642875</v>
      </c>
      <c r="J473" s="403">
        <f t="shared" ca="1" si="141"/>
        <v>7838490.067420871</v>
      </c>
      <c r="K473" s="403">
        <f t="shared" ca="1" si="141"/>
        <v>8606554.320931036</v>
      </c>
      <c r="L473" s="403">
        <f t="shared" ca="1" si="141"/>
        <v>9482763.0091695543</v>
      </c>
    </row>
    <row r="474" spans="1:12" ht="15.5">
      <c r="A474" s="416" t="s">
        <v>362</v>
      </c>
      <c r="B474" s="405"/>
      <c r="C474" s="48"/>
      <c r="D474" s="48"/>
      <c r="E474" s="48"/>
      <c r="F474" s="48"/>
      <c r="G474" s="48"/>
      <c r="H474" s="48"/>
      <c r="I474" s="48"/>
      <c r="J474" s="48"/>
      <c r="K474" s="48"/>
      <c r="L474" s="48"/>
    </row>
    <row r="475" spans="1:12">
      <c r="A475" s="417" t="s">
        <v>358</v>
      </c>
      <c r="B475" s="405"/>
      <c r="C475" s="133">
        <f>Revenue!AQ42</f>
        <v>0</v>
      </c>
      <c r="D475" s="133">
        <f>Revenue!AR42</f>
        <v>0</v>
      </c>
      <c r="E475" s="133">
        <f>Revenue!AS42</f>
        <v>0</v>
      </c>
      <c r="F475" s="133">
        <f>Revenue!AT42</f>
        <v>0</v>
      </c>
      <c r="G475" s="133">
        <f>Revenue!AU42</f>
        <v>0</v>
      </c>
      <c r="H475" s="133">
        <f>Revenue!AV42</f>
        <v>318</v>
      </c>
      <c r="I475" s="133">
        <f ca="1">Revenue!AW42</f>
        <v>346.18272359044704</v>
      </c>
      <c r="J475" s="133">
        <f ca="1">Revenue!AX42</f>
        <v>378.22906701554871</v>
      </c>
      <c r="K475" s="133">
        <f ca="1">Revenue!AY42</f>
        <v>414.41467492416581</v>
      </c>
      <c r="L475" s="133">
        <f ca="1">Revenue!AZ42</f>
        <v>455.55000936322881</v>
      </c>
    </row>
    <row r="476" spans="1:12">
      <c r="A476" s="417" t="s">
        <v>359</v>
      </c>
      <c r="B476" s="405"/>
      <c r="C476" s="403">
        <f>Revenue!AC42</f>
        <v>0</v>
      </c>
      <c r="D476" s="403">
        <f>Revenue!AD42</f>
        <v>0</v>
      </c>
      <c r="E476" s="403">
        <f>Revenue!AE42</f>
        <v>0</v>
      </c>
      <c r="F476" s="403">
        <f>Revenue!AF42</f>
        <v>0</v>
      </c>
      <c r="G476" s="403">
        <f>Revenue!AG42</f>
        <v>0</v>
      </c>
      <c r="H476" s="403">
        <f>Revenue!AH42</f>
        <v>10000</v>
      </c>
      <c r="I476" s="403">
        <f>Revenue!AI42</f>
        <v>10320</v>
      </c>
      <c r="J476" s="403">
        <f>Revenue!AJ42</f>
        <v>10650.24</v>
      </c>
      <c r="K476" s="403">
        <f>Revenue!AK42</f>
        <v>10991.04768</v>
      </c>
      <c r="L476" s="403">
        <f>Revenue!AL42</f>
        <v>11342.76120576</v>
      </c>
    </row>
    <row r="477" spans="1:12">
      <c r="A477" s="418" t="s">
        <v>366</v>
      </c>
      <c r="B477" s="405"/>
      <c r="C477" s="403">
        <f t="shared" ref="C477:L477" si="142">C475*C476</f>
        <v>0</v>
      </c>
      <c r="D477" s="403">
        <f t="shared" si="142"/>
        <v>0</v>
      </c>
      <c r="E477" s="403">
        <f t="shared" si="142"/>
        <v>0</v>
      </c>
      <c r="F477" s="403">
        <f t="shared" si="142"/>
        <v>0</v>
      </c>
      <c r="G477" s="403">
        <f t="shared" si="142"/>
        <v>0</v>
      </c>
      <c r="H477" s="403">
        <f t="shared" si="142"/>
        <v>3180000</v>
      </c>
      <c r="I477" s="403">
        <f t="shared" ca="1" si="142"/>
        <v>3572605.7074534134</v>
      </c>
      <c r="J477" s="403">
        <f t="shared" ca="1" si="142"/>
        <v>4028230.3386916774</v>
      </c>
      <c r="K477" s="403">
        <f t="shared" ca="1" si="142"/>
        <v>4554851.451383207</v>
      </c>
      <c r="L477" s="403">
        <f t="shared" ca="1" si="142"/>
        <v>5167194.9734888365</v>
      </c>
    </row>
    <row r="478" spans="1:12" ht="15.5">
      <c r="A478" s="416" t="s">
        <v>361</v>
      </c>
      <c r="B478" s="405"/>
      <c r="C478" s="48"/>
      <c r="D478" s="48"/>
      <c r="E478" s="48"/>
      <c r="F478" s="48"/>
      <c r="G478" s="48"/>
      <c r="H478" s="48"/>
      <c r="I478" s="48"/>
      <c r="J478" s="48"/>
      <c r="K478" s="48"/>
      <c r="L478" s="48"/>
    </row>
    <row r="479" spans="1:12">
      <c r="A479" s="417" t="s">
        <v>358</v>
      </c>
      <c r="B479" s="405"/>
      <c r="C479" s="133">
        <f>Revenue!AQ43</f>
        <v>0</v>
      </c>
      <c r="D479" s="133">
        <f>Revenue!AR43</f>
        <v>0</v>
      </c>
      <c r="E479" s="133">
        <f>Revenue!AS43</f>
        <v>0</v>
      </c>
      <c r="F479" s="133">
        <f>Revenue!AT43</f>
        <v>1900</v>
      </c>
      <c r="G479" s="133">
        <f ca="1">Revenue!AU43</f>
        <v>1921.2113167251491</v>
      </c>
      <c r="H479" s="133">
        <f ca="1">Revenue!AV43</f>
        <v>1949.1385823915318</v>
      </c>
      <c r="I479" s="133">
        <f ca="1">Revenue!AW43</f>
        <v>1982.7152118989688</v>
      </c>
      <c r="J479" s="133">
        <f ca="1">Revenue!AX43</f>
        <v>2023.2268356445422</v>
      </c>
      <c r="K479" s="133">
        <f ca="1">Revenue!AY43</f>
        <v>2069.7438716234619</v>
      </c>
      <c r="L479" s="133">
        <f ca="1">Revenue!AZ43</f>
        <v>2124.8654245882631</v>
      </c>
    </row>
    <row r="480" spans="1:12">
      <c r="A480" s="417" t="s">
        <v>359</v>
      </c>
      <c r="B480" s="405"/>
      <c r="C480" s="403">
        <f>Revenue!AC43</f>
        <v>0</v>
      </c>
      <c r="D480" s="403">
        <f>Revenue!AD43</f>
        <v>0</v>
      </c>
      <c r="E480" s="403">
        <f>Revenue!AE43</f>
        <v>0</v>
      </c>
      <c r="F480" s="403">
        <f>Revenue!AF43</f>
        <v>1900</v>
      </c>
      <c r="G480" s="403">
        <f>Revenue!AG43</f>
        <v>1960.8</v>
      </c>
      <c r="H480" s="403">
        <f>Revenue!AH43</f>
        <v>2023.5455999999999</v>
      </c>
      <c r="I480" s="403">
        <f>Revenue!AI43</f>
        <v>2088.2990592000001</v>
      </c>
      <c r="J480" s="403">
        <f>Revenue!AJ43</f>
        <v>2155.1246290944</v>
      </c>
      <c r="K480" s="403">
        <f>Revenue!AK43</f>
        <v>2224.0886172254209</v>
      </c>
      <c r="L480" s="403">
        <f>Revenue!AL43</f>
        <v>2295.2594529766343</v>
      </c>
    </row>
    <row r="481" spans="1:12">
      <c r="A481" s="418" t="s">
        <v>366</v>
      </c>
      <c r="B481" s="405"/>
      <c r="C481" s="403">
        <f t="shared" ref="C481:L481" si="143">C479*C480</f>
        <v>0</v>
      </c>
      <c r="D481" s="403">
        <f t="shared" si="143"/>
        <v>0</v>
      </c>
      <c r="E481" s="403">
        <f t="shared" si="143"/>
        <v>0</v>
      </c>
      <c r="F481" s="403">
        <f t="shared" si="143"/>
        <v>3610000</v>
      </c>
      <c r="G481" s="403">
        <f t="shared" ca="1" si="143"/>
        <v>3767111.1498346725</v>
      </c>
      <c r="H481" s="403">
        <f t="shared" ca="1" si="143"/>
        <v>3944170.8021886214</v>
      </c>
      <c r="I481" s="403">
        <f t="shared" ca="1" si="143"/>
        <v>4140502.3116701455</v>
      </c>
      <c r="J481" s="403">
        <f t="shared" ca="1" si="143"/>
        <v>4360305.9837422809</v>
      </c>
      <c r="K481" s="403">
        <f t="shared" ca="1" si="143"/>
        <v>4603293.7854498141</v>
      </c>
      <c r="L481" s="403">
        <f t="shared" ca="1" si="143"/>
        <v>4877117.4520894205</v>
      </c>
    </row>
    <row r="482" spans="1:12" ht="15.5">
      <c r="A482" s="416" t="s">
        <v>363</v>
      </c>
      <c r="B482" s="405"/>
      <c r="C482" s="48"/>
      <c r="D482" s="48"/>
      <c r="E482" s="48"/>
      <c r="F482" s="48"/>
      <c r="G482" s="48"/>
      <c r="H482" s="48"/>
      <c r="I482" s="48"/>
      <c r="J482" s="48"/>
      <c r="K482" s="48"/>
      <c r="L482" s="48"/>
    </row>
    <row r="483" spans="1:12">
      <c r="A483" s="417" t="s">
        <v>358</v>
      </c>
      <c r="B483" s="405"/>
      <c r="C483" s="133">
        <f>Revenue!AQ44</f>
        <v>0</v>
      </c>
      <c r="D483" s="133">
        <f>Revenue!AR44</f>
        <v>0</v>
      </c>
      <c r="E483" s="133">
        <f>Revenue!AS44</f>
        <v>0</v>
      </c>
      <c r="F483" s="133">
        <f>Revenue!AT44</f>
        <v>0</v>
      </c>
      <c r="G483" s="133">
        <f>Revenue!AU44</f>
        <v>400</v>
      </c>
      <c r="H483" s="133">
        <f ca="1">Revenue!AV44</f>
        <v>757.81451200568335</v>
      </c>
      <c r="I483" s="133">
        <f ca="1">Revenue!AW44</f>
        <v>1073.7673282320175</v>
      </c>
      <c r="J483" s="133">
        <f ca="1">Revenue!AX44</f>
        <v>1353.0882075227489</v>
      </c>
      <c r="K483" s="133">
        <f ca="1">Revenue!AY44</f>
        <v>1599.9142258202926</v>
      </c>
      <c r="L483" s="133">
        <f ca="1">Revenue!AZ44</f>
        <v>1818.5773446527423</v>
      </c>
    </row>
    <row r="484" spans="1:12">
      <c r="A484" s="417" t="s">
        <v>359</v>
      </c>
      <c r="B484" s="405"/>
      <c r="C484" s="403">
        <f>Revenue!AC44</f>
        <v>0</v>
      </c>
      <c r="D484" s="403">
        <f>Revenue!AD44</f>
        <v>0</v>
      </c>
      <c r="E484" s="403">
        <f>Revenue!AE44</f>
        <v>0</v>
      </c>
      <c r="F484" s="403">
        <f>Revenue!AF44</f>
        <v>0</v>
      </c>
      <c r="G484" s="403">
        <f>Revenue!AG44</f>
        <v>500</v>
      </c>
      <c r="H484" s="403">
        <f>Revenue!AH44</f>
        <v>500</v>
      </c>
      <c r="I484" s="403">
        <f>Revenue!AI44</f>
        <v>500</v>
      </c>
      <c r="J484" s="403">
        <f>Revenue!AJ44</f>
        <v>500</v>
      </c>
      <c r="K484" s="403">
        <f>Revenue!AK44</f>
        <v>500</v>
      </c>
      <c r="L484" s="403">
        <f>Revenue!AL44</f>
        <v>500</v>
      </c>
    </row>
    <row r="485" spans="1:12">
      <c r="A485" s="418" t="s">
        <v>366</v>
      </c>
      <c r="B485" s="405"/>
      <c r="C485" s="403">
        <f t="shared" ref="C485:L485" si="144">C483*C484</f>
        <v>0</v>
      </c>
      <c r="D485" s="403">
        <f t="shared" si="144"/>
        <v>0</v>
      </c>
      <c r="E485" s="403">
        <f t="shared" si="144"/>
        <v>0</v>
      </c>
      <c r="F485" s="403">
        <f t="shared" si="144"/>
        <v>0</v>
      </c>
      <c r="G485" s="403">
        <f t="shared" si="144"/>
        <v>200000</v>
      </c>
      <c r="H485" s="403">
        <f t="shared" ca="1" si="144"/>
        <v>378907.25600284169</v>
      </c>
      <c r="I485" s="403">
        <f t="shared" ca="1" si="144"/>
        <v>536883.66411600867</v>
      </c>
      <c r="J485" s="403">
        <f t="shared" ca="1" si="144"/>
        <v>676544.10376137448</v>
      </c>
      <c r="K485" s="403">
        <f t="shared" ca="1" si="144"/>
        <v>799957.11291014624</v>
      </c>
      <c r="L485" s="403">
        <f t="shared" ca="1" si="144"/>
        <v>909288.67232637119</v>
      </c>
    </row>
    <row r="486" spans="1:12" ht="15.5">
      <c r="A486" s="416" t="s">
        <v>364</v>
      </c>
      <c r="B486" s="405"/>
      <c r="C486" s="48"/>
      <c r="D486" s="48"/>
      <c r="E486" s="48"/>
      <c r="F486" s="48"/>
      <c r="G486" s="48"/>
      <c r="H486" s="48"/>
      <c r="I486" s="48"/>
      <c r="J486" s="48"/>
      <c r="K486" s="48"/>
      <c r="L486" s="48"/>
    </row>
    <row r="487" spans="1:12">
      <c r="A487" s="417" t="s">
        <v>358</v>
      </c>
      <c r="B487" s="405"/>
      <c r="C487" s="133">
        <f>Revenue!AQ45</f>
        <v>0</v>
      </c>
      <c r="D487" s="133">
        <f>Revenue!AR45</f>
        <v>0</v>
      </c>
      <c r="E487" s="133">
        <f>Revenue!AS45</f>
        <v>0</v>
      </c>
      <c r="F487" s="133">
        <f>Revenue!AT45</f>
        <v>0</v>
      </c>
      <c r="G487" s="133">
        <f>Revenue!AU45</f>
        <v>300</v>
      </c>
      <c r="H487" s="133">
        <f ca="1">Revenue!AV45</f>
        <v>303.98991345088172</v>
      </c>
      <c r="I487" s="133">
        <f ca="1">Revenue!AW45</f>
        <v>309.1984082580579</v>
      </c>
      <c r="J487" s="133">
        <f ca="1">Revenue!AX45</f>
        <v>315.36755160530817</v>
      </c>
      <c r="K487" s="133">
        <f ca="1">Revenue!AY45</f>
        <v>322.81356239935377</v>
      </c>
      <c r="L487" s="133">
        <f ca="1">Revenue!AZ45</f>
        <v>331.72319641987247</v>
      </c>
    </row>
    <row r="488" spans="1:12">
      <c r="A488" s="417" t="s">
        <v>359</v>
      </c>
      <c r="B488" s="405"/>
      <c r="C488" s="403">
        <f>Revenue!AC45</f>
        <v>0</v>
      </c>
      <c r="D488" s="403">
        <f>Revenue!AD45</f>
        <v>0</v>
      </c>
      <c r="E488" s="403">
        <f>Revenue!AE45</f>
        <v>0</v>
      </c>
      <c r="F488" s="403">
        <f>Revenue!AF45</f>
        <v>0</v>
      </c>
      <c r="G488" s="403">
        <f>Revenue!AG45</f>
        <v>500</v>
      </c>
      <c r="H488" s="403">
        <f>Revenue!AH45</f>
        <v>516</v>
      </c>
      <c r="I488" s="403">
        <f>Revenue!AI45</f>
        <v>532.51200000000006</v>
      </c>
      <c r="J488" s="403">
        <f>Revenue!AJ45</f>
        <v>549.55238400000007</v>
      </c>
      <c r="K488" s="403">
        <f>Revenue!AK45</f>
        <v>567.13806028800013</v>
      </c>
      <c r="L488" s="403">
        <f>Revenue!AL45</f>
        <v>585.2864782172162</v>
      </c>
    </row>
    <row r="489" spans="1:12">
      <c r="A489" s="418" t="s">
        <v>366</v>
      </c>
      <c r="B489" s="405"/>
      <c r="C489" s="403">
        <f t="shared" ref="C489:L489" si="145">C487*C488</f>
        <v>0</v>
      </c>
      <c r="D489" s="403">
        <f t="shared" si="145"/>
        <v>0</v>
      </c>
      <c r="E489" s="403">
        <f t="shared" si="145"/>
        <v>0</v>
      </c>
      <c r="F489" s="403">
        <f t="shared" si="145"/>
        <v>0</v>
      </c>
      <c r="G489" s="403">
        <f t="shared" si="145"/>
        <v>150000</v>
      </c>
      <c r="H489" s="403">
        <f t="shared" ca="1" si="145"/>
        <v>156858.79534065496</v>
      </c>
      <c r="I489" s="403">
        <f t="shared" ca="1" si="145"/>
        <v>164651.86277831494</v>
      </c>
      <c r="J489" s="403">
        <f t="shared" ca="1" si="145"/>
        <v>173310.98982094016</v>
      </c>
      <c r="K489" s="403">
        <f t="shared" ca="1" si="145"/>
        <v>183079.85761382879</v>
      </c>
      <c r="L489" s="403">
        <f t="shared" ca="1" si="145"/>
        <v>194153.10137554503</v>
      </c>
    </row>
    <row r="490" spans="1:12" ht="15.5">
      <c r="A490" s="416" t="s">
        <v>365</v>
      </c>
      <c r="B490" s="405"/>
      <c r="C490" s="48"/>
      <c r="D490" s="48"/>
      <c r="E490" s="48"/>
      <c r="F490" s="48"/>
      <c r="G490" s="48"/>
      <c r="H490" s="48"/>
      <c r="I490" s="48"/>
      <c r="J490" s="48"/>
      <c r="K490" s="48"/>
      <c r="L490" s="48"/>
    </row>
    <row r="491" spans="1:12">
      <c r="A491" s="417" t="s">
        <v>358</v>
      </c>
      <c r="B491" s="405"/>
      <c r="C491" s="133">
        <f>Revenue!AQ46</f>
        <v>0</v>
      </c>
      <c r="D491" s="133">
        <f>Revenue!AR46</f>
        <v>0</v>
      </c>
      <c r="E491" s="133">
        <f>Revenue!AS46</f>
        <v>0</v>
      </c>
      <c r="F491" s="133">
        <f>Revenue!AT46</f>
        <v>0</v>
      </c>
      <c r="G491" s="133">
        <f>Revenue!AU46</f>
        <v>1500</v>
      </c>
      <c r="H491" s="133">
        <f ca="1">Revenue!AV46</f>
        <v>1522.4006619055974</v>
      </c>
      <c r="I491" s="133">
        <f ca="1">Revenue!AW46</f>
        <v>1549.2206375847686</v>
      </c>
      <c r="J491" s="133">
        <f ca="1">Revenue!AX46</f>
        <v>1582.142801024313</v>
      </c>
      <c r="K491" s="133">
        <f ca="1">Revenue!AY46</f>
        <v>1620.7751214876741</v>
      </c>
      <c r="L491" s="133">
        <f ca="1">Revenue!AZ46</f>
        <v>1666.2652325200295</v>
      </c>
    </row>
    <row r="492" spans="1:12">
      <c r="A492" s="417" t="s">
        <v>359</v>
      </c>
      <c r="B492" s="405"/>
      <c r="C492" s="403">
        <f>Revenue!AC46</f>
        <v>0</v>
      </c>
      <c r="D492" s="403">
        <f>Revenue!AD46</f>
        <v>0</v>
      </c>
      <c r="E492" s="403">
        <f>Revenue!AE46</f>
        <v>0</v>
      </c>
      <c r="F492" s="403">
        <f>Revenue!AF46</f>
        <v>0</v>
      </c>
      <c r="G492" s="403">
        <f>Revenue!AG46</f>
        <v>300</v>
      </c>
      <c r="H492" s="403">
        <f>Revenue!AH46</f>
        <v>309.60000000000002</v>
      </c>
      <c r="I492" s="403">
        <f>Revenue!AI46</f>
        <v>319.50720000000001</v>
      </c>
      <c r="J492" s="403">
        <f>Revenue!AJ46</f>
        <v>329.73143040000002</v>
      </c>
      <c r="K492" s="403">
        <f>Revenue!AK46</f>
        <v>340.28283617280005</v>
      </c>
      <c r="L492" s="403">
        <f>Revenue!AL46</f>
        <v>351.17188693032966</v>
      </c>
    </row>
    <row r="493" spans="1:12">
      <c r="A493" s="417" t="s">
        <v>366</v>
      </c>
      <c r="B493" s="405"/>
      <c r="C493" s="403">
        <f t="shared" ref="C493:L493" si="146">C491*C492</f>
        <v>0</v>
      </c>
      <c r="D493" s="403">
        <f t="shared" si="146"/>
        <v>0</v>
      </c>
      <c r="E493" s="403">
        <f t="shared" si="146"/>
        <v>0</v>
      </c>
      <c r="F493" s="403">
        <f t="shared" si="146"/>
        <v>0</v>
      </c>
      <c r="G493" s="403">
        <f t="shared" si="146"/>
        <v>450000</v>
      </c>
      <c r="H493" s="403">
        <f t="shared" ca="1" si="146"/>
        <v>471335.24492597301</v>
      </c>
      <c r="I493" s="403">
        <f t="shared" ca="1" si="146"/>
        <v>494987.14809692418</v>
      </c>
      <c r="J493" s="403">
        <f t="shared" ca="1" si="146"/>
        <v>521682.20887880935</v>
      </c>
      <c r="K493" s="403">
        <f t="shared" ca="1" si="146"/>
        <v>551521.95513814036</v>
      </c>
      <c r="L493" s="403">
        <f t="shared" ca="1" si="146"/>
        <v>585145.50583046325</v>
      </c>
    </row>
    <row r="494" spans="1:12">
      <c r="A494" s="418"/>
      <c r="B494" s="405"/>
      <c r="C494" s="48"/>
      <c r="D494" s="48"/>
      <c r="E494" s="48"/>
      <c r="F494" s="48"/>
      <c r="G494" s="48"/>
      <c r="H494" s="48"/>
      <c r="I494" s="48"/>
      <c r="J494" s="48"/>
      <c r="K494" s="48"/>
      <c r="L494" s="138"/>
    </row>
    <row r="495" spans="1:12" ht="15.5">
      <c r="A495" s="409" t="s">
        <v>367</v>
      </c>
      <c r="B495" s="405"/>
      <c r="C495" s="403">
        <f>SUM(C493,C489,C485,C481,C477,C473,C469,C465,C461)</f>
        <v>0</v>
      </c>
      <c r="D495" s="403">
        <f t="shared" ref="D495:L495" si="147">SUM(D493,D489,D485,D481,D477,D473,D469,D465,D461)</f>
        <v>0</v>
      </c>
      <c r="E495" s="403">
        <f t="shared" si="147"/>
        <v>0</v>
      </c>
      <c r="F495" s="403">
        <f t="shared" si="147"/>
        <v>24660000</v>
      </c>
      <c r="G495" s="403">
        <f t="shared" ca="1" si="147"/>
        <v>33350645.845819149</v>
      </c>
      <c r="H495" s="403">
        <f t="shared" ca="1" si="147"/>
        <v>39355328.590271391</v>
      </c>
      <c r="I495" s="403">
        <f t="shared" ca="1" si="147"/>
        <v>42901836.763326541</v>
      </c>
      <c r="J495" s="403">
        <f t="shared" ca="1" si="147"/>
        <v>46897566.042232379</v>
      </c>
      <c r="K495" s="403">
        <f t="shared" ca="1" si="147"/>
        <v>51398368.52195666</v>
      </c>
      <c r="L495" s="403">
        <f t="shared" ca="1" si="147"/>
        <v>56503292.372906342</v>
      </c>
    </row>
    <row r="496" spans="1:12">
      <c r="A496" s="408"/>
      <c r="B496" s="405"/>
      <c r="C496" s="48"/>
      <c r="D496" s="48"/>
      <c r="E496" s="48"/>
      <c r="F496" s="48"/>
      <c r="G496" s="48"/>
      <c r="H496" s="48"/>
      <c r="I496" s="48"/>
      <c r="J496" s="48"/>
      <c r="K496" s="48"/>
      <c r="L496" s="48"/>
    </row>
    <row r="497" spans="1:12" ht="18.5">
      <c r="A497" s="411" t="s">
        <v>152</v>
      </c>
      <c r="B497" s="405"/>
      <c r="C497" s="48"/>
      <c r="D497" s="48"/>
      <c r="E497" s="48"/>
      <c r="F497" s="48"/>
      <c r="G497" s="48"/>
      <c r="H497" s="48"/>
      <c r="I497" s="48"/>
      <c r="J497" s="48"/>
      <c r="K497" s="48"/>
      <c r="L497" s="48"/>
    </row>
    <row r="498" spans="1:12" ht="15.5">
      <c r="A498" s="409" t="s">
        <v>296</v>
      </c>
      <c r="B498" s="405"/>
      <c r="C498" s="403">
        <f>Assumptions!$Q$45*(C461+C465)</f>
        <v>0</v>
      </c>
      <c r="D498" s="403">
        <f>Assumptions!$Q$45*(D461+D465)</f>
        <v>0</v>
      </c>
      <c r="E498" s="403">
        <f>Assumptions!$Q$45*(E461+E465)</f>
        <v>0</v>
      </c>
      <c r="F498" s="403">
        <f>Assumptions!$Q$45*(F461+F465)</f>
        <v>5145000</v>
      </c>
      <c r="G498" s="403">
        <f ca="1">Assumptions!$Q$45*(G461+G465)</f>
        <v>5577608.4840696976</v>
      </c>
      <c r="H498" s="403">
        <f ca="1">Assumptions!$Q$45*(H461+H465)</f>
        <v>6066247.3147111889</v>
      </c>
      <c r="I498" s="403">
        <f ca="1">Assumptions!$Q$45*(I461+I465)</f>
        <v>6619892.0440781657</v>
      </c>
      <c r="J498" s="403">
        <f ca="1">Assumptions!$Q$45*(J461+J465)</f>
        <v>7248761.3588891504</v>
      </c>
      <c r="K498" s="403">
        <f ca="1">Assumptions!$Q$45*(K461+K465)</f>
        <v>7963531.5073965741</v>
      </c>
      <c r="L498" s="403">
        <f ca="1">Assumptions!$Q$45*(L461+L465)</f>
        <v>8777374.3992265295</v>
      </c>
    </row>
    <row r="499" spans="1:12" ht="15.5">
      <c r="A499" s="409" t="s">
        <v>297</v>
      </c>
      <c r="B499" s="405"/>
      <c r="C499" s="403">
        <f>Assumptions!$Q$47*C469</f>
        <v>0</v>
      </c>
      <c r="D499" s="403">
        <f>Assumptions!$Q$47*D469</f>
        <v>0</v>
      </c>
      <c r="E499" s="403">
        <f>Assumptions!$Q$47*E469</f>
        <v>0</v>
      </c>
      <c r="F499" s="403">
        <f>Assumptions!$Q$47*F469</f>
        <v>2222500</v>
      </c>
      <c r="G499" s="403">
        <f ca="1">Assumptions!$Q$47*G469</f>
        <v>2385253.6595248682</v>
      </c>
      <c r="H499" s="403">
        <f ca="1">Assumptions!$Q$47*H469</f>
        <v>2566800.6908672079</v>
      </c>
      <c r="I499" s="403">
        <f ca="1">Assumptions!$Q$47*I469</f>
        <v>2772586.6239934401</v>
      </c>
      <c r="J499" s="403">
        <f ca="1">Assumptions!$Q$47*J469</f>
        <v>3005889.4635815965</v>
      </c>
      <c r="K499" s="403">
        <f ca="1">Assumptions!$Q$47*K469</f>
        <v>3271157.0060890978</v>
      </c>
      <c r="L499" s="403">
        <f ca="1">Assumptions!$Q$47*L469</f>
        <v>3573295.9812926203</v>
      </c>
    </row>
    <row r="500" spans="1:12" ht="15.5">
      <c r="A500" s="409" t="s">
        <v>298</v>
      </c>
      <c r="B500" s="405"/>
      <c r="C500" s="403">
        <f>Assumptions!$Q$48*C473</f>
        <v>0</v>
      </c>
      <c r="D500" s="403">
        <f>Assumptions!$Q$48*D473</f>
        <v>0</v>
      </c>
      <c r="E500" s="403">
        <f>Assumptions!$Q$48*E473</f>
        <v>0</v>
      </c>
      <c r="F500" s="403">
        <f>Assumptions!$Q$48*F473</f>
        <v>0</v>
      </c>
      <c r="G500" s="403">
        <f>Assumptions!$Q$48*G473</f>
        <v>2413000</v>
      </c>
      <c r="H500" s="403">
        <f ca="1">Assumptions!$Q$48*H473</f>
        <v>2623282.0189214386</v>
      </c>
      <c r="I500" s="403">
        <f ca="1">Assumptions!$Q$48*I473</f>
        <v>2862621.0927457153</v>
      </c>
      <c r="J500" s="403">
        <f ca="1">Assumptions!$Q$48*J473</f>
        <v>3135396.0269683488</v>
      </c>
      <c r="K500" s="403">
        <f ca="1">Assumptions!$Q$48*K473</f>
        <v>3442621.7283724146</v>
      </c>
      <c r="L500" s="403">
        <f ca="1">Assumptions!$Q$48*L473</f>
        <v>3793105.2036678218</v>
      </c>
    </row>
    <row r="501" spans="1:12" ht="15.5">
      <c r="A501" s="409" t="s">
        <v>299</v>
      </c>
      <c r="B501" s="405"/>
      <c r="C501" s="403">
        <f>Assumptions!$Q$49*C477</f>
        <v>0</v>
      </c>
      <c r="D501" s="403">
        <f>Assumptions!$Q$49*D477</f>
        <v>0</v>
      </c>
      <c r="E501" s="403">
        <f>Assumptions!$Q$49*E477</f>
        <v>0</v>
      </c>
      <c r="F501" s="403">
        <f>Assumptions!$Q$49*F477</f>
        <v>0</v>
      </c>
      <c r="G501" s="403">
        <f>Assumptions!$Q$49*G477</f>
        <v>0</v>
      </c>
      <c r="H501" s="403">
        <f>Assumptions!$Q$49*H477</f>
        <v>1272000</v>
      </c>
      <c r="I501" s="403">
        <f ca="1">Assumptions!$Q$49*I477</f>
        <v>1429042.2829813655</v>
      </c>
      <c r="J501" s="403">
        <f ca="1">Assumptions!$Q$49*J477</f>
        <v>1611292.1354766712</v>
      </c>
      <c r="K501" s="403">
        <f ca="1">Assumptions!$Q$49*K477</f>
        <v>1821940.580553283</v>
      </c>
      <c r="L501" s="403">
        <f ca="1">Assumptions!$Q$49*L477</f>
        <v>2066877.9893955346</v>
      </c>
    </row>
    <row r="502" spans="1:12" ht="15.5">
      <c r="A502" s="409" t="s">
        <v>368</v>
      </c>
      <c r="B502" s="405"/>
      <c r="C502" s="403">
        <f>Assumptions!$Q$50*C481</f>
        <v>0</v>
      </c>
      <c r="D502" s="403">
        <f>Assumptions!$Q$50*D481</f>
        <v>0</v>
      </c>
      <c r="E502" s="403">
        <f>Assumptions!$Q$50*E481</f>
        <v>0</v>
      </c>
      <c r="F502" s="403">
        <f>Assumptions!$Q$50*F481</f>
        <v>1263500</v>
      </c>
      <c r="G502" s="403">
        <f ca="1">Assumptions!$Q$50*G481</f>
        <v>1318488.9024421354</v>
      </c>
      <c r="H502" s="403">
        <f ca="1">Assumptions!$Q$50*H481</f>
        <v>1380459.7807660175</v>
      </c>
      <c r="I502" s="403">
        <f ca="1">Assumptions!$Q$50*I481</f>
        <v>1449175.8090845509</v>
      </c>
      <c r="J502" s="403">
        <f ca="1">Assumptions!$Q$50*J481</f>
        <v>1526107.0943097982</v>
      </c>
      <c r="K502" s="403">
        <f ca="1">Assumptions!$Q$50*K481</f>
        <v>1611152.8249074349</v>
      </c>
      <c r="L502" s="403">
        <f ca="1">Assumptions!$Q$50*L481</f>
        <v>1706991.108231297</v>
      </c>
    </row>
    <row r="503" spans="1:12" ht="15.5">
      <c r="A503" s="409" t="s">
        <v>369</v>
      </c>
      <c r="B503" s="405"/>
      <c r="C503" s="403">
        <f>Assumptions!$Q$51*C485</f>
        <v>0</v>
      </c>
      <c r="D503" s="403">
        <f>Assumptions!$Q$51*D485</f>
        <v>0</v>
      </c>
      <c r="E503" s="403">
        <f>Assumptions!$Q$51*E485</f>
        <v>0</v>
      </c>
      <c r="F503" s="403">
        <f>Assumptions!$Q$51*F485</f>
        <v>0</v>
      </c>
      <c r="G503" s="403">
        <f>Assumptions!$Q$51*G485</f>
        <v>70000</v>
      </c>
      <c r="H503" s="403">
        <f ca="1">Assumptions!$Q$51*H485</f>
        <v>132617.53960099458</v>
      </c>
      <c r="I503" s="403">
        <f ca="1">Assumptions!$Q$51*I485</f>
        <v>187909.28244060301</v>
      </c>
      <c r="J503" s="403">
        <f ca="1">Assumptions!$Q$51*J485</f>
        <v>236790.43631648106</v>
      </c>
      <c r="K503" s="403">
        <f ca="1">Assumptions!$Q$51*K485</f>
        <v>279984.98951855116</v>
      </c>
      <c r="L503" s="403">
        <f ca="1">Assumptions!$Q$51*L485</f>
        <v>318251.0353142299</v>
      </c>
    </row>
    <row r="504" spans="1:12" ht="15.5">
      <c r="A504" s="409" t="s">
        <v>370</v>
      </c>
      <c r="B504" s="405"/>
      <c r="C504" s="403">
        <f>Assumptions!$Q$52*C489</f>
        <v>0</v>
      </c>
      <c r="D504" s="403">
        <f>Assumptions!$Q$52*D489</f>
        <v>0</v>
      </c>
      <c r="E504" s="403">
        <f>Assumptions!$Q$52*E489</f>
        <v>0</v>
      </c>
      <c r="F504" s="403">
        <f>Assumptions!$Q$52*F489</f>
        <v>0</v>
      </c>
      <c r="G504" s="403">
        <f>Assumptions!$Q$52*G489</f>
        <v>52500</v>
      </c>
      <c r="H504" s="403">
        <f ca="1">Assumptions!$Q$52*H489</f>
        <v>54900.578369229232</v>
      </c>
      <c r="I504" s="403">
        <f ca="1">Assumptions!$Q$52*I489</f>
        <v>57628.151972410225</v>
      </c>
      <c r="J504" s="403">
        <f ca="1">Assumptions!$Q$52*J489</f>
        <v>60658.846437329048</v>
      </c>
      <c r="K504" s="403">
        <f ca="1">Assumptions!$Q$52*K489</f>
        <v>64077.950164840069</v>
      </c>
      <c r="L504" s="403">
        <f ca="1">Assumptions!$Q$52*L489</f>
        <v>67953.58548144075</v>
      </c>
    </row>
    <row r="505" spans="1:12" ht="15.5">
      <c r="A505" s="409" t="s">
        <v>371</v>
      </c>
      <c r="B505" s="405"/>
      <c r="C505" s="403">
        <f>Assumptions!$Q$53*C493</f>
        <v>0</v>
      </c>
      <c r="D505" s="403">
        <f>Assumptions!$Q$53*D493</f>
        <v>0</v>
      </c>
      <c r="E505" s="403">
        <f>Assumptions!$Q$53*E493</f>
        <v>0</v>
      </c>
      <c r="F505" s="403">
        <f>Assumptions!$Q$53*F493</f>
        <v>0</v>
      </c>
      <c r="G505" s="403">
        <f>Assumptions!$Q$53*G493</f>
        <v>157500</v>
      </c>
      <c r="H505" s="403">
        <f ca="1">Assumptions!$Q$53*H493</f>
        <v>164967.33572409055</v>
      </c>
      <c r="I505" s="403">
        <f ca="1">Assumptions!$Q$53*I493</f>
        <v>173245.50183392345</v>
      </c>
      <c r="J505" s="403">
        <f ca="1">Assumptions!$Q$53*J493</f>
        <v>182588.77310758326</v>
      </c>
      <c r="K505" s="403">
        <f ca="1">Assumptions!$Q$53*K493</f>
        <v>193032.68429834911</v>
      </c>
      <c r="L505" s="403">
        <f ca="1">Assumptions!$Q$53*L493</f>
        <v>204800.92704066212</v>
      </c>
    </row>
    <row r="506" spans="1:12" ht="15.5">
      <c r="A506" s="409" t="s">
        <v>354</v>
      </c>
      <c r="B506" s="405"/>
      <c r="C506" s="403">
        <f t="shared" ref="C506:L506" si="148">SUM(C498:C505)</f>
        <v>0</v>
      </c>
      <c r="D506" s="403">
        <f t="shared" si="148"/>
        <v>0</v>
      </c>
      <c r="E506" s="403">
        <f t="shared" si="148"/>
        <v>0</v>
      </c>
      <c r="F506" s="403">
        <f t="shared" si="148"/>
        <v>8631000</v>
      </c>
      <c r="G506" s="403">
        <f t="shared" ca="1" si="148"/>
        <v>11974351.046036702</v>
      </c>
      <c r="H506" s="403">
        <f t="shared" ca="1" si="148"/>
        <v>14261275.258960169</v>
      </c>
      <c r="I506" s="403">
        <f t="shared" ca="1" si="148"/>
        <v>15552100.789130174</v>
      </c>
      <c r="J506" s="403">
        <f t="shared" ca="1" si="148"/>
        <v>17007484.135086957</v>
      </c>
      <c r="K506" s="403">
        <f t="shared" ca="1" si="148"/>
        <v>18647499.271300543</v>
      </c>
      <c r="L506" s="403">
        <f t="shared" ca="1" si="148"/>
        <v>20508650.22965014</v>
      </c>
    </row>
    <row r="507" spans="1:12">
      <c r="A507" s="408"/>
      <c r="B507" s="405"/>
      <c r="C507" s="403"/>
      <c r="D507" s="403"/>
      <c r="E507" s="403"/>
      <c r="F507" s="403"/>
      <c r="G507" s="403"/>
      <c r="H507" s="403"/>
      <c r="I507" s="403"/>
      <c r="J507" s="403"/>
      <c r="K507" s="403"/>
      <c r="L507" s="403"/>
    </row>
    <row r="508" spans="1:12" ht="15.5">
      <c r="A508" s="409" t="s">
        <v>154</v>
      </c>
      <c r="B508" s="405"/>
      <c r="C508" s="403">
        <f>C495-C506</f>
        <v>0</v>
      </c>
      <c r="D508" s="403">
        <f t="shared" ref="D508:L508" si="149">D495-D506</f>
        <v>0</v>
      </c>
      <c r="E508" s="403">
        <f t="shared" si="149"/>
        <v>0</v>
      </c>
      <c r="F508" s="403">
        <f t="shared" si="149"/>
        <v>16029000</v>
      </c>
      <c r="G508" s="403">
        <f t="shared" ca="1" si="149"/>
        <v>21376294.799782448</v>
      </c>
      <c r="H508" s="403">
        <f t="shared" ca="1" si="149"/>
        <v>25094053.331311222</v>
      </c>
      <c r="I508" s="403">
        <f t="shared" ca="1" si="149"/>
        <v>27349735.974196367</v>
      </c>
      <c r="J508" s="403">
        <f t="shared" ca="1" si="149"/>
        <v>29890081.907145422</v>
      </c>
      <c r="K508" s="403">
        <f t="shared" ca="1" si="149"/>
        <v>32750869.250656117</v>
      </c>
      <c r="L508" s="403">
        <f t="shared" ca="1" si="149"/>
        <v>35994642.143256202</v>
      </c>
    </row>
    <row r="509" spans="1:12">
      <c r="A509" s="408"/>
      <c r="B509" s="405"/>
      <c r="C509" s="403"/>
      <c r="D509" s="403"/>
      <c r="E509" s="403"/>
      <c r="F509" s="403"/>
      <c r="G509" s="403"/>
      <c r="H509" s="403"/>
      <c r="I509" s="403"/>
      <c r="J509" s="403"/>
      <c r="K509" s="403"/>
      <c r="L509" s="403"/>
    </row>
    <row r="510" spans="1:12" ht="18.5">
      <c r="A510" s="411" t="s">
        <v>96</v>
      </c>
      <c r="B510" s="405"/>
      <c r="C510" s="403"/>
      <c r="D510" s="403"/>
      <c r="E510" s="403"/>
      <c r="F510" s="403"/>
      <c r="G510" s="403"/>
      <c r="H510" s="403"/>
      <c r="I510" s="403"/>
      <c r="J510" s="403"/>
      <c r="K510" s="403"/>
      <c r="L510" s="403"/>
    </row>
    <row r="511" spans="1:12">
      <c r="A511" s="408"/>
      <c r="B511" s="405"/>
      <c r="C511" s="403"/>
      <c r="D511" s="403"/>
      <c r="E511" s="403"/>
      <c r="F511" s="403"/>
      <c r="G511" s="403"/>
      <c r="H511" s="403"/>
      <c r="I511" s="403"/>
      <c r="J511" s="403"/>
      <c r="K511" s="403"/>
      <c r="L511" s="403"/>
    </row>
    <row r="512" spans="1:12" ht="15.5">
      <c r="A512" s="409" t="s">
        <v>28</v>
      </c>
      <c r="B512" s="405"/>
      <c r="C512" s="403"/>
      <c r="D512" s="403"/>
      <c r="E512" s="403"/>
      <c r="F512" s="403"/>
      <c r="G512" s="403"/>
      <c r="H512" s="403"/>
      <c r="I512" s="403"/>
      <c r="J512" s="403"/>
      <c r="K512" s="403"/>
      <c r="L512" s="403"/>
    </row>
    <row r="513" spans="1:12" ht="15.5">
      <c r="A513" s="409"/>
      <c r="B513" s="405"/>
      <c r="C513" s="403"/>
      <c r="D513" s="403"/>
      <c r="E513" s="403"/>
      <c r="F513" s="403"/>
      <c r="G513" s="403"/>
      <c r="H513" s="403"/>
      <c r="I513" s="403"/>
      <c r="J513" s="403"/>
      <c r="K513" s="403"/>
      <c r="L513" s="403"/>
    </row>
    <row r="514" spans="1:12">
      <c r="A514" s="408" t="s">
        <v>37</v>
      </c>
      <c r="B514" s="405"/>
      <c r="C514" s="403">
        <f>IF(C$5 = Assumptions!$J$45, Assumptions!$AS15, 0)</f>
        <v>0</v>
      </c>
      <c r="D514" s="403">
        <f>IF(D$5 = Assumptions!$J$45, Assumptions!$AS15, 0)</f>
        <v>0</v>
      </c>
      <c r="E514" s="403">
        <f>IF(E$5 = Assumptions!$J$45, Assumptions!$AS15, 0)</f>
        <v>0</v>
      </c>
      <c r="F514" s="403">
        <f>IF(F$5 = Assumptions!$J$45, Assumptions!$AS15, 0)</f>
        <v>5000</v>
      </c>
      <c r="G514" s="403">
        <f>IF(G$5 = Assumptions!$J$45, Assumptions!$AS15, 0)</f>
        <v>0</v>
      </c>
      <c r="H514" s="403">
        <f>IF(H$5 = Assumptions!$J$45, Assumptions!$AS15, 0)</f>
        <v>0</v>
      </c>
      <c r="I514" s="403">
        <f>IF(I$5 = Assumptions!$J$45, Assumptions!$AS15, 0)</f>
        <v>0</v>
      </c>
      <c r="J514" s="403">
        <f>IF(J$5 = Assumptions!$J$45, Assumptions!$AS15, 0)</f>
        <v>0</v>
      </c>
      <c r="K514" s="403">
        <f>IF(K$5 = Assumptions!$J$45, Assumptions!$AS15, 0)</f>
        <v>0</v>
      </c>
      <c r="L514" s="403">
        <f>IF(L$5 = Assumptions!$J$45, Assumptions!$AS15, 0)</f>
        <v>0</v>
      </c>
    </row>
    <row r="515" spans="1:12">
      <c r="A515" s="408" t="s">
        <v>309</v>
      </c>
      <c r="B515" s="405"/>
      <c r="C515" s="403">
        <f>IF(C$5 = Assumptions!$J$45, Assumptions!$AS16, 0)</f>
        <v>0</v>
      </c>
      <c r="D515" s="403">
        <f>IF(D$5 = Assumptions!$J$45, Assumptions!$AS16, 0)</f>
        <v>0</v>
      </c>
      <c r="E515" s="403">
        <f>IF(E$5 = Assumptions!$J$45, Assumptions!$AS16, 0)</f>
        <v>0</v>
      </c>
      <c r="F515" s="403">
        <f>IF(F$5 = Assumptions!$J$45, Assumptions!$AS16, 0)</f>
        <v>15000</v>
      </c>
      <c r="G515" s="403">
        <f>IF(G$5 = Assumptions!$J$45, Assumptions!$AS16, 0)</f>
        <v>0</v>
      </c>
      <c r="H515" s="403">
        <f>IF(H$5 = Assumptions!$J$45, Assumptions!$AS16, 0)</f>
        <v>0</v>
      </c>
      <c r="I515" s="403">
        <f>IF(I$5 = Assumptions!$J$45, Assumptions!$AS16, 0)</f>
        <v>0</v>
      </c>
      <c r="J515" s="403">
        <f>IF(J$5 = Assumptions!$J$45, Assumptions!$AS16, 0)</f>
        <v>0</v>
      </c>
      <c r="K515" s="403">
        <f>IF(K$5 = Assumptions!$J$45, Assumptions!$AS16, 0)</f>
        <v>0</v>
      </c>
      <c r="L515" s="403">
        <f>IF(L$5 = Assumptions!$J$45, Assumptions!$AS16, 0)</f>
        <v>0</v>
      </c>
    </row>
    <row r="516" spans="1:12">
      <c r="A516" s="408" t="s">
        <v>40</v>
      </c>
      <c r="B516" s="405"/>
      <c r="C516" s="403">
        <f>IF(C$5 = Assumptions!$J$45, Assumptions!$AS17, 0)</f>
        <v>0</v>
      </c>
      <c r="D516" s="403">
        <f>IF(D$5 = Assumptions!$J$45, Assumptions!$AS17, 0)</f>
        <v>0</v>
      </c>
      <c r="E516" s="403">
        <f>IF(E$5 = Assumptions!$J$45, Assumptions!$AS17, 0)</f>
        <v>0</v>
      </c>
      <c r="F516" s="403">
        <f>IF(F$5 = Assumptions!$J$45, Assumptions!$AS17, 0)</f>
        <v>1000</v>
      </c>
      <c r="G516" s="403">
        <f>IF(G$5 = Assumptions!$J$45, Assumptions!$AS17, 0)</f>
        <v>0</v>
      </c>
      <c r="H516" s="403">
        <f>IF(H$5 = Assumptions!$J$45, Assumptions!$AS17, 0)</f>
        <v>0</v>
      </c>
      <c r="I516" s="403">
        <f>IF(I$5 = Assumptions!$J$45, Assumptions!$AS17, 0)</f>
        <v>0</v>
      </c>
      <c r="J516" s="403">
        <f>IF(J$5 = Assumptions!$J$45, Assumptions!$AS17, 0)</f>
        <v>0</v>
      </c>
      <c r="K516" s="403">
        <f>IF(K$5 = Assumptions!$J$45, Assumptions!$AS17, 0)</f>
        <v>0</v>
      </c>
      <c r="L516" s="403">
        <f>IF(L$5 = Assumptions!$J$45, Assumptions!$AS17, 0)</f>
        <v>0</v>
      </c>
    </row>
    <row r="517" spans="1:12">
      <c r="A517" s="408" t="s">
        <v>41</v>
      </c>
      <c r="B517" s="405"/>
      <c r="C517" s="403">
        <f>IF(C$5 = Assumptions!$J$45, Assumptions!$AS18, 0)</f>
        <v>0</v>
      </c>
      <c r="D517" s="403">
        <f>IF(D$5 = Assumptions!$J$45, Assumptions!$AS18, 0)</f>
        <v>0</v>
      </c>
      <c r="E517" s="403">
        <f>IF(E$5 = Assumptions!$J$45, Assumptions!$AS18, 0)</f>
        <v>0</v>
      </c>
      <c r="F517" s="403">
        <f>IF(F$5 = Assumptions!$J$45, Assumptions!$AS18, 0)</f>
        <v>5000</v>
      </c>
      <c r="G517" s="403">
        <f>IF(G$5 = Assumptions!$J$45, Assumptions!$AS18, 0)</f>
        <v>0</v>
      </c>
      <c r="H517" s="403">
        <f>IF(H$5 = Assumptions!$J$45, Assumptions!$AS18, 0)</f>
        <v>0</v>
      </c>
      <c r="I517" s="403">
        <f>IF(I$5 = Assumptions!$J$45, Assumptions!$AS18, 0)</f>
        <v>0</v>
      </c>
      <c r="J517" s="403">
        <f>IF(J$5 = Assumptions!$J$45, Assumptions!$AS18, 0)</f>
        <v>0</v>
      </c>
      <c r="K517" s="403">
        <f>IF(K$5 = Assumptions!$J$45, Assumptions!$AS18, 0)</f>
        <v>0</v>
      </c>
      <c r="L517" s="403">
        <f>IF(L$5 = Assumptions!$J$45, Assumptions!$AS18, 0)</f>
        <v>0</v>
      </c>
    </row>
    <row r="518" spans="1:12">
      <c r="A518" s="408" t="s">
        <v>43</v>
      </c>
      <c r="B518" s="405"/>
      <c r="C518" s="403">
        <f>IF(C$5 = Assumptions!$J$45, Assumptions!$AS19, 0)</f>
        <v>0</v>
      </c>
      <c r="D518" s="403">
        <f>IF(D$5 = Assumptions!$J$45, Assumptions!$AS19, 0)</f>
        <v>0</v>
      </c>
      <c r="E518" s="403">
        <f>IF(E$5 = Assumptions!$J$45, Assumptions!$AS19, 0)</f>
        <v>0</v>
      </c>
      <c r="F518" s="403">
        <f>IF(F$5 = Assumptions!$J$45, Assumptions!$AS19, 0)</f>
        <v>1000</v>
      </c>
      <c r="G518" s="403">
        <f>IF(G$5 = Assumptions!$J$45, Assumptions!$AS19, 0)</f>
        <v>0</v>
      </c>
      <c r="H518" s="403">
        <f>IF(H$5 = Assumptions!$J$45, Assumptions!$AS19, 0)</f>
        <v>0</v>
      </c>
      <c r="I518" s="403">
        <f>IF(I$5 = Assumptions!$J$45, Assumptions!$AS19, 0)</f>
        <v>0</v>
      </c>
      <c r="J518" s="403">
        <f>IF(J$5 = Assumptions!$J$45, Assumptions!$AS19, 0)</f>
        <v>0</v>
      </c>
      <c r="K518" s="403">
        <f>IF(K$5 = Assumptions!$J$45, Assumptions!$AS19, 0)</f>
        <v>0</v>
      </c>
      <c r="L518" s="403">
        <f>IF(L$5 = Assumptions!$J$45, Assumptions!$AS19, 0)</f>
        <v>0</v>
      </c>
    </row>
    <row r="519" spans="1:12">
      <c r="A519" s="408" t="s">
        <v>45</v>
      </c>
      <c r="B519" s="405"/>
      <c r="C519" s="403">
        <f>IF(C$5 = Assumptions!$J$45, Assumptions!$AS20, 0)</f>
        <v>0</v>
      </c>
      <c r="D519" s="403">
        <f>IF(D$5 = Assumptions!$J$45, Assumptions!$AS20, 0)</f>
        <v>0</v>
      </c>
      <c r="E519" s="403">
        <f>IF(E$5 = Assumptions!$J$45, Assumptions!$AS20, 0)</f>
        <v>0</v>
      </c>
      <c r="F519" s="403">
        <f>IF(F$5 = Assumptions!$J$45, Assumptions!$AS20, 0)</f>
        <v>3000</v>
      </c>
      <c r="G519" s="403">
        <f>IF(G$5 = Assumptions!$J$45, Assumptions!$AS20, 0)</f>
        <v>0</v>
      </c>
      <c r="H519" s="403">
        <f>IF(H$5 = Assumptions!$J$45, Assumptions!$AS20, 0)</f>
        <v>0</v>
      </c>
      <c r="I519" s="403">
        <f>IF(I$5 = Assumptions!$J$45, Assumptions!$AS20, 0)</f>
        <v>0</v>
      </c>
      <c r="J519" s="403">
        <f>IF(J$5 = Assumptions!$J$45, Assumptions!$AS20, 0)</f>
        <v>0</v>
      </c>
      <c r="K519" s="403">
        <f>IF(K$5 = Assumptions!$J$45, Assumptions!$AS20, 0)</f>
        <v>0</v>
      </c>
      <c r="L519" s="403">
        <f>IF(L$5 = Assumptions!$J$45, Assumptions!$AS20, 0)</f>
        <v>0</v>
      </c>
    </row>
    <row r="520" spans="1:12">
      <c r="A520" s="408" t="s">
        <v>35</v>
      </c>
      <c r="B520" s="405"/>
      <c r="C520" s="403">
        <f>IF(C$5 = Assumptions!$J$45, Assumptions!$AS21, 0)</f>
        <v>0</v>
      </c>
      <c r="D520" s="403">
        <f>IF(D$5 = Assumptions!$J$45, Assumptions!$AS21, 0)</f>
        <v>0</v>
      </c>
      <c r="E520" s="403">
        <f>IF(E$5 = Assumptions!$J$45, Assumptions!$AS21, 0)</f>
        <v>0</v>
      </c>
      <c r="F520" s="403">
        <f>IF(F$5 = Assumptions!$J$45, Assumptions!$AS21, 0)</f>
        <v>5000</v>
      </c>
      <c r="G520" s="403">
        <f>IF(G$5 = Assumptions!$J$45, Assumptions!$AS21, 0)</f>
        <v>0</v>
      </c>
      <c r="H520" s="403">
        <f>IF(H$5 = Assumptions!$J$45, Assumptions!$AS21, 0)</f>
        <v>0</v>
      </c>
      <c r="I520" s="403">
        <f>IF(I$5 = Assumptions!$J$45, Assumptions!$AS21, 0)</f>
        <v>0</v>
      </c>
      <c r="J520" s="403">
        <f>IF(J$5 = Assumptions!$J$45, Assumptions!$AS21, 0)</f>
        <v>0</v>
      </c>
      <c r="K520" s="403">
        <f>IF(K$5 = Assumptions!$J$45, Assumptions!$AS21, 0)</f>
        <v>0</v>
      </c>
      <c r="L520" s="403">
        <f>IF(L$5 = Assumptions!$J$45, Assumptions!$AS21, 0)</f>
        <v>0</v>
      </c>
    </row>
    <row r="521" spans="1:12">
      <c r="A521" s="408"/>
      <c r="B521" s="405"/>
      <c r="C521" s="403"/>
      <c r="D521" s="403"/>
      <c r="E521" s="403"/>
      <c r="F521" s="403"/>
      <c r="G521" s="403"/>
      <c r="H521" s="403"/>
      <c r="I521" s="403"/>
      <c r="J521" s="403"/>
      <c r="K521" s="403"/>
      <c r="L521" s="403"/>
    </row>
    <row r="522" spans="1:12" ht="15.5">
      <c r="A522" s="409" t="s">
        <v>155</v>
      </c>
      <c r="B522" s="405"/>
      <c r="C522" s="403">
        <f t="shared" ref="C522:L522" si="150">SUM(C514:C520)</f>
        <v>0</v>
      </c>
      <c r="D522" s="403">
        <f t="shared" si="150"/>
        <v>0</v>
      </c>
      <c r="E522" s="403">
        <f t="shared" si="150"/>
        <v>0</v>
      </c>
      <c r="F522" s="403">
        <f t="shared" si="150"/>
        <v>35000</v>
      </c>
      <c r="G522" s="403">
        <f t="shared" si="150"/>
        <v>0</v>
      </c>
      <c r="H522" s="403">
        <f t="shared" si="150"/>
        <v>0</v>
      </c>
      <c r="I522" s="403">
        <f t="shared" si="150"/>
        <v>0</v>
      </c>
      <c r="J522" s="403">
        <f t="shared" si="150"/>
        <v>0</v>
      </c>
      <c r="K522" s="403">
        <f t="shared" si="150"/>
        <v>0</v>
      </c>
      <c r="L522" s="403">
        <f t="shared" si="150"/>
        <v>0</v>
      </c>
    </row>
    <row r="523" spans="1:12">
      <c r="A523" s="408"/>
      <c r="B523" s="405"/>
      <c r="C523" s="403"/>
      <c r="D523" s="403"/>
      <c r="E523" s="403"/>
      <c r="F523" s="403"/>
      <c r="G523" s="403"/>
      <c r="H523" s="403"/>
      <c r="I523" s="403"/>
      <c r="J523" s="403"/>
      <c r="K523" s="403"/>
      <c r="L523" s="403"/>
    </row>
    <row r="524" spans="1:12" ht="15.5">
      <c r="A524" s="409" t="s">
        <v>13</v>
      </c>
      <c r="B524" s="405"/>
      <c r="C524" s="403"/>
      <c r="D524" s="403"/>
      <c r="E524" s="403"/>
      <c r="F524" s="403"/>
      <c r="G524" s="403"/>
      <c r="H524" s="403"/>
      <c r="I524" s="403"/>
      <c r="J524" s="403"/>
      <c r="K524" s="403"/>
      <c r="L524" s="403"/>
    </row>
    <row r="525" spans="1:12">
      <c r="A525" s="408"/>
      <c r="B525" s="405"/>
      <c r="C525" s="403"/>
      <c r="D525" s="403"/>
      <c r="E525" s="403"/>
      <c r="F525" s="403"/>
      <c r="G525" s="403"/>
      <c r="H525" s="403"/>
      <c r="I525" s="403"/>
      <c r="J525" s="403"/>
      <c r="K525" s="403"/>
      <c r="L525" s="403"/>
    </row>
    <row r="526" spans="1:12">
      <c r="A526" s="408" t="s">
        <v>14</v>
      </c>
      <c r="B526" s="405"/>
      <c r="C526" s="403">
        <f>IF(C$5 &gt;= Assumptions!$J$45, Assumptions!$AG15, 0)</f>
        <v>0</v>
      </c>
      <c r="D526" s="403">
        <f>IF(D$5&gt;Assumptions!$J$45,C526*(1+Revenue!AC33),IF(D$5=Assumptions!$J$45, Assumptions!$AG15, 0))</f>
        <v>0</v>
      </c>
      <c r="E526" s="403">
        <f>IF(E$5&gt;Assumptions!$J$45,D526*(1+Revenue!AD33),IF(E$5=Assumptions!$J$45, Assumptions!$AG15, 0))</f>
        <v>0</v>
      </c>
      <c r="F526" s="403">
        <f>IF(F$5&gt;Assumptions!$J$45,E526*(1+Revenue!AE33),IF(F$5=Assumptions!$J$45, Assumptions!$AG15, 0))</f>
        <v>0</v>
      </c>
      <c r="G526" s="403">
        <f>IF(G$5&gt;Assumptions!$J$45,F526*(1+Revenue!AF33),IF(G$5=Assumptions!$J$45, Assumptions!$AG15, 0))</f>
        <v>0</v>
      </c>
      <c r="H526" s="403">
        <f>IF(H$5&gt;Assumptions!$J$45,G526*(1+Revenue!AG33),IF(H$5=Assumptions!$J$45, Assumptions!$AG15, 0))</f>
        <v>0</v>
      </c>
      <c r="I526" s="403">
        <f>IF(I$5&gt;Assumptions!$J$45,H526*(1+Revenue!AH33),IF(I$5=Assumptions!$J$45, Assumptions!$AG15, 0))</f>
        <v>0</v>
      </c>
      <c r="J526" s="403">
        <f>IF(J$5&gt;Assumptions!$J$45,I526*(1+Revenue!AI33),IF(J$5=Assumptions!$J$45, Assumptions!$AG15, 0))</f>
        <v>0</v>
      </c>
      <c r="K526" s="403">
        <f>IF(K$5&gt;Assumptions!$J$45,J526*(1+Revenue!AJ33),IF(K$5=Assumptions!$J$45, Assumptions!$AG15, 0))</f>
        <v>0</v>
      </c>
      <c r="L526" s="403">
        <f>IF(L$5&gt;Assumptions!$J$45,K526*(1+Revenue!AK33),IF(L$5=Assumptions!$J$45, Assumptions!$AG15, 0))</f>
        <v>0</v>
      </c>
    </row>
    <row r="527" spans="1:12">
      <c r="A527" s="408" t="s">
        <v>15</v>
      </c>
      <c r="B527" s="405"/>
      <c r="C527" s="403">
        <f>IF(C$5 &gt;= Assumptions!$J$45, Assumptions!$AG16, 0)</f>
        <v>0</v>
      </c>
      <c r="D527" s="403">
        <f>IF(D$5&gt;Assumptions!$J$45,C527*(1+Revenue!AC33),IF(D$5=Assumptions!$J$45, Assumptions!$AG16, 0))</f>
        <v>0</v>
      </c>
      <c r="E527" s="403">
        <f>IF(E$5&gt;Assumptions!$J$45,D527*(1+Revenue!AD33),IF(E$5=Assumptions!$J$45, Assumptions!$AG16, 0))</f>
        <v>0</v>
      </c>
      <c r="F527" s="403">
        <f>IF(F$5&gt;Assumptions!$J$45,E527*(1+Revenue!AE33),IF(F$5=Assumptions!$J$45, Assumptions!$AG16, 0))</f>
        <v>0</v>
      </c>
      <c r="G527" s="403">
        <f>IF(G$5&gt;Assumptions!$J$45,F527*(1+Revenue!AF33),IF(G$5=Assumptions!$J$45, Assumptions!$AG16, 0))</f>
        <v>0</v>
      </c>
      <c r="H527" s="403">
        <f>IF(H$5&gt;Assumptions!$J$45,G527*(1+Revenue!AG33),IF(H$5=Assumptions!$J$45, Assumptions!$AG16, 0))</f>
        <v>0</v>
      </c>
      <c r="I527" s="403">
        <f>IF(I$5&gt;Assumptions!$J$45,H527*(1+Revenue!AH33),IF(I$5=Assumptions!$J$45, Assumptions!$AG16, 0))</f>
        <v>0</v>
      </c>
      <c r="J527" s="403">
        <f>IF(J$5&gt;Assumptions!$J$45,I527*(1+Revenue!AI33),IF(J$5=Assumptions!$J$45, Assumptions!$AG16, 0))</f>
        <v>0</v>
      </c>
      <c r="K527" s="403">
        <f>IF(K$5&gt;Assumptions!$J$45,J527*(1+Revenue!AJ33),IF(K$5=Assumptions!$J$45, Assumptions!$AG16, 0))</f>
        <v>0</v>
      </c>
      <c r="L527" s="403">
        <f>IF(L$5&gt;Assumptions!$J$45,K527*(1+Revenue!AK33),IF(L$5=Assumptions!$J$45, Assumptions!$AG16, 0))</f>
        <v>0</v>
      </c>
    </row>
    <row r="528" spans="1:12">
      <c r="A528" s="408" t="s">
        <v>17</v>
      </c>
      <c r="B528" s="405"/>
      <c r="C528" s="403">
        <f>IF(C$5 &gt;= Assumptions!$J$45, Assumptions!$AG17, 0)</f>
        <v>0</v>
      </c>
      <c r="D528" s="403">
        <f>IF(D$5&gt;Assumptions!$J$45,C528*(1+Revenue!AC33),IF(D$5=Assumptions!$J$45, Assumptions!$AG17, 0))</f>
        <v>0</v>
      </c>
      <c r="E528" s="403">
        <f>IF(E$5&gt;Assumptions!$J$45,D528*(1+Revenue!AD33),IF(E$5=Assumptions!$J$45, Assumptions!$AG17, 0))</f>
        <v>0</v>
      </c>
      <c r="F528" s="403">
        <f>IF(F$5&gt;Assumptions!$J$45,E528*(1+Revenue!AE33),IF(F$5=Assumptions!$J$45, Assumptions!$AG17, 0))</f>
        <v>0</v>
      </c>
      <c r="G528" s="403">
        <f>IF(G$5&gt;Assumptions!$J$45,F528*(1+Revenue!AF33),IF(G$5=Assumptions!$J$45, Assumptions!$AG17, 0))</f>
        <v>0</v>
      </c>
      <c r="H528" s="403">
        <f>IF(H$5&gt;Assumptions!$J$45,G528*(1+Revenue!AG33),IF(H$5=Assumptions!$J$45, Assumptions!$AG17, 0))</f>
        <v>0</v>
      </c>
      <c r="I528" s="403">
        <f>IF(I$5&gt;Assumptions!$J$45,H528*(1+Revenue!AH33),IF(I$5=Assumptions!$J$45, Assumptions!$AG17, 0))</f>
        <v>0</v>
      </c>
      <c r="J528" s="403">
        <f>IF(J$5&gt;Assumptions!$J$45,I528*(1+Revenue!AI33),IF(J$5=Assumptions!$J$45, Assumptions!$AG17, 0))</f>
        <v>0</v>
      </c>
      <c r="K528" s="403">
        <f>IF(K$5&gt;Assumptions!$J$45,J528*(1+Revenue!AJ33),IF(K$5=Assumptions!$J$45, Assumptions!$AG17, 0))</f>
        <v>0</v>
      </c>
      <c r="L528" s="403">
        <f>IF(L$5&gt;Assumptions!$J$45,K528*(1+Revenue!AK33),IF(L$5=Assumptions!$J$45, Assumptions!$AG17, 0))</f>
        <v>0</v>
      </c>
    </row>
    <row r="529" spans="1:12">
      <c r="A529" s="408" t="s">
        <v>19</v>
      </c>
      <c r="B529" s="405"/>
      <c r="C529" s="403">
        <f>IF(C$5 &gt;= Assumptions!$J$45, Assumptions!$AG$18 * (Revenue!AQ38+Revenue!AQ39+Revenue!AQ40+Revenue!AQ41), 0)</f>
        <v>0</v>
      </c>
      <c r="D529" s="403">
        <f>IF(D$5&gt;Assumptions!$J$45, Assumptions!$AG$18*(Revenue!AR38+Revenue!AR39+Revenue!AR40+Revenue!AR41)*(1+Revenue!AC33), IF(D$5=Assumptions!$J$45, Assumptions!$AG$18 * (Revenue!AR38+Revenue!AR39+Revenue!AR40+Revenue!AR41), 0))</f>
        <v>0</v>
      </c>
      <c r="E529" s="403">
        <f>IF(E$5&gt;Assumptions!$J$45, Assumptions!$AG$18*(Revenue!AS38+Revenue!AS39+Revenue!AS40+Revenue!AS41)*(1+Revenue!AD33), IF(E$5=Assumptions!$J$45, Assumptions!$AG$18 * (Revenue!AS38+Revenue!AS39+Revenue!AS40+Revenue!AS41), 0))</f>
        <v>0</v>
      </c>
      <c r="F529" s="403">
        <f>IF(F$5&gt;Assumptions!$J$45, Assumptions!$AG$18*(Revenue!AT38+Revenue!AT39+Revenue!AT40+Revenue!AT41)*(1+Revenue!AE33), IF(F$5=Assumptions!$J$45, Assumptions!$AG$18 * (Revenue!AT38+Revenue!AT39+Revenue!AT40+Revenue!AT41), 0))</f>
        <v>381000</v>
      </c>
      <c r="G529" s="403">
        <f ca="1">IF(G$5&gt;Assumptions!$J$45, Assumptions!$AG$18*(Revenue!AU38+Revenue!AU39+Revenue!AU40+Revenue!AU41)*(1+Revenue!AF33), IF(G$5=Assumptions!$J$45, Assumptions!$AG$18 * (Revenue!AU38+Revenue!AU39+Revenue!AU40+Revenue!AU41), 0))</f>
        <v>476727.39575401804</v>
      </c>
      <c r="H529" s="403">
        <f ca="1">IF(H$5&gt;Assumptions!$J$45, Assumptions!$AG$18*(Revenue!AV38+Revenue!AV39+Revenue!AV40+Revenue!AV41)*(1+Revenue!AG33), IF(H$5=Assumptions!$J$45, Assumptions!$AG$18 * (Revenue!AV38+Revenue!AV39+Revenue!AV40+Revenue!AV41), 0))</f>
        <v>500351.90504961729</v>
      </c>
      <c r="I529" s="403">
        <f ca="1">IF(I$5&gt;Assumptions!$J$45, Assumptions!$AG$18*(Revenue!AW38+Revenue!AW39+Revenue!AW40+Revenue!AW41)*(1+Revenue!AH33), IF(I$5=Assumptions!$J$45, Assumptions!$AG$18 * (Revenue!AW38+Revenue!AW39+Revenue!AW40+Revenue!AW41), 0))</f>
        <v>527018.50314886391</v>
      </c>
      <c r="J529" s="403">
        <f ca="1">IF(J$5&gt;Assumptions!$J$45, Assumptions!$AG$18*(Revenue!AX38+Revenue!AX39+Revenue!AX40+Revenue!AX41)*(1+Revenue!AI33), IF(J$5=Assumptions!$J$45, Assumptions!$AG$18 * (Revenue!AX38+Revenue!AX39+Revenue!AX40+Revenue!AX41), 0))</f>
        <v>557097.7165022929</v>
      </c>
      <c r="K529" s="403">
        <f ca="1">IF(K$5&gt;Assumptions!$J$45, Assumptions!$AG$18*(Revenue!AY38+Revenue!AY39+Revenue!AY40+Revenue!AY41)*(1+Revenue!AJ33), IF(K$5=Assumptions!$J$45, Assumptions!$AG$18 * (Revenue!AY38+Revenue!AY39+Revenue!AY40+Revenue!AY41), 0))</f>
        <v>590850.76753392164</v>
      </c>
      <c r="L529" s="403">
        <f ca="1">IF(L$5&gt;Assumptions!$J$45, Assumptions!$AG$18*(Revenue!AZ38+Revenue!AZ39+Revenue!AZ40+Revenue!AZ41)*(1+Revenue!AK33), IF(L$5=Assumptions!$J$45, Assumptions!$AG$18 * (Revenue!AZ38+Revenue!AZ39+Revenue!AZ40+Revenue!AZ41), 0))</f>
        <v>628779.94989623304</v>
      </c>
    </row>
    <row r="530" spans="1:12">
      <c r="A530" s="408" t="s">
        <v>20</v>
      </c>
      <c r="B530" s="405"/>
      <c r="C530" s="403">
        <f>IF(C$5 &gt;= Assumptions!$J$45, Assumptions!$AG$19*C495, 0)</f>
        <v>0</v>
      </c>
      <c r="D530" s="403">
        <f>IF(D$5 &gt; Assumptions!$J$45, Assumptions!$AG$19*D495*(1 + Revenue!AC33), IF(D$5 = Assumptions!$J$45, Assumptions!$AG$19*D495, 0))</f>
        <v>0</v>
      </c>
      <c r="E530" s="403">
        <f>IF(E$5 &gt; Assumptions!$J$45, Assumptions!$AG$19*E495*(1 + Revenue!AD33), IF(E$5 = Assumptions!$J$45, Assumptions!$AG$19*E495, 0))</f>
        <v>0</v>
      </c>
      <c r="F530" s="403">
        <f>IF(F$5 &gt; Assumptions!$J$45, Assumptions!$AG$19*F495*(1 + Revenue!AE33), IF(F$5 = Assumptions!$J$45, Assumptions!$AG$19*F495, 0))</f>
        <v>5425200</v>
      </c>
      <c r="G530" s="403">
        <f ca="1">IF(G$5 &gt; Assumptions!$J$45, Assumptions!$AG$19*G495*(1 + Revenue!AF33), IF(G$5 = Assumptions!$J$45, Assumptions!$AG$19*G495, 0))</f>
        <v>7571930.63283478</v>
      </c>
      <c r="H530" s="403">
        <f ca="1">IF(H$5 &gt; Assumptions!$J$45, Assumptions!$AG$19*H495*(1 + Revenue!AG33), IF(H$5 = Assumptions!$J$45, Assumptions!$AG$19*H495, 0))</f>
        <v>8935233.8031352181</v>
      </c>
      <c r="I530" s="403">
        <f ca="1">IF(I$5 &gt; Assumptions!$J$45, Assumptions!$AG$19*I495*(1 + Revenue!AH33), IF(I$5 = Assumptions!$J$45, Assumptions!$AG$19*I495, 0))</f>
        <v>9740433.0187456589</v>
      </c>
      <c r="J530" s="403">
        <f ca="1">IF(J$5 &gt; Assumptions!$J$45, Assumptions!$AG$19*J495*(1 + Revenue!AI33), IF(J$5 = Assumptions!$J$45, Assumptions!$AG$19*J495, 0))</f>
        <v>10647623.39422844</v>
      </c>
      <c r="K530" s="403">
        <f ca="1">IF(K$5 &gt; Assumptions!$J$45, Assumptions!$AG$19*K495*(1 + Revenue!AJ33), IF(K$5 = Assumptions!$J$45, Assumptions!$AG$19*K495, 0))</f>
        <v>11669485.589225041</v>
      </c>
      <c r="L530" s="403">
        <f ca="1">IF(L$5 &gt; Assumptions!$J$45, Assumptions!$AG$19*L495*(1 + Revenue!AK33), IF(L$5 = Assumptions!$J$45, Assumptions!$AG$19*L495, 0))</f>
        <v>12828507.500344656</v>
      </c>
    </row>
    <row r="531" spans="1:12">
      <c r="A531" s="408" t="s">
        <v>22</v>
      </c>
      <c r="B531" s="405"/>
      <c r="C531" s="403">
        <f>IF(C$5 &gt;= Assumptions!$J$45, Assumptions!AG20, 0)</f>
        <v>0</v>
      </c>
      <c r="D531" s="403">
        <f>IF(D$5 &gt; Assumptions!$J$45, C531*(1+Revenue!AC33), IF(D$5 = Assumptions!$J$45, Assumptions!$AG20, 0))</f>
        <v>0</v>
      </c>
      <c r="E531" s="403">
        <f>IF(E$5 &gt; Assumptions!$J$45, D531*(1+Revenue!AD33), IF(E$5 = Assumptions!$J$45, Assumptions!$AG20, 0))</f>
        <v>0</v>
      </c>
      <c r="F531" s="403">
        <f>IF(F$5 &gt; Assumptions!$J$45, E531*(1+Revenue!AE33), IF(F$5 = Assumptions!$J$45, Assumptions!$AG20, 0))</f>
        <v>0</v>
      </c>
      <c r="G531" s="403">
        <f>IF(G$5 &gt; Assumptions!$J$45, F531*(1+Revenue!AF33), IF(G$5 = Assumptions!$J$45, Assumptions!$AG20, 0))</f>
        <v>0</v>
      </c>
      <c r="H531" s="403">
        <f>IF(H$5 &gt; Assumptions!$J$45, G531*(1+Revenue!AG33), IF(H$5 = Assumptions!$J$45, Assumptions!$AG20, 0))</f>
        <v>0</v>
      </c>
      <c r="I531" s="403">
        <f>IF(I$5 &gt; Assumptions!$J$45, H531*(1+Revenue!AH33), IF(I$5 = Assumptions!$J$45, Assumptions!$AG20, 0))</f>
        <v>0</v>
      </c>
      <c r="J531" s="403">
        <f>IF(J$5 &gt; Assumptions!$J$45, I531*(1+Revenue!AI33), IF(J$5 = Assumptions!$J$45, Assumptions!$AG20, 0))</f>
        <v>0</v>
      </c>
      <c r="K531" s="403">
        <f>IF(K$5 &gt; Assumptions!$J$45, J531*(1+Revenue!AJ33), IF(K$5 = Assumptions!$J$45, Assumptions!$AG20, 0))</f>
        <v>0</v>
      </c>
      <c r="L531" s="403">
        <f>IF(L$5 &gt; Assumptions!$J$45, K531*(1+Revenue!AK33), IF(L$5 = Assumptions!$J$45, Assumptions!$AG20, 0))</f>
        <v>0</v>
      </c>
    </row>
    <row r="532" spans="1:12">
      <c r="A532" s="408" t="s">
        <v>25</v>
      </c>
      <c r="B532" s="405"/>
      <c r="C532" s="403">
        <f>IF(C$5 &gt;= Assumptions!$J$45, Assumptions!$AG21, 0)</f>
        <v>0</v>
      </c>
      <c r="D532" s="403">
        <f>IF(D$5 &gt; Assumptions!$J$45, Income!C532*(1+Revenue!AC33), IF(D$5 = Assumptions!$J$45, Assumptions!$AG21, 0))</f>
        <v>0</v>
      </c>
      <c r="E532" s="403">
        <f>IF(E$5 &gt; Assumptions!$J$45, Income!D532*(1+Revenue!AD33), IF(E$5 = Assumptions!$J$45, Assumptions!$AG21, 0))</f>
        <v>0</v>
      </c>
      <c r="F532" s="403">
        <f>IF(F$5 &gt; Assumptions!$J$45, Income!E532*(1+Revenue!AE33), IF(F$5 = Assumptions!$J$45, Assumptions!$AG21, 0))</f>
        <v>1000</v>
      </c>
      <c r="G532" s="403">
        <f>IF(G$5 &gt; Assumptions!$J$45, Income!F532*(1+Revenue!AF33), IF(G$5 = Assumptions!$J$45, Assumptions!$AG21, 0))</f>
        <v>1032</v>
      </c>
      <c r="H532" s="403">
        <f>IF(H$5 &gt; Assumptions!$J$45, Income!G532*(1+Revenue!AG33), IF(H$5 = Assumptions!$J$45, Assumptions!$AG21, 0))</f>
        <v>1065.0240000000001</v>
      </c>
      <c r="I532" s="403">
        <f>IF(I$5 &gt; Assumptions!$J$45, Income!H532*(1+Revenue!AH33), IF(I$5 = Assumptions!$J$45, Assumptions!$AG21, 0))</f>
        <v>1099.1047680000001</v>
      </c>
      <c r="J532" s="403">
        <f>IF(J$5 &gt; Assumptions!$J$45, Income!I532*(1+Revenue!AI33), IF(J$5 = Assumptions!$J$45, Assumptions!$AG21, 0))</f>
        <v>1134.2761205760003</v>
      </c>
      <c r="K532" s="403">
        <f>IF(K$5 &gt; Assumptions!$J$45, Income!J532*(1+Revenue!AJ33), IF(K$5 = Assumptions!$J$45, Assumptions!$AG21, 0))</f>
        <v>1170.5729564344324</v>
      </c>
      <c r="L532" s="403">
        <f>IF(L$5 &gt; Assumptions!$J$45, Income!K532*(1+Revenue!AK33), IF(L$5 = Assumptions!$J$45, Assumptions!$AG21, 0))</f>
        <v>1208.0312910403343</v>
      </c>
    </row>
    <row r="533" spans="1:12">
      <c r="A533" s="408" t="s">
        <v>27</v>
      </c>
      <c r="B533" s="405"/>
      <c r="C533" s="403">
        <f>IF(C$5 &gt;= Assumptions!$J$45, Assumptions!AG22, 0)</f>
        <v>0</v>
      </c>
      <c r="D533" s="403">
        <f>IF(D$5 &gt; Assumptions!$J$45, Income!C533*(1+Revenue!AC33), IF(D$5 = Assumptions!$J$45, Assumptions!$AG22, 0))</f>
        <v>0</v>
      </c>
      <c r="E533" s="403">
        <f>IF(E$5 &gt; Assumptions!$J$45, Income!D533*(1+Revenue!AD33), IF(E$5 = Assumptions!$J$45, Assumptions!$AG22, 0))</f>
        <v>0</v>
      </c>
      <c r="F533" s="403">
        <f>IF(F$5 &gt; Assumptions!$J$45, Income!E533*(1+Revenue!AE33), IF(F$5 = Assumptions!$J$45, Assumptions!$AG22, 0))</f>
        <v>1000</v>
      </c>
      <c r="G533" s="403">
        <f>IF(G$5 &gt; Assumptions!$J$45, Income!F533*(1+Revenue!AF33), IF(G$5 = Assumptions!$J$45, Assumptions!$AG22, 0))</f>
        <v>1032</v>
      </c>
      <c r="H533" s="403">
        <f>IF(H$5 &gt; Assumptions!$J$45, Income!G533*(1+Revenue!AG33), IF(H$5 = Assumptions!$J$45, Assumptions!$AG22, 0))</f>
        <v>1065.0240000000001</v>
      </c>
      <c r="I533" s="403">
        <f>IF(I$5 &gt; Assumptions!$J$45, Income!H533*(1+Revenue!AH33), IF(I$5 = Assumptions!$J$45, Assumptions!$AG22, 0))</f>
        <v>1099.1047680000001</v>
      </c>
      <c r="J533" s="403">
        <f>IF(J$5 &gt; Assumptions!$J$45, Income!I533*(1+Revenue!AI33), IF(J$5 = Assumptions!$J$45, Assumptions!$AG22, 0))</f>
        <v>1134.2761205760003</v>
      </c>
      <c r="K533" s="403">
        <f>IF(K$5 &gt; Assumptions!$J$45, Income!J533*(1+Revenue!AJ33), IF(K$5 = Assumptions!$J$45, Assumptions!$AG22, 0))</f>
        <v>1170.5729564344324</v>
      </c>
      <c r="L533" s="403">
        <f>IF(L$5 &gt; Assumptions!$J$45, Income!K533*(1+Revenue!AK33), IF(L$5 = Assumptions!$J$45, Assumptions!$AG22, 0))</f>
        <v>1208.0312910403343</v>
      </c>
    </row>
    <row r="534" spans="1:12">
      <c r="A534" s="408" t="s">
        <v>278</v>
      </c>
      <c r="B534" s="405"/>
      <c r="C534" s="403">
        <f>IF(C$5 &gt;= Assumptions!$J$45, Assumptions!$AG$23 + (Revenue!AQ40+Revenue!AQ41+Revenue!AQ42)*Assumptions!$AG$24, 0)</f>
        <v>0</v>
      </c>
      <c r="D534" s="403">
        <f>IF(D$5&gt;Assumptions!$J$45,(Assumptions!$AG$23+(Revenue!AR40+Revenue!AR41+Revenue!AR42)*Assumptions!$AG$24)*(1+Revenue!AC33),IF(D$5=Assumptions!$J$45,Assumptions!$AG$23+(Revenue!AR40+Revenue!AR41+Revenue!AR42)*Assumptions!$AG$24,0))</f>
        <v>0</v>
      </c>
      <c r="E534" s="403">
        <f>IF(E$5&gt;Assumptions!$J$45,(Assumptions!$AG$23+(Revenue!AS40+Revenue!AS41+Revenue!AS42)*Assumptions!$AG$24)*(1+Revenue!AD33),IF(E$5=Assumptions!$J$45,Assumptions!$AG$23+(Revenue!AS40+Revenue!AS41+Revenue!AS42)*Assumptions!$AG$24,0))</f>
        <v>0</v>
      </c>
      <c r="F534" s="403">
        <f>IF(F$5&gt;Assumptions!$J$45,(Assumptions!$AG$23+(Revenue!AT40+Revenue!AT41+Revenue!AT42)*Assumptions!$AG$24)*(1+Revenue!AE33),IF(F$5=Assumptions!$J$45,Assumptions!$AG$23+(Revenue!AT40+Revenue!AT41+Revenue!AT42)*Assumptions!$AG$24,0))</f>
        <v>12350</v>
      </c>
      <c r="G534" s="403">
        <f ca="1">IF(G$5&gt;Assumptions!$J$45,(Assumptions!$AG$23+(Revenue!AU40+Revenue!AU41+Revenue!AU42)*Assumptions!$AG$24)*(1+Revenue!AF33),IF(G$5=Assumptions!$J$45,Assumptions!$AG$23+(Revenue!AU40+Revenue!AU41+Revenue!AU42)*Assumptions!$AG$24,0))</f>
        <v>16283.610455785338</v>
      </c>
      <c r="H534" s="403">
        <f ca="1">IF(H$5&gt;Assumptions!$J$45,(Assumptions!$AG$23+(Revenue!AV40+Revenue!AV41+Revenue!AV42)*Assumptions!$AG$24)*(1+Revenue!AG33),IF(H$5=Assumptions!$J$45,Assumptions!$AG$23+(Revenue!AV40+Revenue!AV41+Revenue!AV42)*Assumptions!$AG$24,0))</f>
        <v>18390.881072060609</v>
      </c>
      <c r="I534" s="403">
        <f ca="1">IF(I$5&gt;Assumptions!$J$45,(Assumptions!$AG$23+(Revenue!AW40+Revenue!AW41+Revenue!AW42)*Assumptions!$AG$24)*(1+Revenue!AH33),IF(I$5=Assumptions!$J$45,Assumptions!$AG$23+(Revenue!AW40+Revenue!AW41+Revenue!AW42)*Assumptions!$AG$24,0))</f>
        <v>19066.141422590212</v>
      </c>
      <c r="J534" s="403">
        <f ca="1">IF(J$5&gt;Assumptions!$J$45,(Assumptions!$AG$23+(Revenue!AX40+Revenue!AX41+Revenue!AX42)*Assumptions!$AG$24)*(1+Revenue!AI33),IF(J$5=Assumptions!$J$45,Assumptions!$AG$23+(Revenue!AX40+Revenue!AX41+Revenue!AX42)*Assumptions!$AG$24,0))</f>
        <v>19831.167806145379</v>
      </c>
      <c r="K534" s="403">
        <f ca="1">IF(K$5&gt;Assumptions!$J$45,(Assumptions!$AG$23+(Revenue!AY40+Revenue!AY41+Revenue!AY42)*Assumptions!$AG$24)*(1+Revenue!AJ33),IF(K$5=Assumptions!$J$45,Assumptions!$AG$23+(Revenue!AY40+Revenue!AY41+Revenue!AY42)*Assumptions!$AG$24,0))</f>
        <v>20691.46230743422</v>
      </c>
      <c r="L534" s="403">
        <f ca="1">IF(L$5&gt;Assumptions!$J$45,(Assumptions!$AG$23+(Revenue!AZ40+Revenue!AZ41+Revenue!AZ42)*Assumptions!$AG$24)*(1+Revenue!AK33),IF(L$5=Assumptions!$J$45,Assumptions!$AG$23+(Revenue!AZ40+Revenue!AZ41+Revenue!AZ42)*Assumptions!$AG$24,0))</f>
        <v>21664.464071480885</v>
      </c>
    </row>
    <row r="535" spans="1:12">
      <c r="A535" s="408" t="s">
        <v>29</v>
      </c>
      <c r="B535" s="405"/>
      <c r="C535" s="403">
        <f>IF(C$5 &gt;= Assumptions!$J$45, Assumptions!AG25, 0)</f>
        <v>0</v>
      </c>
      <c r="D535" s="403">
        <f>IF(D$5&gt;Assumptions!$J$45,C535*(1+Revenue!AC33)*(1+Assumptions!$J$10),IF(D$5=Assumptions!$J$45,Assumptions!$AG25,0))</f>
        <v>0</v>
      </c>
      <c r="E535" s="403">
        <f>IF(E$5&gt;Assumptions!$J$45,D535*(1+Revenue!AD33)*(1+Assumptions!$J$10),IF(E$5=Assumptions!$J$45,Assumptions!$AG25,0))</f>
        <v>0</v>
      </c>
      <c r="F535" s="403">
        <f>IF(F$5&gt;Assumptions!$J$45,E535*(1+Revenue!AE33)*(1+Assumptions!$J$10),IF(F$5=Assumptions!$J$45,Assumptions!$AG25,0))</f>
        <v>0</v>
      </c>
      <c r="G535" s="403">
        <f>IF(G$5&gt;Assumptions!$J$45,F535*(1+Revenue!AF33)*(1+Assumptions!$J$10),IF(G$5=Assumptions!$J$45,Assumptions!$AG25,0))</f>
        <v>0</v>
      </c>
      <c r="H535" s="403">
        <f>IF(H$5&gt;Assumptions!$J$45,G535*(1+Revenue!AG33)*(1+Assumptions!$J$10),IF(H$5=Assumptions!$J$45,Assumptions!$AG25,0))</f>
        <v>0</v>
      </c>
      <c r="I535" s="403">
        <f>IF(I$5&gt;Assumptions!$J$45,H535*(1+Revenue!AH33)*(1+Assumptions!$J$10),IF(I$5=Assumptions!$J$45,Assumptions!$AG25,0))</f>
        <v>0</v>
      </c>
      <c r="J535" s="403">
        <f>IF(J$5&gt;Assumptions!$J$45,I535*(1+Revenue!AI33)*(1+Assumptions!$J$10),IF(J$5=Assumptions!$J$45,Assumptions!$AG25,0))</f>
        <v>0</v>
      </c>
      <c r="K535" s="403">
        <f>IF(K$5&gt;Assumptions!$J$45,J535*(1+Revenue!AJ33)*(1+Assumptions!$J$10),IF(K$5=Assumptions!$J$45,Assumptions!$AG25,0))</f>
        <v>0</v>
      </c>
      <c r="L535" s="403">
        <f>IF(L$5&gt;Assumptions!$J$45,K535*(1+Revenue!AK33)*(1+Assumptions!$J$10),IF(L$5=Assumptions!$J$45,Assumptions!$AG25,0))</f>
        <v>0</v>
      </c>
    </row>
    <row r="536" spans="1:12">
      <c r="A536" s="408" t="s">
        <v>279</v>
      </c>
      <c r="B536" s="405"/>
      <c r="C536" s="403">
        <f>IF(C$5 &gt;= Assumptions!$J$45, Assumptions!AG26, 0)</f>
        <v>0</v>
      </c>
      <c r="D536" s="403">
        <f>IF(D$5 &gt; Assumptions!$J$45, C536*(1+Revenue!AC33)*(1+Assumptions!$J$11), IF(D$5 = Assumptions!$J$45, Assumptions!$AG26, 0))</f>
        <v>0</v>
      </c>
      <c r="E536" s="403">
        <f>IF(E$5 &gt; Assumptions!$J$45, D536*(1+Revenue!AD33)*(1+Assumptions!$J$11), IF(E$5 = Assumptions!$J$45, Assumptions!$AG26, 0))</f>
        <v>0</v>
      </c>
      <c r="F536" s="403">
        <f>IF(F$5 &gt; Assumptions!$J$45, E536*(1+Revenue!AE33)*(1+Assumptions!$J$11), IF(F$5 = Assumptions!$J$45, Assumptions!$AG26, 0))</f>
        <v>0</v>
      </c>
      <c r="G536" s="403">
        <f>IF(G$5 &gt; Assumptions!$J$45, F536*(1+Revenue!AF33)*(1+Assumptions!$J$11), IF(G$5 = Assumptions!$J$45, Assumptions!$AG26, 0))</f>
        <v>0</v>
      </c>
      <c r="H536" s="403">
        <f>IF(H$5 &gt; Assumptions!$J$45, G536*(1+Revenue!AG33)*(1+Assumptions!$J$11), IF(H$5 = Assumptions!$J$45, Assumptions!$AG26, 0))</f>
        <v>0</v>
      </c>
      <c r="I536" s="403">
        <f>IF(I$5 &gt; Assumptions!$J$45, H536*(1+Revenue!AH33)*(1+Assumptions!$J$11), IF(I$5 = Assumptions!$J$45, Assumptions!$AG26, 0))</f>
        <v>0</v>
      </c>
      <c r="J536" s="403">
        <f>IF(J$5 &gt; Assumptions!$J$45, I536*(1+Revenue!AI33)*(1+Assumptions!$J$11), IF(J$5 = Assumptions!$J$45, Assumptions!$AG26, 0))</f>
        <v>0</v>
      </c>
      <c r="K536" s="403">
        <f>IF(K$5 &gt; Assumptions!$J$45, J536*(1+Revenue!AJ33)*(1+Assumptions!$J$11), IF(K$5 = Assumptions!$J$45, Assumptions!$AG26, 0))</f>
        <v>0</v>
      </c>
      <c r="L536" s="403">
        <f>IF(L$5 &gt; Assumptions!$J$45, K536*(1+Revenue!AK33)*(1+Assumptions!$J$11), IF(L$5 = Assumptions!$J$45, Assumptions!$AG26, 0))</f>
        <v>0</v>
      </c>
    </row>
    <row r="537" spans="1:12">
      <c r="A537" s="408" t="s">
        <v>31</v>
      </c>
      <c r="B537" s="405"/>
      <c r="C537" s="403">
        <f>IF(C$5 &gt;= Assumptions!$J$45, Assumptions!AG27, 0)</f>
        <v>0</v>
      </c>
      <c r="D537" s="403">
        <f>IF(D$5 &gt; Assumptions!$J$45, C537*(1+Revenue!AC33), IF(D$5 = Assumptions!$J$45, Assumptions!$AG27, 0))</f>
        <v>0</v>
      </c>
      <c r="E537" s="403">
        <f>IF(E$5 &gt; Assumptions!$J$45, D537*(1+Revenue!AD33), IF(E$5 = Assumptions!$J$45, Assumptions!$AG27, 0))</f>
        <v>0</v>
      </c>
      <c r="F537" s="403">
        <f>IF(F$5 &gt; Assumptions!$J$45, E537*(1+Revenue!AE33), IF(F$5 = Assumptions!$J$45, Assumptions!$AG27, 0))</f>
        <v>1200</v>
      </c>
      <c r="G537" s="403">
        <f>IF(G$5 &gt; Assumptions!$J$45, F537*(1+Revenue!AF33), IF(G$5 = Assumptions!$J$45, Assumptions!$AG27, 0))</f>
        <v>1238.4000000000001</v>
      </c>
      <c r="H537" s="403">
        <f>IF(H$5 &gt; Assumptions!$J$45, G537*(1+Revenue!AG33), IF(H$5 = Assumptions!$J$45, Assumptions!$AG27, 0))</f>
        <v>1278.0288</v>
      </c>
      <c r="I537" s="403">
        <f>IF(I$5 &gt; Assumptions!$J$45, H537*(1+Revenue!AH33), IF(I$5 = Assumptions!$J$45, Assumptions!$AG27, 0))</f>
        <v>1318.9257216000001</v>
      </c>
      <c r="J537" s="403">
        <f>IF(J$5 &gt; Assumptions!$J$45, I537*(1+Revenue!AI33), IF(J$5 = Assumptions!$J$45, Assumptions!$AG27, 0))</f>
        <v>1361.1313446912002</v>
      </c>
      <c r="K537" s="403">
        <f>IF(K$5 &gt; Assumptions!$J$45, J537*(1+Revenue!AJ33), IF(K$5 = Assumptions!$J$45, Assumptions!$AG27, 0))</f>
        <v>1404.6875477213187</v>
      </c>
      <c r="L537" s="403">
        <f>IF(L$5 &gt; Assumptions!$J$45, K537*(1+Revenue!AK33), IF(L$5 = Assumptions!$J$45, Assumptions!$AG27, 0))</f>
        <v>1449.637549248401</v>
      </c>
    </row>
    <row r="538" spans="1:12">
      <c r="A538" s="408" t="s">
        <v>33</v>
      </c>
      <c r="B538" s="405"/>
      <c r="C538" s="403">
        <f>IF(C$5 &gt;= Assumptions!$J$45, Assumptions!AG28, 0)</f>
        <v>0</v>
      </c>
      <c r="D538" s="403">
        <f>IF(D$5 &gt; Assumptions!$J$45, C538*(1+Revenue!AC33), IF(D$5 = Assumptions!$J$45, Assumptions!$AG28, 0))</f>
        <v>0</v>
      </c>
      <c r="E538" s="403">
        <f>IF(E$5 &gt; Assumptions!$J$45, D538*(1+Revenue!AD33), IF(E$5 = Assumptions!$J$45, Assumptions!$AG28, 0))</f>
        <v>0</v>
      </c>
      <c r="F538" s="403">
        <f>IF(F$5 &gt; Assumptions!$J$45, E538*(1+Revenue!AE33), IF(F$5 = Assumptions!$J$45, Assumptions!$AG28, 0))</f>
        <v>1000</v>
      </c>
      <c r="G538" s="403">
        <f>IF(G$5 &gt; Assumptions!$J$45, F538*(1+Revenue!AF33), IF(G$5 = Assumptions!$J$45, Assumptions!$AG28, 0))</f>
        <v>1032</v>
      </c>
      <c r="H538" s="403">
        <f>IF(H$5 &gt; Assumptions!$J$45, G538*(1+Revenue!AG33), IF(H$5 = Assumptions!$J$45, Assumptions!$AG28, 0))</f>
        <v>1065.0240000000001</v>
      </c>
      <c r="I538" s="403">
        <f>IF(I$5 &gt; Assumptions!$J$45, H538*(1+Revenue!AH33), IF(I$5 = Assumptions!$J$45, Assumptions!$AG28, 0))</f>
        <v>1099.1047680000001</v>
      </c>
      <c r="J538" s="403">
        <f>IF(J$5 &gt; Assumptions!$J$45, I538*(1+Revenue!AI33), IF(J$5 = Assumptions!$J$45, Assumptions!$AG28, 0))</f>
        <v>1134.2761205760003</v>
      </c>
      <c r="K538" s="403">
        <f>IF(K$5 &gt; Assumptions!$J$45, J538*(1+Revenue!AJ33), IF(K$5 = Assumptions!$J$45, Assumptions!$AG28, 0))</f>
        <v>1170.5729564344324</v>
      </c>
      <c r="L538" s="403">
        <f>IF(L$5 &gt; Assumptions!$J$45, K538*(1+Revenue!AK33), IF(L$5 = Assumptions!$J$45, Assumptions!$AG28, 0))</f>
        <v>1208.0312910403343</v>
      </c>
    </row>
    <row r="539" spans="1:12">
      <c r="A539" s="408" t="s">
        <v>35</v>
      </c>
      <c r="B539" s="405"/>
      <c r="C539" s="403">
        <f>IF(C$5 &gt;= Assumptions!$J$45, Assumptions!AG29, 0)</f>
        <v>0</v>
      </c>
      <c r="D539" s="403">
        <f>IF(D$5 &gt; Assumptions!$J$45, C539*(1+Revenue!AC33), IF(D$5 = Assumptions!$J$45, Assumptions!$AG29, 0))</f>
        <v>0</v>
      </c>
      <c r="E539" s="403">
        <f>IF(E$5 &gt; Assumptions!$J$45, D539*(1+Revenue!AD33), IF(E$5 = Assumptions!$J$45, Assumptions!$AG29, 0))</f>
        <v>0</v>
      </c>
      <c r="F539" s="403">
        <f>IF(F$5 &gt; Assumptions!$J$45, E539*(1+Revenue!AE33), IF(F$5 = Assumptions!$J$45, Assumptions!$AG29, 0))</f>
        <v>5000</v>
      </c>
      <c r="G539" s="403">
        <f>IF(G$5 &gt; Assumptions!$J$45, F539*(1+Revenue!AF33), IF(G$5 = Assumptions!$J$45, Assumptions!$AG29, 0))</f>
        <v>5160</v>
      </c>
      <c r="H539" s="403">
        <f>IF(H$5 &gt; Assumptions!$J$45, G539*(1+Revenue!AG33), IF(H$5 = Assumptions!$J$45, Assumptions!$AG29, 0))</f>
        <v>5325.12</v>
      </c>
      <c r="I539" s="403">
        <f>IF(I$5 &gt; Assumptions!$J$45, H539*(1+Revenue!AH33), IF(I$5 = Assumptions!$J$45, Assumptions!$AG29, 0))</f>
        <v>5495.5238399999998</v>
      </c>
      <c r="J539" s="403">
        <f>IF(J$5 &gt; Assumptions!$J$45, I539*(1+Revenue!AI33), IF(J$5 = Assumptions!$J$45, Assumptions!$AG29, 0))</f>
        <v>5671.38060288</v>
      </c>
      <c r="K539" s="403">
        <f>IF(K$5 &gt; Assumptions!$J$45, J539*(1+Revenue!AJ33), IF(K$5 = Assumptions!$J$45, Assumptions!$AG29, 0))</f>
        <v>5852.8647821721597</v>
      </c>
      <c r="L539" s="403">
        <f>IF(L$5 &gt; Assumptions!$J$45, K539*(1+Revenue!AK33), IF(L$5 = Assumptions!$J$45, Assumptions!$AG29, 0))</f>
        <v>6040.1564552016689</v>
      </c>
    </row>
    <row r="540" spans="1:12">
      <c r="A540" s="408"/>
      <c r="B540" s="405"/>
      <c r="C540" s="403"/>
      <c r="D540" s="403"/>
      <c r="E540" s="403"/>
      <c r="F540" s="403"/>
      <c r="G540" s="403"/>
      <c r="H540" s="403"/>
      <c r="I540" s="403"/>
      <c r="J540" s="403"/>
      <c r="K540" s="403"/>
      <c r="L540" s="403"/>
    </row>
    <row r="541" spans="1:12" ht="15.5">
      <c r="A541" s="409" t="s">
        <v>156</v>
      </c>
      <c r="B541" s="405"/>
      <c r="C541" s="403">
        <f t="shared" ref="C541:L541" si="151">SUM(C526:C539)</f>
        <v>0</v>
      </c>
      <c r="D541" s="403">
        <f t="shared" si="151"/>
        <v>0</v>
      </c>
      <c r="E541" s="403">
        <f t="shared" si="151"/>
        <v>0</v>
      </c>
      <c r="F541" s="403">
        <f t="shared" si="151"/>
        <v>5827750</v>
      </c>
      <c r="G541" s="403">
        <f t="shared" ca="1" si="151"/>
        <v>8074436.0390445832</v>
      </c>
      <c r="H541" s="403">
        <f t="shared" ca="1" si="151"/>
        <v>9463774.810056895</v>
      </c>
      <c r="I541" s="403">
        <f t="shared" ca="1" si="151"/>
        <v>10296629.427182715</v>
      </c>
      <c r="J541" s="403">
        <f t="shared" ca="1" si="151"/>
        <v>11234987.618846172</v>
      </c>
      <c r="K541" s="403">
        <f t="shared" ca="1" si="151"/>
        <v>12291797.090265591</v>
      </c>
      <c r="L541" s="403">
        <f t="shared" ca="1" si="151"/>
        <v>13490065.802189939</v>
      </c>
    </row>
    <row r="542" spans="1:12" ht="15.5">
      <c r="A542" s="409"/>
      <c r="B542" s="405"/>
      <c r="C542" s="403"/>
      <c r="D542" s="403"/>
      <c r="E542" s="403"/>
      <c r="F542" s="403"/>
      <c r="G542" s="403"/>
      <c r="H542" s="403"/>
      <c r="I542" s="403"/>
      <c r="J542" s="403"/>
      <c r="K542" s="403"/>
      <c r="L542" s="403"/>
    </row>
    <row r="543" spans="1:12" ht="15.5">
      <c r="A543" s="409" t="s">
        <v>36</v>
      </c>
      <c r="B543" s="405"/>
      <c r="C543" s="403"/>
      <c r="D543" s="403"/>
      <c r="E543" s="403"/>
      <c r="F543" s="403"/>
      <c r="G543" s="403"/>
      <c r="H543" s="403"/>
      <c r="I543" s="403"/>
      <c r="J543" s="403"/>
      <c r="K543" s="403"/>
      <c r="L543" s="403"/>
    </row>
    <row r="544" spans="1:12">
      <c r="A544" s="408" t="s">
        <v>38</v>
      </c>
      <c r="B544" s="405"/>
      <c r="C544" s="403">
        <f>IF(C$5 &gt;= Assumptions!$J$45, Assumptions!AS22, 0)</f>
        <v>0</v>
      </c>
      <c r="D544" s="403">
        <f>IF(D$5 &gt; Assumptions!$J$45, C544*(1+Revenue!AC33), IF(D$5 = Assumptions!$J$45, Assumptions!$AS22, 0))</f>
        <v>0</v>
      </c>
      <c r="E544" s="403">
        <f>IF(E$5 &gt; Assumptions!$J$45, D544*(1+Revenue!AD33), IF(E$5 = Assumptions!$J$45, Assumptions!$AS22, 0))</f>
        <v>0</v>
      </c>
      <c r="F544" s="403">
        <f>IF(F$5 &gt; Assumptions!$J$45, E544*(1+Revenue!AE33), IF(F$5 = Assumptions!$J$45, Assumptions!$AS22, 0))</f>
        <v>5000</v>
      </c>
      <c r="G544" s="403">
        <f>IF(G$5 &gt; Assumptions!$J$45, F544*(1+Revenue!AF33), IF(G$5 = Assumptions!$J$45, Assumptions!$AS22, 0))</f>
        <v>5160</v>
      </c>
      <c r="H544" s="403">
        <f>IF(H$5 &gt; Assumptions!$J$45, G544*(1+Revenue!AG33), IF(H$5 = Assumptions!$J$45, Assumptions!$AS22, 0))</f>
        <v>5325.12</v>
      </c>
      <c r="I544" s="403">
        <f>IF(I$5 &gt; Assumptions!$J$45, H544*(1+Revenue!AH33), IF(I$5 = Assumptions!$J$45, Assumptions!$AS22, 0))</f>
        <v>5495.5238399999998</v>
      </c>
      <c r="J544" s="403">
        <f>IF(J$5 &gt; Assumptions!$J$45, I544*(1+Revenue!AI33), IF(J$5 = Assumptions!$J$45, Assumptions!$AS22, 0))</f>
        <v>5671.38060288</v>
      </c>
      <c r="K544" s="403">
        <f>IF(K$5 &gt; Assumptions!$J$45, J544*(1+Revenue!AJ33), IF(K$5 = Assumptions!$J$45, Assumptions!$AS22, 0))</f>
        <v>5852.8647821721597</v>
      </c>
      <c r="L544" s="403">
        <f>IF(L$5 &gt; Assumptions!$J$45, K544*(1+Revenue!AK33), IF(L$5 = Assumptions!$J$45, Assumptions!$AS22, 0))</f>
        <v>6040.1564552016689</v>
      </c>
    </row>
    <row r="545" spans="1:12">
      <c r="A545" s="408" t="s">
        <v>39</v>
      </c>
      <c r="B545" s="405"/>
      <c r="C545" s="403">
        <f>IF(C$5 &gt;= Assumptions!$J$45, Assumptions!AS23, 0)</f>
        <v>0</v>
      </c>
      <c r="D545" s="403">
        <f>IF(D$5 &gt; Assumptions!$J$45, C544*(1+Revenue!AC33), IF(D$5 = Assumptions!$J$45, Assumptions!$AS23, 0))</f>
        <v>0</v>
      </c>
      <c r="E545" s="403">
        <f>IF(E$5 &gt; Assumptions!$J$45, D544*(1+Revenue!AD33), IF(E$5 = Assumptions!$J$45, Assumptions!$AS23, 0))</f>
        <v>0</v>
      </c>
      <c r="F545" s="403">
        <f>IF(F$5 &gt; Assumptions!$J$45, E544*(1+Revenue!AE33), IF(F$5 = Assumptions!$J$45, Assumptions!$AS23, 0))</f>
        <v>500</v>
      </c>
      <c r="G545" s="403">
        <f>IF(G$5 &gt; Assumptions!$J$45, F544*(1+Revenue!AF33), IF(G$5 = Assumptions!$J$45, Assumptions!$AS23, 0))</f>
        <v>5160</v>
      </c>
      <c r="H545" s="403">
        <f>IF(H$5 &gt; Assumptions!$J$45, G544*(1+Revenue!AG33), IF(H$5 = Assumptions!$J$45, Assumptions!$AS23, 0))</f>
        <v>5325.12</v>
      </c>
      <c r="I545" s="403">
        <f>IF(I$5 &gt; Assumptions!$J$45, H544*(1+Revenue!AH33), IF(I$5 = Assumptions!$J$45, Assumptions!$AS23, 0))</f>
        <v>5495.5238399999998</v>
      </c>
      <c r="J545" s="403">
        <f>IF(J$5 &gt; Assumptions!$J$45, I544*(1+Revenue!AI33), IF(J$5 = Assumptions!$J$45, Assumptions!$AS23, 0))</f>
        <v>5671.38060288</v>
      </c>
      <c r="K545" s="403">
        <f>IF(K$5 &gt; Assumptions!$J$45, J544*(1+Revenue!AJ33), IF(K$5 = Assumptions!$J$45, Assumptions!$AS23, 0))</f>
        <v>5852.8647821721597</v>
      </c>
      <c r="L545" s="403">
        <f>IF(L$5 &gt; Assumptions!$J$45, K544*(1+Revenue!AK33), IF(L$5 = Assumptions!$J$45, Assumptions!$AS23, 0))</f>
        <v>6040.1564552016689</v>
      </c>
    </row>
    <row r="546" spans="1:12">
      <c r="A546" s="408"/>
      <c r="B546" s="405"/>
      <c r="C546" s="403"/>
      <c r="D546" s="403"/>
      <c r="E546" s="403"/>
      <c r="F546" s="403"/>
      <c r="G546" s="403"/>
      <c r="H546" s="403"/>
      <c r="I546" s="403"/>
      <c r="J546" s="403"/>
      <c r="K546" s="403"/>
      <c r="L546" s="403"/>
    </row>
    <row r="547" spans="1:12" ht="15.5">
      <c r="A547" s="409" t="s">
        <v>157</v>
      </c>
      <c r="B547" s="405"/>
      <c r="C547" s="403">
        <f t="shared" ref="C547:L547" si="152">SUM(C544:C545)</f>
        <v>0</v>
      </c>
      <c r="D547" s="403">
        <f t="shared" si="152"/>
        <v>0</v>
      </c>
      <c r="E547" s="403">
        <f t="shared" si="152"/>
        <v>0</v>
      </c>
      <c r="F547" s="403">
        <f t="shared" si="152"/>
        <v>5500</v>
      </c>
      <c r="G547" s="403">
        <f t="shared" si="152"/>
        <v>10320</v>
      </c>
      <c r="H547" s="403">
        <f t="shared" si="152"/>
        <v>10650.24</v>
      </c>
      <c r="I547" s="403">
        <f t="shared" si="152"/>
        <v>10991.04768</v>
      </c>
      <c r="J547" s="403">
        <f t="shared" si="152"/>
        <v>11342.76120576</v>
      </c>
      <c r="K547" s="403">
        <f t="shared" si="152"/>
        <v>11705.729564344319</v>
      </c>
      <c r="L547" s="403">
        <f t="shared" si="152"/>
        <v>12080.312910403338</v>
      </c>
    </row>
    <row r="548" spans="1:12">
      <c r="A548" s="408"/>
      <c r="B548" s="405"/>
      <c r="C548" s="403"/>
      <c r="D548" s="403"/>
      <c r="E548" s="403"/>
      <c r="F548" s="403"/>
      <c r="G548" s="403"/>
      <c r="H548" s="403"/>
      <c r="I548" s="403"/>
      <c r="J548" s="403"/>
      <c r="K548" s="403"/>
      <c r="L548" s="403"/>
    </row>
    <row r="549" spans="1:12" ht="15.5">
      <c r="A549" s="409" t="s">
        <v>112</v>
      </c>
      <c r="B549" s="405"/>
      <c r="C549" s="403">
        <f t="shared" ref="C549:L549" si="153">C522+C541+C547</f>
        <v>0</v>
      </c>
      <c r="D549" s="403">
        <f t="shared" si="153"/>
        <v>0</v>
      </c>
      <c r="E549" s="403">
        <f t="shared" si="153"/>
        <v>0</v>
      </c>
      <c r="F549" s="403">
        <f t="shared" si="153"/>
        <v>5868250</v>
      </c>
      <c r="G549" s="403">
        <f t="shared" ca="1" si="153"/>
        <v>8084756.0390445832</v>
      </c>
      <c r="H549" s="403">
        <f t="shared" ca="1" si="153"/>
        <v>9474425.0500568952</v>
      </c>
      <c r="I549" s="403">
        <f t="shared" ca="1" si="153"/>
        <v>10307620.474862715</v>
      </c>
      <c r="J549" s="403">
        <f t="shared" ca="1" si="153"/>
        <v>11246330.380051933</v>
      </c>
      <c r="K549" s="403">
        <f t="shared" ca="1" si="153"/>
        <v>12303502.819829935</v>
      </c>
      <c r="L549" s="403">
        <f t="shared" ca="1" si="153"/>
        <v>13502146.115100343</v>
      </c>
    </row>
    <row r="550" spans="1:12">
      <c r="A550" s="408"/>
      <c r="B550" s="405"/>
      <c r="C550" s="403"/>
      <c r="D550" s="403"/>
      <c r="E550" s="403"/>
      <c r="F550" s="403"/>
      <c r="G550" s="403"/>
      <c r="H550" s="403"/>
      <c r="I550" s="403"/>
      <c r="J550" s="403"/>
      <c r="K550" s="403"/>
      <c r="L550" s="403"/>
    </row>
    <row r="551" spans="1:12" ht="15.5">
      <c r="A551" s="409" t="s">
        <v>372</v>
      </c>
      <c r="B551" s="405"/>
      <c r="C551" s="403">
        <f>C508-C549</f>
        <v>0</v>
      </c>
      <c r="D551" s="403">
        <f t="shared" ref="D551:L551" si="154">D508-D549</f>
        <v>0</v>
      </c>
      <c r="E551" s="403">
        <f t="shared" si="154"/>
        <v>0</v>
      </c>
      <c r="F551" s="403">
        <f t="shared" si="154"/>
        <v>10160750</v>
      </c>
      <c r="G551" s="403">
        <f t="shared" ca="1" si="154"/>
        <v>13291538.760737864</v>
      </c>
      <c r="H551" s="403">
        <f t="shared" ca="1" si="154"/>
        <v>15619628.281254327</v>
      </c>
      <c r="I551" s="403">
        <f t="shared" ca="1" si="154"/>
        <v>17042115.49933365</v>
      </c>
      <c r="J551" s="403">
        <f t="shared" ca="1" si="154"/>
        <v>18643751.527093489</v>
      </c>
      <c r="K551" s="403">
        <f t="shared" ca="1" si="154"/>
        <v>20447366.43082618</v>
      </c>
      <c r="L551" s="403">
        <f t="shared" ca="1" si="154"/>
        <v>22492496.02815586</v>
      </c>
    </row>
    <row r="552" spans="1:12">
      <c r="A552" s="408"/>
      <c r="B552" s="405"/>
      <c r="C552" s="403"/>
      <c r="D552" s="403"/>
      <c r="E552" s="403"/>
      <c r="F552" s="403"/>
      <c r="G552" s="403"/>
      <c r="H552" s="403"/>
      <c r="I552" s="403"/>
      <c r="J552" s="403"/>
      <c r="K552" s="403"/>
      <c r="L552" s="403"/>
    </row>
    <row r="553" spans="1:12">
      <c r="A553" s="408" t="s">
        <v>159</v>
      </c>
      <c r="B553" s="405"/>
      <c r="C553" s="403">
        <v>0</v>
      </c>
      <c r="D553" s="403">
        <v>0</v>
      </c>
      <c r="E553" s="403">
        <v>0</v>
      </c>
      <c r="F553" s="403">
        <v>0</v>
      </c>
      <c r="G553" s="403">
        <v>0</v>
      </c>
      <c r="H553" s="403">
        <v>0</v>
      </c>
      <c r="I553" s="403">
        <v>0</v>
      </c>
      <c r="J553" s="403">
        <v>0</v>
      </c>
      <c r="K553" s="403">
        <v>0</v>
      </c>
      <c r="L553" s="403">
        <v>0</v>
      </c>
    </row>
    <row r="554" spans="1:12">
      <c r="A554" s="408" t="s">
        <v>160</v>
      </c>
      <c r="B554" s="405"/>
      <c r="C554" s="403">
        <v>0</v>
      </c>
      <c r="D554" s="403">
        <v>0</v>
      </c>
      <c r="E554" s="403">
        <v>0</v>
      </c>
      <c r="F554" s="403">
        <v>0</v>
      </c>
      <c r="G554" s="403">
        <v>0</v>
      </c>
      <c r="H554" s="403">
        <v>0</v>
      </c>
      <c r="I554" s="403">
        <v>0</v>
      </c>
      <c r="J554" s="403">
        <v>0</v>
      </c>
      <c r="K554" s="403">
        <v>0</v>
      </c>
      <c r="L554" s="403">
        <v>0</v>
      </c>
    </row>
    <row r="555" spans="1:12">
      <c r="A555" s="408"/>
      <c r="B555" s="405"/>
      <c r="C555" s="403"/>
      <c r="D555" s="403"/>
      <c r="E555" s="403"/>
      <c r="F555" s="403"/>
      <c r="G555" s="403"/>
      <c r="H555" s="403"/>
      <c r="I555" s="403"/>
      <c r="J555" s="403"/>
      <c r="K555" s="403"/>
      <c r="L555" s="403"/>
    </row>
    <row r="556" spans="1:12" ht="15.5">
      <c r="A556" s="409" t="s">
        <v>373</v>
      </c>
      <c r="B556" s="405"/>
      <c r="C556" s="403">
        <f>C551-C553-C554</f>
        <v>0</v>
      </c>
      <c r="D556" s="403">
        <f t="shared" ref="D556:L556" si="155">D551-D553-D554</f>
        <v>0</v>
      </c>
      <c r="E556" s="403">
        <f t="shared" si="155"/>
        <v>0</v>
      </c>
      <c r="F556" s="403">
        <f t="shared" si="155"/>
        <v>10160750</v>
      </c>
      <c r="G556" s="403">
        <f t="shared" ca="1" si="155"/>
        <v>13291538.760737864</v>
      </c>
      <c r="H556" s="403">
        <f t="shared" ca="1" si="155"/>
        <v>15619628.281254327</v>
      </c>
      <c r="I556" s="403">
        <f t="shared" ca="1" si="155"/>
        <v>17042115.49933365</v>
      </c>
      <c r="J556" s="403">
        <f t="shared" ca="1" si="155"/>
        <v>18643751.527093489</v>
      </c>
      <c r="K556" s="403">
        <f t="shared" ca="1" si="155"/>
        <v>20447366.43082618</v>
      </c>
      <c r="L556" s="403">
        <f t="shared" ca="1" si="155"/>
        <v>22492496.02815586</v>
      </c>
    </row>
    <row r="557" spans="1:12">
      <c r="A557" s="408"/>
      <c r="B557" s="405"/>
      <c r="C557" s="403"/>
      <c r="D557" s="403"/>
      <c r="E557" s="403"/>
      <c r="F557" s="403"/>
      <c r="G557" s="403"/>
      <c r="H557" s="403"/>
      <c r="I557" s="403"/>
      <c r="J557" s="403"/>
      <c r="K557" s="403"/>
      <c r="L557" s="403"/>
    </row>
    <row r="558" spans="1:12">
      <c r="A558" s="408" t="s">
        <v>162</v>
      </c>
      <c r="B558" s="405"/>
      <c r="C558" s="403">
        <v>0</v>
      </c>
      <c r="D558" s="403">
        <v>0</v>
      </c>
      <c r="E558" s="403">
        <v>0</v>
      </c>
      <c r="F558" s="403">
        <v>0</v>
      </c>
      <c r="G558" s="403">
        <v>0</v>
      </c>
      <c r="H558" s="403">
        <v>0</v>
      </c>
      <c r="I558" s="403">
        <v>0</v>
      </c>
      <c r="J558" s="403">
        <v>0</v>
      </c>
      <c r="K558" s="403">
        <v>0</v>
      </c>
      <c r="L558" s="403">
        <v>0</v>
      </c>
    </row>
    <row r="559" spans="1:12">
      <c r="A559" s="408"/>
      <c r="B559" s="405"/>
      <c r="C559" s="403"/>
      <c r="D559" s="403"/>
      <c r="E559" s="403"/>
      <c r="F559" s="403"/>
      <c r="G559" s="403"/>
      <c r="H559" s="403"/>
      <c r="I559" s="403"/>
      <c r="J559" s="403"/>
      <c r="K559" s="403"/>
      <c r="L559" s="403"/>
    </row>
    <row r="560" spans="1:12" ht="15.5">
      <c r="A560" s="409" t="s">
        <v>374</v>
      </c>
      <c r="B560" s="405"/>
      <c r="C560" s="403">
        <f>C556-C558</f>
        <v>0</v>
      </c>
      <c r="D560" s="403">
        <f t="shared" ref="D560:L560" si="156">D556-D558</f>
        <v>0</v>
      </c>
      <c r="E560" s="403">
        <f t="shared" si="156"/>
        <v>0</v>
      </c>
      <c r="F560" s="403">
        <f t="shared" si="156"/>
        <v>10160750</v>
      </c>
      <c r="G560" s="403">
        <f t="shared" ca="1" si="156"/>
        <v>13291538.760737864</v>
      </c>
      <c r="H560" s="403">
        <f t="shared" ca="1" si="156"/>
        <v>15619628.281254327</v>
      </c>
      <c r="I560" s="403">
        <f t="shared" ca="1" si="156"/>
        <v>17042115.49933365</v>
      </c>
      <c r="J560" s="403">
        <f t="shared" ca="1" si="156"/>
        <v>18643751.527093489</v>
      </c>
      <c r="K560" s="403">
        <f t="shared" ca="1" si="156"/>
        <v>20447366.43082618</v>
      </c>
      <c r="L560" s="403">
        <f t="shared" ca="1" si="156"/>
        <v>22492496.02815586</v>
      </c>
    </row>
    <row r="561" spans="1:12">
      <c r="A561" s="408"/>
      <c r="B561" s="405"/>
      <c r="C561" s="403"/>
      <c r="D561" s="403"/>
      <c r="E561" s="403"/>
      <c r="F561" s="403"/>
      <c r="G561" s="403"/>
      <c r="H561" s="403"/>
      <c r="I561" s="403"/>
      <c r="J561" s="403"/>
      <c r="K561" s="403"/>
      <c r="L561" s="403"/>
    </row>
    <row r="562" spans="1:12">
      <c r="A562" s="408" t="s">
        <v>164</v>
      </c>
      <c r="B562" s="405"/>
      <c r="C562" s="403">
        <f>C560*Assumptions!$Y$18</f>
        <v>0</v>
      </c>
      <c r="D562" s="403">
        <f>D560*Assumptions!$Y$18</f>
        <v>0</v>
      </c>
      <c r="E562" s="403">
        <f>E560*Assumptions!$Y$18</f>
        <v>0</v>
      </c>
      <c r="F562" s="403">
        <f>F560*Assumptions!$Y$18</f>
        <v>2641795</v>
      </c>
      <c r="G562" s="403">
        <f ca="1">G560*Assumptions!$Y$18</f>
        <v>3455800.077791845</v>
      </c>
      <c r="H562" s="403">
        <f ca="1">H560*Assumptions!$Y$18</f>
        <v>4061103.3531261249</v>
      </c>
      <c r="I562" s="403">
        <f ca="1">I560*Assumptions!$Y$18</f>
        <v>4430950.0298267491</v>
      </c>
      <c r="J562" s="403">
        <f ca="1">J560*Assumptions!$Y$18</f>
        <v>4847375.3970443076</v>
      </c>
      <c r="K562" s="403">
        <f ca="1">K560*Assumptions!$Y$18</f>
        <v>5316315.272014807</v>
      </c>
      <c r="L562" s="403">
        <f ca="1">L560*Assumptions!$Y$18</f>
        <v>5848048.9673205232</v>
      </c>
    </row>
    <row r="563" spans="1:12">
      <c r="A563" s="408"/>
      <c r="B563" s="405"/>
      <c r="C563" s="403"/>
      <c r="D563" s="403"/>
      <c r="E563" s="403"/>
      <c r="F563" s="403"/>
      <c r="G563" s="403"/>
      <c r="H563" s="403"/>
      <c r="I563" s="403"/>
      <c r="J563" s="403"/>
      <c r="K563" s="403"/>
      <c r="L563" s="403"/>
    </row>
    <row r="564" spans="1:12" ht="15.5">
      <c r="A564" s="409" t="s">
        <v>97</v>
      </c>
      <c r="B564" s="405"/>
      <c r="C564" s="403">
        <f>C560-C562</f>
        <v>0</v>
      </c>
      <c r="D564" s="403">
        <f t="shared" ref="D564:L564" si="157">D560-D562</f>
        <v>0</v>
      </c>
      <c r="E564" s="403">
        <f t="shared" si="157"/>
        <v>0</v>
      </c>
      <c r="F564" s="403">
        <f t="shared" si="157"/>
        <v>7518955</v>
      </c>
      <c r="G564" s="403">
        <f t="shared" ca="1" si="157"/>
        <v>9835738.6829460189</v>
      </c>
      <c r="H564" s="403">
        <f t="shared" ca="1" si="157"/>
        <v>11558524.928128202</v>
      </c>
      <c r="I564" s="403">
        <f t="shared" ca="1" si="157"/>
        <v>12611165.469506901</v>
      </c>
      <c r="J564" s="403">
        <f t="shared" ca="1" si="157"/>
        <v>13796376.13004918</v>
      </c>
      <c r="K564" s="403">
        <f t="shared" ca="1" si="157"/>
        <v>15131051.158811372</v>
      </c>
      <c r="L564" s="403">
        <f t="shared" ca="1" si="157"/>
        <v>16644447.060835335</v>
      </c>
    </row>
    <row r="565" spans="1:12">
      <c r="A565" s="408"/>
      <c r="B565" s="405"/>
      <c r="C565" s="403"/>
      <c r="D565" s="403"/>
      <c r="E565" s="403"/>
      <c r="F565" s="403"/>
      <c r="G565" s="403"/>
      <c r="H565" s="403"/>
      <c r="I565" s="403"/>
      <c r="J565" s="403"/>
      <c r="K565" s="403"/>
      <c r="L565" s="403"/>
    </row>
    <row r="566" spans="1:12" ht="16" thickBot="1">
      <c r="A566" s="412" t="s">
        <v>165</v>
      </c>
      <c r="B566" s="406"/>
      <c r="C566" s="407">
        <f>C564</f>
        <v>0</v>
      </c>
      <c r="D566" s="407">
        <f t="shared" ref="D566:L566" si="158">C566+D564</f>
        <v>0</v>
      </c>
      <c r="E566" s="407">
        <f t="shared" si="158"/>
        <v>0</v>
      </c>
      <c r="F566" s="407">
        <f t="shared" si="158"/>
        <v>7518955</v>
      </c>
      <c r="G566" s="407">
        <f t="shared" ca="1" si="158"/>
        <v>17354693.682946019</v>
      </c>
      <c r="H566" s="407">
        <f t="shared" ca="1" si="158"/>
        <v>28913218.61107422</v>
      </c>
      <c r="I566" s="407">
        <f t="shared" ca="1" si="158"/>
        <v>41524384.080581121</v>
      </c>
      <c r="J566" s="407">
        <f t="shared" ca="1" si="158"/>
        <v>55320760.210630298</v>
      </c>
      <c r="K566" s="407">
        <f t="shared" ca="1" si="158"/>
        <v>70451811.369441673</v>
      </c>
      <c r="L566" s="407">
        <f t="shared" ca="1" si="158"/>
        <v>87096258.430277005</v>
      </c>
    </row>
    <row r="567" spans="1:12" ht="15" thickTop="1">
      <c r="B567" s="419"/>
      <c r="C567" s="420"/>
      <c r="D567" s="420"/>
      <c r="E567" s="420"/>
      <c r="F567" s="420"/>
      <c r="G567" s="420"/>
      <c r="H567" s="420"/>
      <c r="I567" s="420"/>
      <c r="J567" s="420"/>
      <c r="K567" s="420"/>
      <c r="L567" s="420"/>
    </row>
    <row r="568" spans="1:12" ht="15.5">
      <c r="A568" s="413" t="s">
        <v>353</v>
      </c>
      <c r="B568" s="405"/>
      <c r="C568" s="135"/>
      <c r="D568" s="135"/>
      <c r="E568" s="135"/>
      <c r="F568" s="135"/>
      <c r="G568" s="135"/>
      <c r="H568" s="135"/>
      <c r="I568" s="135"/>
      <c r="J568" s="135"/>
      <c r="K568" s="135"/>
      <c r="L568" s="136"/>
    </row>
    <row r="569" spans="1:12" ht="15.5">
      <c r="A569" s="414" t="s">
        <v>355</v>
      </c>
      <c r="B569" s="405"/>
      <c r="C569" s="48"/>
      <c r="D569" s="48"/>
      <c r="E569" s="48"/>
      <c r="F569" s="48"/>
      <c r="G569" s="48"/>
      <c r="H569" s="48"/>
      <c r="I569" s="48"/>
      <c r="J569" s="48"/>
      <c r="K569" s="48"/>
      <c r="L569" s="48"/>
    </row>
    <row r="570" spans="1:12">
      <c r="A570" s="415" t="s">
        <v>289</v>
      </c>
      <c r="B570" s="405"/>
      <c r="C570" s="133">
        <f>Revenue!AQ68</f>
        <v>0</v>
      </c>
      <c r="D570" s="133">
        <f>Revenue!AR68</f>
        <v>0</v>
      </c>
      <c r="E570" s="133">
        <f>Revenue!AS68</f>
        <v>0</v>
      </c>
      <c r="F570" s="133">
        <f>Revenue!AT68</f>
        <v>1540</v>
      </c>
      <c r="G570" s="133">
        <f ca="1">Revenue!AU68</f>
        <v>1587.3499756674264</v>
      </c>
      <c r="H570" s="133">
        <f ca="1">Revenue!AV68</f>
        <v>1642.3136422701109</v>
      </c>
      <c r="I570" s="133">
        <f ca="1">Revenue!AW68</f>
        <v>1705.7145085900438</v>
      </c>
      <c r="J570" s="133">
        <f ca="1">Revenue!AX68</f>
        <v>1778.3002528126231</v>
      </c>
      <c r="K570" s="133">
        <f ca="1">Revenue!AY68</f>
        <v>1860.9566074258448</v>
      </c>
      <c r="L570" s="133">
        <f ca="1">Revenue!AZ68</f>
        <v>1952.4881842189175</v>
      </c>
    </row>
    <row r="571" spans="1:12">
      <c r="A571" s="415" t="s">
        <v>60</v>
      </c>
      <c r="B571" s="405"/>
      <c r="C571" s="403">
        <f>Revenue!AC68</f>
        <v>0</v>
      </c>
      <c r="D571" s="403">
        <f>Revenue!AD68</f>
        <v>0</v>
      </c>
      <c r="E571" s="403">
        <f>Revenue!AE68</f>
        <v>0</v>
      </c>
      <c r="F571" s="403">
        <f>Revenue!AF68</f>
        <v>5000</v>
      </c>
      <c r="G571" s="403">
        <f>Revenue!AG68</f>
        <v>5500</v>
      </c>
      <c r="H571" s="403">
        <f>Revenue!AH68</f>
        <v>6050.0000000000009</v>
      </c>
      <c r="I571" s="403">
        <f>Revenue!AI68</f>
        <v>6655.0000000000018</v>
      </c>
      <c r="J571" s="403">
        <f>Revenue!AJ68</f>
        <v>7320.5000000000027</v>
      </c>
      <c r="K571" s="403">
        <f>Revenue!AK68</f>
        <v>8052.5500000000038</v>
      </c>
      <c r="L571" s="403">
        <f>Revenue!AL68</f>
        <v>8857.8050000000057</v>
      </c>
    </row>
    <row r="572" spans="1:12">
      <c r="A572" s="415" t="s">
        <v>366</v>
      </c>
      <c r="B572" s="405"/>
      <c r="C572" s="403">
        <f t="shared" ref="C572:L572" si="159">C570*C571</f>
        <v>0</v>
      </c>
      <c r="D572" s="403">
        <f t="shared" si="159"/>
        <v>0</v>
      </c>
      <c r="E572" s="403">
        <f t="shared" si="159"/>
        <v>0</v>
      </c>
      <c r="F572" s="403">
        <f t="shared" si="159"/>
        <v>7700000</v>
      </c>
      <c r="G572" s="403">
        <f t="shared" ca="1" si="159"/>
        <v>8730424.8661708459</v>
      </c>
      <c r="H572" s="403">
        <f t="shared" ca="1" si="159"/>
        <v>9935997.5357341729</v>
      </c>
      <c r="I572" s="403">
        <f t="shared" ca="1" si="159"/>
        <v>11351530.054666745</v>
      </c>
      <c r="J572" s="403">
        <f t="shared" ca="1" si="159"/>
        <v>13018047.000714812</v>
      </c>
      <c r="K572" s="403">
        <f t="shared" ca="1" si="159"/>
        <v>14985446.129126994</v>
      </c>
      <c r="L572" s="403">
        <f t="shared" ca="1" si="159"/>
        <v>17294759.600615259</v>
      </c>
    </row>
    <row r="573" spans="1:12" ht="15.5">
      <c r="A573" s="416" t="s">
        <v>356</v>
      </c>
      <c r="B573" s="405"/>
      <c r="C573" s="48"/>
      <c r="D573" s="48"/>
      <c r="E573" s="48"/>
      <c r="F573" s="48"/>
      <c r="G573" s="48"/>
      <c r="H573" s="48"/>
      <c r="I573" s="48"/>
      <c r="J573" s="48"/>
      <c r="K573" s="48"/>
      <c r="L573" s="48"/>
    </row>
    <row r="574" spans="1:12">
      <c r="A574" s="417" t="s">
        <v>358</v>
      </c>
      <c r="B574" s="405"/>
      <c r="C574" s="133">
        <f>Revenue!AQ69</f>
        <v>0</v>
      </c>
      <c r="D574" s="133">
        <f>Revenue!AR69</f>
        <v>0</v>
      </c>
      <c r="E574" s="133">
        <f>Revenue!AS69</f>
        <v>0</v>
      </c>
      <c r="F574" s="133">
        <f>Revenue!AT69</f>
        <v>1000</v>
      </c>
      <c r="G574" s="133">
        <f ca="1">Revenue!AU69</f>
        <v>1050.2199516551325</v>
      </c>
      <c r="H574" s="133">
        <f ca="1">Revenue!AV69</f>
        <v>1107.1504916605181</v>
      </c>
      <c r="I574" s="133">
        <f ca="1">Revenue!AW69</f>
        <v>1170.5309996287599</v>
      </c>
      <c r="J574" s="133">
        <f ca="1">Revenue!AX69</f>
        <v>1242.2095495379856</v>
      </c>
      <c r="K574" s="133">
        <f ca="1">Revenue!AY69</f>
        <v>1323.1460084382654</v>
      </c>
      <c r="L574" s="133">
        <f ca="1">Revenue!AZ69</f>
        <v>1414.5944349484305</v>
      </c>
    </row>
    <row r="575" spans="1:12">
      <c r="A575" s="417" t="s">
        <v>359</v>
      </c>
      <c r="B575" s="405"/>
      <c r="C575" s="403">
        <f>Revenue!AC69</f>
        <v>0</v>
      </c>
      <c r="D575" s="403">
        <f>Revenue!AD69</f>
        <v>0</v>
      </c>
      <c r="E575" s="403">
        <f>Revenue!AE69</f>
        <v>0</v>
      </c>
      <c r="F575" s="403">
        <f>Revenue!AF69</f>
        <v>7000</v>
      </c>
      <c r="G575" s="403">
        <f>Revenue!AG69</f>
        <v>7700.0000000000009</v>
      </c>
      <c r="H575" s="403">
        <f>Revenue!AH69</f>
        <v>8470.0000000000018</v>
      </c>
      <c r="I575" s="403">
        <f>Revenue!AI69</f>
        <v>9317.0000000000036</v>
      </c>
      <c r="J575" s="403">
        <f>Revenue!AJ69</f>
        <v>10248.700000000004</v>
      </c>
      <c r="K575" s="403">
        <f>Revenue!AK69</f>
        <v>11273.570000000005</v>
      </c>
      <c r="L575" s="403">
        <f>Revenue!AL69</f>
        <v>12400.927000000007</v>
      </c>
    </row>
    <row r="576" spans="1:12">
      <c r="A576" s="418" t="s">
        <v>366</v>
      </c>
      <c r="B576" s="405"/>
      <c r="C576" s="403">
        <f t="shared" ref="C576:L576" si="160">C574*C575</f>
        <v>0</v>
      </c>
      <c r="D576" s="403">
        <f t="shared" si="160"/>
        <v>0</v>
      </c>
      <c r="E576" s="403">
        <f t="shared" si="160"/>
        <v>0</v>
      </c>
      <c r="F576" s="403">
        <f t="shared" si="160"/>
        <v>7000000</v>
      </c>
      <c r="G576" s="403">
        <f t="shared" ca="1" si="160"/>
        <v>8086693.627744521</v>
      </c>
      <c r="H576" s="403">
        <f t="shared" ca="1" si="160"/>
        <v>9377564.6643645912</v>
      </c>
      <c r="I576" s="403">
        <f t="shared" ca="1" si="160"/>
        <v>10905837.323541161</v>
      </c>
      <c r="J576" s="403">
        <f t="shared" ca="1" si="160"/>
        <v>12731033.010349959</v>
      </c>
      <c r="K576" s="403">
        <f t="shared" ca="1" si="160"/>
        <v>14916579.146349384</v>
      </c>
      <c r="L576" s="403">
        <f t="shared" ca="1" si="160"/>
        <v>17542282.322401743</v>
      </c>
    </row>
    <row r="577" spans="1:12" ht="15.5">
      <c r="A577" s="416" t="s">
        <v>357</v>
      </c>
      <c r="B577" s="405"/>
      <c r="C577" s="48"/>
      <c r="D577" s="48"/>
      <c r="E577" s="48"/>
      <c r="F577" s="48"/>
      <c r="G577" s="48"/>
      <c r="H577" s="48"/>
      <c r="I577" s="48"/>
      <c r="J577" s="48"/>
      <c r="K577" s="48"/>
      <c r="L577" s="48"/>
    </row>
    <row r="578" spans="1:12">
      <c r="A578" s="417" t="s">
        <v>358</v>
      </c>
      <c r="B578" s="405"/>
      <c r="C578" s="133">
        <f>Revenue!AQ70</f>
        <v>0</v>
      </c>
      <c r="D578" s="133">
        <f>Revenue!AR70</f>
        <v>0</v>
      </c>
      <c r="E578" s="133">
        <f>Revenue!AS70</f>
        <v>0</v>
      </c>
      <c r="F578" s="133">
        <f>Revenue!AT70</f>
        <v>1270</v>
      </c>
      <c r="G578" s="133">
        <f ca="1">Revenue!AU70</f>
        <v>1319.4868064493214</v>
      </c>
      <c r="H578" s="133">
        <f ca="1">Revenue!AV70</f>
        <v>1374.1267845996163</v>
      </c>
      <c r="I578" s="133">
        <f ca="1">Revenue!AW70</f>
        <v>1435.0695558645893</v>
      </c>
      <c r="J578" s="133">
        <f ca="1">Revenue!AX70</f>
        <v>1504.370482503396</v>
      </c>
      <c r="K578" s="133">
        <f ca="1">Revenue!AY70</f>
        <v>1583.019285797722</v>
      </c>
      <c r="L578" s="133">
        <f ca="1">Revenue!AZ70</f>
        <v>1671.4265547496721</v>
      </c>
    </row>
    <row r="579" spans="1:12">
      <c r="A579" s="417" t="s">
        <v>359</v>
      </c>
      <c r="B579" s="405"/>
      <c r="C579" s="403">
        <f>Revenue!AC70</f>
        <v>0</v>
      </c>
      <c r="D579" s="403">
        <f>Revenue!AD70</f>
        <v>0</v>
      </c>
      <c r="E579" s="403">
        <f>Revenue!AE70</f>
        <v>0</v>
      </c>
      <c r="F579" s="403">
        <f>Revenue!AF70</f>
        <v>5000</v>
      </c>
      <c r="G579" s="403">
        <f>Revenue!AG70</f>
        <v>5500</v>
      </c>
      <c r="H579" s="403">
        <f>Revenue!AH70</f>
        <v>6050.0000000000009</v>
      </c>
      <c r="I579" s="403">
        <f>Revenue!AI70</f>
        <v>6655.0000000000018</v>
      </c>
      <c r="J579" s="403">
        <f>Revenue!AJ70</f>
        <v>7320.5000000000027</v>
      </c>
      <c r="K579" s="403">
        <f>Revenue!AK70</f>
        <v>8052.5500000000038</v>
      </c>
      <c r="L579" s="403">
        <f>Revenue!AL70</f>
        <v>8857.8050000000057</v>
      </c>
    </row>
    <row r="580" spans="1:12">
      <c r="A580" s="418" t="s">
        <v>366</v>
      </c>
      <c r="B580" s="405"/>
      <c r="C580" s="403">
        <f t="shared" ref="C580:L580" si="161">C578*C579</f>
        <v>0</v>
      </c>
      <c r="D580" s="403">
        <f t="shared" si="161"/>
        <v>0</v>
      </c>
      <c r="E580" s="403">
        <f t="shared" si="161"/>
        <v>0</v>
      </c>
      <c r="F580" s="403">
        <f t="shared" si="161"/>
        <v>6350000</v>
      </c>
      <c r="G580" s="403">
        <f t="shared" ca="1" si="161"/>
        <v>7257177.4354712674</v>
      </c>
      <c r="H580" s="403">
        <f t="shared" ca="1" si="161"/>
        <v>8313467.0468276795</v>
      </c>
      <c r="I580" s="403">
        <f t="shared" ca="1" si="161"/>
        <v>9550387.8942788448</v>
      </c>
      <c r="J580" s="403">
        <f t="shared" ca="1" si="161"/>
        <v>11012744.117166115</v>
      </c>
      <c r="K580" s="403">
        <f t="shared" ca="1" si="161"/>
        <v>12747341.949850453</v>
      </c>
      <c r="L580" s="403">
        <f t="shared" ca="1" si="161"/>
        <v>14805170.493794428</v>
      </c>
    </row>
    <row r="581" spans="1:12" ht="15.5">
      <c r="A581" s="416" t="s">
        <v>360</v>
      </c>
      <c r="B581" s="405"/>
      <c r="C581" s="48"/>
      <c r="D581" s="48"/>
      <c r="E581" s="48"/>
      <c r="F581" s="48"/>
      <c r="G581" s="48"/>
      <c r="H581" s="48"/>
      <c r="I581" s="48"/>
      <c r="J581" s="48"/>
      <c r="K581" s="48"/>
      <c r="L581" s="48"/>
    </row>
    <row r="582" spans="1:12">
      <c r="A582" s="417" t="s">
        <v>358</v>
      </c>
      <c r="B582" s="405"/>
      <c r="C582" s="133">
        <f>Revenue!AQ71</f>
        <v>0</v>
      </c>
      <c r="D582" s="133">
        <f>Revenue!AR71</f>
        <v>0</v>
      </c>
      <c r="E582" s="133">
        <f>Revenue!AS71</f>
        <v>0</v>
      </c>
      <c r="F582" s="133">
        <f>Revenue!AT71</f>
        <v>0</v>
      </c>
      <c r="G582" s="133">
        <f>Revenue!AU71</f>
        <v>635</v>
      </c>
      <c r="H582" s="133">
        <f ca="1">Revenue!AV71</f>
        <v>668.4340329070692</v>
      </c>
      <c r="I582" s="133">
        <f ca="1">Revenue!AW71</f>
        <v>706.00831389685106</v>
      </c>
      <c r="J582" s="133">
        <f ca="1">Revenue!AX71</f>
        <v>748.26898709270108</v>
      </c>
      <c r="K582" s="133">
        <f ca="1">Revenue!AY71</f>
        <v>795.3213598055745</v>
      </c>
      <c r="L582" s="133">
        <f ca="1">Revenue!AZ71</f>
        <v>848.34181877735602</v>
      </c>
    </row>
    <row r="583" spans="1:12">
      <c r="A583" s="417" t="s">
        <v>359</v>
      </c>
      <c r="B583" s="405"/>
      <c r="C583" s="403">
        <f>Revenue!AC71</f>
        <v>0</v>
      </c>
      <c r="D583" s="403">
        <f>Revenue!AD71</f>
        <v>0</v>
      </c>
      <c r="E583" s="403">
        <f>Revenue!AE71</f>
        <v>0</v>
      </c>
      <c r="F583" s="403">
        <f>Revenue!AF71</f>
        <v>0</v>
      </c>
      <c r="G583" s="403">
        <f>Revenue!AG71</f>
        <v>9500</v>
      </c>
      <c r="H583" s="403">
        <f>Revenue!AH71</f>
        <v>10450</v>
      </c>
      <c r="I583" s="403">
        <f>Revenue!AI71</f>
        <v>11495.000000000002</v>
      </c>
      <c r="J583" s="403">
        <f>Revenue!AJ71</f>
        <v>12644.500000000004</v>
      </c>
      <c r="K583" s="403">
        <f>Revenue!AK71</f>
        <v>13908.950000000004</v>
      </c>
      <c r="L583" s="403">
        <f>Revenue!AL71</f>
        <v>15299.845000000007</v>
      </c>
    </row>
    <row r="584" spans="1:12">
      <c r="A584" s="418" t="s">
        <v>366</v>
      </c>
      <c r="B584" s="405"/>
      <c r="C584" s="403">
        <f t="shared" ref="C584:L584" si="162">C582*C583</f>
        <v>0</v>
      </c>
      <c r="D584" s="403">
        <f t="shared" si="162"/>
        <v>0</v>
      </c>
      <c r="E584" s="403">
        <f t="shared" si="162"/>
        <v>0</v>
      </c>
      <c r="F584" s="403">
        <f t="shared" si="162"/>
        <v>0</v>
      </c>
      <c r="G584" s="403">
        <f t="shared" si="162"/>
        <v>6032500</v>
      </c>
      <c r="H584" s="403">
        <f t="shared" ca="1" si="162"/>
        <v>6985135.6438788734</v>
      </c>
      <c r="I584" s="403">
        <f t="shared" ca="1" si="162"/>
        <v>8115565.5682443045</v>
      </c>
      <c r="J584" s="403">
        <f t="shared" ca="1" si="162"/>
        <v>9461487.2072936613</v>
      </c>
      <c r="K584" s="403">
        <f t="shared" ca="1" si="162"/>
        <v>11062085.027467748</v>
      </c>
      <c r="L584" s="403">
        <f t="shared" ca="1" si="162"/>
        <v>12979498.334311642</v>
      </c>
    </row>
    <row r="585" spans="1:12" ht="15.5">
      <c r="A585" s="416" t="s">
        <v>362</v>
      </c>
      <c r="B585" s="405"/>
      <c r="C585" s="48"/>
      <c r="D585" s="48"/>
      <c r="E585" s="48"/>
      <c r="F585" s="48"/>
      <c r="G585" s="48"/>
      <c r="H585" s="48"/>
      <c r="I585" s="48"/>
      <c r="J585" s="48"/>
      <c r="K585" s="48"/>
      <c r="L585" s="48"/>
    </row>
    <row r="586" spans="1:12">
      <c r="A586" s="417" t="s">
        <v>358</v>
      </c>
      <c r="B586" s="405"/>
      <c r="C586" s="133">
        <f>Revenue!AQ72</f>
        <v>0</v>
      </c>
      <c r="D586" s="133">
        <f>Revenue!AR72</f>
        <v>0</v>
      </c>
      <c r="E586" s="133">
        <f>Revenue!AS72</f>
        <v>0</v>
      </c>
      <c r="F586" s="133">
        <f>Revenue!AT72</f>
        <v>0</v>
      </c>
      <c r="G586" s="133">
        <f>Revenue!AU72</f>
        <v>0</v>
      </c>
      <c r="H586" s="133">
        <f>Revenue!AV72</f>
        <v>318</v>
      </c>
      <c r="I586" s="133">
        <f ca="1">Revenue!AW72</f>
        <v>326.26199538742259</v>
      </c>
      <c r="J586" s="133">
        <f ca="1">Revenue!AX72</f>
        <v>335.64378080352952</v>
      </c>
      <c r="K586" s="133">
        <f ca="1">Revenue!AY72</f>
        <v>346.63166240792276</v>
      </c>
      <c r="L586" s="133">
        <f ca="1">Revenue!AZ72</f>
        <v>359.00309217603888</v>
      </c>
    </row>
    <row r="587" spans="1:12">
      <c r="A587" s="417" t="s">
        <v>359</v>
      </c>
      <c r="B587" s="405"/>
      <c r="C587" s="403">
        <f>Revenue!AC72</f>
        <v>0</v>
      </c>
      <c r="D587" s="403">
        <f>Revenue!AD72</f>
        <v>0</v>
      </c>
      <c r="E587" s="403">
        <f>Revenue!AE72</f>
        <v>0</v>
      </c>
      <c r="F587" s="403">
        <f>Revenue!AF72</f>
        <v>0</v>
      </c>
      <c r="G587" s="403">
        <f>Revenue!AG72</f>
        <v>0</v>
      </c>
      <c r="H587" s="403">
        <f>Revenue!AH72</f>
        <v>10000</v>
      </c>
      <c r="I587" s="403">
        <f>Revenue!AI72</f>
        <v>11000</v>
      </c>
      <c r="J587" s="403">
        <f>Revenue!AJ72</f>
        <v>12100.000000000002</v>
      </c>
      <c r="K587" s="403">
        <f>Revenue!AK72</f>
        <v>13310.000000000004</v>
      </c>
      <c r="L587" s="403">
        <f>Revenue!AL72</f>
        <v>14641.000000000005</v>
      </c>
    </row>
    <row r="588" spans="1:12">
      <c r="A588" s="418" t="s">
        <v>366</v>
      </c>
      <c r="B588" s="405"/>
      <c r="C588" s="403">
        <f t="shared" ref="C588:L588" si="163">C586*C587</f>
        <v>0</v>
      </c>
      <c r="D588" s="403">
        <f t="shared" si="163"/>
        <v>0</v>
      </c>
      <c r="E588" s="403">
        <f t="shared" si="163"/>
        <v>0</v>
      </c>
      <c r="F588" s="403">
        <f t="shared" si="163"/>
        <v>0</v>
      </c>
      <c r="G588" s="403">
        <f t="shared" si="163"/>
        <v>0</v>
      </c>
      <c r="H588" s="403">
        <f t="shared" si="163"/>
        <v>3180000</v>
      </c>
      <c r="I588" s="403">
        <f t="shared" ca="1" si="163"/>
        <v>3588881.9492616486</v>
      </c>
      <c r="J588" s="403">
        <f t="shared" ca="1" si="163"/>
        <v>4061289.7477227077</v>
      </c>
      <c r="K588" s="403">
        <f t="shared" ca="1" si="163"/>
        <v>4613667.4266494531</v>
      </c>
      <c r="L588" s="403">
        <f t="shared" ca="1" si="163"/>
        <v>5256164.2725493871</v>
      </c>
    </row>
    <row r="589" spans="1:12" ht="15.5">
      <c r="A589" s="416" t="s">
        <v>361</v>
      </c>
      <c r="B589" s="405"/>
      <c r="C589" s="48"/>
      <c r="D589" s="48"/>
      <c r="E589" s="48"/>
      <c r="F589" s="48"/>
      <c r="G589" s="48"/>
      <c r="H589" s="48"/>
      <c r="I589" s="48"/>
      <c r="J589" s="48"/>
      <c r="K589" s="48"/>
      <c r="L589" s="48"/>
    </row>
    <row r="590" spans="1:12">
      <c r="A590" s="417" t="s">
        <v>358</v>
      </c>
      <c r="B590" s="405"/>
      <c r="C590" s="133">
        <f>Revenue!AQ73</f>
        <v>0</v>
      </c>
      <c r="D590" s="133">
        <f>Revenue!AR73</f>
        <v>0</v>
      </c>
      <c r="E590" s="133">
        <f>Revenue!AS73</f>
        <v>0</v>
      </c>
      <c r="F590" s="133">
        <f>Revenue!AT73</f>
        <v>1900</v>
      </c>
      <c r="G590" s="133">
        <f ca="1">Revenue!AU73</f>
        <v>1918.5528164543925</v>
      </c>
      <c r="H590" s="133">
        <f ca="1">Revenue!AV73</f>
        <v>1944.12647165054</v>
      </c>
      <c r="I590" s="133">
        <f ca="1">Revenue!AW73</f>
        <v>1976.6748565950477</v>
      </c>
      <c r="J590" s="133">
        <f ca="1">Revenue!AX73</f>
        <v>2017.6478617632924</v>
      </c>
      <c r="K590" s="133">
        <f ca="1">Revenue!AY73</f>
        <v>2067.5090652332356</v>
      </c>
      <c r="L590" s="133">
        <f ca="1">Revenue!AZ73</f>
        <v>2125.9845748544717</v>
      </c>
    </row>
    <row r="591" spans="1:12">
      <c r="A591" s="417" t="s">
        <v>359</v>
      </c>
      <c r="B591" s="405"/>
      <c r="C591" s="403">
        <f>Revenue!AC73</f>
        <v>0</v>
      </c>
      <c r="D591" s="403">
        <f>Revenue!AD73</f>
        <v>0</v>
      </c>
      <c r="E591" s="403">
        <f>Revenue!AE73</f>
        <v>0</v>
      </c>
      <c r="F591" s="403">
        <f>Revenue!AF73</f>
        <v>1900</v>
      </c>
      <c r="G591" s="403">
        <f>Revenue!AG73</f>
        <v>2090</v>
      </c>
      <c r="H591" s="403">
        <f>Revenue!AH73</f>
        <v>2299</v>
      </c>
      <c r="I591" s="403">
        <f>Revenue!AI73</f>
        <v>2528.9</v>
      </c>
      <c r="J591" s="403">
        <f>Revenue!AJ73</f>
        <v>2781.7900000000004</v>
      </c>
      <c r="K591" s="403">
        <f>Revenue!AK73</f>
        <v>3059.9690000000005</v>
      </c>
      <c r="L591" s="403">
        <f>Revenue!AL73</f>
        <v>3365.9659000000006</v>
      </c>
    </row>
    <row r="592" spans="1:12">
      <c r="A592" s="418" t="s">
        <v>366</v>
      </c>
      <c r="B592" s="405"/>
      <c r="C592" s="403">
        <f t="shared" ref="C592:L592" si="164">C590*C591</f>
        <v>0</v>
      </c>
      <c r="D592" s="403">
        <f t="shared" si="164"/>
        <v>0</v>
      </c>
      <c r="E592" s="403">
        <f t="shared" si="164"/>
        <v>0</v>
      </c>
      <c r="F592" s="403">
        <f t="shared" si="164"/>
        <v>3610000</v>
      </c>
      <c r="G592" s="403">
        <f t="shared" ca="1" si="164"/>
        <v>4009775.3863896802</v>
      </c>
      <c r="H592" s="403">
        <f t="shared" ca="1" si="164"/>
        <v>4469546.7583245914</v>
      </c>
      <c r="I592" s="403">
        <f t="shared" ca="1" si="164"/>
        <v>4998813.0448432164</v>
      </c>
      <c r="J592" s="403">
        <f t="shared" ca="1" si="164"/>
        <v>5612672.6453745104</v>
      </c>
      <c r="K592" s="403">
        <f t="shared" ca="1" si="164"/>
        <v>6326513.6468326794</v>
      </c>
      <c r="L592" s="403">
        <f t="shared" ca="1" si="164"/>
        <v>7155991.5828861501</v>
      </c>
    </row>
    <row r="593" spans="1:12" ht="15.5">
      <c r="A593" s="416" t="s">
        <v>363</v>
      </c>
      <c r="B593" s="405"/>
      <c r="C593" s="48"/>
      <c r="D593" s="48"/>
      <c r="E593" s="48"/>
      <c r="F593" s="48"/>
      <c r="G593" s="48"/>
      <c r="H593" s="48"/>
      <c r="I593" s="48"/>
      <c r="J593" s="48"/>
      <c r="K593" s="48"/>
      <c r="L593" s="48"/>
    </row>
    <row r="594" spans="1:12">
      <c r="A594" s="417" t="s">
        <v>358</v>
      </c>
      <c r="B594" s="405"/>
      <c r="C594" s="133">
        <f>Revenue!AQ74</f>
        <v>0</v>
      </c>
      <c r="D594" s="133">
        <f>Revenue!AR74</f>
        <v>0</v>
      </c>
      <c r="E594" s="133">
        <f>Revenue!AS74</f>
        <v>0</v>
      </c>
      <c r="F594" s="133">
        <f>Revenue!AT74</f>
        <v>0</v>
      </c>
      <c r="G594" s="133">
        <f>Revenue!AU74</f>
        <v>400</v>
      </c>
      <c r="H594" s="133">
        <f ca="1">Revenue!AV74</f>
        <v>761.33186367908479</v>
      </c>
      <c r="I594" s="133">
        <f ca="1">Revenue!AW74</f>
        <v>1084.2821215484335</v>
      </c>
      <c r="J594" s="133">
        <f ca="1">Revenue!AX74</f>
        <v>1373.3023870797012</v>
      </c>
      <c r="K594" s="133">
        <f ca="1">Revenue!AY74</f>
        <v>1632.1241404970094</v>
      </c>
      <c r="L594" s="133">
        <f ca="1">Revenue!AZ74</f>
        <v>1863.9037142038542</v>
      </c>
    </row>
    <row r="595" spans="1:12">
      <c r="A595" s="417" t="s">
        <v>359</v>
      </c>
      <c r="B595" s="405"/>
      <c r="C595" s="403">
        <f>Revenue!AC74</f>
        <v>0</v>
      </c>
      <c r="D595" s="403">
        <f>Revenue!AD74</f>
        <v>0</v>
      </c>
      <c r="E595" s="403">
        <f>Revenue!AE74</f>
        <v>0</v>
      </c>
      <c r="F595" s="403">
        <f>Revenue!AF74</f>
        <v>0</v>
      </c>
      <c r="G595" s="403">
        <f>Revenue!AG74</f>
        <v>500</v>
      </c>
      <c r="H595" s="403">
        <f>Revenue!AH74</f>
        <v>500</v>
      </c>
      <c r="I595" s="403">
        <f>Revenue!AI74</f>
        <v>500</v>
      </c>
      <c r="J595" s="403">
        <f>Revenue!AJ74</f>
        <v>500</v>
      </c>
      <c r="K595" s="403">
        <f>Revenue!AK74</f>
        <v>500</v>
      </c>
      <c r="L595" s="403">
        <f>Revenue!AL74</f>
        <v>500</v>
      </c>
    </row>
    <row r="596" spans="1:12">
      <c r="A596" s="418" t="s">
        <v>366</v>
      </c>
      <c r="B596" s="405"/>
      <c r="C596" s="403">
        <f t="shared" ref="C596:L596" si="165">C594*C595</f>
        <v>0</v>
      </c>
      <c r="D596" s="403">
        <f t="shared" si="165"/>
        <v>0</v>
      </c>
      <c r="E596" s="403">
        <f t="shared" si="165"/>
        <v>0</v>
      </c>
      <c r="F596" s="403">
        <f t="shared" si="165"/>
        <v>0</v>
      </c>
      <c r="G596" s="403">
        <f t="shared" si="165"/>
        <v>200000</v>
      </c>
      <c r="H596" s="403">
        <f t="shared" ca="1" si="165"/>
        <v>380665.93183954241</v>
      </c>
      <c r="I596" s="403">
        <f t="shared" ca="1" si="165"/>
        <v>542141.06077421678</v>
      </c>
      <c r="J596" s="403">
        <f t="shared" ca="1" si="165"/>
        <v>686651.19353985065</v>
      </c>
      <c r="K596" s="403">
        <f t="shared" ca="1" si="165"/>
        <v>816062.07024850475</v>
      </c>
      <c r="L596" s="403">
        <f t="shared" ca="1" si="165"/>
        <v>931951.85710192705</v>
      </c>
    </row>
    <row r="597" spans="1:12" ht="15.5">
      <c r="A597" s="416" t="s">
        <v>364</v>
      </c>
      <c r="B597" s="405"/>
      <c r="C597" s="48"/>
      <c r="D597" s="48"/>
      <c r="E597" s="48"/>
      <c r="F597" s="48"/>
      <c r="G597" s="48"/>
      <c r="H597" s="48"/>
      <c r="I597" s="48"/>
      <c r="J597" s="48"/>
      <c r="K597" s="48"/>
      <c r="L597" s="48"/>
    </row>
    <row r="598" spans="1:12">
      <c r="A598" s="417" t="s">
        <v>358</v>
      </c>
      <c r="B598" s="405"/>
      <c r="C598" s="133">
        <f>Revenue!AQ75</f>
        <v>0</v>
      </c>
      <c r="D598" s="133">
        <f>Revenue!AR75</f>
        <v>0</v>
      </c>
      <c r="E598" s="133">
        <f>Revenue!AS75</f>
        <v>0</v>
      </c>
      <c r="F598" s="133">
        <f>Revenue!AT75</f>
        <v>0</v>
      </c>
      <c r="G598" s="133">
        <f>Revenue!AU75</f>
        <v>300</v>
      </c>
      <c r="H598" s="133">
        <f ca="1">Revenue!AV75</f>
        <v>303.76898924381788</v>
      </c>
      <c r="I598" s="133">
        <f ca="1">Revenue!AW75</f>
        <v>308.44018973938046</v>
      </c>
      <c r="J598" s="133">
        <f ca="1">Revenue!AX75</f>
        <v>314.4084368280719</v>
      </c>
      <c r="K598" s="133">
        <f ca="1">Revenue!AY75</f>
        <v>321.74592273377891</v>
      </c>
      <c r="L598" s="133">
        <f ca="1">Revenue!AZ75</f>
        <v>330.39271679826305</v>
      </c>
    </row>
    <row r="599" spans="1:12">
      <c r="A599" s="417" t="s">
        <v>359</v>
      </c>
      <c r="B599" s="405"/>
      <c r="C599" s="403">
        <f>Revenue!AC75</f>
        <v>0</v>
      </c>
      <c r="D599" s="403">
        <f>Revenue!AD75</f>
        <v>0</v>
      </c>
      <c r="E599" s="403">
        <f>Revenue!AE75</f>
        <v>0</v>
      </c>
      <c r="F599" s="403">
        <f>Revenue!AF75</f>
        <v>0</v>
      </c>
      <c r="G599" s="403">
        <f>Revenue!AG75</f>
        <v>500</v>
      </c>
      <c r="H599" s="403">
        <f>Revenue!AH75</f>
        <v>550</v>
      </c>
      <c r="I599" s="403">
        <f>Revenue!AI75</f>
        <v>605</v>
      </c>
      <c r="J599" s="403">
        <f>Revenue!AJ75</f>
        <v>665.5</v>
      </c>
      <c r="K599" s="403">
        <f>Revenue!AK75</f>
        <v>732.05000000000007</v>
      </c>
      <c r="L599" s="403">
        <f>Revenue!AL75</f>
        <v>805.25500000000011</v>
      </c>
    </row>
    <row r="600" spans="1:12">
      <c r="A600" s="418" t="s">
        <v>366</v>
      </c>
      <c r="B600" s="405"/>
      <c r="C600" s="403">
        <f t="shared" ref="C600:L600" si="166">C598*C599</f>
        <v>0</v>
      </c>
      <c r="D600" s="403">
        <f t="shared" si="166"/>
        <v>0</v>
      </c>
      <c r="E600" s="403">
        <f t="shared" si="166"/>
        <v>0</v>
      </c>
      <c r="F600" s="403">
        <f t="shared" si="166"/>
        <v>0</v>
      </c>
      <c r="G600" s="403">
        <f t="shared" si="166"/>
        <v>150000</v>
      </c>
      <c r="H600" s="403">
        <f t="shared" ca="1" si="166"/>
        <v>167072.94408409984</v>
      </c>
      <c r="I600" s="403">
        <f t="shared" ca="1" si="166"/>
        <v>186606.31479232517</v>
      </c>
      <c r="J600" s="403">
        <f t="shared" ca="1" si="166"/>
        <v>209238.81470908184</v>
      </c>
      <c r="K600" s="403">
        <f t="shared" ca="1" si="166"/>
        <v>235534.10273726287</v>
      </c>
      <c r="L600" s="403">
        <f t="shared" ca="1" si="166"/>
        <v>266050.38716538536</v>
      </c>
    </row>
    <row r="601" spans="1:12" ht="15.5">
      <c r="A601" s="416" t="s">
        <v>365</v>
      </c>
      <c r="B601" s="405"/>
      <c r="C601" s="48"/>
      <c r="D601" s="48"/>
      <c r="E601" s="48"/>
      <c r="F601" s="48"/>
      <c r="G601" s="48"/>
      <c r="H601" s="48"/>
      <c r="I601" s="48"/>
      <c r="J601" s="48"/>
      <c r="K601" s="48"/>
      <c r="L601" s="48"/>
    </row>
    <row r="602" spans="1:12">
      <c r="A602" s="417" t="s">
        <v>358</v>
      </c>
      <c r="B602" s="405"/>
      <c r="C602" s="133">
        <f>Revenue!AQ76</f>
        <v>0</v>
      </c>
      <c r="D602" s="133">
        <f>Revenue!AR76</f>
        <v>0</v>
      </c>
      <c r="E602" s="133">
        <f>Revenue!AS76</f>
        <v>0</v>
      </c>
      <c r="F602" s="133">
        <f>Revenue!AT76</f>
        <v>0</v>
      </c>
      <c r="G602" s="133">
        <f>Revenue!AU76</f>
        <v>1500</v>
      </c>
      <c r="H602" s="133">
        <f ca="1">Revenue!AV76</f>
        <v>1522.2439369285853</v>
      </c>
      <c r="I602" s="133">
        <f ca="1">Revenue!AW76</f>
        <v>1549.2297263014789</v>
      </c>
      <c r="J602" s="133">
        <f ca="1">Revenue!AX76</f>
        <v>1582.5630826307781</v>
      </c>
      <c r="K602" s="133">
        <f ca="1">Revenue!AY76</f>
        <v>1622.5838810365867</v>
      </c>
      <c r="L602" s="133">
        <f ca="1">Revenue!AZ76</f>
        <v>1668.7821409609444</v>
      </c>
    </row>
    <row r="603" spans="1:12">
      <c r="A603" s="417" t="s">
        <v>359</v>
      </c>
      <c r="B603" s="405"/>
      <c r="C603" s="403">
        <f>Revenue!AC76</f>
        <v>0</v>
      </c>
      <c r="D603" s="403">
        <f>Revenue!AD76</f>
        <v>0</v>
      </c>
      <c r="E603" s="403">
        <f>Revenue!AE76</f>
        <v>0</v>
      </c>
      <c r="F603" s="403">
        <f>Revenue!AF76</f>
        <v>0</v>
      </c>
      <c r="G603" s="403">
        <f>Revenue!AG76</f>
        <v>300</v>
      </c>
      <c r="H603" s="403">
        <f>Revenue!AH76</f>
        <v>330</v>
      </c>
      <c r="I603" s="403">
        <f>Revenue!AI76</f>
        <v>363.00000000000006</v>
      </c>
      <c r="J603" s="403">
        <f>Revenue!AJ76</f>
        <v>399.30000000000007</v>
      </c>
      <c r="K603" s="403">
        <f>Revenue!AK76</f>
        <v>439.23000000000013</v>
      </c>
      <c r="L603" s="403">
        <f>Revenue!AL76</f>
        <v>483.15300000000019</v>
      </c>
    </row>
    <row r="604" spans="1:12">
      <c r="A604" s="417" t="s">
        <v>366</v>
      </c>
      <c r="B604" s="405"/>
      <c r="C604" s="403">
        <f t="shared" ref="C604:L604" si="167">C602*C603</f>
        <v>0</v>
      </c>
      <c r="D604" s="403">
        <f t="shared" si="167"/>
        <v>0</v>
      </c>
      <c r="E604" s="403">
        <f t="shared" si="167"/>
        <v>0</v>
      </c>
      <c r="F604" s="403">
        <f t="shared" si="167"/>
        <v>0</v>
      </c>
      <c r="G604" s="403">
        <f t="shared" si="167"/>
        <v>450000</v>
      </c>
      <c r="H604" s="403">
        <f t="shared" ca="1" si="167"/>
        <v>502340.49918643315</v>
      </c>
      <c r="I604" s="403">
        <f t="shared" ca="1" si="167"/>
        <v>562370.39064743696</v>
      </c>
      <c r="J604" s="403">
        <f t="shared" ca="1" si="167"/>
        <v>631917.43889446976</v>
      </c>
      <c r="K604" s="403">
        <f t="shared" ca="1" si="167"/>
        <v>712687.51806770021</v>
      </c>
      <c r="L604" s="403">
        <f t="shared" ca="1" si="167"/>
        <v>806277.09775170346</v>
      </c>
    </row>
    <row r="605" spans="1:12">
      <c r="A605" s="418"/>
      <c r="B605" s="405"/>
      <c r="C605" s="48"/>
      <c r="D605" s="48"/>
      <c r="E605" s="48"/>
      <c r="F605" s="48"/>
      <c r="G605" s="48"/>
      <c r="H605" s="48"/>
      <c r="I605" s="48"/>
      <c r="J605" s="48"/>
      <c r="K605" s="48"/>
      <c r="L605" s="138"/>
    </row>
    <row r="606" spans="1:12" ht="15.5">
      <c r="A606" s="409" t="s">
        <v>367</v>
      </c>
      <c r="B606" s="405"/>
      <c r="C606" s="403">
        <f>SUM(C604,C600,C596,C592,C588,C584,C580,C576,C572)</f>
        <v>0</v>
      </c>
      <c r="D606" s="403">
        <f t="shared" ref="D606:L606" si="168">SUM(D604,D600,D596,D592,D588,D584,D580,D576,D572)</f>
        <v>0</v>
      </c>
      <c r="E606" s="403">
        <f t="shared" si="168"/>
        <v>0</v>
      </c>
      <c r="F606" s="403">
        <f t="shared" si="168"/>
        <v>24660000</v>
      </c>
      <c r="G606" s="403">
        <f t="shared" ca="1" si="168"/>
        <v>34916571.315776318</v>
      </c>
      <c r="H606" s="403">
        <f t="shared" ca="1" si="168"/>
        <v>43311791.024239987</v>
      </c>
      <c r="I606" s="403">
        <f t="shared" ca="1" si="168"/>
        <v>49802133.6010499</v>
      </c>
      <c r="J606" s="403">
        <f t="shared" ca="1" si="168"/>
        <v>57425081.175765172</v>
      </c>
      <c r="K606" s="403">
        <f t="shared" ca="1" si="168"/>
        <v>66415917.017330185</v>
      </c>
      <c r="L606" s="403">
        <f t="shared" ca="1" si="168"/>
        <v>77038145.948577628</v>
      </c>
    </row>
    <row r="607" spans="1:12">
      <c r="A607" s="408"/>
      <c r="B607" s="405"/>
      <c r="C607" s="48"/>
      <c r="D607" s="48"/>
      <c r="E607" s="48"/>
      <c r="F607" s="48"/>
      <c r="G607" s="48"/>
      <c r="H607" s="48"/>
      <c r="I607" s="48"/>
      <c r="J607" s="48"/>
      <c r="K607" s="48"/>
      <c r="L607" s="48"/>
    </row>
    <row r="608" spans="1:12" ht="18.5">
      <c r="A608" s="411" t="s">
        <v>152</v>
      </c>
      <c r="B608" s="405"/>
      <c r="C608" s="48"/>
      <c r="D608" s="48"/>
      <c r="E608" s="48"/>
      <c r="F608" s="48"/>
      <c r="G608" s="48"/>
      <c r="H608" s="48"/>
      <c r="I608" s="48"/>
      <c r="J608" s="48"/>
      <c r="K608" s="48"/>
      <c r="L608" s="48"/>
    </row>
    <row r="609" spans="1:12" ht="15.5">
      <c r="A609" s="409" t="s">
        <v>296</v>
      </c>
      <c r="B609" s="405"/>
      <c r="C609" s="403">
        <f>Assumptions!$Q$45*(C572+C576)</f>
        <v>0</v>
      </c>
      <c r="D609" s="403">
        <f>Assumptions!$Q$45*(D572+D576)</f>
        <v>0</v>
      </c>
      <c r="E609" s="403">
        <f>Assumptions!$Q$45*(E572+E576)</f>
        <v>0</v>
      </c>
      <c r="F609" s="403">
        <f>Assumptions!$Q$45*(F572+F576)</f>
        <v>5145000</v>
      </c>
      <c r="G609" s="403">
        <f ca="1">Assumptions!$Q$45*(G572+G576)</f>
        <v>5885991.4728703788</v>
      </c>
      <c r="H609" s="403">
        <f ca="1">Assumptions!$Q$45*(H572+H576)</f>
        <v>6759746.7700345675</v>
      </c>
      <c r="I609" s="403">
        <f ca="1">Assumptions!$Q$45*(I572+I576)</f>
        <v>7790078.5823727669</v>
      </c>
      <c r="J609" s="403">
        <f ca="1">Assumptions!$Q$45*(J572+J576)</f>
        <v>9012178.0038726702</v>
      </c>
      <c r="K609" s="403">
        <f ca="1">Assumptions!$Q$45*(K572+K576)</f>
        <v>10465708.846416732</v>
      </c>
      <c r="L609" s="403">
        <f ca="1">Assumptions!$Q$45*(L572+L576)</f>
        <v>12192964.673055951</v>
      </c>
    </row>
    <row r="610" spans="1:12" ht="15.5">
      <c r="A610" s="409" t="s">
        <v>297</v>
      </c>
      <c r="B610" s="405"/>
      <c r="C610" s="403">
        <f>Assumptions!$Q$47*C580</f>
        <v>0</v>
      </c>
      <c r="D610" s="403">
        <f>Assumptions!$Q$47*D580</f>
        <v>0</v>
      </c>
      <c r="E610" s="403">
        <f>Assumptions!$Q$47*E580</f>
        <v>0</v>
      </c>
      <c r="F610" s="403">
        <f>Assumptions!$Q$47*F580</f>
        <v>2222500</v>
      </c>
      <c r="G610" s="403">
        <f ca="1">Assumptions!$Q$47*G580</f>
        <v>2540012.1024149433</v>
      </c>
      <c r="H610" s="403">
        <f ca="1">Assumptions!$Q$47*H580</f>
        <v>2909713.4663896877</v>
      </c>
      <c r="I610" s="403">
        <f ca="1">Assumptions!$Q$47*I580</f>
        <v>3342635.7629975956</v>
      </c>
      <c r="J610" s="403">
        <f ca="1">Assumptions!$Q$47*J580</f>
        <v>3854460.4410081399</v>
      </c>
      <c r="K610" s="403">
        <f ca="1">Assumptions!$Q$47*K580</f>
        <v>4461569.6824476579</v>
      </c>
      <c r="L610" s="403">
        <f ca="1">Assumptions!$Q$47*L580</f>
        <v>5181809.6728280494</v>
      </c>
    </row>
    <row r="611" spans="1:12" ht="15.5">
      <c r="A611" s="409" t="s">
        <v>298</v>
      </c>
      <c r="B611" s="405"/>
      <c r="C611" s="403">
        <f>Assumptions!$Q$48*C584</f>
        <v>0</v>
      </c>
      <c r="D611" s="403">
        <f>Assumptions!$Q$48*D584</f>
        <v>0</v>
      </c>
      <c r="E611" s="403">
        <f>Assumptions!$Q$48*E584</f>
        <v>0</v>
      </c>
      <c r="F611" s="403">
        <f>Assumptions!$Q$48*F584</f>
        <v>0</v>
      </c>
      <c r="G611" s="403">
        <f>Assumptions!$Q$48*G584</f>
        <v>2413000</v>
      </c>
      <c r="H611" s="403">
        <f ca="1">Assumptions!$Q$48*H584</f>
        <v>2794054.2575515495</v>
      </c>
      <c r="I611" s="403">
        <f ca="1">Assumptions!$Q$48*I584</f>
        <v>3246226.2272977219</v>
      </c>
      <c r="J611" s="403">
        <f ca="1">Assumptions!$Q$48*J584</f>
        <v>3784594.8829174647</v>
      </c>
      <c r="K611" s="403">
        <f ca="1">Assumptions!$Q$48*K584</f>
        <v>4424834.0109870993</v>
      </c>
      <c r="L611" s="403">
        <f ca="1">Assumptions!$Q$48*L584</f>
        <v>5191799.3337246571</v>
      </c>
    </row>
    <row r="612" spans="1:12" ht="15.5">
      <c r="A612" s="409" t="s">
        <v>299</v>
      </c>
      <c r="B612" s="405"/>
      <c r="C612" s="403">
        <f>Assumptions!$Q$49*C588</f>
        <v>0</v>
      </c>
      <c r="D612" s="403">
        <f>Assumptions!$Q$49*D588</f>
        <v>0</v>
      </c>
      <c r="E612" s="403">
        <f>Assumptions!$Q$49*E588</f>
        <v>0</v>
      </c>
      <c r="F612" s="403">
        <f>Assumptions!$Q$49*F588</f>
        <v>0</v>
      </c>
      <c r="G612" s="403">
        <f>Assumptions!$Q$49*G588</f>
        <v>0</v>
      </c>
      <c r="H612" s="403">
        <f>Assumptions!$Q$49*H588</f>
        <v>1272000</v>
      </c>
      <c r="I612" s="403">
        <f ca="1">Assumptions!$Q$49*I588</f>
        <v>1435552.7797046595</v>
      </c>
      <c r="J612" s="403">
        <f ca="1">Assumptions!$Q$49*J588</f>
        <v>1624515.8990890831</v>
      </c>
      <c r="K612" s="403">
        <f ca="1">Assumptions!$Q$49*K588</f>
        <v>1845466.9706597812</v>
      </c>
      <c r="L612" s="403">
        <f ca="1">Assumptions!$Q$49*L588</f>
        <v>2102465.709019755</v>
      </c>
    </row>
    <row r="613" spans="1:12" ht="15.5">
      <c r="A613" s="409" t="s">
        <v>368</v>
      </c>
      <c r="B613" s="405"/>
      <c r="C613" s="403">
        <f>Assumptions!$Q$50*C592</f>
        <v>0</v>
      </c>
      <c r="D613" s="403">
        <f>Assumptions!$Q$50*D592</f>
        <v>0</v>
      </c>
      <c r="E613" s="403">
        <f>Assumptions!$Q$50*E592</f>
        <v>0</v>
      </c>
      <c r="F613" s="403">
        <f>Assumptions!$Q$50*F592</f>
        <v>1263500</v>
      </c>
      <c r="G613" s="403">
        <f ca="1">Assumptions!$Q$50*G592</f>
        <v>1403421.3852363881</v>
      </c>
      <c r="H613" s="403">
        <f ca="1">Assumptions!$Q$50*H592</f>
        <v>1564341.3654136069</v>
      </c>
      <c r="I613" s="403">
        <f ca="1">Assumptions!$Q$50*I592</f>
        <v>1749584.5656951256</v>
      </c>
      <c r="J613" s="403">
        <f ca="1">Assumptions!$Q$50*J592</f>
        <v>1964435.4258810785</v>
      </c>
      <c r="K613" s="403">
        <f ca="1">Assumptions!$Q$50*K592</f>
        <v>2214279.7763914377</v>
      </c>
      <c r="L613" s="403">
        <f ca="1">Assumptions!$Q$50*L592</f>
        <v>2504597.0540101524</v>
      </c>
    </row>
    <row r="614" spans="1:12" ht="15.5">
      <c r="A614" s="409" t="s">
        <v>369</v>
      </c>
      <c r="B614" s="405"/>
      <c r="C614" s="403">
        <f>Assumptions!$Q$51*C596</f>
        <v>0</v>
      </c>
      <c r="D614" s="403">
        <f>Assumptions!$Q$51*D596</f>
        <v>0</v>
      </c>
      <c r="E614" s="403">
        <f>Assumptions!$Q$51*E596</f>
        <v>0</v>
      </c>
      <c r="F614" s="403">
        <f>Assumptions!$Q$51*F596</f>
        <v>0</v>
      </c>
      <c r="G614" s="403">
        <f>Assumptions!$Q$51*G596</f>
        <v>70000</v>
      </c>
      <c r="H614" s="403">
        <f ca="1">Assumptions!$Q$51*H596</f>
        <v>133233.07614383983</v>
      </c>
      <c r="I614" s="403">
        <f ca="1">Assumptions!$Q$51*I596</f>
        <v>189749.37127097585</v>
      </c>
      <c r="J614" s="403">
        <f ca="1">Assumptions!$Q$51*J596</f>
        <v>240327.9177389477</v>
      </c>
      <c r="K614" s="403">
        <f ca="1">Assumptions!$Q$51*K596</f>
        <v>285621.72458697663</v>
      </c>
      <c r="L614" s="403">
        <f ca="1">Assumptions!$Q$51*L596</f>
        <v>326183.14998567442</v>
      </c>
    </row>
    <row r="615" spans="1:12" ht="15.5">
      <c r="A615" s="409" t="s">
        <v>370</v>
      </c>
      <c r="B615" s="405"/>
      <c r="C615" s="403">
        <f>Assumptions!$Q$52*C600</f>
        <v>0</v>
      </c>
      <c r="D615" s="403">
        <f>Assumptions!$Q$52*D600</f>
        <v>0</v>
      </c>
      <c r="E615" s="403">
        <f>Assumptions!$Q$52*E600</f>
        <v>0</v>
      </c>
      <c r="F615" s="403">
        <f>Assumptions!$Q$52*F600</f>
        <v>0</v>
      </c>
      <c r="G615" s="403">
        <f>Assumptions!$Q$52*G600</f>
        <v>52500</v>
      </c>
      <c r="H615" s="403">
        <f ca="1">Assumptions!$Q$52*H600</f>
        <v>58475.530429434941</v>
      </c>
      <c r="I615" s="403">
        <f ca="1">Assumptions!$Q$52*I600</f>
        <v>65312.210177313806</v>
      </c>
      <c r="J615" s="403">
        <f ca="1">Assumptions!$Q$52*J600</f>
        <v>73233.585148178638</v>
      </c>
      <c r="K615" s="403">
        <f ca="1">Assumptions!$Q$52*K600</f>
        <v>82436.935958041999</v>
      </c>
      <c r="L615" s="403">
        <f ca="1">Assumptions!$Q$52*L600</f>
        <v>93117.635507884872</v>
      </c>
    </row>
    <row r="616" spans="1:12" ht="15.5">
      <c r="A616" s="409" t="s">
        <v>371</v>
      </c>
      <c r="B616" s="405"/>
      <c r="C616" s="403">
        <f>Assumptions!$Q$53*C604</f>
        <v>0</v>
      </c>
      <c r="D616" s="403">
        <f>Assumptions!$Q$53*D604</f>
        <v>0</v>
      </c>
      <c r="E616" s="403">
        <f>Assumptions!$Q$53*E604</f>
        <v>0</v>
      </c>
      <c r="F616" s="403">
        <f>Assumptions!$Q$53*F604</f>
        <v>0</v>
      </c>
      <c r="G616" s="403">
        <f>Assumptions!$Q$53*G604</f>
        <v>157500</v>
      </c>
      <c r="H616" s="403">
        <f ca="1">Assumptions!$Q$53*H604</f>
        <v>175819.1747152516</v>
      </c>
      <c r="I616" s="403">
        <f ca="1">Assumptions!$Q$53*I604</f>
        <v>196829.63672660291</v>
      </c>
      <c r="J616" s="403">
        <f ca="1">Assumptions!$Q$53*J604</f>
        <v>221171.10361306439</v>
      </c>
      <c r="K616" s="403">
        <f ca="1">Assumptions!$Q$53*K604</f>
        <v>249440.63132369507</v>
      </c>
      <c r="L616" s="403">
        <f ca="1">Assumptions!$Q$53*L604</f>
        <v>282196.98421309621</v>
      </c>
    </row>
    <row r="617" spans="1:12" ht="15.5">
      <c r="A617" s="409" t="s">
        <v>354</v>
      </c>
      <c r="B617" s="405"/>
      <c r="C617" s="403">
        <f t="shared" ref="C617:L617" si="169">SUM(C609:C616)</f>
        <v>0</v>
      </c>
      <c r="D617" s="403">
        <f t="shared" si="169"/>
        <v>0</v>
      </c>
      <c r="E617" s="403">
        <f t="shared" si="169"/>
        <v>0</v>
      </c>
      <c r="F617" s="403">
        <f t="shared" si="169"/>
        <v>8631000</v>
      </c>
      <c r="G617" s="403">
        <f t="shared" ca="1" si="169"/>
        <v>12522424.960521711</v>
      </c>
      <c r="H617" s="403">
        <f t="shared" ca="1" si="169"/>
        <v>15667383.640677936</v>
      </c>
      <c r="I617" s="403">
        <f t="shared" ca="1" si="169"/>
        <v>18015969.136242766</v>
      </c>
      <c r="J617" s="403">
        <f t="shared" ca="1" si="169"/>
        <v>20774917.259268623</v>
      </c>
      <c r="K617" s="403">
        <f t="shared" ca="1" si="169"/>
        <v>24029358.578771424</v>
      </c>
      <c r="L617" s="403">
        <f t="shared" ca="1" si="169"/>
        <v>27875134.21234522</v>
      </c>
    </row>
    <row r="618" spans="1:12">
      <c r="A618" s="408"/>
      <c r="B618" s="405"/>
      <c r="C618" s="403"/>
      <c r="D618" s="403"/>
      <c r="E618" s="403"/>
      <c r="F618" s="403"/>
      <c r="G618" s="403"/>
      <c r="H618" s="403"/>
      <c r="I618" s="403"/>
      <c r="J618" s="403"/>
      <c r="K618" s="403"/>
      <c r="L618" s="403"/>
    </row>
    <row r="619" spans="1:12" ht="15.5">
      <c r="A619" s="409" t="s">
        <v>154</v>
      </c>
      <c r="B619" s="405"/>
      <c r="C619" s="403">
        <f>C606-C617</f>
        <v>0</v>
      </c>
      <c r="D619" s="403">
        <f t="shared" ref="D619:L619" si="170">D606-D617</f>
        <v>0</v>
      </c>
      <c r="E619" s="403">
        <f t="shared" si="170"/>
        <v>0</v>
      </c>
      <c r="F619" s="403">
        <f t="shared" si="170"/>
        <v>16029000</v>
      </c>
      <c r="G619" s="403">
        <f t="shared" ca="1" si="170"/>
        <v>22394146.355254605</v>
      </c>
      <c r="H619" s="403">
        <f t="shared" ca="1" si="170"/>
        <v>27644407.383562051</v>
      </c>
      <c r="I619" s="403">
        <f t="shared" ca="1" si="170"/>
        <v>31786164.464807134</v>
      </c>
      <c r="J619" s="403">
        <f t="shared" ca="1" si="170"/>
        <v>36650163.916496545</v>
      </c>
      <c r="K619" s="403">
        <f t="shared" ca="1" si="170"/>
        <v>42386558.438558757</v>
      </c>
      <c r="L619" s="403">
        <f t="shared" ca="1" si="170"/>
        <v>49163011.736232407</v>
      </c>
    </row>
    <row r="620" spans="1:12">
      <c r="A620" s="408"/>
      <c r="B620" s="405"/>
      <c r="C620" s="403"/>
      <c r="D620" s="403"/>
      <c r="E620" s="403"/>
      <c r="F620" s="403"/>
      <c r="G620" s="403"/>
      <c r="H620" s="403"/>
      <c r="I620" s="403"/>
      <c r="J620" s="403"/>
      <c r="K620" s="403"/>
      <c r="L620" s="403"/>
    </row>
    <row r="621" spans="1:12" ht="18.5">
      <c r="A621" s="411" t="s">
        <v>96</v>
      </c>
      <c r="B621" s="405"/>
      <c r="C621" s="403"/>
      <c r="D621" s="403"/>
      <c r="E621" s="403"/>
      <c r="F621" s="403"/>
      <c r="G621" s="403"/>
      <c r="H621" s="403"/>
      <c r="I621" s="403"/>
      <c r="J621" s="403"/>
      <c r="K621" s="403"/>
      <c r="L621" s="403"/>
    </row>
    <row r="622" spans="1:12">
      <c r="A622" s="408"/>
      <c r="B622" s="405"/>
      <c r="C622" s="403"/>
      <c r="D622" s="403"/>
      <c r="E622" s="403"/>
      <c r="F622" s="403"/>
      <c r="G622" s="403"/>
      <c r="H622" s="403"/>
      <c r="I622" s="403"/>
      <c r="J622" s="403"/>
      <c r="K622" s="403"/>
      <c r="L622" s="403"/>
    </row>
    <row r="623" spans="1:12" ht="15.5">
      <c r="A623" s="409" t="s">
        <v>28</v>
      </c>
      <c r="B623" s="405"/>
      <c r="C623" s="403"/>
      <c r="D623" s="403"/>
      <c r="E623" s="403"/>
      <c r="F623" s="403"/>
      <c r="G623" s="403"/>
      <c r="H623" s="403"/>
      <c r="I623" s="403"/>
      <c r="J623" s="403"/>
      <c r="K623" s="403"/>
      <c r="L623" s="403"/>
    </row>
    <row r="624" spans="1:12" ht="15.5">
      <c r="A624" s="409"/>
      <c r="B624" s="405"/>
      <c r="C624" s="403"/>
      <c r="D624" s="403"/>
      <c r="E624" s="403"/>
      <c r="F624" s="403"/>
      <c r="G624" s="403"/>
      <c r="H624" s="403"/>
      <c r="I624" s="403"/>
      <c r="J624" s="403"/>
      <c r="K624" s="403"/>
      <c r="L624" s="403"/>
    </row>
    <row r="625" spans="1:12">
      <c r="A625" s="408" t="s">
        <v>37</v>
      </c>
      <c r="B625" s="405"/>
      <c r="C625" s="403">
        <f>IF(C$5 = Assumptions!$K$45, Assumptions!$AT15, 0)</f>
        <v>0</v>
      </c>
      <c r="D625" s="403">
        <f>IF(D$5 = Assumptions!$K$45, Assumptions!$AT15, 0)</f>
        <v>0</v>
      </c>
      <c r="E625" s="403">
        <f>IF(E$5 = Assumptions!$K$45, Assumptions!$AT15, 0)</f>
        <v>0</v>
      </c>
      <c r="F625" s="403">
        <f>IF(F$5 = Assumptions!$K$45, Assumptions!$AT15, 0)</f>
        <v>5000</v>
      </c>
      <c r="G625" s="403">
        <f>IF(G$5 = Assumptions!$K$45, Assumptions!$AT15, 0)</f>
        <v>0</v>
      </c>
      <c r="H625" s="403">
        <f>IF(H$5 = Assumptions!$K$45, Assumptions!$AT15, 0)</f>
        <v>0</v>
      </c>
      <c r="I625" s="403">
        <f>IF(I$5 = Assumptions!$K$45, Assumptions!$AT15, 0)</f>
        <v>0</v>
      </c>
      <c r="J625" s="403">
        <f>IF(J$5 = Assumptions!$K$45, Assumptions!$AT15, 0)</f>
        <v>0</v>
      </c>
      <c r="K625" s="403">
        <f>IF(K$5 = Assumptions!$K$45, Assumptions!$AT15, 0)</f>
        <v>0</v>
      </c>
      <c r="L625" s="403">
        <f>IF(L$5 = Assumptions!$K$45, Assumptions!$AT15, 0)</f>
        <v>0</v>
      </c>
    </row>
    <row r="626" spans="1:12">
      <c r="A626" s="408" t="s">
        <v>309</v>
      </c>
      <c r="B626" s="405"/>
      <c r="C626" s="403">
        <f>IF(C$5 = Assumptions!$K$45, Assumptions!$AT16, 0)</f>
        <v>0</v>
      </c>
      <c r="D626" s="403">
        <f>IF(D$5 = Assumptions!$K$45, Assumptions!$AT16, 0)</f>
        <v>0</v>
      </c>
      <c r="E626" s="403">
        <f>IF(E$5 = Assumptions!$K$45, Assumptions!$AT16, 0)</f>
        <v>0</v>
      </c>
      <c r="F626" s="403">
        <f>IF(F$5 = Assumptions!$K$45, Assumptions!$AT16, 0)</f>
        <v>15000</v>
      </c>
      <c r="G626" s="403">
        <f>IF(G$5 = Assumptions!$K$45, Assumptions!$AT16, 0)</f>
        <v>0</v>
      </c>
      <c r="H626" s="403">
        <f>IF(H$5 = Assumptions!$K$45, Assumptions!$AT16, 0)</f>
        <v>0</v>
      </c>
      <c r="I626" s="403">
        <f>IF(I$5 = Assumptions!$K$45, Assumptions!$AT16, 0)</f>
        <v>0</v>
      </c>
      <c r="J626" s="403">
        <f>IF(J$5 = Assumptions!$K$45, Assumptions!$AT16, 0)</f>
        <v>0</v>
      </c>
      <c r="K626" s="403">
        <f>IF(K$5 = Assumptions!$K$45, Assumptions!$AT16, 0)</f>
        <v>0</v>
      </c>
      <c r="L626" s="403">
        <f>IF(L$5 = Assumptions!$K$45, Assumptions!$AT16, 0)</f>
        <v>0</v>
      </c>
    </row>
    <row r="627" spans="1:12">
      <c r="A627" s="408" t="s">
        <v>40</v>
      </c>
      <c r="B627" s="405"/>
      <c r="C627" s="403">
        <f>IF(C$5 = Assumptions!$K$45, Assumptions!$AT17, 0)</f>
        <v>0</v>
      </c>
      <c r="D627" s="403">
        <f>IF(D$5 = Assumptions!$K$45, Assumptions!$AT17, 0)</f>
        <v>0</v>
      </c>
      <c r="E627" s="403">
        <f>IF(E$5 = Assumptions!$K$45, Assumptions!$AT17, 0)</f>
        <v>0</v>
      </c>
      <c r="F627" s="403">
        <f>IF(F$5 = Assumptions!$K$45, Assumptions!$AT17, 0)</f>
        <v>1000</v>
      </c>
      <c r="G627" s="403">
        <f>IF(G$5 = Assumptions!$K$45, Assumptions!$AT17, 0)</f>
        <v>0</v>
      </c>
      <c r="H627" s="403">
        <f>IF(H$5 = Assumptions!$K$45, Assumptions!$AT17, 0)</f>
        <v>0</v>
      </c>
      <c r="I627" s="403">
        <f>IF(I$5 = Assumptions!$K$45, Assumptions!$AT17, 0)</f>
        <v>0</v>
      </c>
      <c r="J627" s="403">
        <f>IF(J$5 = Assumptions!$K$45, Assumptions!$AT17, 0)</f>
        <v>0</v>
      </c>
      <c r="K627" s="403">
        <f>IF(K$5 = Assumptions!$K$45, Assumptions!$AT17, 0)</f>
        <v>0</v>
      </c>
      <c r="L627" s="403">
        <f>IF(L$5 = Assumptions!$K$45, Assumptions!$AT17, 0)</f>
        <v>0</v>
      </c>
    </row>
    <row r="628" spans="1:12">
      <c r="A628" s="408" t="s">
        <v>41</v>
      </c>
      <c r="B628" s="405"/>
      <c r="C628" s="403">
        <f>IF(C$5 = Assumptions!$K$45, Assumptions!$AT18, 0)</f>
        <v>0</v>
      </c>
      <c r="D628" s="403">
        <f>IF(D$5 = Assumptions!$K$45, Assumptions!$AT18, 0)</f>
        <v>0</v>
      </c>
      <c r="E628" s="403">
        <f>IF(E$5 = Assumptions!$K$45, Assumptions!$AT18, 0)</f>
        <v>0</v>
      </c>
      <c r="F628" s="403">
        <f>IF(F$5 = Assumptions!$K$45, Assumptions!$AT18, 0)</f>
        <v>5000</v>
      </c>
      <c r="G628" s="403">
        <f>IF(G$5 = Assumptions!$K$45, Assumptions!$AT18, 0)</f>
        <v>0</v>
      </c>
      <c r="H628" s="403">
        <f>IF(H$5 = Assumptions!$K$45, Assumptions!$AT18, 0)</f>
        <v>0</v>
      </c>
      <c r="I628" s="403">
        <f>IF(I$5 = Assumptions!$K$45, Assumptions!$AT18, 0)</f>
        <v>0</v>
      </c>
      <c r="J628" s="403">
        <f>IF(J$5 = Assumptions!$K$45, Assumptions!$AT18, 0)</f>
        <v>0</v>
      </c>
      <c r="K628" s="403">
        <f>IF(K$5 = Assumptions!$K$45, Assumptions!$AT18, 0)</f>
        <v>0</v>
      </c>
      <c r="L628" s="403">
        <f>IF(L$5 = Assumptions!$K$45, Assumptions!$AT18, 0)</f>
        <v>0</v>
      </c>
    </row>
    <row r="629" spans="1:12">
      <c r="A629" s="408" t="s">
        <v>43</v>
      </c>
      <c r="B629" s="405"/>
      <c r="C629" s="403">
        <f>IF(C$5 = Assumptions!$K$45, Assumptions!$AT19, 0)</f>
        <v>0</v>
      </c>
      <c r="D629" s="403">
        <f>IF(D$5 = Assumptions!$K$45, Assumptions!$AT19, 0)</f>
        <v>0</v>
      </c>
      <c r="E629" s="403">
        <f>IF(E$5 = Assumptions!$K$45, Assumptions!$AT19, 0)</f>
        <v>0</v>
      </c>
      <c r="F629" s="403">
        <f>IF(F$5 = Assumptions!$K$45, Assumptions!$AT19, 0)</f>
        <v>1000</v>
      </c>
      <c r="G629" s="403">
        <f>IF(G$5 = Assumptions!$K$45, Assumptions!$AT19, 0)</f>
        <v>0</v>
      </c>
      <c r="H629" s="403">
        <f>IF(H$5 = Assumptions!$K$45, Assumptions!$AT19, 0)</f>
        <v>0</v>
      </c>
      <c r="I629" s="403">
        <f>IF(I$5 = Assumptions!$K$45, Assumptions!$AT19, 0)</f>
        <v>0</v>
      </c>
      <c r="J629" s="403">
        <f>IF(J$5 = Assumptions!$K$45, Assumptions!$AT19, 0)</f>
        <v>0</v>
      </c>
      <c r="K629" s="403">
        <f>IF(K$5 = Assumptions!$K$45, Assumptions!$AT19, 0)</f>
        <v>0</v>
      </c>
      <c r="L629" s="403">
        <f>IF(L$5 = Assumptions!$K$45, Assumptions!$AT19, 0)</f>
        <v>0</v>
      </c>
    </row>
    <row r="630" spans="1:12">
      <c r="A630" s="408" t="s">
        <v>45</v>
      </c>
      <c r="B630" s="405"/>
      <c r="C630" s="403">
        <f>IF(C$5 = Assumptions!$K$45, Assumptions!$AT20, 0)</f>
        <v>0</v>
      </c>
      <c r="D630" s="403">
        <f>IF(D$5 = Assumptions!$K$45, Assumptions!$AT20, 0)</f>
        <v>0</v>
      </c>
      <c r="E630" s="403">
        <f>IF(E$5 = Assumptions!$K$45, Assumptions!$AT20, 0)</f>
        <v>0</v>
      </c>
      <c r="F630" s="403">
        <f>IF(F$5 = Assumptions!$K$45, Assumptions!$AT20, 0)</f>
        <v>3000</v>
      </c>
      <c r="G630" s="403">
        <f>IF(G$5 = Assumptions!$K$45, Assumptions!$AT20, 0)</f>
        <v>0</v>
      </c>
      <c r="H630" s="403">
        <f>IF(H$5 = Assumptions!$K$45, Assumptions!$AT20, 0)</f>
        <v>0</v>
      </c>
      <c r="I630" s="403">
        <f>IF(I$5 = Assumptions!$K$45, Assumptions!$AT20, 0)</f>
        <v>0</v>
      </c>
      <c r="J630" s="403">
        <f>IF(J$5 = Assumptions!$K$45, Assumptions!$AT20, 0)</f>
        <v>0</v>
      </c>
      <c r="K630" s="403">
        <f>IF(K$5 = Assumptions!$K$45, Assumptions!$AT20, 0)</f>
        <v>0</v>
      </c>
      <c r="L630" s="403">
        <f>IF(L$5 = Assumptions!$K$45, Assumptions!$AT20, 0)</f>
        <v>0</v>
      </c>
    </row>
    <row r="631" spans="1:12">
      <c r="A631" s="408" t="s">
        <v>35</v>
      </c>
      <c r="B631" s="405"/>
      <c r="C631" s="403">
        <f>IF(C$5 = Assumptions!$K$45, Assumptions!$AT21, 0)</f>
        <v>0</v>
      </c>
      <c r="D631" s="403">
        <f>IF(D$5 = Assumptions!$K$45, Assumptions!$AT21, 0)</f>
        <v>0</v>
      </c>
      <c r="E631" s="403">
        <f>IF(E$5 = Assumptions!$K$45, Assumptions!$AT21, 0)</f>
        <v>0</v>
      </c>
      <c r="F631" s="403">
        <f>IF(F$5 = Assumptions!$K$45, Assumptions!$AT21, 0)</f>
        <v>5000</v>
      </c>
      <c r="G631" s="403">
        <f>IF(G$5 = Assumptions!$K$45, Assumptions!$AT21, 0)</f>
        <v>0</v>
      </c>
      <c r="H631" s="403">
        <f>IF(H$5 = Assumptions!$K$45, Assumptions!$AT21, 0)</f>
        <v>0</v>
      </c>
      <c r="I631" s="403">
        <f>IF(I$5 = Assumptions!$K$45, Assumptions!$AT21, 0)</f>
        <v>0</v>
      </c>
      <c r="J631" s="403">
        <f>IF(J$5 = Assumptions!$K$45, Assumptions!$AT21, 0)</f>
        <v>0</v>
      </c>
      <c r="K631" s="403">
        <f>IF(K$5 = Assumptions!$K$45, Assumptions!$AT21, 0)</f>
        <v>0</v>
      </c>
      <c r="L631" s="403">
        <f>IF(L$5 = Assumptions!$K$45, Assumptions!$AT21, 0)</f>
        <v>0</v>
      </c>
    </row>
    <row r="632" spans="1:12">
      <c r="A632" s="408"/>
      <c r="B632" s="405"/>
      <c r="C632" s="403"/>
      <c r="D632" s="403"/>
      <c r="E632" s="403"/>
      <c r="F632" s="403"/>
      <c r="G632" s="403"/>
      <c r="H632" s="403"/>
      <c r="I632" s="403"/>
      <c r="J632" s="403"/>
      <c r="K632" s="403"/>
      <c r="L632" s="403"/>
    </row>
    <row r="633" spans="1:12" ht="15.5">
      <c r="A633" s="409" t="s">
        <v>155</v>
      </c>
      <c r="B633" s="405"/>
      <c r="C633" s="403">
        <f t="shared" ref="C633:L633" si="171">SUM(C625:C631)</f>
        <v>0</v>
      </c>
      <c r="D633" s="403">
        <f t="shared" si="171"/>
        <v>0</v>
      </c>
      <c r="E633" s="403">
        <f t="shared" si="171"/>
        <v>0</v>
      </c>
      <c r="F633" s="403">
        <f t="shared" si="171"/>
        <v>35000</v>
      </c>
      <c r="G633" s="403">
        <f t="shared" si="171"/>
        <v>0</v>
      </c>
      <c r="H633" s="403">
        <f t="shared" si="171"/>
        <v>0</v>
      </c>
      <c r="I633" s="403">
        <f t="shared" si="171"/>
        <v>0</v>
      </c>
      <c r="J633" s="403">
        <f t="shared" si="171"/>
        <v>0</v>
      </c>
      <c r="K633" s="403">
        <f t="shared" si="171"/>
        <v>0</v>
      </c>
      <c r="L633" s="403">
        <f t="shared" si="171"/>
        <v>0</v>
      </c>
    </row>
    <row r="634" spans="1:12">
      <c r="A634" s="408"/>
      <c r="B634" s="405"/>
      <c r="C634" s="403"/>
      <c r="D634" s="403"/>
      <c r="E634" s="403"/>
      <c r="F634" s="403"/>
      <c r="G634" s="403"/>
      <c r="H634" s="403"/>
      <c r="I634" s="403"/>
      <c r="J634" s="403"/>
      <c r="K634" s="403"/>
      <c r="L634" s="403"/>
    </row>
    <row r="635" spans="1:12" ht="15.5">
      <c r="A635" s="409" t="s">
        <v>13</v>
      </c>
      <c r="B635" s="405"/>
      <c r="C635" s="403"/>
      <c r="D635" s="403"/>
      <c r="E635" s="403"/>
      <c r="F635" s="403"/>
      <c r="G635" s="403"/>
      <c r="H635" s="403"/>
      <c r="I635" s="403"/>
      <c r="J635" s="403"/>
      <c r="K635" s="403"/>
      <c r="L635" s="403"/>
    </row>
    <row r="636" spans="1:12">
      <c r="A636" s="408"/>
      <c r="B636" s="405"/>
      <c r="C636" s="403"/>
      <c r="D636" s="403"/>
      <c r="E636" s="403"/>
      <c r="F636" s="403"/>
      <c r="G636" s="403"/>
      <c r="H636" s="403"/>
      <c r="I636" s="403"/>
      <c r="J636" s="403"/>
      <c r="K636" s="403"/>
      <c r="L636" s="403"/>
    </row>
    <row r="637" spans="1:12">
      <c r="A637" s="408" t="s">
        <v>14</v>
      </c>
      <c r="B637" s="405"/>
      <c r="C637" s="403">
        <f>IF(C$5 &gt;= Assumptions!$K$45, Assumptions!$AH15, 0)</f>
        <v>0</v>
      </c>
      <c r="D637" s="403">
        <f>IF(D$5&gt;Assumptions!$K$45,C637*(1+Revenue!AC63),IF(D$5=Assumptions!$K$45, Assumptions!$AH15, 0))</f>
        <v>0</v>
      </c>
      <c r="E637" s="403">
        <f>IF(E$5&gt;Assumptions!$K$45,D637*(1+Revenue!AD63),IF(E$5=Assumptions!$K$45, Assumptions!$AH15, 0))</f>
        <v>0</v>
      </c>
      <c r="F637" s="403">
        <f>IF(F$5&gt;Assumptions!$K$45,E637*(1+Revenue!AE63),IF(F$5=Assumptions!$K$45, Assumptions!$AH15, 0))</f>
        <v>0</v>
      </c>
      <c r="G637" s="403">
        <f>IF(G$5&gt;Assumptions!$K$45,F637*(1+Revenue!AF63),IF(G$5=Assumptions!$K$45, Assumptions!$AH15, 0))</f>
        <v>0</v>
      </c>
      <c r="H637" s="403">
        <f>IF(H$5&gt;Assumptions!$K$45,G637*(1+Revenue!AG63),IF(H$5=Assumptions!$K$45, Assumptions!$AH15, 0))</f>
        <v>0</v>
      </c>
      <c r="I637" s="403">
        <f>IF(I$5&gt;Assumptions!$K$45,H637*(1+Revenue!AH63),IF(I$5=Assumptions!$K$45, Assumptions!$AH15, 0))</f>
        <v>0</v>
      </c>
      <c r="J637" s="403">
        <f>IF(J$5&gt;Assumptions!$K$45,I637*(1+Revenue!AI63),IF(J$5=Assumptions!$K$45, Assumptions!$AH15, 0))</f>
        <v>0</v>
      </c>
      <c r="K637" s="403">
        <f>IF(K$5&gt;Assumptions!$K$45,J637*(1+Revenue!AJ63),IF(K$5=Assumptions!$K$45, Assumptions!$AH15, 0))</f>
        <v>0</v>
      </c>
      <c r="L637" s="403">
        <f>IF(L$5&gt;Assumptions!$K$45,K637*(1+Revenue!AK63),IF(L$5=Assumptions!$K$45, Assumptions!$AH15, 0))</f>
        <v>0</v>
      </c>
    </row>
    <row r="638" spans="1:12">
      <c r="A638" s="408" t="s">
        <v>15</v>
      </c>
      <c r="B638" s="405"/>
      <c r="C638" s="403">
        <f>IF(C$5 &gt;= Assumptions!$K$45, Assumptions!$AH16, 0)</f>
        <v>0</v>
      </c>
      <c r="D638" s="403">
        <f>IF(D$5&gt;Assumptions!$K$45,C638*(1+Revenue!AC63),IF(D$5=Assumptions!$K$45, Assumptions!$AH16, 0))</f>
        <v>0</v>
      </c>
      <c r="E638" s="403">
        <f>IF(E$5&gt;Assumptions!$K$45,D638*(1+Revenue!AD63),IF(E$5=Assumptions!$K$45, Assumptions!$AH16, 0))</f>
        <v>0</v>
      </c>
      <c r="F638" s="403">
        <f>IF(F$5&gt;Assumptions!$K$45,E638*(1+Revenue!AE63),IF(F$5=Assumptions!$K$45, Assumptions!$AH16, 0))</f>
        <v>0</v>
      </c>
      <c r="G638" s="403">
        <f>IF(G$5&gt;Assumptions!$K$45,F638*(1+Revenue!AF63),IF(G$5=Assumptions!$K$45, Assumptions!$AH16, 0))</f>
        <v>0</v>
      </c>
      <c r="H638" s="403">
        <f>IF(H$5&gt;Assumptions!$K$45,G638*(1+Revenue!AG63),IF(H$5=Assumptions!$K$45, Assumptions!$AH16, 0))</f>
        <v>0</v>
      </c>
      <c r="I638" s="403">
        <f>IF(I$5&gt;Assumptions!$K$45,H638*(1+Revenue!AH63),IF(I$5=Assumptions!$K$45, Assumptions!$AH16, 0))</f>
        <v>0</v>
      </c>
      <c r="J638" s="403">
        <f>IF(J$5&gt;Assumptions!$K$45,I638*(1+Revenue!AI63),IF(J$5=Assumptions!$K$45, Assumptions!$AH16, 0))</f>
        <v>0</v>
      </c>
      <c r="K638" s="403">
        <f>IF(K$5&gt;Assumptions!$K$45,J638*(1+Revenue!AJ63),IF(K$5=Assumptions!$K$45, Assumptions!$AH16, 0))</f>
        <v>0</v>
      </c>
      <c r="L638" s="403">
        <f>IF(L$5&gt;Assumptions!$K$45,K638*(1+Revenue!AK63),IF(L$5=Assumptions!$K$45, Assumptions!$AH16, 0))</f>
        <v>0</v>
      </c>
    </row>
    <row r="639" spans="1:12">
      <c r="A639" s="408" t="s">
        <v>17</v>
      </c>
      <c r="B639" s="405"/>
      <c r="C639" s="403">
        <f>IF(C$5 &gt;= Assumptions!$K$45, Assumptions!$AH17, 0)</f>
        <v>0</v>
      </c>
      <c r="D639" s="403">
        <f>IF(D$5&gt;Assumptions!$K$45,C639*(1+Revenue!AC63),IF(D$5=Assumptions!$K$45, Assumptions!$AH17, 0))</f>
        <v>0</v>
      </c>
      <c r="E639" s="403">
        <f>IF(E$5&gt;Assumptions!$K$45,D639*(1+Revenue!AD63),IF(E$5=Assumptions!$K$45, Assumptions!$AH17, 0))</f>
        <v>0</v>
      </c>
      <c r="F639" s="403">
        <f>IF(F$5&gt;Assumptions!$K$45,E639*(1+Revenue!AE63),IF(F$5=Assumptions!$K$45, Assumptions!$AH17, 0))</f>
        <v>0</v>
      </c>
      <c r="G639" s="403">
        <f>IF(G$5&gt;Assumptions!$K$45,F639*(1+Revenue!AF63),IF(G$5=Assumptions!$K$45, Assumptions!$AH17, 0))</f>
        <v>0</v>
      </c>
      <c r="H639" s="403">
        <f>IF(H$5&gt;Assumptions!$K$45,G639*(1+Revenue!AG63),IF(H$5=Assumptions!$K$45, Assumptions!$AH17, 0))</f>
        <v>0</v>
      </c>
      <c r="I639" s="403">
        <f>IF(I$5&gt;Assumptions!$K$45,H639*(1+Revenue!AH63),IF(I$5=Assumptions!$K$45, Assumptions!$AH17, 0))</f>
        <v>0</v>
      </c>
      <c r="J639" s="403">
        <f>IF(J$5&gt;Assumptions!$K$45,I639*(1+Revenue!AI63),IF(J$5=Assumptions!$K$45, Assumptions!$AH17, 0))</f>
        <v>0</v>
      </c>
      <c r="K639" s="403">
        <f>IF(K$5&gt;Assumptions!$K$45,J639*(1+Revenue!AJ63),IF(K$5=Assumptions!$K$45, Assumptions!$AH17, 0))</f>
        <v>0</v>
      </c>
      <c r="L639" s="403">
        <f>IF(L$5&gt;Assumptions!$K$45,K639*(1+Revenue!AK63),IF(L$5=Assumptions!$K$45, Assumptions!$AH17, 0))</f>
        <v>0</v>
      </c>
    </row>
    <row r="640" spans="1:12">
      <c r="A640" s="408" t="s">
        <v>19</v>
      </c>
      <c r="B640" s="405"/>
      <c r="C640" s="403">
        <f>IF(C$5 &gt;= Assumptions!$K$45, Assumptions!$AH$18 * (Revenue!AQ68+Revenue!AQ69+Revenue!AQ70+Revenue!AQ71), 0)</f>
        <v>0</v>
      </c>
      <c r="D640" s="403">
        <f>IF(D$5&gt;Assumptions!$K$45, Assumptions!$AH$18*(Revenue!AR68+Revenue!AR69+Revenue!AR70+Revenue!AR71)*(1+Revenue!AC63), IF(D$5=Assumptions!$K$45, Assumptions!$AH$18 * (Revenue!AR68+Revenue!AR69+Revenue!AR70+Revenue!AR71), 0))</f>
        <v>0</v>
      </c>
      <c r="E640" s="403">
        <f>IF(E$5&gt;Assumptions!$K$45, Assumptions!$AH$18*(Revenue!AS68+Revenue!AS69+Revenue!AS70+Revenue!AS71)*(1+Revenue!AD63), IF(E$5=Assumptions!$K$45, Assumptions!$AH$18 * (Revenue!AS68+Revenue!AS69+Revenue!AS70+Revenue!AS71), 0))</f>
        <v>0</v>
      </c>
      <c r="F640" s="403">
        <f>IF(F$5&gt;Assumptions!$K$45, Assumptions!$AH$18*(Revenue!AT68+Revenue!AT69+Revenue!AT70+Revenue!AT71)*(1+Revenue!AE63), IF(F$5=Assumptions!$K$45, Assumptions!$AH$18 * (Revenue!AT68+Revenue!AT69+Revenue!AT70+Revenue!AT71), 0))</f>
        <v>419100</v>
      </c>
      <c r="G640" s="403">
        <f ca="1">IF(G$5&gt;Assumptions!$K$45, Assumptions!$AH$18*(Revenue!AU68+Revenue!AU69+Revenue!AU70+Revenue!AU71)*(1+Revenue!AF63), IF(G$5=Assumptions!$K$45, Assumptions!$AH$18 * (Revenue!AU68+Revenue!AU69+Revenue!AU70+Revenue!AU71), 0))</f>
        <v>555638.86478639755</v>
      </c>
      <c r="H640" s="403">
        <f ca="1">IF(H$5&gt;Assumptions!$K$45, Assumptions!$AH$18*(Revenue!AV68+Revenue!AV69+Revenue!AV70+Revenue!AV71)*(1+Revenue!AG63), IF(H$5=Assumptions!$K$45, Assumptions!$AH$18 * (Revenue!AV68+Revenue!AV69+Revenue!AV70+Revenue!AV71), 0))</f>
        <v>579835.01912391512</v>
      </c>
      <c r="I640" s="403">
        <f ca="1">IF(I$5&gt;Assumptions!$K$45, Assumptions!$AH$18*(Revenue!AW68+Revenue!AW69+Revenue!AW70+Revenue!AW71)*(1+Revenue!AH63), IF(I$5=Assumptions!$K$45, Assumptions!$AH$18 * (Revenue!AW68+Revenue!AW69+Revenue!AW70+Revenue!AW71), 0))</f>
        <v>607096.12873560959</v>
      </c>
      <c r="J640" s="403">
        <f ca="1">IF(J$5&gt;Assumptions!$K$45, Assumptions!$AH$18*(Revenue!AX68+Revenue!AX69+Revenue!AX70+Revenue!AX71)*(1+Revenue!AI63), IF(J$5=Assumptions!$K$45, Assumptions!$AH$18 * (Revenue!AX68+Revenue!AX69+Revenue!AX70+Revenue!AX71), 0))</f>
        <v>638051.06190555147</v>
      </c>
      <c r="K640" s="403">
        <f ca="1">IF(K$5&gt;Assumptions!$K$45, Assumptions!$AH$18*(Revenue!AY68+Revenue!AY69+Revenue!AY70+Revenue!AY71)*(1+Revenue!AJ63), IF(K$5=Assumptions!$K$45, Assumptions!$AH$18 * (Revenue!AY68+Revenue!AY69+Revenue!AY70+Revenue!AY71), 0))</f>
        <v>673055.63463755627</v>
      </c>
      <c r="L640" s="403">
        <f ca="1">IF(L$5&gt;Assumptions!$K$45, Assumptions!$AH$18*(Revenue!AZ68+Revenue!AZ69+Revenue!AZ70+Revenue!AZ71)*(1+Revenue!AK63), IF(L$5=Assumptions!$K$45, Assumptions!$AH$18 * (Revenue!AZ68+Revenue!AZ69+Revenue!AZ70+Revenue!AZ71), 0))</f>
        <v>712308.9701160196</v>
      </c>
    </row>
    <row r="641" spans="1:12">
      <c r="A641" s="408" t="s">
        <v>20</v>
      </c>
      <c r="B641" s="405"/>
      <c r="C641" s="403">
        <f>IF(C$5 &gt;= Assumptions!$K$45, Assumptions!$AH$19*C606, 0)</f>
        <v>0</v>
      </c>
      <c r="D641" s="403">
        <f>IF(D$5 &gt; Assumptions!$K$45, Assumptions!$AH$19*D606*(1 + Revenue!AC63), IF(D$5 = Assumptions!$K$45, Assumptions!$AH$19*D606, 0))</f>
        <v>0</v>
      </c>
      <c r="E641" s="403">
        <f>IF(E$5 &gt; Assumptions!$K$45, Assumptions!$AH$19*E606*(1 + Revenue!AD63), IF(E$5 = Assumptions!$K$45, Assumptions!$AH$19*E606, 0))</f>
        <v>0</v>
      </c>
      <c r="F641" s="403">
        <f>IF(F$5 &gt; Assumptions!$K$45, Assumptions!$AH$19*F606*(1 + Revenue!AE63), IF(F$5 = Assumptions!$K$45, Assumptions!$AH$19*F606, 0))</f>
        <v>5425200</v>
      </c>
      <c r="G641" s="403">
        <f ca="1">IF(G$5 &gt; Assumptions!$K$45, Assumptions!$AH$19*G606*(1 + Revenue!AF63), IF(G$5 = Assumptions!$K$45, Assumptions!$AH$19*G606, 0))</f>
        <v>8449810.2584178708</v>
      </c>
      <c r="H641" s="403">
        <f ca="1">IF(H$5 &gt; Assumptions!$K$45, Assumptions!$AH$19*H606*(1 + Revenue!AG63), IF(H$5 = Assumptions!$K$45, Assumptions!$AH$19*H606, 0))</f>
        <v>10481453.427866077</v>
      </c>
      <c r="I641" s="403">
        <f ca="1">IF(I$5 &gt; Assumptions!$K$45, Assumptions!$AH$19*I606*(1 + Revenue!AH63), IF(I$5 = Assumptions!$K$45, Assumptions!$AH$19*I606, 0))</f>
        <v>12052116.331454078</v>
      </c>
      <c r="J641" s="403">
        <f ca="1">IF(J$5 &gt; Assumptions!$K$45, Assumptions!$AH$19*J606*(1 + Revenue!AI63), IF(J$5 = Assumptions!$K$45, Assumptions!$AH$19*J606, 0))</f>
        <v>13896869.644535173</v>
      </c>
      <c r="K641" s="403">
        <f ca="1">IF(K$5 &gt; Assumptions!$K$45, Assumptions!$AH$19*K606*(1 + Revenue!AJ63), IF(K$5 = Assumptions!$K$45, Assumptions!$AH$19*K606, 0))</f>
        <v>16072651.918193907</v>
      </c>
      <c r="L641" s="403">
        <f ca="1">IF(L$5 &gt; Assumptions!$K$45, Assumptions!$AH$19*L606*(1 + Revenue!AK63), IF(L$5 = Assumptions!$K$45, Assumptions!$AH$19*L606, 0))</f>
        <v>18643231.319555786</v>
      </c>
    </row>
    <row r="642" spans="1:12">
      <c r="A642" s="408" t="s">
        <v>22</v>
      </c>
      <c r="B642" s="405"/>
      <c r="C642" s="403">
        <f>IF(C$5 &gt;= Assumptions!$K$45, Assumptions!AH20, 0)</f>
        <v>0</v>
      </c>
      <c r="D642" s="403">
        <f>IF(D$5 &gt; Assumptions!$K$45, C642*(1+Revenue!AC63), IF(D$5 = Assumptions!$K$45, Assumptions!$AH20, 0))</f>
        <v>0</v>
      </c>
      <c r="E642" s="403">
        <f>IF(E$5 &gt; Assumptions!$K$45, D642*(1+Revenue!AD63), IF(E$5 = Assumptions!$K$45, Assumptions!$AH20, 0))</f>
        <v>0</v>
      </c>
      <c r="F642" s="403">
        <f>IF(F$5 &gt; Assumptions!$K$45, E642*(1+Revenue!AE63), IF(F$5 = Assumptions!$K$45, Assumptions!$AH20, 0))</f>
        <v>0</v>
      </c>
      <c r="G642" s="403">
        <f>IF(G$5 &gt; Assumptions!$K$45, F642*(1+Revenue!AF63), IF(G$5 = Assumptions!$K$45, Assumptions!$AH20, 0))</f>
        <v>0</v>
      </c>
      <c r="H642" s="403">
        <f>IF(H$5 &gt; Assumptions!$K$45, G642*(1+Revenue!AG63), IF(H$5 = Assumptions!$K$45, Assumptions!$AH20, 0))</f>
        <v>0</v>
      </c>
      <c r="I642" s="403">
        <f>IF(I$5 &gt; Assumptions!$K$45, H642*(1+Revenue!AH63), IF(I$5 = Assumptions!$K$45, Assumptions!$AH20, 0))</f>
        <v>0</v>
      </c>
      <c r="J642" s="403">
        <f>IF(J$5 &gt; Assumptions!$K$45, I642*(1+Revenue!AI63), IF(J$5 = Assumptions!$K$45, Assumptions!$AH20, 0))</f>
        <v>0</v>
      </c>
      <c r="K642" s="403">
        <f>IF(K$5 &gt; Assumptions!$K$45, J642*(1+Revenue!AJ63), IF(K$5 = Assumptions!$K$45, Assumptions!$AH20, 0))</f>
        <v>0</v>
      </c>
      <c r="L642" s="403">
        <f>IF(L$5 &gt; Assumptions!$K$45, K642*(1+Revenue!AK63), IF(L$5 = Assumptions!$K$45, Assumptions!$AH20, 0))</f>
        <v>0</v>
      </c>
    </row>
    <row r="643" spans="1:12">
      <c r="A643" s="408" t="s">
        <v>25</v>
      </c>
      <c r="B643" s="405"/>
      <c r="C643" s="403">
        <f>IF(C$5 &gt;= Assumptions!$K$45, Assumptions!$AH21, 0)</f>
        <v>0</v>
      </c>
      <c r="D643" s="403">
        <f>IF(D$5 &gt; Assumptions!$K$45, Income!C643*(1+Revenue!AC63), IF(D$5 = Assumptions!$K$45, Assumptions!$AH21, 0))</f>
        <v>0</v>
      </c>
      <c r="E643" s="403">
        <f>IF(E$5 &gt; Assumptions!$K$45, Income!D643*(1+Revenue!AD63), IF(E$5 = Assumptions!$K$45, Assumptions!$AH21, 0))</f>
        <v>0</v>
      </c>
      <c r="F643" s="403">
        <f>IF(F$5 &gt; Assumptions!$K$45, Income!E643*(1+Revenue!AE63), IF(F$5 = Assumptions!$K$45, Assumptions!$AH21, 0))</f>
        <v>1000</v>
      </c>
      <c r="G643" s="403">
        <f>IF(G$5 &gt; Assumptions!$K$45, Income!F643*(1+Revenue!AF63), IF(G$5 = Assumptions!$K$45, Assumptions!$AH21, 0))</f>
        <v>1100</v>
      </c>
      <c r="H643" s="403">
        <f>IF(H$5 &gt; Assumptions!$K$45, Income!G643*(1+Revenue!AG63), IF(H$5 = Assumptions!$K$45, Assumptions!$AH21, 0))</f>
        <v>1210</v>
      </c>
      <c r="I643" s="403">
        <f>IF(I$5 &gt; Assumptions!$K$45, Income!H643*(1+Revenue!AH63), IF(I$5 = Assumptions!$K$45, Assumptions!$AH21, 0))</f>
        <v>1331</v>
      </c>
      <c r="J643" s="403">
        <f>IF(J$5 &gt; Assumptions!$K$45, Income!I643*(1+Revenue!AI63), IF(J$5 = Assumptions!$K$45, Assumptions!$AH21, 0))</f>
        <v>1464.1000000000001</v>
      </c>
      <c r="K643" s="403">
        <f>IF(K$5 &gt; Assumptions!$K$45, Income!J643*(1+Revenue!AJ63), IF(K$5 = Assumptions!$K$45, Assumptions!$AH21, 0))</f>
        <v>1610.5100000000002</v>
      </c>
      <c r="L643" s="403">
        <f>IF(L$5 &gt; Assumptions!$K$45, Income!K643*(1+Revenue!AK63), IF(L$5 = Assumptions!$K$45, Assumptions!$AH21, 0))</f>
        <v>1771.5610000000004</v>
      </c>
    </row>
    <row r="644" spans="1:12">
      <c r="A644" s="408" t="s">
        <v>27</v>
      </c>
      <c r="B644" s="405"/>
      <c r="C644" s="403">
        <f>IF(C$5 &gt;= Assumptions!$K$45, Assumptions!AH22, 0)</f>
        <v>0</v>
      </c>
      <c r="D644" s="403">
        <f>IF(D$5 &gt; Assumptions!$K$45, Income!C644*(1+Revenue!AC63), IF(D$5 = Assumptions!$K$45, Assumptions!$AH22, 0))</f>
        <v>0</v>
      </c>
      <c r="E644" s="403">
        <f>IF(E$5 &gt; Assumptions!$K$45, Income!D644*(1+Revenue!AD63), IF(E$5 = Assumptions!$K$45, Assumptions!$AH22, 0))</f>
        <v>0</v>
      </c>
      <c r="F644" s="403">
        <f>IF(F$5 &gt; Assumptions!$K$45, Income!E644*(1+Revenue!AE63), IF(F$5 = Assumptions!$K$45, Assumptions!$AH22, 0))</f>
        <v>1000</v>
      </c>
      <c r="G644" s="403">
        <f>IF(G$5 &gt; Assumptions!$K$45, Income!F644*(1+Revenue!AF63), IF(G$5 = Assumptions!$K$45, Assumptions!$AH22, 0))</f>
        <v>1100</v>
      </c>
      <c r="H644" s="403">
        <f>IF(H$5 &gt; Assumptions!$K$45, Income!G644*(1+Revenue!AG63), IF(H$5 = Assumptions!$K$45, Assumptions!$AH22, 0))</f>
        <v>1210</v>
      </c>
      <c r="I644" s="403">
        <f>IF(I$5 &gt; Assumptions!$K$45, Income!H644*(1+Revenue!AH63), IF(I$5 = Assumptions!$K$45, Assumptions!$AH22, 0))</f>
        <v>1331</v>
      </c>
      <c r="J644" s="403">
        <f>IF(J$5 &gt; Assumptions!$K$45, Income!I644*(1+Revenue!AI63), IF(J$5 = Assumptions!$K$45, Assumptions!$AH22, 0))</f>
        <v>1464.1000000000001</v>
      </c>
      <c r="K644" s="403">
        <f>IF(K$5 &gt; Assumptions!$K$45, Income!J644*(1+Revenue!AJ63), IF(K$5 = Assumptions!$K$45, Assumptions!$AH22, 0))</f>
        <v>1610.5100000000002</v>
      </c>
      <c r="L644" s="403">
        <f>IF(L$5 &gt; Assumptions!$K$45, Income!K644*(1+Revenue!AK63), IF(L$5 = Assumptions!$K$45, Assumptions!$AH22, 0))</f>
        <v>1771.5610000000004</v>
      </c>
    </row>
    <row r="645" spans="1:12">
      <c r="A645" s="408" t="s">
        <v>278</v>
      </c>
      <c r="B645" s="405"/>
      <c r="C645" s="403">
        <f>IF(C$5 &gt;= Assumptions!$K$45, Assumptions!$AH$23 + (Revenue!AQ70+Revenue!AQ71+Revenue!AQ72)*Assumptions!$AH$24, 0)</f>
        <v>0</v>
      </c>
      <c r="D645" s="403">
        <f>IF(D$5&gt;Assumptions!$K$45,(Assumptions!$AH$23+(Revenue!AR70+Revenue!AR71+Revenue!AR72)*Assumptions!$AH$24)*(1+Revenue!AC63),IF(D$5=Assumptions!$K$45,Assumptions!$AH$23+(Revenue!AR70+Revenue!AR71+Revenue!AR72)*Assumptions!$AH$24,0))</f>
        <v>0</v>
      </c>
      <c r="E645" s="403">
        <f>IF(E$5&gt;Assumptions!$K$45,(Assumptions!$AH$23+(Revenue!AS70+Revenue!AS71+Revenue!AS72)*Assumptions!$AH$24)*(1+Revenue!AD63),IF(E$5=Assumptions!$K$45,Assumptions!$AH$23+(Revenue!AS70+Revenue!AS71+Revenue!AS72)*Assumptions!$AH$24,0))</f>
        <v>0</v>
      </c>
      <c r="F645" s="403">
        <f>IF(F$5&gt;Assumptions!$K$45,(Assumptions!$AH$23+(Revenue!AT70+Revenue!AT71+Revenue!AT72)*Assumptions!$AH$24)*(1+Revenue!AE63),IF(F$5=Assumptions!$K$45,Assumptions!$AH$23+(Revenue!AT70+Revenue!AT71+Revenue!AT72)*Assumptions!$AH$24,0))</f>
        <v>12350</v>
      </c>
      <c r="G645" s="403">
        <f ca="1">IF(G$5&gt;Assumptions!$K$45,(Assumptions!$AH$23+(Revenue!AU70+Revenue!AU71+Revenue!AU72)*Assumptions!$AH$24)*(1+Revenue!AF63),IF(G$5=Assumptions!$K$45,Assumptions!$AH$23+(Revenue!AU70+Revenue!AU71+Revenue!AU72)*Assumptions!$AH$24,0))</f>
        <v>17349.677435471269</v>
      </c>
      <c r="H645" s="403">
        <f ca="1">IF(H$5&gt;Assumptions!$K$45,(Assumptions!$AH$23+(Revenue!AV70+Revenue!AV71+Revenue!AV72)*Assumptions!$AH$24)*(1+Revenue!AG63),IF(H$5=Assumptions!$K$45,Assumptions!$AH$23+(Revenue!AV70+Revenue!AV71+Revenue!AV72)*Assumptions!$AH$24,0))</f>
        <v>19583.08449628677</v>
      </c>
      <c r="I645" s="403">
        <f ca="1">IF(I$5&gt;Assumptions!$K$45,(Assumptions!$AH$23+(Revenue!AW70+Revenue!AW71+Revenue!AW72)*Assumptions!$AH$24)*(1+Revenue!AH63),IF(I$5=Assumptions!$K$45,Assumptions!$AH$23+(Revenue!AW70+Revenue!AW71+Revenue!AW72)*Assumptions!$AH$24,0))</f>
        <v>20170.369258318751</v>
      </c>
      <c r="J645" s="403">
        <f ca="1">IF(J$5&gt;Assumptions!$K$45,(Assumptions!$AH$23+(Revenue!AX70+Revenue!AX71+Revenue!AX72)*Assumptions!$AH$24)*(1+Revenue!AI63),IF(J$5=Assumptions!$K$45,Assumptions!$AH$23+(Revenue!AX70+Revenue!AX71+Revenue!AX72)*Assumptions!$AH$24,0))</f>
        <v>20835.557877197949</v>
      </c>
      <c r="K645" s="403">
        <f ca="1">IF(K$5&gt;Assumptions!$K$45,(Assumptions!$AH$23+(Revenue!AY70+Revenue!AY71+Revenue!AY72)*Assumptions!$AH$24)*(1+Revenue!AJ63),IF(K$5=Assumptions!$K$45,Assumptions!$AH$23+(Revenue!AY70+Revenue!AY71+Revenue!AY72)*Assumptions!$AH$24,0))</f>
        <v>21587.347694061707</v>
      </c>
      <c r="L645" s="403">
        <f ca="1">IF(L$5&gt;Assumptions!$K$45,(Assumptions!$AH$23+(Revenue!AZ70+Revenue!AZ71+Revenue!AZ72)*Assumptions!$AH$24)*(1+Revenue!AK63),IF(L$5=Assumptions!$K$45,Assumptions!$AH$23+(Revenue!AZ70+Revenue!AZ71+Revenue!AZ72)*Assumptions!$AH$24,0))</f>
        <v>22433.243061366866</v>
      </c>
    </row>
    <row r="646" spans="1:12">
      <c r="A646" s="408" t="s">
        <v>29</v>
      </c>
      <c r="B646" s="405"/>
      <c r="C646" s="403">
        <f>IF(C$5 &gt;= Assumptions!$K$45, Assumptions!AH25, 0)</f>
        <v>0</v>
      </c>
      <c r="D646" s="403">
        <f>IF(D$5&gt;Assumptions!$K$45,C646*(1+Revenue!AC63)*(1+Assumptions!$K$10),IF(D$5=Assumptions!$K$45,Assumptions!$AH25,0))</f>
        <v>0</v>
      </c>
      <c r="E646" s="403">
        <f>IF(E$5&gt;Assumptions!$K$45,D646*(1+Revenue!AD63)*(1+Assumptions!$K$10),IF(E$5=Assumptions!$K$45,Assumptions!$AH25,0))</f>
        <v>0</v>
      </c>
      <c r="F646" s="403">
        <f>IF(F$5&gt;Assumptions!$K$45,E646*(1+Revenue!AE63)*(1+Assumptions!$K$10),IF(F$5=Assumptions!$K$45,Assumptions!$AH25,0))</f>
        <v>0</v>
      </c>
      <c r="G646" s="403">
        <f>IF(G$5&gt;Assumptions!$K$45,F646*(1+Revenue!AF63)*(1+Assumptions!$K$10),IF(G$5=Assumptions!$K$45,Assumptions!$AH25,0))</f>
        <v>0</v>
      </c>
      <c r="H646" s="403">
        <f>IF(H$5&gt;Assumptions!$K$45,G646*(1+Revenue!AG63)*(1+Assumptions!$K$10),IF(H$5=Assumptions!$K$45,Assumptions!$AH25,0))</f>
        <v>0</v>
      </c>
      <c r="I646" s="403">
        <f>IF(I$5&gt;Assumptions!$K$45,H646*(1+Revenue!AH63)*(1+Assumptions!$K$10),IF(I$5=Assumptions!$K$45,Assumptions!$AH25,0))</f>
        <v>0</v>
      </c>
      <c r="J646" s="403">
        <f>IF(J$5&gt;Assumptions!$K$45,I646*(1+Revenue!AI63)*(1+Assumptions!$K$10),IF(J$5=Assumptions!$K$45,Assumptions!$AH25,0))</f>
        <v>0</v>
      </c>
      <c r="K646" s="403">
        <f>IF(K$5&gt;Assumptions!$K$45,J646*(1+Revenue!AJ63)*(1+Assumptions!$K$10),IF(K$5=Assumptions!$K$45,Assumptions!$AH25,0))</f>
        <v>0</v>
      </c>
      <c r="L646" s="403">
        <f>IF(L$5&gt;Assumptions!$K$45,K646*(1+Revenue!AK63)*(1+Assumptions!$K$10),IF(L$5=Assumptions!$K$45,Assumptions!$AH25,0))</f>
        <v>0</v>
      </c>
    </row>
    <row r="647" spans="1:12">
      <c r="A647" s="408" t="s">
        <v>279</v>
      </c>
      <c r="B647" s="405"/>
      <c r="C647" s="403">
        <f>IF(C$5 &gt;= Assumptions!$K$45, Assumptions!AH26, 0)</f>
        <v>0</v>
      </c>
      <c r="D647" s="403">
        <f>IF(D$5 &gt; Assumptions!$K$45, C647*(1+Revenue!AC63)*(1+Assumptions!$J$11), IF(D$5 = Assumptions!$K$45, Assumptions!$AH26, 0))</f>
        <v>0</v>
      </c>
      <c r="E647" s="403">
        <f>IF(E$5 &gt; Assumptions!$K$45, D647*(1+Revenue!AD63)*(1+Assumptions!$J$11), IF(E$5 = Assumptions!$K$45, Assumptions!$AH26, 0))</f>
        <v>0</v>
      </c>
      <c r="F647" s="403">
        <f>IF(F$5 &gt; Assumptions!$K$45, E647*(1+Revenue!AE63)*(1+Assumptions!$J$11), IF(F$5 = Assumptions!$K$45, Assumptions!$AH26, 0))</f>
        <v>0</v>
      </c>
      <c r="G647" s="403">
        <f>IF(G$5 &gt; Assumptions!$K$45, F647*(1+Revenue!AF63)*(1+Assumptions!$J$11), IF(G$5 = Assumptions!$K$45, Assumptions!$AH26, 0))</f>
        <v>0</v>
      </c>
      <c r="H647" s="403">
        <f>IF(H$5 &gt; Assumptions!$K$45, G647*(1+Revenue!AG63)*(1+Assumptions!$J$11), IF(H$5 = Assumptions!$K$45, Assumptions!$AH26, 0))</f>
        <v>0</v>
      </c>
      <c r="I647" s="403">
        <f>IF(I$5 &gt; Assumptions!$K$45, H647*(1+Revenue!AH63)*(1+Assumptions!$J$11), IF(I$5 = Assumptions!$K$45, Assumptions!$AH26, 0))</f>
        <v>0</v>
      </c>
      <c r="J647" s="403">
        <f>IF(J$5 &gt; Assumptions!$K$45, I647*(1+Revenue!AI63)*(1+Assumptions!$J$11), IF(J$5 = Assumptions!$K$45, Assumptions!$AH26, 0))</f>
        <v>0</v>
      </c>
      <c r="K647" s="403">
        <f>IF(K$5 &gt; Assumptions!$K$45, J647*(1+Revenue!AJ63)*(1+Assumptions!$J$11), IF(K$5 = Assumptions!$K$45, Assumptions!$AH26, 0))</f>
        <v>0</v>
      </c>
      <c r="L647" s="403">
        <f>IF(L$5 &gt; Assumptions!$K$45, K647*(1+Revenue!AK63)*(1+Assumptions!$J$11), IF(L$5 = Assumptions!$K$45, Assumptions!$AH26, 0))</f>
        <v>0</v>
      </c>
    </row>
    <row r="648" spans="1:12">
      <c r="A648" s="408" t="s">
        <v>31</v>
      </c>
      <c r="B648" s="405"/>
      <c r="C648" s="403">
        <f>IF(C$5 &gt;= Assumptions!$K$45, Assumptions!AH27, 0)</f>
        <v>0</v>
      </c>
      <c r="D648" s="403">
        <f>IF(D$5 &gt; Assumptions!$K$45, C648*(1+Revenue!AC63), IF(D$5 = Assumptions!$K$45, Assumptions!$AH27, 0))</f>
        <v>0</v>
      </c>
      <c r="E648" s="403">
        <f>IF(E$5 &gt; Assumptions!$K$45, D648*(1+Revenue!AD63), IF(E$5 = Assumptions!$K$45, Assumptions!$AH27, 0))</f>
        <v>0</v>
      </c>
      <c r="F648" s="403">
        <f>IF(F$5 &gt; Assumptions!$K$45, E648*(1+Revenue!AE63), IF(F$5 = Assumptions!$K$45, Assumptions!$AH27, 0))</f>
        <v>1200</v>
      </c>
      <c r="G648" s="403">
        <f>IF(G$5 &gt; Assumptions!$K$45, F648*(1+Revenue!AF63), IF(G$5 = Assumptions!$K$45, Assumptions!$AH27, 0))</f>
        <v>1320</v>
      </c>
      <c r="H648" s="403">
        <f>IF(H$5 &gt; Assumptions!$K$45, G648*(1+Revenue!AG63), IF(H$5 = Assumptions!$K$45, Assumptions!$AH27, 0))</f>
        <v>1452.0000000000002</v>
      </c>
      <c r="I648" s="403">
        <f>IF(I$5 &gt; Assumptions!$K$45, H648*(1+Revenue!AH63), IF(I$5 = Assumptions!$K$45, Assumptions!$AH27, 0))</f>
        <v>1597.2000000000003</v>
      </c>
      <c r="J648" s="403">
        <f>IF(J$5 &gt; Assumptions!$K$45, I648*(1+Revenue!AI63), IF(J$5 = Assumptions!$K$45, Assumptions!$AH27, 0))</f>
        <v>1756.9200000000005</v>
      </c>
      <c r="K648" s="403">
        <f>IF(K$5 &gt; Assumptions!$K$45, J648*(1+Revenue!AJ63), IF(K$5 = Assumptions!$K$45, Assumptions!$AH27, 0))</f>
        <v>1932.6120000000008</v>
      </c>
      <c r="L648" s="403">
        <f>IF(L$5 &gt; Assumptions!$K$45, K648*(1+Revenue!AK63), IF(L$5 = Assumptions!$K$45, Assumptions!$AH27, 0))</f>
        <v>2125.8732000000009</v>
      </c>
    </row>
    <row r="649" spans="1:12">
      <c r="A649" s="408" t="s">
        <v>33</v>
      </c>
      <c r="B649" s="405"/>
      <c r="C649" s="403">
        <f>IF(C$5 &gt;= Assumptions!$K$45, Assumptions!AH28, 0)</f>
        <v>0</v>
      </c>
      <c r="D649" s="403">
        <f>IF(D$5 &gt; Assumptions!$K$45, C649*(1+Revenue!AC63), IF(D$5 = Assumptions!$K$45, Assumptions!$AH28, 0))</f>
        <v>0</v>
      </c>
      <c r="E649" s="403">
        <f>IF(E$5 &gt; Assumptions!$K$45, D649*(1+Revenue!AD63), IF(E$5 = Assumptions!$K$45, Assumptions!$AH28, 0))</f>
        <v>0</v>
      </c>
      <c r="F649" s="403">
        <f>IF(F$5 &gt; Assumptions!$K$45, E649*(1+Revenue!AE63), IF(F$5 = Assumptions!$K$45, Assumptions!$AH28, 0))</f>
        <v>1000</v>
      </c>
      <c r="G649" s="403">
        <f>IF(G$5 &gt; Assumptions!$K$45, F649*(1+Revenue!AF63), IF(G$5 = Assumptions!$K$45, Assumptions!$AH28, 0))</f>
        <v>1100</v>
      </c>
      <c r="H649" s="403">
        <f>IF(H$5 &gt; Assumptions!$K$45, G649*(1+Revenue!AG63), IF(H$5 = Assumptions!$K$45, Assumptions!$AH28, 0))</f>
        <v>1210</v>
      </c>
      <c r="I649" s="403">
        <f>IF(I$5 &gt; Assumptions!$K$45, H649*(1+Revenue!AH63), IF(I$5 = Assumptions!$K$45, Assumptions!$AH28, 0))</f>
        <v>1331</v>
      </c>
      <c r="J649" s="403">
        <f>IF(J$5 &gt; Assumptions!$K$45, I649*(1+Revenue!AI63), IF(J$5 = Assumptions!$K$45, Assumptions!$AH28, 0))</f>
        <v>1464.1000000000001</v>
      </c>
      <c r="K649" s="403">
        <f>IF(K$5 &gt; Assumptions!$K$45, J649*(1+Revenue!AJ63), IF(K$5 = Assumptions!$K$45, Assumptions!$AH28, 0))</f>
        <v>1610.5100000000002</v>
      </c>
      <c r="L649" s="403">
        <f>IF(L$5 &gt; Assumptions!$K$45, K649*(1+Revenue!AK63), IF(L$5 = Assumptions!$K$45, Assumptions!$AH28, 0))</f>
        <v>1771.5610000000004</v>
      </c>
    </row>
    <row r="650" spans="1:12">
      <c r="A650" s="408" t="s">
        <v>35</v>
      </c>
      <c r="B650" s="405"/>
      <c r="C650" s="403">
        <f>IF(C$5 &gt;= Assumptions!$K$45, Assumptions!AH29, 0)</f>
        <v>0</v>
      </c>
      <c r="D650" s="403">
        <f>IF(D$5 &gt; Assumptions!$K$45, C650*(1+Revenue!AC63), IF(D$5 = Assumptions!$K$45, Assumptions!$AH29, 0))</f>
        <v>0</v>
      </c>
      <c r="E650" s="403">
        <f>IF(E$5 &gt; Assumptions!$K$45, D650*(1+Revenue!AD63), IF(E$5 = Assumptions!$K$45, Assumptions!$AH29, 0))</f>
        <v>0</v>
      </c>
      <c r="F650" s="403">
        <f>IF(F$5 &gt; Assumptions!$K$45, E650*(1+Revenue!AE63), IF(F$5 = Assumptions!$K$45, Assumptions!$AH29, 0))</f>
        <v>5000</v>
      </c>
      <c r="G650" s="403">
        <f>IF(G$5 &gt; Assumptions!$K$45, F650*(1+Revenue!AF63), IF(G$5 = Assumptions!$K$45, Assumptions!$AH29, 0))</f>
        <v>5500</v>
      </c>
      <c r="H650" s="403">
        <f>IF(H$5 &gt; Assumptions!$K$45, G650*(1+Revenue!AG63), IF(H$5 = Assumptions!$K$45, Assumptions!$AH29, 0))</f>
        <v>6050.0000000000009</v>
      </c>
      <c r="I650" s="403">
        <f>IF(I$5 &gt; Assumptions!$K$45, H650*(1+Revenue!AH63), IF(I$5 = Assumptions!$K$45, Assumptions!$AH29, 0))</f>
        <v>6655.0000000000018</v>
      </c>
      <c r="J650" s="403">
        <f>IF(J$5 &gt; Assumptions!$K$45, I650*(1+Revenue!AI63), IF(J$5 = Assumptions!$K$45, Assumptions!$AH29, 0))</f>
        <v>7320.5000000000027</v>
      </c>
      <c r="K650" s="403">
        <f>IF(K$5 &gt; Assumptions!$K$45, J650*(1+Revenue!AJ63), IF(K$5 = Assumptions!$K$45, Assumptions!$AH29, 0))</f>
        <v>8052.5500000000038</v>
      </c>
      <c r="L650" s="403">
        <f>IF(L$5 &gt; Assumptions!$K$45, K650*(1+Revenue!AK63), IF(L$5 = Assumptions!$K$45, Assumptions!$AH29, 0))</f>
        <v>8857.8050000000057</v>
      </c>
    </row>
    <row r="651" spans="1:12">
      <c r="A651" s="408"/>
      <c r="B651" s="405"/>
      <c r="C651" s="403"/>
      <c r="D651" s="403"/>
      <c r="E651" s="403"/>
      <c r="F651" s="403"/>
      <c r="G651" s="403"/>
      <c r="H651" s="403"/>
      <c r="I651" s="403"/>
      <c r="J651" s="403"/>
      <c r="K651" s="403"/>
      <c r="L651" s="403"/>
    </row>
    <row r="652" spans="1:12" ht="15.5">
      <c r="A652" s="409" t="s">
        <v>156</v>
      </c>
      <c r="B652" s="405"/>
      <c r="C652" s="403">
        <f t="shared" ref="C652:L652" si="172">SUM(C637:C650)</f>
        <v>0</v>
      </c>
      <c r="D652" s="403">
        <f t="shared" si="172"/>
        <v>0</v>
      </c>
      <c r="E652" s="403">
        <f t="shared" si="172"/>
        <v>0</v>
      </c>
      <c r="F652" s="403">
        <f t="shared" si="172"/>
        <v>5865850</v>
      </c>
      <c r="G652" s="403">
        <f t="shared" ca="1" si="172"/>
        <v>9032918.8006397393</v>
      </c>
      <c r="H652" s="403">
        <f t="shared" ca="1" si="172"/>
        <v>11092003.53148628</v>
      </c>
      <c r="I652" s="403">
        <f t="shared" ca="1" si="172"/>
        <v>12691628.029448004</v>
      </c>
      <c r="J652" s="403">
        <f t="shared" ca="1" si="172"/>
        <v>14569225.984317921</v>
      </c>
      <c r="K652" s="403">
        <f t="shared" ca="1" si="172"/>
        <v>16782111.592525523</v>
      </c>
      <c r="L652" s="403">
        <f t="shared" ca="1" si="172"/>
        <v>19394271.893933173</v>
      </c>
    </row>
    <row r="653" spans="1:12" ht="15.5">
      <c r="A653" s="409"/>
      <c r="B653" s="405"/>
      <c r="C653" s="403"/>
      <c r="D653" s="403"/>
      <c r="E653" s="403"/>
      <c r="F653" s="403"/>
      <c r="G653" s="403"/>
      <c r="H653" s="403"/>
      <c r="I653" s="403"/>
      <c r="J653" s="403"/>
      <c r="K653" s="403"/>
      <c r="L653" s="403"/>
    </row>
    <row r="654" spans="1:12" ht="15.5">
      <c r="A654" s="409" t="s">
        <v>36</v>
      </c>
      <c r="B654" s="405"/>
      <c r="C654" s="403"/>
      <c r="D654" s="403"/>
      <c r="E654" s="403"/>
      <c r="F654" s="403"/>
      <c r="G654" s="403"/>
      <c r="H654" s="403"/>
      <c r="I654" s="403"/>
      <c r="J654" s="403"/>
      <c r="K654" s="403"/>
      <c r="L654" s="403"/>
    </row>
    <row r="655" spans="1:12">
      <c r="A655" s="408" t="s">
        <v>38</v>
      </c>
      <c r="B655" s="405"/>
      <c r="C655" s="403">
        <f>IF(C$5 &gt;= Assumptions!$K$45, Assumptions!AT22, 0)</f>
        <v>0</v>
      </c>
      <c r="D655" s="403">
        <f>IF(D$5 &gt; Assumptions!$K$45, C655*(1+Revenue!AC63), IF(D$5 = Assumptions!$K$45, Assumptions!$AT22, 0))</f>
        <v>0</v>
      </c>
      <c r="E655" s="403">
        <f>IF(E$5 &gt; Assumptions!$K$45, D655*(1+Revenue!AD63), IF(E$5 = Assumptions!$K$45, Assumptions!$AT22, 0))</f>
        <v>0</v>
      </c>
      <c r="F655" s="403">
        <f>IF(F$5 &gt; Assumptions!$K$45, E655*(1+Revenue!AE63), IF(F$5 = Assumptions!$K$45, Assumptions!$AT22, 0))</f>
        <v>5000</v>
      </c>
      <c r="G655" s="403">
        <f>IF(G$5 &gt; Assumptions!$K$45, F655*(1+Revenue!AF63), IF(G$5 = Assumptions!$K$45, Assumptions!$AT22, 0))</f>
        <v>5500</v>
      </c>
      <c r="H655" s="403">
        <f>IF(H$5 &gt; Assumptions!$K$45, G655*(1+Revenue!AG63), IF(H$5 = Assumptions!$K$45, Assumptions!$AT22, 0))</f>
        <v>6050.0000000000009</v>
      </c>
      <c r="I655" s="403">
        <f>IF(I$5 &gt; Assumptions!$K$45, H655*(1+Revenue!AH63), IF(I$5 = Assumptions!$K$45, Assumptions!$AT22, 0))</f>
        <v>6655.0000000000018</v>
      </c>
      <c r="J655" s="403">
        <f>IF(J$5 &gt; Assumptions!$K$45, I655*(1+Revenue!AI63), IF(J$5 = Assumptions!$K$45, Assumptions!$AT22, 0))</f>
        <v>7320.5000000000027</v>
      </c>
      <c r="K655" s="403">
        <f>IF(K$5 &gt; Assumptions!$K$45, J655*(1+Revenue!AJ63), IF(K$5 = Assumptions!$K$45, Assumptions!$AT22, 0))</f>
        <v>8052.5500000000038</v>
      </c>
      <c r="L655" s="403">
        <f>IF(L$5 &gt; Assumptions!$K$45, K655*(1+Revenue!AK63), IF(L$5 = Assumptions!$K$45, Assumptions!$AT22, 0))</f>
        <v>8857.8050000000057</v>
      </c>
    </row>
    <row r="656" spans="1:12">
      <c r="A656" s="408" t="s">
        <v>39</v>
      </c>
      <c r="B656" s="405"/>
      <c r="C656" s="403">
        <f>IF(C$5 &gt;= Assumptions!$K$45, Assumptions!AT23, 0)</f>
        <v>0</v>
      </c>
      <c r="D656" s="403">
        <f>IF(D$5 &gt; Assumptions!$K$45, C655*(1+Revenue!AC63), IF(D$5 = Assumptions!$K$45, Assumptions!$AT23, 0))</f>
        <v>0</v>
      </c>
      <c r="E656" s="403">
        <f>IF(E$5 &gt; Assumptions!$K$45, D655*(1+Revenue!AD63), IF(E$5 = Assumptions!$K$45, Assumptions!$AT23, 0))</f>
        <v>0</v>
      </c>
      <c r="F656" s="403">
        <f>IF(F$5 &gt; Assumptions!$K$45, E655*(1+Revenue!AE63), IF(F$5 = Assumptions!$K$45, Assumptions!$AT23, 0))</f>
        <v>500</v>
      </c>
      <c r="G656" s="403">
        <f>IF(G$5 &gt; Assumptions!$K$45, F655*(1+Revenue!AF63), IF(G$5 = Assumptions!$K$45, Assumptions!$AT23, 0))</f>
        <v>5500</v>
      </c>
      <c r="H656" s="403">
        <f>IF(H$5 &gt; Assumptions!$K$45, G655*(1+Revenue!AG63), IF(H$5 = Assumptions!$K$45, Assumptions!$AT23, 0))</f>
        <v>6050.0000000000009</v>
      </c>
      <c r="I656" s="403">
        <f>IF(I$5 &gt; Assumptions!$K$45, H655*(1+Revenue!AH63), IF(I$5 = Assumptions!$K$45, Assumptions!$AT23, 0))</f>
        <v>6655.0000000000018</v>
      </c>
      <c r="J656" s="403">
        <f>IF(J$5 &gt; Assumptions!$K$45, I655*(1+Revenue!AI63), IF(J$5 = Assumptions!$K$45, Assumptions!$AT23, 0))</f>
        <v>7320.5000000000027</v>
      </c>
      <c r="K656" s="403">
        <f>IF(K$5 &gt; Assumptions!$K$45, J655*(1+Revenue!AJ63), IF(K$5 = Assumptions!$K$45, Assumptions!$AT23, 0))</f>
        <v>8052.5500000000038</v>
      </c>
      <c r="L656" s="403">
        <f>IF(L$5 &gt; Assumptions!$K$45, K655*(1+Revenue!AK63), IF(L$5 = Assumptions!$K$45, Assumptions!$AT23, 0))</f>
        <v>8857.8050000000057</v>
      </c>
    </row>
    <row r="657" spans="1:12">
      <c r="A657" s="408"/>
      <c r="B657" s="405"/>
      <c r="C657" s="403"/>
      <c r="D657" s="403"/>
      <c r="E657" s="403"/>
      <c r="F657" s="403"/>
      <c r="G657" s="403"/>
      <c r="H657" s="403"/>
      <c r="I657" s="403"/>
      <c r="J657" s="403"/>
      <c r="K657" s="403"/>
      <c r="L657" s="403"/>
    </row>
    <row r="658" spans="1:12" ht="15.5">
      <c r="A658" s="409" t="s">
        <v>157</v>
      </c>
      <c r="B658" s="405"/>
      <c r="C658" s="403">
        <f t="shared" ref="C658:L658" si="173">SUM(C655:C656)</f>
        <v>0</v>
      </c>
      <c r="D658" s="403">
        <f t="shared" si="173"/>
        <v>0</v>
      </c>
      <c r="E658" s="403">
        <f t="shared" si="173"/>
        <v>0</v>
      </c>
      <c r="F658" s="403">
        <f t="shared" si="173"/>
        <v>5500</v>
      </c>
      <c r="G658" s="403">
        <f t="shared" si="173"/>
        <v>11000</v>
      </c>
      <c r="H658" s="403">
        <f t="shared" si="173"/>
        <v>12100.000000000002</v>
      </c>
      <c r="I658" s="403">
        <f t="shared" si="173"/>
        <v>13310.000000000004</v>
      </c>
      <c r="J658" s="403">
        <f t="shared" si="173"/>
        <v>14641.000000000005</v>
      </c>
      <c r="K658" s="403">
        <f t="shared" si="173"/>
        <v>16105.100000000008</v>
      </c>
      <c r="L658" s="403">
        <f t="shared" si="173"/>
        <v>17715.610000000011</v>
      </c>
    </row>
    <row r="659" spans="1:12">
      <c r="A659" s="408"/>
      <c r="B659" s="405"/>
      <c r="C659" s="403"/>
      <c r="D659" s="403"/>
      <c r="E659" s="403"/>
      <c r="F659" s="403"/>
      <c r="G659" s="403"/>
      <c r="H659" s="403"/>
      <c r="I659" s="403"/>
      <c r="J659" s="403"/>
      <c r="K659" s="403"/>
      <c r="L659" s="403"/>
    </row>
    <row r="660" spans="1:12" ht="15.5">
      <c r="A660" s="409" t="s">
        <v>112</v>
      </c>
      <c r="B660" s="405"/>
      <c r="C660" s="403">
        <f t="shared" ref="C660:L660" si="174">C633+C652+C658</f>
        <v>0</v>
      </c>
      <c r="D660" s="403">
        <f t="shared" si="174"/>
        <v>0</v>
      </c>
      <c r="E660" s="403">
        <f t="shared" si="174"/>
        <v>0</v>
      </c>
      <c r="F660" s="403">
        <f t="shared" si="174"/>
        <v>5906350</v>
      </c>
      <c r="G660" s="403">
        <f t="shared" ca="1" si="174"/>
        <v>9043918.8006397393</v>
      </c>
      <c r="H660" s="403">
        <f t="shared" ca="1" si="174"/>
        <v>11104103.53148628</v>
      </c>
      <c r="I660" s="403">
        <f t="shared" ca="1" si="174"/>
        <v>12704938.029448004</v>
      </c>
      <c r="J660" s="403">
        <f t="shared" ca="1" si="174"/>
        <v>14583866.984317921</v>
      </c>
      <c r="K660" s="403">
        <f t="shared" ca="1" si="174"/>
        <v>16798216.692525525</v>
      </c>
      <c r="L660" s="403">
        <f t="shared" ca="1" si="174"/>
        <v>19411987.503933173</v>
      </c>
    </row>
    <row r="661" spans="1:12">
      <c r="A661" s="408"/>
      <c r="B661" s="405"/>
      <c r="C661" s="403"/>
      <c r="D661" s="403"/>
      <c r="E661" s="403"/>
      <c r="F661" s="403"/>
      <c r="G661" s="403"/>
      <c r="H661" s="403"/>
      <c r="I661" s="403"/>
      <c r="J661" s="403"/>
      <c r="K661" s="403"/>
      <c r="L661" s="403"/>
    </row>
    <row r="662" spans="1:12" ht="15.5">
      <c r="A662" s="409" t="s">
        <v>372</v>
      </c>
      <c r="B662" s="405"/>
      <c r="C662" s="403">
        <f>C619-C660</f>
        <v>0</v>
      </c>
      <c r="D662" s="403">
        <f t="shared" ref="D662:L662" si="175">D619-D660</f>
        <v>0</v>
      </c>
      <c r="E662" s="403">
        <f t="shared" si="175"/>
        <v>0</v>
      </c>
      <c r="F662" s="403">
        <f t="shared" si="175"/>
        <v>10122650</v>
      </c>
      <c r="G662" s="403">
        <f t="shared" ca="1" si="175"/>
        <v>13350227.554614866</v>
      </c>
      <c r="H662" s="403">
        <f t="shared" ca="1" si="175"/>
        <v>16540303.85207577</v>
      </c>
      <c r="I662" s="403">
        <f t="shared" ca="1" si="175"/>
        <v>19081226.435359128</v>
      </c>
      <c r="J662" s="403">
        <f t="shared" ca="1" si="175"/>
        <v>22066296.932178624</v>
      </c>
      <c r="K662" s="403">
        <f t="shared" ca="1" si="175"/>
        <v>25588341.746033233</v>
      </c>
      <c r="L662" s="403">
        <f t="shared" ca="1" si="175"/>
        <v>29751024.232299235</v>
      </c>
    </row>
    <row r="663" spans="1:12">
      <c r="A663" s="408"/>
      <c r="B663" s="405"/>
      <c r="C663" s="403"/>
      <c r="D663" s="403"/>
      <c r="E663" s="403"/>
      <c r="F663" s="403"/>
      <c r="G663" s="403"/>
      <c r="H663" s="403"/>
      <c r="I663" s="403"/>
      <c r="J663" s="403"/>
      <c r="K663" s="403"/>
      <c r="L663" s="403"/>
    </row>
    <row r="664" spans="1:12">
      <c r="A664" s="408" t="s">
        <v>159</v>
      </c>
      <c r="B664" s="405"/>
      <c r="C664" s="403">
        <v>0</v>
      </c>
      <c r="D664" s="403">
        <v>0</v>
      </c>
      <c r="E664" s="403">
        <v>0</v>
      </c>
      <c r="F664" s="403">
        <v>0</v>
      </c>
      <c r="G664" s="403">
        <v>0</v>
      </c>
      <c r="H664" s="403">
        <v>0</v>
      </c>
      <c r="I664" s="403">
        <v>0</v>
      </c>
      <c r="J664" s="403">
        <v>0</v>
      </c>
      <c r="K664" s="403">
        <v>0</v>
      </c>
      <c r="L664" s="403">
        <v>0</v>
      </c>
    </row>
    <row r="665" spans="1:12">
      <c r="A665" s="408" t="s">
        <v>160</v>
      </c>
      <c r="B665" s="405"/>
      <c r="C665" s="403">
        <v>0</v>
      </c>
      <c r="D665" s="403">
        <v>0</v>
      </c>
      <c r="E665" s="403">
        <v>0</v>
      </c>
      <c r="F665" s="403">
        <v>0</v>
      </c>
      <c r="G665" s="403">
        <v>0</v>
      </c>
      <c r="H665" s="403">
        <v>0</v>
      </c>
      <c r="I665" s="403">
        <v>0</v>
      </c>
      <c r="J665" s="403">
        <v>0</v>
      </c>
      <c r="K665" s="403">
        <v>0</v>
      </c>
      <c r="L665" s="403">
        <v>0</v>
      </c>
    </row>
    <row r="666" spans="1:12">
      <c r="A666" s="408"/>
      <c r="B666" s="405"/>
      <c r="C666" s="403"/>
      <c r="D666" s="403"/>
      <c r="E666" s="403"/>
      <c r="F666" s="403"/>
      <c r="G666" s="403"/>
      <c r="H666" s="403"/>
      <c r="I666" s="403"/>
      <c r="J666" s="403"/>
      <c r="K666" s="403"/>
      <c r="L666" s="403"/>
    </row>
    <row r="667" spans="1:12" ht="15.5">
      <c r="A667" s="409" t="s">
        <v>373</v>
      </c>
      <c r="B667" s="405"/>
      <c r="C667" s="403">
        <f>C662-C664-C665</f>
        <v>0</v>
      </c>
      <c r="D667" s="403">
        <f t="shared" ref="D667:L667" si="176">D662-D664-D665</f>
        <v>0</v>
      </c>
      <c r="E667" s="403">
        <f t="shared" si="176"/>
        <v>0</v>
      </c>
      <c r="F667" s="403">
        <f t="shared" si="176"/>
        <v>10122650</v>
      </c>
      <c r="G667" s="403">
        <f t="shared" ca="1" si="176"/>
        <v>13350227.554614866</v>
      </c>
      <c r="H667" s="403">
        <f t="shared" ca="1" si="176"/>
        <v>16540303.85207577</v>
      </c>
      <c r="I667" s="403">
        <f t="shared" ca="1" si="176"/>
        <v>19081226.435359128</v>
      </c>
      <c r="J667" s="403">
        <f t="shared" ca="1" si="176"/>
        <v>22066296.932178624</v>
      </c>
      <c r="K667" s="403">
        <f t="shared" ca="1" si="176"/>
        <v>25588341.746033233</v>
      </c>
      <c r="L667" s="403">
        <f t="shared" ca="1" si="176"/>
        <v>29751024.232299235</v>
      </c>
    </row>
    <row r="668" spans="1:12">
      <c r="A668" s="408"/>
      <c r="B668" s="405"/>
      <c r="C668" s="403"/>
      <c r="D668" s="403"/>
      <c r="E668" s="403"/>
      <c r="F668" s="403"/>
      <c r="G668" s="403"/>
      <c r="H668" s="403"/>
      <c r="I668" s="403"/>
      <c r="J668" s="403"/>
      <c r="K668" s="403"/>
      <c r="L668" s="403"/>
    </row>
    <row r="669" spans="1:12">
      <c r="A669" s="408" t="s">
        <v>162</v>
      </c>
      <c r="B669" s="405"/>
      <c r="C669" s="403">
        <v>0</v>
      </c>
      <c r="D669" s="403">
        <v>0</v>
      </c>
      <c r="E669" s="403">
        <v>0</v>
      </c>
      <c r="F669" s="403">
        <v>0</v>
      </c>
      <c r="G669" s="403">
        <v>0</v>
      </c>
      <c r="H669" s="403">
        <v>0</v>
      </c>
      <c r="I669" s="403">
        <v>0</v>
      </c>
      <c r="J669" s="403">
        <v>0</v>
      </c>
      <c r="K669" s="403">
        <v>0</v>
      </c>
      <c r="L669" s="403">
        <v>0</v>
      </c>
    </row>
    <row r="670" spans="1:12">
      <c r="A670" s="408"/>
      <c r="B670" s="405"/>
      <c r="C670" s="403"/>
      <c r="D670" s="403"/>
      <c r="E670" s="403"/>
      <c r="F670" s="403"/>
      <c r="G670" s="403"/>
      <c r="H670" s="403"/>
      <c r="I670" s="403"/>
      <c r="J670" s="403"/>
      <c r="K670" s="403"/>
      <c r="L670" s="403"/>
    </row>
    <row r="671" spans="1:12" ht="15.5">
      <c r="A671" s="409" t="s">
        <v>374</v>
      </c>
      <c r="B671" s="405"/>
      <c r="C671" s="403">
        <f>C667-C669</f>
        <v>0</v>
      </c>
      <c r="D671" s="403">
        <f t="shared" ref="D671:L671" si="177">D667-D669</f>
        <v>0</v>
      </c>
      <c r="E671" s="403">
        <f t="shared" si="177"/>
        <v>0</v>
      </c>
      <c r="F671" s="403">
        <f t="shared" si="177"/>
        <v>10122650</v>
      </c>
      <c r="G671" s="403">
        <f t="shared" ca="1" si="177"/>
        <v>13350227.554614866</v>
      </c>
      <c r="H671" s="403">
        <f t="shared" ca="1" si="177"/>
        <v>16540303.85207577</v>
      </c>
      <c r="I671" s="403">
        <f t="shared" ca="1" si="177"/>
        <v>19081226.435359128</v>
      </c>
      <c r="J671" s="403">
        <f t="shared" ca="1" si="177"/>
        <v>22066296.932178624</v>
      </c>
      <c r="K671" s="403">
        <f t="shared" ca="1" si="177"/>
        <v>25588341.746033233</v>
      </c>
      <c r="L671" s="403">
        <f t="shared" ca="1" si="177"/>
        <v>29751024.232299235</v>
      </c>
    </row>
    <row r="672" spans="1:12">
      <c r="A672" s="408"/>
      <c r="B672" s="405"/>
      <c r="C672" s="403"/>
      <c r="D672" s="403"/>
      <c r="E672" s="403"/>
      <c r="F672" s="403"/>
      <c r="G672" s="403"/>
      <c r="H672" s="403"/>
      <c r="I672" s="403"/>
      <c r="J672" s="403"/>
      <c r="K672" s="403"/>
      <c r="L672" s="403"/>
    </row>
    <row r="673" spans="1:25">
      <c r="A673" s="408" t="s">
        <v>164</v>
      </c>
      <c r="B673" s="405"/>
      <c r="C673" s="403">
        <f>C671*Assumptions!$Y$20</f>
        <v>0</v>
      </c>
      <c r="D673" s="403">
        <f>D671*Assumptions!$Y$20</f>
        <v>0</v>
      </c>
      <c r="E673" s="403">
        <f>E671*Assumptions!$Y$20</f>
        <v>0</v>
      </c>
      <c r="F673" s="403">
        <f>F671*Assumptions!$Y$20</f>
        <v>2872808.07</v>
      </c>
      <c r="G673" s="403">
        <f ca="1">G671*Assumptions!$Y$20</f>
        <v>3788794.5799996988</v>
      </c>
      <c r="H673" s="403">
        <f ca="1">H671*Assumptions!$Y$20</f>
        <v>4694138.2332191039</v>
      </c>
      <c r="I673" s="403">
        <f ca="1">I671*Assumptions!$Y$20</f>
        <v>5415252.0623549204</v>
      </c>
      <c r="J673" s="403">
        <f ca="1">J671*Assumptions!$Y$20</f>
        <v>6262415.0693522934</v>
      </c>
      <c r="K673" s="403">
        <f ca="1">K671*Assumptions!$Y$20</f>
        <v>7261971.3875242313</v>
      </c>
      <c r="L673" s="403">
        <f ca="1">L671*Assumptions!$Y$20</f>
        <v>8443340.6771265231</v>
      </c>
    </row>
    <row r="674" spans="1:25">
      <c r="A674" s="408"/>
      <c r="B674" s="405"/>
      <c r="C674" s="403"/>
      <c r="D674" s="403"/>
      <c r="E674" s="403"/>
      <c r="F674" s="403"/>
      <c r="G674" s="403"/>
      <c r="H674" s="403"/>
      <c r="I674" s="403"/>
      <c r="J674" s="403"/>
      <c r="K674" s="403"/>
      <c r="L674" s="403"/>
    </row>
    <row r="675" spans="1:25" ht="15.5">
      <c r="A675" s="409" t="s">
        <v>97</v>
      </c>
      <c r="B675" s="405"/>
      <c r="C675" s="403">
        <f>C671-C673</f>
        <v>0</v>
      </c>
      <c r="D675" s="403">
        <f t="shared" ref="D675:L675" si="178">D671-D673</f>
        <v>0</v>
      </c>
      <c r="E675" s="403">
        <f t="shared" si="178"/>
        <v>0</v>
      </c>
      <c r="F675" s="403">
        <f t="shared" si="178"/>
        <v>7249841.9299999997</v>
      </c>
      <c r="G675" s="403">
        <f t="shared" ca="1" si="178"/>
        <v>9561432.9746151678</v>
      </c>
      <c r="H675" s="403">
        <f t="shared" ca="1" si="178"/>
        <v>11846165.618856667</v>
      </c>
      <c r="I675" s="403">
        <f t="shared" ca="1" si="178"/>
        <v>13665974.373004207</v>
      </c>
      <c r="J675" s="403">
        <f t="shared" ca="1" si="178"/>
        <v>15803881.862826331</v>
      </c>
      <c r="K675" s="403">
        <f t="shared" ca="1" si="178"/>
        <v>18326370.358509</v>
      </c>
      <c r="L675" s="403">
        <f t="shared" ca="1" si="178"/>
        <v>21307683.555172712</v>
      </c>
    </row>
    <row r="676" spans="1:25">
      <c r="A676" s="408"/>
      <c r="B676" s="405"/>
      <c r="C676" s="403"/>
      <c r="D676" s="403"/>
      <c r="E676" s="403"/>
      <c r="F676" s="403"/>
      <c r="G676" s="403"/>
      <c r="H676" s="403"/>
      <c r="I676" s="403"/>
      <c r="J676" s="403"/>
      <c r="K676" s="403"/>
      <c r="L676" s="403"/>
    </row>
    <row r="677" spans="1:25" ht="16" thickBot="1">
      <c r="A677" s="412" t="s">
        <v>165</v>
      </c>
      <c r="B677" s="406"/>
      <c r="C677" s="407">
        <f>C675</f>
        <v>0</v>
      </c>
      <c r="D677" s="407">
        <f t="shared" ref="D677:L677" si="179">C677+D675</f>
        <v>0</v>
      </c>
      <c r="E677" s="407">
        <f t="shared" si="179"/>
        <v>0</v>
      </c>
      <c r="F677" s="407">
        <f t="shared" si="179"/>
        <v>7249841.9299999997</v>
      </c>
      <c r="G677" s="407">
        <f t="shared" ca="1" si="179"/>
        <v>16811274.904615168</v>
      </c>
      <c r="H677" s="407">
        <f t="shared" ca="1" si="179"/>
        <v>28657440.523471832</v>
      </c>
      <c r="I677" s="407">
        <f t="shared" ca="1" si="179"/>
        <v>42323414.896476038</v>
      </c>
      <c r="J677" s="407">
        <f t="shared" ca="1" si="179"/>
        <v>58127296.75930237</v>
      </c>
      <c r="K677" s="407">
        <f t="shared" ca="1" si="179"/>
        <v>76453667.117811367</v>
      </c>
      <c r="L677" s="407">
        <f t="shared" ca="1" si="179"/>
        <v>97761350.672984079</v>
      </c>
      <c r="Q677" s="467"/>
      <c r="R677" s="467"/>
      <c r="S677" s="467"/>
      <c r="T677" s="467"/>
      <c r="U677" s="467"/>
      <c r="V677" s="467"/>
      <c r="W677" s="467"/>
      <c r="X677" s="467"/>
      <c r="Y677" s="467"/>
    </row>
    <row r="678" spans="1:25" ht="15" thickTop="1">
      <c r="B678" s="419"/>
      <c r="C678" s="420"/>
      <c r="D678" s="420"/>
      <c r="E678" s="420"/>
      <c r="F678" s="420"/>
      <c r="G678" s="420"/>
      <c r="H678" s="420"/>
      <c r="I678" s="420"/>
      <c r="J678" s="420"/>
      <c r="K678" s="420"/>
      <c r="L678" s="420"/>
      <c r="N678" s="467"/>
      <c r="O678" s="467"/>
      <c r="P678" s="467"/>
      <c r="Q678" s="467"/>
      <c r="R678" s="467"/>
      <c r="S678" s="467"/>
      <c r="T678" s="467"/>
      <c r="U678" s="467"/>
      <c r="V678" s="467"/>
      <c r="W678" s="467"/>
      <c r="X678" s="467"/>
      <c r="Y678" s="467"/>
    </row>
    <row r="679" spans="1:25" ht="15.5">
      <c r="A679" s="413" t="s">
        <v>380</v>
      </c>
      <c r="B679" s="405"/>
      <c r="C679" s="135"/>
      <c r="D679" s="135"/>
      <c r="E679" s="135"/>
      <c r="F679" s="135"/>
      <c r="G679" s="135"/>
      <c r="H679" s="135"/>
      <c r="I679" s="135"/>
      <c r="J679" s="135"/>
      <c r="K679" s="135"/>
      <c r="L679" s="136"/>
      <c r="N679" s="468"/>
      <c r="O679" s="467"/>
      <c r="P679" s="465"/>
      <c r="Q679" s="465"/>
      <c r="R679" s="465"/>
      <c r="S679" s="465"/>
      <c r="T679" s="465"/>
      <c r="U679" s="465"/>
      <c r="V679" s="465"/>
      <c r="W679" s="465"/>
      <c r="X679" s="465"/>
      <c r="Y679" s="465"/>
    </row>
    <row r="680" spans="1:25" ht="15.5">
      <c r="A680" s="414" t="s">
        <v>355</v>
      </c>
      <c r="B680" s="405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N680" s="467"/>
      <c r="O680" s="467"/>
      <c r="P680" s="467"/>
    </row>
    <row r="681" spans="1:25">
      <c r="A681" s="415" t="s">
        <v>289</v>
      </c>
      <c r="B681" s="405"/>
      <c r="C681" s="133">
        <f>Revenue!Q98</f>
        <v>0</v>
      </c>
      <c r="D681" s="133">
        <f>Revenue!AD98</f>
        <v>0</v>
      </c>
      <c r="E681" s="133">
        <f>Revenue!AE98</f>
        <v>0</v>
      </c>
      <c r="F681" s="133">
        <f>Revenue!AF98</f>
        <v>5000</v>
      </c>
      <c r="G681" s="133">
        <f>Revenue!AG98</f>
        <v>5250</v>
      </c>
      <c r="H681" s="133">
        <f>Revenue!AH98</f>
        <v>5512.5</v>
      </c>
      <c r="I681" s="133">
        <f>Revenue!AI98</f>
        <v>5788.125</v>
      </c>
      <c r="J681" s="133">
        <f>Revenue!AJ98</f>
        <v>6077.53125</v>
      </c>
      <c r="K681" s="133">
        <f>Revenue!AK98</f>
        <v>6381.4078125000005</v>
      </c>
      <c r="L681" s="133">
        <f>Revenue!AL98</f>
        <v>6700.4782031250006</v>
      </c>
    </row>
    <row r="682" spans="1:25">
      <c r="A682" s="415" t="s">
        <v>60</v>
      </c>
      <c r="B682" s="405"/>
      <c r="C682" s="403">
        <f>Revenue!C98</f>
        <v>0</v>
      </c>
      <c r="D682" s="403">
        <f>Revenue!D98</f>
        <v>0</v>
      </c>
      <c r="E682" s="403">
        <f>Revenue!E98</f>
        <v>0</v>
      </c>
      <c r="F682" s="403">
        <f>Revenue!F98</f>
        <v>5000</v>
      </c>
      <c r="G682" s="403">
        <f>Revenue!G98</f>
        <v>5225</v>
      </c>
      <c r="H682" s="403">
        <f>Revenue!H98</f>
        <v>5460.125</v>
      </c>
      <c r="I682" s="403">
        <f>Revenue!I98</f>
        <v>5705.8306249999996</v>
      </c>
      <c r="J682" s="403">
        <f>Revenue!J98</f>
        <v>5962.5930031249991</v>
      </c>
      <c r="K682" s="403">
        <f>Revenue!K98</f>
        <v>6230.909688265624</v>
      </c>
      <c r="L682" s="403">
        <f>Revenue!L98</f>
        <v>6511.3006242375768</v>
      </c>
    </row>
    <row r="683" spans="1:25">
      <c r="A683" s="415" t="s">
        <v>366</v>
      </c>
      <c r="B683" s="405"/>
      <c r="C683" s="403">
        <f t="shared" ref="C683:L683" si="180">C681*C682</f>
        <v>0</v>
      </c>
      <c r="D683" s="403">
        <f t="shared" si="180"/>
        <v>0</v>
      </c>
      <c r="E683" s="403">
        <f t="shared" si="180"/>
        <v>0</v>
      </c>
      <c r="F683" s="403">
        <f t="shared" si="180"/>
        <v>25000000</v>
      </c>
      <c r="G683" s="403">
        <f t="shared" si="180"/>
        <v>27431250</v>
      </c>
      <c r="H683" s="403">
        <f t="shared" si="180"/>
        <v>30098939.0625</v>
      </c>
      <c r="I683" s="403">
        <f t="shared" si="180"/>
        <v>33026060.886328124</v>
      </c>
      <c r="J683" s="403">
        <f t="shared" si="180"/>
        <v>36237845.307523526</v>
      </c>
      <c r="K683" s="403">
        <f t="shared" si="180"/>
        <v>39761975.763680197</v>
      </c>
      <c r="L683" s="403">
        <f t="shared" si="180"/>
        <v>43628827.906698093</v>
      </c>
    </row>
    <row r="684" spans="1:25" ht="15.5">
      <c r="A684" s="416" t="s">
        <v>356</v>
      </c>
      <c r="B684" s="405"/>
      <c r="C684" s="48"/>
      <c r="D684" s="48"/>
      <c r="E684" s="48"/>
      <c r="F684" s="48"/>
      <c r="G684" s="48"/>
      <c r="H684" s="48"/>
      <c r="I684" s="48"/>
      <c r="J684" s="48"/>
      <c r="K684" s="48"/>
      <c r="L684" s="48"/>
    </row>
    <row r="685" spans="1:25">
      <c r="A685" s="417" t="s">
        <v>358</v>
      </c>
      <c r="B685" s="405"/>
      <c r="C685" s="133">
        <f>Revenue!Q99</f>
        <v>0</v>
      </c>
      <c r="D685" s="133">
        <f>Revenue!R99</f>
        <v>0</v>
      </c>
      <c r="E685" s="133">
        <f>Revenue!S99</f>
        <v>0</v>
      </c>
      <c r="F685" s="133">
        <f>Revenue!T99</f>
        <v>1000</v>
      </c>
      <c r="G685" s="133">
        <f ca="1">Revenue!U99</f>
        <v>1099.2524898759559</v>
      </c>
      <c r="H685" s="133">
        <f ca="1">Revenue!V99</f>
        <v>1211.3907709882099</v>
      </c>
      <c r="I685" s="133">
        <f ca="1">Revenue!W99</f>
        <v>1339.6126664162018</v>
      </c>
      <c r="J685" s="133">
        <f ca="1">Revenue!X99</f>
        <v>1486.5979407441266</v>
      </c>
      <c r="K685" s="133">
        <f ca="1">Revenue!Y99</f>
        <v>1653.8979931204537</v>
      </c>
      <c r="L685" s="133">
        <f ca="1">Revenue!Z99</f>
        <v>1846.6164268454879</v>
      </c>
    </row>
    <row r="686" spans="1:25">
      <c r="A686" s="417" t="s">
        <v>359</v>
      </c>
      <c r="B686" s="405"/>
      <c r="C686" s="403">
        <f>Revenue!C99</f>
        <v>0</v>
      </c>
      <c r="D686" s="403">
        <f>Revenue!D99</f>
        <v>0</v>
      </c>
      <c r="E686" s="403">
        <f>Revenue!E99</f>
        <v>0</v>
      </c>
      <c r="F686" s="403">
        <f>Revenue!F99</f>
        <v>7000</v>
      </c>
      <c r="G686" s="403">
        <f>Revenue!G99</f>
        <v>7314.9999999999991</v>
      </c>
      <c r="H686" s="403">
        <f>Revenue!H99</f>
        <v>7644.1749999999984</v>
      </c>
      <c r="I686" s="403">
        <f>Revenue!I99</f>
        <v>7988.1628749999982</v>
      </c>
      <c r="J686" s="403">
        <f>Revenue!J99</f>
        <v>8347.6302043749984</v>
      </c>
      <c r="K686" s="403">
        <f>Revenue!K99</f>
        <v>8723.2735635718727</v>
      </c>
      <c r="L686" s="403">
        <f>Revenue!L99</f>
        <v>9115.8208739326055</v>
      </c>
    </row>
    <row r="687" spans="1:25">
      <c r="A687" s="418" t="s">
        <v>366</v>
      </c>
      <c r="B687" s="405"/>
      <c r="C687" s="403">
        <f t="shared" ref="C687:L687" si="181">C685*C686</f>
        <v>0</v>
      </c>
      <c r="D687" s="403">
        <f t="shared" si="181"/>
        <v>0</v>
      </c>
      <c r="E687" s="403">
        <f t="shared" si="181"/>
        <v>0</v>
      </c>
      <c r="F687" s="403">
        <f t="shared" si="181"/>
        <v>7000000</v>
      </c>
      <c r="G687" s="403">
        <f t="shared" ca="1" si="181"/>
        <v>8041031.9634426162</v>
      </c>
      <c r="H687" s="403">
        <f t="shared" ca="1" si="181"/>
        <v>9260083.0468187965</v>
      </c>
      <c r="I687" s="403">
        <f t="shared" ca="1" si="181"/>
        <v>10701044.168745659</v>
      </c>
      <c r="J687" s="403">
        <f t="shared" ca="1" si="181"/>
        <v>12409569.871917345</v>
      </c>
      <c r="K687" s="403">
        <f t="shared" ca="1" si="181"/>
        <v>14427404.64023223</v>
      </c>
      <c r="L687" s="403">
        <f t="shared" ca="1" si="181"/>
        <v>16833424.569984943</v>
      </c>
    </row>
    <row r="688" spans="1:25" ht="15.5">
      <c r="A688" s="416" t="s">
        <v>357</v>
      </c>
      <c r="B688" s="405"/>
      <c r="C688" s="48"/>
      <c r="D688" s="48"/>
      <c r="E688" s="48"/>
      <c r="F688" s="48"/>
      <c r="G688" s="48"/>
      <c r="H688" s="48"/>
      <c r="I688" s="48"/>
      <c r="J688" s="48"/>
      <c r="K688" s="48"/>
      <c r="L688" s="48"/>
    </row>
    <row r="689" spans="1:12">
      <c r="A689" s="417" t="s">
        <v>358</v>
      </c>
      <c r="B689" s="405"/>
      <c r="C689" s="133">
        <f>Revenue!Q100</f>
        <v>0</v>
      </c>
      <c r="D689" s="133">
        <f>Revenue!R100</f>
        <v>0</v>
      </c>
      <c r="E689" s="133">
        <f>Revenue!S100</f>
        <v>0</v>
      </c>
      <c r="F689" s="133">
        <f>Revenue!T100</f>
        <v>1270</v>
      </c>
      <c r="G689" s="133">
        <f ca="1">Revenue!U100</f>
        <v>1308.1609850530726</v>
      </c>
      <c r="H689" s="133">
        <f ca="1">Revenue!V100</f>
        <v>1352.3915263907627</v>
      </c>
      <c r="I689" s="133">
        <f ca="1">Revenue!W100</f>
        <v>1402.5669376362121</v>
      </c>
      <c r="J689" s="133">
        <f ca="1">Revenue!X100</f>
        <v>1459.738210669077</v>
      </c>
      <c r="K689" s="133">
        <f ca="1">Revenue!Y100</f>
        <v>1525.0084370622105</v>
      </c>
      <c r="L689" s="133">
        <f ca="1">Revenue!Z100</f>
        <v>1599.0965313443094</v>
      </c>
    </row>
    <row r="690" spans="1:12">
      <c r="A690" s="417" t="s">
        <v>359</v>
      </c>
      <c r="B690" s="405"/>
      <c r="C690" s="403">
        <f>Revenue!C100</f>
        <v>0</v>
      </c>
      <c r="D690" s="403">
        <f>Revenue!D100</f>
        <v>0</v>
      </c>
      <c r="E690" s="403">
        <f>Revenue!E100</f>
        <v>0</v>
      </c>
      <c r="F690" s="403">
        <f>Revenue!F100</f>
        <v>5000</v>
      </c>
      <c r="G690" s="403">
        <f>Revenue!G100</f>
        <v>5225</v>
      </c>
      <c r="H690" s="403">
        <f>Revenue!H100</f>
        <v>5460.125</v>
      </c>
      <c r="I690" s="403">
        <f>Revenue!I100</f>
        <v>5705.8306249999996</v>
      </c>
      <c r="J690" s="403">
        <f>Revenue!J100</f>
        <v>5962.5930031249991</v>
      </c>
      <c r="K690" s="403">
        <f>Revenue!K100</f>
        <v>6230.909688265624</v>
      </c>
      <c r="L690" s="403">
        <f>Revenue!L100</f>
        <v>6511.3006242375768</v>
      </c>
    </row>
    <row r="691" spans="1:12">
      <c r="A691" s="418" t="s">
        <v>366</v>
      </c>
      <c r="B691" s="405"/>
      <c r="C691" s="403">
        <f t="shared" ref="C691:L691" si="182">C689*C690</f>
        <v>0</v>
      </c>
      <c r="D691" s="403">
        <f t="shared" si="182"/>
        <v>0</v>
      </c>
      <c r="E691" s="403">
        <f t="shared" si="182"/>
        <v>0</v>
      </c>
      <c r="F691" s="403">
        <f t="shared" si="182"/>
        <v>6350000</v>
      </c>
      <c r="G691" s="403">
        <f t="shared" ca="1" si="182"/>
        <v>6835141.1469023041</v>
      </c>
      <c r="H691" s="403">
        <f t="shared" ca="1" si="182"/>
        <v>7384226.7830343628</v>
      </c>
      <c r="I691" s="403">
        <f t="shared" ca="1" si="182"/>
        <v>8002809.3863771632</v>
      </c>
      <c r="J691" s="403">
        <f t="shared" ca="1" si="182"/>
        <v>8703824.8413296454</v>
      </c>
      <c r="K691" s="403">
        <f t="shared" ca="1" si="182"/>
        <v>9502189.8451777454</v>
      </c>
      <c r="L691" s="403">
        <f t="shared" ca="1" si="182"/>
        <v>10412198.242758345</v>
      </c>
    </row>
    <row r="692" spans="1:12" ht="15.5">
      <c r="A692" s="416" t="s">
        <v>360</v>
      </c>
      <c r="B692" s="405"/>
      <c r="C692" s="48"/>
      <c r="D692" s="48"/>
      <c r="E692" s="48"/>
      <c r="F692" s="48"/>
      <c r="G692" s="48"/>
      <c r="H692" s="48"/>
      <c r="I692" s="48"/>
      <c r="J692" s="48"/>
      <c r="K692" s="48"/>
      <c r="L692" s="48"/>
    </row>
    <row r="693" spans="1:12">
      <c r="A693" s="417" t="s">
        <v>358</v>
      </c>
      <c r="B693" s="405"/>
      <c r="C693" s="133">
        <f>Revenue!Q101</f>
        <v>0</v>
      </c>
      <c r="D693" s="133">
        <f>Revenue!R101</f>
        <v>0</v>
      </c>
      <c r="E693" s="133">
        <f>Revenue!S101</f>
        <v>0</v>
      </c>
      <c r="F693" s="133">
        <f>Revenue!T101</f>
        <v>0</v>
      </c>
      <c r="G693" s="133">
        <f>Revenue!U101</f>
        <v>635</v>
      </c>
      <c r="H693" s="133">
        <f ca="1">Revenue!V101</f>
        <v>668.15197772550403</v>
      </c>
      <c r="I693" s="133">
        <f ca="1">Revenue!W101</f>
        <v>704.88625007516623</v>
      </c>
      <c r="J693" s="133">
        <f ca="1">Revenue!X101</f>
        <v>746.11848535626712</v>
      </c>
      <c r="K693" s="133">
        <f ca="1">Revenue!Y101</f>
        <v>792.69986469672801</v>
      </c>
      <c r="L693" s="133">
        <f ca="1">Revenue!Z101</f>
        <v>845.18653444993788</v>
      </c>
    </row>
    <row r="694" spans="1:12">
      <c r="A694" s="417" t="s">
        <v>359</v>
      </c>
      <c r="B694" s="405"/>
      <c r="C694" s="403">
        <f>Revenue!C101</f>
        <v>0</v>
      </c>
      <c r="D694" s="403">
        <f>Revenue!D101</f>
        <v>0</v>
      </c>
      <c r="E694" s="403">
        <f>Revenue!E101</f>
        <v>0</v>
      </c>
      <c r="F694" s="403">
        <f>Revenue!F101</f>
        <v>0</v>
      </c>
      <c r="G694" s="403">
        <f>Revenue!G101</f>
        <v>9500</v>
      </c>
      <c r="H694" s="403">
        <f>Revenue!H101</f>
        <v>9927.5</v>
      </c>
      <c r="I694" s="403">
        <f>Revenue!I101</f>
        <v>10374.237499999999</v>
      </c>
      <c r="J694" s="403">
        <f>Revenue!J101</f>
        <v>10841.078187499999</v>
      </c>
      <c r="K694" s="403">
        <f>Revenue!K101</f>
        <v>11328.926705937498</v>
      </c>
      <c r="L694" s="403">
        <f>Revenue!L101</f>
        <v>11838.728407704684</v>
      </c>
    </row>
    <row r="695" spans="1:12">
      <c r="A695" s="418" t="s">
        <v>366</v>
      </c>
      <c r="B695" s="405"/>
      <c r="C695" s="403">
        <f t="shared" ref="C695:L695" si="183">C693*C694</f>
        <v>0</v>
      </c>
      <c r="D695" s="403">
        <f t="shared" si="183"/>
        <v>0</v>
      </c>
      <c r="E695" s="403">
        <f t="shared" si="183"/>
        <v>0</v>
      </c>
      <c r="F695" s="403">
        <f t="shared" si="183"/>
        <v>0</v>
      </c>
      <c r="G695" s="403">
        <f t="shared" si="183"/>
        <v>6032500</v>
      </c>
      <c r="H695" s="403">
        <f t="shared" ca="1" si="183"/>
        <v>6633078.7588699413</v>
      </c>
      <c r="I695" s="403">
        <f t="shared" ca="1" si="183"/>
        <v>7312657.3687641667</v>
      </c>
      <c r="J695" s="403">
        <f t="shared" ca="1" si="183"/>
        <v>8088728.836886365</v>
      </c>
      <c r="K695" s="403">
        <f t="shared" ca="1" si="183"/>
        <v>8980438.6669558026</v>
      </c>
      <c r="L695" s="403">
        <f t="shared" ca="1" si="183"/>
        <v>10005933.835201953</v>
      </c>
    </row>
    <row r="696" spans="1:12" ht="15.5">
      <c r="A696" s="416" t="s">
        <v>362</v>
      </c>
      <c r="B696" s="405"/>
      <c r="C696" s="48"/>
      <c r="D696" s="48"/>
      <c r="E696" s="48"/>
      <c r="F696" s="48"/>
      <c r="G696" s="48"/>
      <c r="H696" s="48"/>
      <c r="I696" s="48"/>
      <c r="J696" s="48"/>
      <c r="K696" s="48"/>
      <c r="L696" s="48"/>
    </row>
    <row r="697" spans="1:12">
      <c r="A697" s="417" t="s">
        <v>358</v>
      </c>
      <c r="B697" s="405"/>
      <c r="C697" s="133">
        <f>Revenue!Q102</f>
        <v>0</v>
      </c>
      <c r="D697" s="133">
        <f>Revenue!R102</f>
        <v>0</v>
      </c>
      <c r="E697" s="133">
        <f>Revenue!S102</f>
        <v>0</v>
      </c>
      <c r="F697" s="133">
        <f>Revenue!T102</f>
        <v>0</v>
      </c>
      <c r="G697" s="133">
        <f>Revenue!U102</f>
        <v>0</v>
      </c>
      <c r="H697" s="133">
        <f>Revenue!V102</f>
        <v>318</v>
      </c>
      <c r="I697" s="133">
        <f ca="1">Revenue!W102</f>
        <v>336.41609285876683</v>
      </c>
      <c r="J697" s="133">
        <f ca="1">Revenue!X102</f>
        <v>357.22642484245</v>
      </c>
      <c r="K697" s="133">
        <f ca="1">Revenue!Y102</f>
        <v>380.22415639302676</v>
      </c>
      <c r="L697" s="133">
        <f ca="1">Revenue!Z102</f>
        <v>406.20009171144517</v>
      </c>
    </row>
    <row r="698" spans="1:12">
      <c r="A698" s="417" t="s">
        <v>359</v>
      </c>
      <c r="B698" s="405"/>
      <c r="C698" s="403">
        <f>Revenue!C102</f>
        <v>0</v>
      </c>
      <c r="D698" s="403">
        <f>Revenue!D102</f>
        <v>0</v>
      </c>
      <c r="E698" s="403">
        <f>Revenue!E102</f>
        <v>0</v>
      </c>
      <c r="F698" s="403">
        <f>Revenue!F102</f>
        <v>0</v>
      </c>
      <c r="G698" s="403">
        <f>Revenue!G102</f>
        <v>0</v>
      </c>
      <c r="H698" s="403">
        <f>Revenue!H102</f>
        <v>10000</v>
      </c>
      <c r="I698" s="403">
        <f>Revenue!I102</f>
        <v>10450</v>
      </c>
      <c r="J698" s="403">
        <f>Revenue!J102</f>
        <v>10920.25</v>
      </c>
      <c r="K698" s="403">
        <f>Revenue!K102</f>
        <v>11411.661249999999</v>
      </c>
      <c r="L698" s="403">
        <f>Revenue!L102</f>
        <v>11925.186006249998</v>
      </c>
    </row>
    <row r="699" spans="1:12">
      <c r="A699" s="418" t="s">
        <v>366</v>
      </c>
      <c r="B699" s="405"/>
      <c r="C699" s="403">
        <f t="shared" ref="C699:L699" si="184">C697*C698</f>
        <v>0</v>
      </c>
      <c r="D699" s="403">
        <f t="shared" si="184"/>
        <v>0</v>
      </c>
      <c r="E699" s="403">
        <f t="shared" si="184"/>
        <v>0</v>
      </c>
      <c r="F699" s="403">
        <f t="shared" si="184"/>
        <v>0</v>
      </c>
      <c r="G699" s="403">
        <f t="shared" si="184"/>
        <v>0</v>
      </c>
      <c r="H699" s="403">
        <f t="shared" si="184"/>
        <v>3180000</v>
      </c>
      <c r="I699" s="403">
        <f t="shared" ca="1" si="184"/>
        <v>3515548.1703741136</v>
      </c>
      <c r="J699" s="403">
        <f t="shared" ca="1" si="184"/>
        <v>3901001.8658857648</v>
      </c>
      <c r="K699" s="403">
        <f t="shared" ca="1" si="184"/>
        <v>4338989.2718242425</v>
      </c>
      <c r="L699" s="403">
        <f t="shared" ca="1" si="184"/>
        <v>4844011.6494147917</v>
      </c>
    </row>
    <row r="700" spans="1:12" ht="15.5">
      <c r="A700" s="416" t="s">
        <v>361</v>
      </c>
      <c r="B700" s="405"/>
      <c r="C700" s="48"/>
      <c r="D700" s="48"/>
      <c r="E700" s="48"/>
      <c r="F700" s="48"/>
      <c r="G700" s="48"/>
      <c r="H700" s="48"/>
      <c r="I700" s="48"/>
      <c r="J700" s="48"/>
      <c r="K700" s="48"/>
      <c r="L700" s="48"/>
    </row>
    <row r="701" spans="1:12">
      <c r="A701" s="417" t="s">
        <v>358</v>
      </c>
      <c r="B701" s="405"/>
      <c r="C701" s="133">
        <f>Revenue!Q103</f>
        <v>0</v>
      </c>
      <c r="D701" s="133">
        <f>Revenue!R103</f>
        <v>0</v>
      </c>
      <c r="E701" s="133">
        <f>Revenue!S103</f>
        <v>0</v>
      </c>
      <c r="F701" s="133">
        <f>Revenue!T103</f>
        <v>1900</v>
      </c>
      <c r="G701" s="133">
        <f ca="1">Revenue!U103</f>
        <v>1920.3748024031308</v>
      </c>
      <c r="H701" s="133">
        <f ca="1">Revenue!V103</f>
        <v>1948.6249621134689</v>
      </c>
      <c r="I701" s="133">
        <f ca="1">Revenue!W103</f>
        <v>1984.9946730230033</v>
      </c>
      <c r="J701" s="133">
        <f ca="1">Revenue!X103</f>
        <v>2027.5687572487718</v>
      </c>
      <c r="K701" s="133">
        <f ca="1">Revenue!Y103</f>
        <v>2077.3569123453599</v>
      </c>
      <c r="L701" s="133">
        <f ca="1">Revenue!Z103</f>
        <v>2136.3139026545541</v>
      </c>
    </row>
    <row r="702" spans="1:12">
      <c r="A702" s="417" t="s">
        <v>359</v>
      </c>
      <c r="B702" s="405"/>
      <c r="C702" s="403">
        <f>Revenue!C103</f>
        <v>0</v>
      </c>
      <c r="D702" s="403">
        <f>Revenue!D103</f>
        <v>0</v>
      </c>
      <c r="E702" s="403">
        <f>Revenue!E103</f>
        <v>0</v>
      </c>
      <c r="F702" s="403">
        <f>Revenue!F103</f>
        <v>1900</v>
      </c>
      <c r="G702" s="403">
        <f>Revenue!G103</f>
        <v>1985.4999999999998</v>
      </c>
      <c r="H702" s="403">
        <f>Revenue!H103</f>
        <v>2074.8474999999994</v>
      </c>
      <c r="I702" s="403">
        <f>Revenue!I103</f>
        <v>2168.215637499999</v>
      </c>
      <c r="J702" s="403">
        <f>Revenue!J103</f>
        <v>2265.7853411874989</v>
      </c>
      <c r="K702" s="403">
        <f>Revenue!K103</f>
        <v>2367.7456815409364</v>
      </c>
      <c r="L702" s="403">
        <f>Revenue!L103</f>
        <v>2474.2942372102784</v>
      </c>
    </row>
    <row r="703" spans="1:12">
      <c r="A703" s="418" t="s">
        <v>366</v>
      </c>
      <c r="B703" s="405"/>
      <c r="C703" s="403">
        <f t="shared" ref="C703:L703" si="185">C701*C702</f>
        <v>0</v>
      </c>
      <c r="D703" s="403">
        <f t="shared" si="185"/>
        <v>0</v>
      </c>
      <c r="E703" s="403">
        <f t="shared" si="185"/>
        <v>0</v>
      </c>
      <c r="F703" s="403">
        <f t="shared" si="185"/>
        <v>3610000</v>
      </c>
      <c r="G703" s="403">
        <f t="shared" ca="1" si="185"/>
        <v>3812904.1701714159</v>
      </c>
      <c r="H703" s="403">
        <f t="shared" ca="1" si="185"/>
        <v>4043099.6310787243</v>
      </c>
      <c r="I703" s="403">
        <f t="shared" ca="1" si="185"/>
        <v>4303896.4904026734</v>
      </c>
      <c r="J703" s="403">
        <f t="shared" ca="1" si="185"/>
        <v>4594035.5684240218</v>
      </c>
      <c r="K703" s="403">
        <f t="shared" ca="1" si="185"/>
        <v>4918652.8582249396</v>
      </c>
      <c r="L703" s="403">
        <f t="shared" ca="1" si="185"/>
        <v>5285869.1782103628</v>
      </c>
    </row>
    <row r="704" spans="1:12" ht="15.5">
      <c r="A704" s="416" t="s">
        <v>363</v>
      </c>
      <c r="B704" s="405"/>
      <c r="C704" s="48"/>
      <c r="D704" s="48"/>
      <c r="E704" s="48"/>
      <c r="F704" s="48"/>
      <c r="G704" s="48"/>
      <c r="H704" s="48"/>
      <c r="I704" s="48"/>
      <c r="J704" s="48"/>
      <c r="K704" s="48"/>
      <c r="L704" s="48"/>
    </row>
    <row r="705" spans="1:12">
      <c r="A705" s="417" t="s">
        <v>358</v>
      </c>
      <c r="B705" s="405"/>
      <c r="C705" s="133">
        <f>Revenue!Q104</f>
        <v>0</v>
      </c>
      <c r="D705" s="133">
        <f>Revenue!R104</f>
        <v>0</v>
      </c>
      <c r="E705" s="133">
        <f>Revenue!S104</f>
        <v>0</v>
      </c>
      <c r="F705" s="133">
        <f>Revenue!T104</f>
        <v>0</v>
      </c>
      <c r="G705" s="133">
        <f>Revenue!U104</f>
        <v>400</v>
      </c>
      <c r="H705" s="133">
        <f ca="1">Revenue!V104</f>
        <v>737.88430126764547</v>
      </c>
      <c r="I705" s="133">
        <f ca="1">Revenue!W104</f>
        <v>1019.9096880054019</v>
      </c>
      <c r="J705" s="133">
        <f ca="1">Revenue!X104</f>
        <v>1255.1042246169877</v>
      </c>
      <c r="K705" s="133">
        <f ca="1">Revenue!Y104</f>
        <v>1451.558744009709</v>
      </c>
      <c r="L705" s="133">
        <f ca="1">Revenue!Z104</f>
        <v>1616.1460658307528</v>
      </c>
    </row>
    <row r="706" spans="1:12">
      <c r="A706" s="417" t="s">
        <v>359</v>
      </c>
      <c r="B706" s="405"/>
      <c r="C706" s="403">
        <f>Revenue!C104</f>
        <v>0</v>
      </c>
      <c r="D706" s="403">
        <f>Revenue!D104</f>
        <v>0</v>
      </c>
      <c r="E706" s="403">
        <f>Revenue!E104</f>
        <v>0</v>
      </c>
      <c r="F706" s="403">
        <f>Revenue!F104</f>
        <v>0</v>
      </c>
      <c r="G706" s="403">
        <f>Revenue!G104</f>
        <v>500</v>
      </c>
      <c r="H706" s="403">
        <f>Revenue!H104</f>
        <v>500</v>
      </c>
      <c r="I706" s="403">
        <f>Revenue!I104</f>
        <v>500</v>
      </c>
      <c r="J706" s="403">
        <f>Revenue!J104</f>
        <v>500</v>
      </c>
      <c r="K706" s="403">
        <f>Revenue!K104</f>
        <v>500</v>
      </c>
      <c r="L706" s="403">
        <f>Revenue!L104</f>
        <v>500</v>
      </c>
    </row>
    <row r="707" spans="1:12">
      <c r="A707" s="418" t="s">
        <v>366</v>
      </c>
      <c r="B707" s="405"/>
      <c r="C707" s="403">
        <f t="shared" ref="C707:L707" si="186">C705*C706</f>
        <v>0</v>
      </c>
      <c r="D707" s="403">
        <f t="shared" si="186"/>
        <v>0</v>
      </c>
      <c r="E707" s="403">
        <f t="shared" si="186"/>
        <v>0</v>
      </c>
      <c r="F707" s="403">
        <f t="shared" si="186"/>
        <v>0</v>
      </c>
      <c r="G707" s="403">
        <f t="shared" si="186"/>
        <v>200000</v>
      </c>
      <c r="H707" s="403">
        <f t="shared" ca="1" si="186"/>
        <v>368942.15063382272</v>
      </c>
      <c r="I707" s="403">
        <f t="shared" ca="1" si="186"/>
        <v>509954.84400270093</v>
      </c>
      <c r="J707" s="403">
        <f t="shared" ca="1" si="186"/>
        <v>627552.11230849382</v>
      </c>
      <c r="K707" s="403">
        <f t="shared" ca="1" si="186"/>
        <v>725779.37200485449</v>
      </c>
      <c r="L707" s="403">
        <f t="shared" ca="1" si="186"/>
        <v>808073.03291537636</v>
      </c>
    </row>
    <row r="708" spans="1:12" ht="15.5">
      <c r="A708" s="416" t="s">
        <v>364</v>
      </c>
      <c r="B708" s="405"/>
      <c r="C708" s="48"/>
      <c r="D708" s="48"/>
      <c r="E708" s="48"/>
      <c r="F708" s="48"/>
      <c r="G708" s="48"/>
      <c r="H708" s="48"/>
      <c r="I708" s="48"/>
      <c r="J708" s="48"/>
      <c r="K708" s="48"/>
      <c r="L708" s="48"/>
    </row>
    <row r="709" spans="1:12">
      <c r="A709" s="417" t="s">
        <v>358</v>
      </c>
      <c r="B709" s="405"/>
      <c r="C709" s="133">
        <f>Revenue!Q105</f>
        <v>0</v>
      </c>
      <c r="D709" s="133">
        <f>Revenue!R105</f>
        <v>0</v>
      </c>
      <c r="E709" s="133">
        <f>Revenue!S105</f>
        <v>0</v>
      </c>
      <c r="F709" s="133">
        <f>Revenue!T105</f>
        <v>0</v>
      </c>
      <c r="G709" s="133">
        <f>Revenue!U105</f>
        <v>300</v>
      </c>
      <c r="H709" s="133">
        <f ca="1">Revenue!V105</f>
        <v>304.06839911588867</v>
      </c>
      <c r="I709" s="133">
        <f ca="1">Revenue!W105</f>
        <v>309.18185861605224</v>
      </c>
      <c r="J709" s="133">
        <f ca="1">Revenue!X105</f>
        <v>315.37903491234107</v>
      </c>
      <c r="K709" s="133">
        <f ca="1">Revenue!Y105</f>
        <v>322.6821919793357</v>
      </c>
      <c r="L709" s="133">
        <f ca="1">Revenue!Z105</f>
        <v>331.27669233962695</v>
      </c>
    </row>
    <row r="710" spans="1:12">
      <c r="A710" s="417" t="s">
        <v>359</v>
      </c>
      <c r="B710" s="405"/>
      <c r="C710" s="403">
        <f>Revenue!C105</f>
        <v>0</v>
      </c>
      <c r="D710" s="403">
        <f>Revenue!D105</f>
        <v>0</v>
      </c>
      <c r="E710" s="403">
        <f>Revenue!E105</f>
        <v>0</v>
      </c>
      <c r="F710" s="403">
        <f>Revenue!F105</f>
        <v>0</v>
      </c>
      <c r="G710" s="403">
        <f>Revenue!G105</f>
        <v>500</v>
      </c>
      <c r="H710" s="403">
        <f>Revenue!H105</f>
        <v>522.5</v>
      </c>
      <c r="I710" s="403">
        <f>Revenue!I105</f>
        <v>546.01249999999993</v>
      </c>
      <c r="J710" s="403">
        <f>Revenue!J105</f>
        <v>570.58306249999987</v>
      </c>
      <c r="K710" s="403">
        <f>Revenue!K105</f>
        <v>596.25930031249982</v>
      </c>
      <c r="L710" s="403">
        <f>Revenue!L105</f>
        <v>623.09096882656229</v>
      </c>
    </row>
    <row r="711" spans="1:12">
      <c r="A711" s="418" t="s">
        <v>366</v>
      </c>
      <c r="B711" s="405"/>
      <c r="C711" s="403">
        <f t="shared" ref="C711:L711" si="187">C709*C710</f>
        <v>0</v>
      </c>
      <c r="D711" s="403">
        <f t="shared" si="187"/>
        <v>0</v>
      </c>
      <c r="E711" s="403">
        <f t="shared" si="187"/>
        <v>0</v>
      </c>
      <c r="F711" s="403">
        <f t="shared" si="187"/>
        <v>0</v>
      </c>
      <c r="G711" s="403">
        <f t="shared" si="187"/>
        <v>150000</v>
      </c>
      <c r="H711" s="403">
        <f t="shared" ca="1" si="187"/>
        <v>158875.73853805184</v>
      </c>
      <c r="I711" s="403">
        <f t="shared" ca="1" si="187"/>
        <v>168817.15957759719</v>
      </c>
      <c r="J711" s="403">
        <f t="shared" ca="1" si="187"/>
        <v>179949.93558857794</v>
      </c>
      <c r="K711" s="403">
        <f t="shared" ca="1" si="187"/>
        <v>192402.25801290246</v>
      </c>
      <c r="L711" s="403">
        <f t="shared" ca="1" si="187"/>
        <v>206415.51517955717</v>
      </c>
    </row>
    <row r="712" spans="1:12" ht="15.5">
      <c r="A712" s="416" t="s">
        <v>365</v>
      </c>
      <c r="B712" s="405"/>
      <c r="C712" s="48"/>
      <c r="D712" s="48"/>
      <c r="E712" s="48"/>
      <c r="F712" s="48"/>
      <c r="G712" s="48"/>
      <c r="H712" s="48"/>
      <c r="I712" s="48"/>
      <c r="J712" s="48"/>
      <c r="K712" s="48"/>
      <c r="L712" s="48"/>
    </row>
    <row r="713" spans="1:12">
      <c r="A713" s="417" t="s">
        <v>358</v>
      </c>
      <c r="B713" s="405"/>
      <c r="C713" s="133">
        <f>Revenue!Q106</f>
        <v>0</v>
      </c>
      <c r="D713" s="133">
        <f>Revenue!R106</f>
        <v>0</v>
      </c>
      <c r="E713" s="133">
        <f>Revenue!S106</f>
        <v>0</v>
      </c>
      <c r="F713" s="133">
        <f>Revenue!T106</f>
        <v>0</v>
      </c>
      <c r="G713" s="133">
        <f>Revenue!U106</f>
        <v>1500</v>
      </c>
      <c r="H713" s="133">
        <f ca="1">Revenue!V106</f>
        <v>1521.580328492443</v>
      </c>
      <c r="I713" s="133">
        <f ca="1">Revenue!W106</f>
        <v>1548.0953869762884</v>
      </c>
      <c r="J713" s="133">
        <f ca="1">Revenue!X106</f>
        <v>1580.4868774389065</v>
      </c>
      <c r="K713" s="133">
        <f ca="1">Revenue!Y106</f>
        <v>1618.4037084812633</v>
      </c>
      <c r="L713" s="133">
        <f ca="1">Revenue!Z106</f>
        <v>1662.0300505572711</v>
      </c>
    </row>
    <row r="714" spans="1:12">
      <c r="A714" s="417" t="s">
        <v>359</v>
      </c>
      <c r="B714" s="405"/>
      <c r="C714" s="403">
        <f>Revenue!C106</f>
        <v>0</v>
      </c>
      <c r="D714" s="403">
        <f>Revenue!D106</f>
        <v>0</v>
      </c>
      <c r="E714" s="403">
        <f>Revenue!E106</f>
        <v>0</v>
      </c>
      <c r="F714" s="403">
        <f>Revenue!F106</f>
        <v>0</v>
      </c>
      <c r="G714" s="403">
        <f>Revenue!G106</f>
        <v>300</v>
      </c>
      <c r="H714" s="403">
        <f>Revenue!H106</f>
        <v>313.5</v>
      </c>
      <c r="I714" s="403">
        <f>Revenue!I106</f>
        <v>327.60749999999996</v>
      </c>
      <c r="J714" s="403">
        <f>Revenue!J106</f>
        <v>342.34983749999992</v>
      </c>
      <c r="K714" s="403">
        <f>Revenue!K106</f>
        <v>357.7555801874999</v>
      </c>
      <c r="L714" s="403">
        <f>Revenue!L106</f>
        <v>373.85458129593735</v>
      </c>
    </row>
    <row r="715" spans="1:12">
      <c r="A715" s="417" t="s">
        <v>366</v>
      </c>
      <c r="B715" s="405"/>
      <c r="C715" s="403">
        <f t="shared" ref="C715:L715" si="188">C713*C714</f>
        <v>0</v>
      </c>
      <c r="D715" s="403">
        <f t="shared" si="188"/>
        <v>0</v>
      </c>
      <c r="E715" s="403">
        <f t="shared" si="188"/>
        <v>0</v>
      </c>
      <c r="F715" s="403">
        <f t="shared" si="188"/>
        <v>0</v>
      </c>
      <c r="G715" s="403">
        <f t="shared" si="188"/>
        <v>450000</v>
      </c>
      <c r="H715" s="403">
        <f t="shared" ca="1" si="188"/>
        <v>477015.43298238085</v>
      </c>
      <c r="I715" s="403">
        <f t="shared" ca="1" si="188"/>
        <v>507167.65948883432</v>
      </c>
      <c r="J715" s="403">
        <f t="shared" ca="1" si="188"/>
        <v>541079.42566209193</v>
      </c>
      <c r="K715" s="403">
        <f t="shared" ca="1" si="188"/>
        <v>578992.95770531578</v>
      </c>
      <c r="L715" s="403">
        <f t="shared" ca="1" si="188"/>
        <v>621357.54865235416</v>
      </c>
    </row>
    <row r="716" spans="1:12">
      <c r="A716" s="418"/>
      <c r="B716" s="405"/>
      <c r="C716" s="48"/>
      <c r="D716" s="48"/>
      <c r="E716" s="48"/>
      <c r="F716" s="48"/>
      <c r="G716" s="48"/>
      <c r="H716" s="48"/>
      <c r="I716" s="48"/>
      <c r="J716" s="48"/>
      <c r="K716" s="48"/>
      <c r="L716" s="138"/>
    </row>
    <row r="717" spans="1:12" ht="15.5">
      <c r="A717" s="409" t="s">
        <v>367</v>
      </c>
      <c r="B717" s="405"/>
      <c r="C717" s="403">
        <f>SUM(C715,C711,C707,C703,C699,C695,C691,C687,C683)</f>
        <v>0</v>
      </c>
      <c r="D717" s="403">
        <f t="shared" ref="D717:L717" si="189">SUM(D715,D711,D707,D703,D699,D695,D691,D687,D683)</f>
        <v>0</v>
      </c>
      <c r="E717" s="403">
        <f t="shared" si="189"/>
        <v>0</v>
      </c>
      <c r="F717" s="403">
        <f t="shared" si="189"/>
        <v>41960000</v>
      </c>
      <c r="G717" s="403">
        <f t="shared" ca="1" si="189"/>
        <v>52952827.280516334</v>
      </c>
      <c r="H717" s="403">
        <f t="shared" ca="1" si="189"/>
        <v>61604260.604456082</v>
      </c>
      <c r="I717" s="403">
        <f t="shared" ca="1" si="189"/>
        <v>68047956.134061038</v>
      </c>
      <c r="J717" s="403">
        <f t="shared" ca="1" si="189"/>
        <v>75283587.765525818</v>
      </c>
      <c r="K717" s="403">
        <f t="shared" ca="1" si="189"/>
        <v>83426825.633818239</v>
      </c>
      <c r="L717" s="403">
        <f t="shared" ca="1" si="189"/>
        <v>92646111.479015768</v>
      </c>
    </row>
    <row r="718" spans="1:12">
      <c r="A718" s="408"/>
      <c r="B718" s="405"/>
      <c r="C718" s="48"/>
      <c r="D718" s="48"/>
      <c r="E718" s="48"/>
      <c r="F718" s="48"/>
      <c r="G718" s="48"/>
      <c r="H718" s="48"/>
      <c r="I718" s="48"/>
      <c r="J718" s="48"/>
      <c r="K718" s="48"/>
      <c r="L718" s="48"/>
    </row>
    <row r="719" spans="1:12" ht="18.5">
      <c r="A719" s="411" t="s">
        <v>152</v>
      </c>
      <c r="B719" s="405"/>
      <c r="C719" s="48"/>
      <c r="D719" s="48"/>
      <c r="E719" s="48"/>
      <c r="F719" s="48"/>
      <c r="G719" s="48"/>
      <c r="H719" s="48"/>
      <c r="I719" s="48"/>
      <c r="J719" s="48"/>
      <c r="K719" s="48"/>
      <c r="L719" s="48"/>
    </row>
    <row r="720" spans="1:12" ht="15.5">
      <c r="A720" s="409" t="s">
        <v>296</v>
      </c>
      <c r="B720" s="405"/>
      <c r="C720" s="403">
        <f>Assumptions!$Q$45*(C683+C687)</f>
        <v>0</v>
      </c>
      <c r="D720" s="403">
        <f>Assumptions!$Q$45*(D683+D687)</f>
        <v>0</v>
      </c>
      <c r="E720" s="403">
        <f>Assumptions!$Q$45*(E683+E687)</f>
        <v>0</v>
      </c>
      <c r="F720" s="403">
        <f>Assumptions!$Q$45*(F683+F687)</f>
        <v>11200000</v>
      </c>
      <c r="G720" s="403">
        <f ca="1">Assumptions!$Q$45*(G683+G687)</f>
        <v>12415298.687204914</v>
      </c>
      <c r="H720" s="403">
        <f ca="1">Assumptions!$Q$45*(H683+H687)</f>
        <v>13775657.738261577</v>
      </c>
      <c r="I720" s="403">
        <f ca="1">Assumptions!$Q$45*(I683+I687)</f>
        <v>15304486.769275824</v>
      </c>
      <c r="J720" s="403">
        <f ca="1">Assumptions!$Q$45*(J683+J687)</f>
        <v>17026595.312804304</v>
      </c>
      <c r="K720" s="403">
        <f ca="1">Assumptions!$Q$45*(K683+K687)</f>
        <v>18966283.141369347</v>
      </c>
      <c r="L720" s="403">
        <f ca="1">Assumptions!$Q$45*(L683+L687)</f>
        <v>21161788.366839062</v>
      </c>
    </row>
    <row r="721" spans="1:12" ht="15.5">
      <c r="A721" s="409" t="s">
        <v>297</v>
      </c>
      <c r="B721" s="405"/>
      <c r="C721" s="403">
        <f>Assumptions!$Q$47*C691</f>
        <v>0</v>
      </c>
      <c r="D721" s="403">
        <f>Assumptions!$Q$47*D691</f>
        <v>0</v>
      </c>
      <c r="E721" s="403">
        <f>Assumptions!$Q$47*E691</f>
        <v>0</v>
      </c>
      <c r="F721" s="403">
        <f>Assumptions!$Q$47*F691</f>
        <v>2222500</v>
      </c>
      <c r="G721" s="403">
        <f ca="1">Assumptions!$Q$47*G691</f>
        <v>2392299.4014158063</v>
      </c>
      <c r="H721" s="403">
        <f ca="1">Assumptions!$Q$47*H691</f>
        <v>2584479.3740620269</v>
      </c>
      <c r="I721" s="403">
        <f ca="1">Assumptions!$Q$47*I691</f>
        <v>2800983.285232007</v>
      </c>
      <c r="J721" s="403">
        <f ca="1">Assumptions!$Q$47*J691</f>
        <v>3046338.6944653755</v>
      </c>
      <c r="K721" s="403">
        <f ca="1">Assumptions!$Q$47*K691</f>
        <v>3325766.4458122109</v>
      </c>
      <c r="L721" s="403">
        <f ca="1">Assumptions!$Q$47*L691</f>
        <v>3644269.3849654207</v>
      </c>
    </row>
    <row r="722" spans="1:12" ht="15.5">
      <c r="A722" s="409" t="s">
        <v>298</v>
      </c>
      <c r="B722" s="405"/>
      <c r="C722" s="403">
        <f>Assumptions!$Q$48*C695</f>
        <v>0</v>
      </c>
      <c r="D722" s="403">
        <f>Assumptions!$Q$48*D695</f>
        <v>0</v>
      </c>
      <c r="E722" s="403">
        <f>Assumptions!$Q$48*E695</f>
        <v>0</v>
      </c>
      <c r="F722" s="403">
        <f>Assumptions!$Q$48*F695</f>
        <v>0</v>
      </c>
      <c r="G722" s="403">
        <f>Assumptions!$Q$48*G695</f>
        <v>2413000</v>
      </c>
      <c r="H722" s="403">
        <f ca="1">Assumptions!$Q$48*H695</f>
        <v>2653231.5035479767</v>
      </c>
      <c r="I722" s="403">
        <f ca="1">Assumptions!$Q$48*I695</f>
        <v>2925062.9475056669</v>
      </c>
      <c r="J722" s="403">
        <f ca="1">Assumptions!$Q$48*J695</f>
        <v>3235491.5347545464</v>
      </c>
      <c r="K722" s="403">
        <f ca="1">Assumptions!$Q$48*K695</f>
        <v>3592175.4667823212</v>
      </c>
      <c r="L722" s="403">
        <f ca="1">Assumptions!$Q$48*L695</f>
        <v>4002373.534080781</v>
      </c>
    </row>
    <row r="723" spans="1:12" ht="15.5">
      <c r="A723" s="409" t="s">
        <v>299</v>
      </c>
      <c r="B723" s="405"/>
      <c r="C723" s="403">
        <f>Assumptions!$Q$49*C699</f>
        <v>0</v>
      </c>
      <c r="D723" s="403">
        <f>Assumptions!$Q$49*D699</f>
        <v>0</v>
      </c>
      <c r="E723" s="403">
        <f>Assumptions!$Q$49*E699</f>
        <v>0</v>
      </c>
      <c r="F723" s="403">
        <f>Assumptions!$Q$49*F699</f>
        <v>0</v>
      </c>
      <c r="G723" s="403">
        <f>Assumptions!$Q$49*G699</f>
        <v>0</v>
      </c>
      <c r="H723" s="403">
        <f>Assumptions!$Q$49*H699</f>
        <v>1272000</v>
      </c>
      <c r="I723" s="403">
        <f ca="1">Assumptions!$Q$49*I699</f>
        <v>1406219.2681496455</v>
      </c>
      <c r="J723" s="403">
        <f ca="1">Assumptions!$Q$49*J699</f>
        <v>1560400.7463543061</v>
      </c>
      <c r="K723" s="403">
        <f ca="1">Assumptions!$Q$49*K699</f>
        <v>1735595.7087296972</v>
      </c>
      <c r="L723" s="403">
        <f ca="1">Assumptions!$Q$49*L699</f>
        <v>1937604.6597659169</v>
      </c>
    </row>
    <row r="724" spans="1:12" ht="15.5">
      <c r="A724" s="409" t="s">
        <v>368</v>
      </c>
      <c r="B724" s="405"/>
      <c r="C724" s="403">
        <f>Assumptions!$Q$50*C703</f>
        <v>0</v>
      </c>
      <c r="D724" s="403">
        <f>Assumptions!$Q$50*D703</f>
        <v>0</v>
      </c>
      <c r="E724" s="403">
        <f>Assumptions!$Q$50*E703</f>
        <v>0</v>
      </c>
      <c r="F724" s="403">
        <f>Assumptions!$Q$50*F703</f>
        <v>1263500</v>
      </c>
      <c r="G724" s="403">
        <f ca="1">Assumptions!$Q$50*G703</f>
        <v>1334516.4595599954</v>
      </c>
      <c r="H724" s="403">
        <f ca="1">Assumptions!$Q$50*H703</f>
        <v>1415084.8708775535</v>
      </c>
      <c r="I724" s="403">
        <f ca="1">Assumptions!$Q$50*I703</f>
        <v>1506363.7716409357</v>
      </c>
      <c r="J724" s="403">
        <f ca="1">Assumptions!$Q$50*J703</f>
        <v>1607912.4489484075</v>
      </c>
      <c r="K724" s="403">
        <f ca="1">Assumptions!$Q$50*K703</f>
        <v>1721528.5003787288</v>
      </c>
      <c r="L724" s="403">
        <f ca="1">Assumptions!$Q$50*L703</f>
        <v>1850054.2123736269</v>
      </c>
    </row>
    <row r="725" spans="1:12" ht="15.5">
      <c r="A725" s="409" t="s">
        <v>369</v>
      </c>
      <c r="B725" s="405"/>
      <c r="C725" s="403">
        <f>Assumptions!$Q$51*C707</f>
        <v>0</v>
      </c>
      <c r="D725" s="403">
        <f>Assumptions!$Q$51*D707</f>
        <v>0</v>
      </c>
      <c r="E725" s="403">
        <f>Assumptions!$Q$51*E707</f>
        <v>0</v>
      </c>
      <c r="F725" s="403">
        <f>Assumptions!$Q$51*F707</f>
        <v>0</v>
      </c>
      <c r="G725" s="403">
        <f>Assumptions!$Q$51*G707</f>
        <v>70000</v>
      </c>
      <c r="H725" s="403">
        <f ca="1">Assumptions!$Q$51*H707</f>
        <v>129129.75272183794</v>
      </c>
      <c r="I725" s="403">
        <f ca="1">Assumptions!$Q$51*I707</f>
        <v>178484.19540094532</v>
      </c>
      <c r="J725" s="403">
        <f ca="1">Assumptions!$Q$51*J707</f>
        <v>219643.23930797284</v>
      </c>
      <c r="K725" s="403">
        <f ca="1">Assumptions!$Q$51*K707</f>
        <v>254022.78020169906</v>
      </c>
      <c r="L725" s="403">
        <f ca="1">Assumptions!$Q$51*L707</f>
        <v>282825.56152038171</v>
      </c>
    </row>
    <row r="726" spans="1:12" ht="15.5">
      <c r="A726" s="409" t="s">
        <v>370</v>
      </c>
      <c r="B726" s="405"/>
      <c r="C726" s="403">
        <f>Assumptions!$Q$52*C711</f>
        <v>0</v>
      </c>
      <c r="D726" s="403">
        <f>Assumptions!$Q$52*D711</f>
        <v>0</v>
      </c>
      <c r="E726" s="403">
        <f>Assumptions!$Q$52*E711</f>
        <v>0</v>
      </c>
      <c r="F726" s="403">
        <f>Assumptions!$Q$52*F711</f>
        <v>0</v>
      </c>
      <c r="G726" s="403">
        <f>Assumptions!$Q$52*G711</f>
        <v>52500</v>
      </c>
      <c r="H726" s="403">
        <f ca="1">Assumptions!$Q$52*H711</f>
        <v>55606.508488318141</v>
      </c>
      <c r="I726" s="403">
        <f ca="1">Assumptions!$Q$52*I711</f>
        <v>59086.005852159011</v>
      </c>
      <c r="J726" s="403">
        <f ca="1">Assumptions!$Q$52*J711</f>
        <v>62982.477456002271</v>
      </c>
      <c r="K726" s="403">
        <f ca="1">Assumptions!$Q$52*K711</f>
        <v>67340.79030451586</v>
      </c>
      <c r="L726" s="403">
        <f ca="1">Assumptions!$Q$52*L711</f>
        <v>72245.430312845012</v>
      </c>
    </row>
    <row r="727" spans="1:12" ht="15.5">
      <c r="A727" s="409" t="s">
        <v>371</v>
      </c>
      <c r="B727" s="405"/>
      <c r="C727" s="403">
        <f>Assumptions!$Q$53*C715</f>
        <v>0</v>
      </c>
      <c r="D727" s="403">
        <f>Assumptions!$Q$53*D715</f>
        <v>0</v>
      </c>
      <c r="E727" s="403">
        <f>Assumptions!$Q$53*E715</f>
        <v>0</v>
      </c>
      <c r="F727" s="403">
        <f>Assumptions!$Q$53*F715</f>
        <v>0</v>
      </c>
      <c r="G727" s="403">
        <f>Assumptions!$Q$53*G715</f>
        <v>157500</v>
      </c>
      <c r="H727" s="403">
        <f ca="1">Assumptions!$Q$53*H715</f>
        <v>166955.40154383329</v>
      </c>
      <c r="I727" s="403">
        <f ca="1">Assumptions!$Q$53*I715</f>
        <v>177508.68082109201</v>
      </c>
      <c r="J727" s="403">
        <f ca="1">Assumptions!$Q$53*J715</f>
        <v>189377.79898173216</v>
      </c>
      <c r="K727" s="403">
        <f ca="1">Assumptions!$Q$53*K715</f>
        <v>202647.53519686052</v>
      </c>
      <c r="L727" s="403">
        <f ca="1">Assumptions!$Q$53*L715</f>
        <v>217475.14202832396</v>
      </c>
    </row>
    <row r="728" spans="1:12" ht="15.5">
      <c r="A728" s="409" t="s">
        <v>354</v>
      </c>
      <c r="B728" s="405"/>
      <c r="C728" s="403">
        <f t="shared" ref="C728:L728" si="190">SUM(C720:C727)</f>
        <v>0</v>
      </c>
      <c r="D728" s="403">
        <f t="shared" si="190"/>
        <v>0</v>
      </c>
      <c r="E728" s="403">
        <f t="shared" si="190"/>
        <v>0</v>
      </c>
      <c r="F728" s="403">
        <f t="shared" si="190"/>
        <v>14686000</v>
      </c>
      <c r="G728" s="403">
        <f t="shared" ca="1" si="190"/>
        <v>18835114.548180718</v>
      </c>
      <c r="H728" s="403">
        <f t="shared" ca="1" si="190"/>
        <v>22052145.149503127</v>
      </c>
      <c r="I728" s="403">
        <f t="shared" ca="1" si="190"/>
        <v>24358194.923878271</v>
      </c>
      <c r="J728" s="403">
        <f t="shared" ca="1" si="190"/>
        <v>26948742.253072646</v>
      </c>
      <c r="K728" s="403">
        <f t="shared" ca="1" si="190"/>
        <v>29865360.368775375</v>
      </c>
      <c r="L728" s="403">
        <f t="shared" ca="1" si="190"/>
        <v>33168636.291886359</v>
      </c>
    </row>
    <row r="729" spans="1:12">
      <c r="A729" s="408"/>
      <c r="B729" s="405"/>
      <c r="C729" s="403"/>
      <c r="D729" s="403"/>
      <c r="E729" s="403"/>
      <c r="F729" s="403"/>
      <c r="G729" s="403"/>
      <c r="H729" s="403"/>
      <c r="I729" s="403"/>
      <c r="J729" s="403"/>
      <c r="K729" s="403"/>
      <c r="L729" s="403"/>
    </row>
    <row r="730" spans="1:12" ht="15.5">
      <c r="A730" s="409" t="s">
        <v>154</v>
      </c>
      <c r="B730" s="405"/>
      <c r="C730" s="403">
        <f>C717-C728</f>
        <v>0</v>
      </c>
      <c r="D730" s="403">
        <f t="shared" ref="D730:L730" si="191">D717-D728</f>
        <v>0</v>
      </c>
      <c r="E730" s="403">
        <f t="shared" si="191"/>
        <v>0</v>
      </c>
      <c r="F730" s="403">
        <f t="shared" si="191"/>
        <v>27274000</v>
      </c>
      <c r="G730" s="403">
        <f t="shared" ca="1" si="191"/>
        <v>34117712.732335612</v>
      </c>
      <c r="H730" s="403">
        <f t="shared" ca="1" si="191"/>
        <v>39552115.454952955</v>
      </c>
      <c r="I730" s="403">
        <f t="shared" ca="1" si="191"/>
        <v>43689761.210182771</v>
      </c>
      <c r="J730" s="403">
        <f t="shared" ca="1" si="191"/>
        <v>48334845.512453169</v>
      </c>
      <c r="K730" s="403">
        <f t="shared" ca="1" si="191"/>
        <v>53561465.265042864</v>
      </c>
      <c r="L730" s="403">
        <f t="shared" ca="1" si="191"/>
        <v>59477475.187129408</v>
      </c>
    </row>
    <row r="731" spans="1:12">
      <c r="A731" s="408"/>
      <c r="B731" s="405"/>
      <c r="C731" s="403"/>
      <c r="D731" s="403"/>
      <c r="E731" s="403"/>
      <c r="F731" s="403"/>
      <c r="G731" s="403"/>
      <c r="H731" s="403"/>
      <c r="I731" s="403"/>
      <c r="J731" s="403"/>
      <c r="K731" s="403"/>
      <c r="L731" s="403"/>
    </row>
    <row r="732" spans="1:12" ht="18.5">
      <c r="A732" s="411" t="s">
        <v>96</v>
      </c>
      <c r="B732" s="405"/>
      <c r="C732" s="403"/>
      <c r="D732" s="403"/>
      <c r="E732" s="403"/>
      <c r="F732" s="403"/>
      <c r="G732" s="403"/>
      <c r="H732" s="403"/>
      <c r="I732" s="403"/>
      <c r="J732" s="403"/>
      <c r="K732" s="403"/>
      <c r="L732" s="403"/>
    </row>
    <row r="733" spans="1:12">
      <c r="A733" s="408"/>
      <c r="B733" s="405"/>
      <c r="C733" s="403"/>
      <c r="D733" s="403"/>
      <c r="E733" s="403"/>
      <c r="F733" s="403"/>
      <c r="G733" s="403"/>
      <c r="H733" s="403"/>
      <c r="I733" s="403"/>
      <c r="J733" s="403"/>
      <c r="K733" s="403"/>
      <c r="L733" s="403"/>
    </row>
    <row r="734" spans="1:12" ht="15.5">
      <c r="A734" s="409" t="s">
        <v>28</v>
      </c>
      <c r="B734" s="405"/>
      <c r="C734" s="403"/>
      <c r="D734" s="403"/>
      <c r="E734" s="403"/>
      <c r="F734" s="403"/>
      <c r="G734" s="403"/>
      <c r="H734" s="403"/>
      <c r="I734" s="403"/>
      <c r="J734" s="403"/>
      <c r="K734" s="403"/>
      <c r="L734" s="403"/>
    </row>
    <row r="735" spans="1:12" ht="15.5">
      <c r="A735" s="409"/>
      <c r="B735" s="405"/>
      <c r="C735" s="403"/>
      <c r="D735" s="403"/>
      <c r="E735" s="403"/>
      <c r="F735" s="403"/>
      <c r="G735" s="403"/>
      <c r="H735" s="403"/>
      <c r="I735" s="403"/>
      <c r="J735" s="403"/>
      <c r="K735" s="403"/>
      <c r="L735" s="403"/>
    </row>
    <row r="736" spans="1:12">
      <c r="A736" s="408" t="s">
        <v>37</v>
      </c>
      <c r="B736" s="405"/>
      <c r="C736" s="403">
        <f>IF(C$5 = Assumptions!$L$45, Assumptions!$AU15, 0)</f>
        <v>0</v>
      </c>
      <c r="D736" s="403">
        <f>IF(D$5 = Assumptions!$L$45, Assumptions!$AU15, 0)</f>
        <v>0</v>
      </c>
      <c r="E736" s="403">
        <f>IF(E$5 = Assumptions!$L$45, Assumptions!$AU15, 0)</f>
        <v>0</v>
      </c>
      <c r="F736" s="403">
        <f>IF(F$5 = Assumptions!$L$45, Assumptions!$AU15, 0)</f>
        <v>5000</v>
      </c>
      <c r="G736" s="403">
        <f>IF(G$5 = Assumptions!$L$45, Assumptions!$AU15, 0)</f>
        <v>0</v>
      </c>
      <c r="H736" s="403">
        <f>IF(H$5 = Assumptions!$L$45, Assumptions!$AU15, 0)</f>
        <v>0</v>
      </c>
      <c r="I736" s="403">
        <f>IF(I$5 = Assumptions!$L$45, Assumptions!$AU15, 0)</f>
        <v>0</v>
      </c>
      <c r="J736" s="403">
        <f>IF(J$5 = Assumptions!$L$45, Assumptions!$AU15, 0)</f>
        <v>0</v>
      </c>
      <c r="K736" s="403">
        <f>IF(K$5 = Assumptions!$L$45, Assumptions!$AU15, 0)</f>
        <v>0</v>
      </c>
      <c r="L736" s="403">
        <f>IF(L$5 = Assumptions!$L$45, Assumptions!$AU15, 0)</f>
        <v>0</v>
      </c>
    </row>
    <row r="737" spans="1:12">
      <c r="A737" s="408" t="s">
        <v>309</v>
      </c>
      <c r="B737" s="405"/>
      <c r="C737" s="403">
        <f>IF(C$5 = Assumptions!$L$45, Assumptions!$AU16, 0)</f>
        <v>0</v>
      </c>
      <c r="D737" s="403">
        <f>IF(D$5 = Assumptions!$L$45, Assumptions!$AU16, 0)</f>
        <v>0</v>
      </c>
      <c r="E737" s="403">
        <f>IF(E$5 = Assumptions!$L$45, Assumptions!$AU16, 0)</f>
        <v>0</v>
      </c>
      <c r="F737" s="403">
        <f>IF(F$5 = Assumptions!$L$45, Assumptions!$AU16, 0)</f>
        <v>15000</v>
      </c>
      <c r="G737" s="403">
        <f>IF(G$5 = Assumptions!$L$45, Assumptions!$AU16, 0)</f>
        <v>0</v>
      </c>
      <c r="H737" s="403">
        <f>IF(H$5 = Assumptions!$L$45, Assumptions!$AU16, 0)</f>
        <v>0</v>
      </c>
      <c r="I737" s="403">
        <f>IF(I$5 = Assumptions!$L$45, Assumptions!$AU16, 0)</f>
        <v>0</v>
      </c>
      <c r="J737" s="403">
        <f>IF(J$5 = Assumptions!$L$45, Assumptions!$AU16, 0)</f>
        <v>0</v>
      </c>
      <c r="K737" s="403">
        <f>IF(K$5 = Assumptions!$L$45, Assumptions!$AU16, 0)</f>
        <v>0</v>
      </c>
      <c r="L737" s="403">
        <f>IF(L$5 = Assumptions!$L$45, Assumptions!$AU16, 0)</f>
        <v>0</v>
      </c>
    </row>
    <row r="738" spans="1:12">
      <c r="A738" s="408" t="s">
        <v>40</v>
      </c>
      <c r="B738" s="405"/>
      <c r="C738" s="403">
        <f>IF(C$5 = Assumptions!$L$45, Assumptions!$AU17, 0)</f>
        <v>0</v>
      </c>
      <c r="D738" s="403">
        <f>IF(D$5 = Assumptions!$L$45, Assumptions!$AU17, 0)</f>
        <v>0</v>
      </c>
      <c r="E738" s="403">
        <f>IF(E$5 = Assumptions!$L$45, Assumptions!$AU17, 0)</f>
        <v>0</v>
      </c>
      <c r="F738" s="403">
        <f>IF(F$5 = Assumptions!$L$45, Assumptions!$AU17, 0)</f>
        <v>1000</v>
      </c>
      <c r="G738" s="403">
        <f>IF(G$5 = Assumptions!$L$45, Assumptions!$AU17, 0)</f>
        <v>0</v>
      </c>
      <c r="H738" s="403">
        <f>IF(H$5 = Assumptions!$L$45, Assumptions!$AU17, 0)</f>
        <v>0</v>
      </c>
      <c r="I738" s="403">
        <f>IF(I$5 = Assumptions!$L$45, Assumptions!$AU17, 0)</f>
        <v>0</v>
      </c>
      <c r="J738" s="403">
        <f>IF(J$5 = Assumptions!$L$45, Assumptions!$AU17, 0)</f>
        <v>0</v>
      </c>
      <c r="K738" s="403">
        <f>IF(K$5 = Assumptions!$L$45, Assumptions!$AU17, 0)</f>
        <v>0</v>
      </c>
      <c r="L738" s="403">
        <f>IF(L$5 = Assumptions!$L$45, Assumptions!$AU17, 0)</f>
        <v>0</v>
      </c>
    </row>
    <row r="739" spans="1:12">
      <c r="A739" s="408" t="s">
        <v>41</v>
      </c>
      <c r="B739" s="405"/>
      <c r="C739" s="403">
        <f>IF(C$5 = Assumptions!$L$45, Assumptions!$AU18, 0)</f>
        <v>0</v>
      </c>
      <c r="D739" s="403">
        <f>IF(D$5 = Assumptions!$L$45, Assumptions!$AU18, 0)</f>
        <v>0</v>
      </c>
      <c r="E739" s="403">
        <f>IF(E$5 = Assumptions!$L$45, Assumptions!$AU18, 0)</f>
        <v>0</v>
      </c>
      <c r="F739" s="403">
        <f>IF(F$5 = Assumptions!$L$45, Assumptions!$AU18, 0)</f>
        <v>5000</v>
      </c>
      <c r="G739" s="403">
        <f>IF(G$5 = Assumptions!$L$45, Assumptions!$AU18, 0)</f>
        <v>0</v>
      </c>
      <c r="H739" s="403">
        <f>IF(H$5 = Assumptions!$L$45, Assumptions!$AU18, 0)</f>
        <v>0</v>
      </c>
      <c r="I739" s="403">
        <f>IF(I$5 = Assumptions!$L$45, Assumptions!$AU18, 0)</f>
        <v>0</v>
      </c>
      <c r="J739" s="403">
        <f>IF(J$5 = Assumptions!$L$45, Assumptions!$AU18, 0)</f>
        <v>0</v>
      </c>
      <c r="K739" s="403">
        <f>IF(K$5 = Assumptions!$L$45, Assumptions!$AU18, 0)</f>
        <v>0</v>
      </c>
      <c r="L739" s="403">
        <f>IF(L$5 = Assumptions!$L$45, Assumptions!$AU18, 0)</f>
        <v>0</v>
      </c>
    </row>
    <row r="740" spans="1:12">
      <c r="A740" s="408" t="s">
        <v>43</v>
      </c>
      <c r="B740" s="405"/>
      <c r="C740" s="403">
        <f>IF(C$5 = Assumptions!$L$45, Assumptions!$AU19, 0)</f>
        <v>0</v>
      </c>
      <c r="D740" s="403">
        <f>IF(D$5 = Assumptions!$L$45, Assumptions!$AU19, 0)</f>
        <v>0</v>
      </c>
      <c r="E740" s="403">
        <f>IF(E$5 = Assumptions!$L$45, Assumptions!$AU19, 0)</f>
        <v>0</v>
      </c>
      <c r="F740" s="403">
        <f>IF(F$5 = Assumptions!$L$45, Assumptions!$AU19, 0)</f>
        <v>1000</v>
      </c>
      <c r="G740" s="403">
        <f>IF(G$5 = Assumptions!$L$45, Assumptions!$AU19, 0)</f>
        <v>0</v>
      </c>
      <c r="H740" s="403">
        <f>IF(H$5 = Assumptions!$L$45, Assumptions!$AU19, 0)</f>
        <v>0</v>
      </c>
      <c r="I740" s="403">
        <f>IF(I$5 = Assumptions!$L$45, Assumptions!$AU19, 0)</f>
        <v>0</v>
      </c>
      <c r="J740" s="403">
        <f>IF(J$5 = Assumptions!$L$45, Assumptions!$AU19, 0)</f>
        <v>0</v>
      </c>
      <c r="K740" s="403">
        <f>IF(K$5 = Assumptions!$L$45, Assumptions!$AU19, 0)</f>
        <v>0</v>
      </c>
      <c r="L740" s="403">
        <f>IF(L$5 = Assumptions!$L$45, Assumptions!$AU19, 0)</f>
        <v>0</v>
      </c>
    </row>
    <row r="741" spans="1:12">
      <c r="A741" s="408" t="s">
        <v>45</v>
      </c>
      <c r="B741" s="405"/>
      <c r="C741" s="403">
        <f>IF(C$5 = Assumptions!$L$45, Assumptions!$AU20, 0)</f>
        <v>0</v>
      </c>
      <c r="D741" s="403">
        <f>IF(D$5 = Assumptions!$L$45, Assumptions!$AU20, 0)</f>
        <v>0</v>
      </c>
      <c r="E741" s="403">
        <f>IF(E$5 = Assumptions!$L$45, Assumptions!$AU20, 0)</f>
        <v>0</v>
      </c>
      <c r="F741" s="403">
        <f>IF(F$5 = Assumptions!$L$45, Assumptions!$AU20, 0)</f>
        <v>3000</v>
      </c>
      <c r="G741" s="403">
        <f>IF(G$5 = Assumptions!$L$45, Assumptions!$AU20, 0)</f>
        <v>0</v>
      </c>
      <c r="H741" s="403">
        <f>IF(H$5 = Assumptions!$L$45, Assumptions!$AU20, 0)</f>
        <v>0</v>
      </c>
      <c r="I741" s="403">
        <f>IF(I$5 = Assumptions!$L$45, Assumptions!$AU20, 0)</f>
        <v>0</v>
      </c>
      <c r="J741" s="403">
        <f>IF(J$5 = Assumptions!$L$45, Assumptions!$AU20, 0)</f>
        <v>0</v>
      </c>
      <c r="K741" s="403">
        <f>IF(K$5 = Assumptions!$L$45, Assumptions!$AU20, 0)</f>
        <v>0</v>
      </c>
      <c r="L741" s="403">
        <f>IF(L$5 = Assumptions!$L$45, Assumptions!$AU20, 0)</f>
        <v>0</v>
      </c>
    </row>
    <row r="742" spans="1:12">
      <c r="A742" s="408" t="s">
        <v>35</v>
      </c>
      <c r="B742" s="405"/>
      <c r="C742" s="403">
        <f>IF(C$5 = Assumptions!$L$45, Assumptions!$AU21, 0)</f>
        <v>0</v>
      </c>
      <c r="D742" s="403">
        <f>IF(D$5 = Assumptions!$L$45, Assumptions!$AU21, 0)</f>
        <v>0</v>
      </c>
      <c r="E742" s="403">
        <f>IF(E$5 = Assumptions!$L$45, Assumptions!$AU21, 0)</f>
        <v>0</v>
      </c>
      <c r="F742" s="403">
        <f>IF(F$5 = Assumptions!$L$45, Assumptions!$AU21, 0)</f>
        <v>5000</v>
      </c>
      <c r="G742" s="403">
        <f>IF(G$5 = Assumptions!$L$45, Assumptions!$AU21, 0)</f>
        <v>0</v>
      </c>
      <c r="H742" s="403">
        <f>IF(H$5 = Assumptions!$L$45, Assumptions!$AU21, 0)</f>
        <v>0</v>
      </c>
      <c r="I742" s="403">
        <f>IF(I$5 = Assumptions!$L$45, Assumptions!$AU21, 0)</f>
        <v>0</v>
      </c>
      <c r="J742" s="403">
        <f>IF(J$5 = Assumptions!$L$45, Assumptions!$AU21, 0)</f>
        <v>0</v>
      </c>
      <c r="K742" s="403">
        <f>IF(K$5 = Assumptions!$L$45, Assumptions!$AU21, 0)</f>
        <v>0</v>
      </c>
      <c r="L742" s="403">
        <f>IF(L$5 = Assumptions!$L$45, Assumptions!$AU21, 0)</f>
        <v>0</v>
      </c>
    </row>
    <row r="743" spans="1:12">
      <c r="A743" s="408"/>
      <c r="B743" s="405"/>
      <c r="C743" s="403"/>
      <c r="D743" s="403"/>
      <c r="E743" s="403"/>
      <c r="F743" s="403"/>
      <c r="G743" s="403"/>
      <c r="H743" s="403"/>
      <c r="I743" s="403"/>
      <c r="J743" s="403"/>
      <c r="K743" s="403"/>
      <c r="L743" s="403"/>
    </row>
    <row r="744" spans="1:12" ht="15.5">
      <c r="A744" s="409" t="s">
        <v>155</v>
      </c>
      <c r="B744" s="405"/>
      <c r="C744" s="403">
        <f t="shared" ref="C744:L744" si="192">SUM(C736:C742)</f>
        <v>0</v>
      </c>
      <c r="D744" s="403">
        <f t="shared" si="192"/>
        <v>0</v>
      </c>
      <c r="E744" s="403">
        <f t="shared" si="192"/>
        <v>0</v>
      </c>
      <c r="F744" s="403">
        <f t="shared" si="192"/>
        <v>35000</v>
      </c>
      <c r="G744" s="403">
        <f t="shared" si="192"/>
        <v>0</v>
      </c>
      <c r="H744" s="403">
        <f t="shared" si="192"/>
        <v>0</v>
      </c>
      <c r="I744" s="403">
        <f t="shared" si="192"/>
        <v>0</v>
      </c>
      <c r="J744" s="403">
        <f t="shared" si="192"/>
        <v>0</v>
      </c>
      <c r="K744" s="403">
        <f t="shared" si="192"/>
        <v>0</v>
      </c>
      <c r="L744" s="403">
        <f t="shared" si="192"/>
        <v>0</v>
      </c>
    </row>
    <row r="745" spans="1:12">
      <c r="A745" s="408"/>
      <c r="B745" s="405"/>
      <c r="C745" s="403"/>
      <c r="D745" s="403"/>
      <c r="E745" s="403"/>
      <c r="F745" s="403"/>
      <c r="G745" s="403"/>
      <c r="H745" s="403"/>
      <c r="I745" s="403"/>
      <c r="J745" s="403"/>
      <c r="K745" s="403"/>
      <c r="L745" s="403"/>
    </row>
    <row r="746" spans="1:12" ht="15.5">
      <c r="A746" s="409" t="s">
        <v>13</v>
      </c>
      <c r="B746" s="405"/>
      <c r="C746" s="403"/>
      <c r="D746" s="403"/>
      <c r="E746" s="403"/>
      <c r="F746" s="403"/>
      <c r="G746" s="403"/>
      <c r="H746" s="403"/>
      <c r="I746" s="403"/>
      <c r="J746" s="403"/>
      <c r="K746" s="403"/>
      <c r="L746" s="403"/>
    </row>
    <row r="747" spans="1:12">
      <c r="A747" s="408"/>
      <c r="B747" s="405"/>
      <c r="C747" s="403"/>
      <c r="D747" s="403"/>
      <c r="E747" s="403"/>
      <c r="F747" s="403"/>
      <c r="G747" s="403"/>
      <c r="H747" s="403"/>
      <c r="I747" s="403"/>
      <c r="J747" s="403"/>
      <c r="K747" s="403"/>
      <c r="L747" s="403"/>
    </row>
    <row r="748" spans="1:12">
      <c r="A748" s="408" t="s">
        <v>14</v>
      </c>
      <c r="B748" s="405"/>
      <c r="C748" s="403">
        <f>IF(C$5 &gt;= Assumptions!$L$45, Assumptions!AI15, 0)</f>
        <v>0</v>
      </c>
      <c r="D748" s="403">
        <f>IF(D$5&gt;Assumptions!$L$45,C748*(1+Revenue!C93),IF(D$5=Assumptions!$L$45, Assumptions!$AI15, 0))</f>
        <v>0</v>
      </c>
      <c r="E748" s="403">
        <f>IF(E$5&gt;Assumptions!$L$45,D748*(1+Revenue!D93),IF(E$5=Assumptions!$L$45, Assumptions!$AI15, 0))</f>
        <v>0</v>
      </c>
      <c r="F748" s="403">
        <f>IF(F$5&gt;Assumptions!$L$45,E748*(1+Revenue!E93),IF(F$5=Assumptions!$L$45, Assumptions!$AI15, 0))</f>
        <v>0</v>
      </c>
      <c r="G748" s="403">
        <f>IF(G$5&gt;Assumptions!$L$45,F748*(1+Revenue!F93),IF(G$5=Assumptions!$L$45, Assumptions!$AI15, 0))</f>
        <v>0</v>
      </c>
      <c r="H748" s="403">
        <f>IF(H$5&gt;Assumptions!$L$45,G748*(1+Revenue!G93),IF(H$5=Assumptions!$L$45, Assumptions!$AI15, 0))</f>
        <v>0</v>
      </c>
      <c r="I748" s="403">
        <f>IF(I$5&gt;Assumptions!$L$45,H748*(1+Revenue!H93),IF(I$5=Assumptions!$L$45, Assumptions!$AI15, 0))</f>
        <v>0</v>
      </c>
      <c r="J748" s="403">
        <f>IF(J$5&gt;Assumptions!$L$45,I748*(1+Revenue!I93),IF(J$5=Assumptions!$L$45, Assumptions!$AI15, 0))</f>
        <v>0</v>
      </c>
      <c r="K748" s="403">
        <f>IF(K$5&gt;Assumptions!$L$45,J748*(1+Revenue!J93),IF(K$5=Assumptions!$L$45, Assumptions!$AI15, 0))</f>
        <v>0</v>
      </c>
      <c r="L748" s="403">
        <f>IF(L$5&gt;Assumptions!$L$45,K748*(1+Revenue!K93),IF(L$5=Assumptions!$L$45, Assumptions!$AI15, 0))</f>
        <v>0</v>
      </c>
    </row>
    <row r="749" spans="1:12">
      <c r="A749" s="408" t="s">
        <v>15</v>
      </c>
      <c r="B749" s="405"/>
      <c r="C749" s="403">
        <f>IF(C$5 &gt;= Assumptions!$L$45, Assumptions!$AI16, 0)</f>
        <v>0</v>
      </c>
      <c r="D749" s="403">
        <f>IF(D$5&gt;Assumptions!$L$45,C749*(1+Revenue!C93),IF(D$5=Assumptions!$L$45, Assumptions!$AI16, 0))</f>
        <v>0</v>
      </c>
      <c r="E749" s="403">
        <f>IF(E$5&gt;Assumptions!$L$45,D749*(1+Revenue!D93),IF(E$5=Assumptions!$L$45, Assumptions!$AI16, 0))</f>
        <v>0</v>
      </c>
      <c r="F749" s="403">
        <f>IF(F$5&gt;Assumptions!$L$45,E749*(1+Revenue!E93),IF(F$5=Assumptions!$L$45, Assumptions!$AI16, 0))</f>
        <v>0</v>
      </c>
      <c r="G749" s="403">
        <f>IF(G$5&gt;Assumptions!$L$45,F749*(1+Revenue!F93),IF(G$5=Assumptions!$L$45, Assumptions!$AI16, 0))</f>
        <v>0</v>
      </c>
      <c r="H749" s="403">
        <f>IF(H$5&gt;Assumptions!$L$45,G749*(1+Revenue!G93),IF(H$5=Assumptions!$L$45, Assumptions!$AI16, 0))</f>
        <v>0</v>
      </c>
      <c r="I749" s="403">
        <f>IF(I$5&gt;Assumptions!$L$45,H749*(1+Revenue!H93),IF(I$5=Assumptions!$L$45, Assumptions!$AI16, 0))</f>
        <v>0</v>
      </c>
      <c r="J749" s="403">
        <f>IF(J$5&gt;Assumptions!$L$45,I749*(1+Revenue!I93),IF(J$5=Assumptions!$L$45, Assumptions!$AI16, 0))</f>
        <v>0</v>
      </c>
      <c r="K749" s="403">
        <f>IF(K$5&gt;Assumptions!$L$45,J749*(1+Revenue!J93),IF(K$5=Assumptions!$L$45, Assumptions!$AI16, 0))</f>
        <v>0</v>
      </c>
      <c r="L749" s="403">
        <f>IF(L$5&gt;Assumptions!$L$45,K749*(1+Revenue!K93),IF(L$5=Assumptions!$L$45, Assumptions!$AI16, 0))</f>
        <v>0</v>
      </c>
    </row>
    <row r="750" spans="1:12">
      <c r="A750" s="408" t="s">
        <v>17</v>
      </c>
      <c r="B750" s="405"/>
      <c r="C750" s="403">
        <f>IF(C$5 &gt;= Assumptions!$L$45, Assumptions!$AI17, 0)</f>
        <v>0</v>
      </c>
      <c r="D750" s="403">
        <f>IF(D$5&gt;Assumptions!$L$45,C750*(1+Revenue!C93),IF(D$5=Assumptions!$L$45, Assumptions!$AI17, 0))</f>
        <v>0</v>
      </c>
      <c r="E750" s="403">
        <f>IF(E$5&gt;Assumptions!$L$45,D750*(1+Revenue!D93),IF(E$5=Assumptions!$L$45, Assumptions!$AI17, 0))</f>
        <v>0</v>
      </c>
      <c r="F750" s="403">
        <f>IF(F$5&gt;Assumptions!$L$45,E750*(1+Revenue!E93),IF(F$5=Assumptions!$L$45, Assumptions!$AI17, 0))</f>
        <v>0</v>
      </c>
      <c r="G750" s="403">
        <f>IF(G$5&gt;Assumptions!$L$45,F750*(1+Revenue!F93),IF(G$5=Assumptions!$L$45, Assumptions!$AI17, 0))</f>
        <v>0</v>
      </c>
      <c r="H750" s="403">
        <f>IF(H$5&gt;Assumptions!$L$45,G750*(1+Revenue!G93),IF(H$5=Assumptions!$L$45, Assumptions!$AI17, 0))</f>
        <v>0</v>
      </c>
      <c r="I750" s="403">
        <f>IF(I$5&gt;Assumptions!$L$45,H750*(1+Revenue!H93),IF(I$5=Assumptions!$L$45, Assumptions!$AI17, 0))</f>
        <v>0</v>
      </c>
      <c r="J750" s="403">
        <f>IF(J$5&gt;Assumptions!$L$45,I750*(1+Revenue!I93),IF(J$5=Assumptions!$L$45, Assumptions!$AI17, 0))</f>
        <v>0</v>
      </c>
      <c r="K750" s="403">
        <f>IF(K$5&gt;Assumptions!$L$45,J750*(1+Revenue!J93),IF(K$5=Assumptions!$L$45, Assumptions!$AI17, 0))</f>
        <v>0</v>
      </c>
      <c r="L750" s="403">
        <f>IF(L$5&gt;Assumptions!$L$45,K750*(1+Revenue!K93),IF(L$5=Assumptions!$L$45, Assumptions!$AI17, 0))</f>
        <v>0</v>
      </c>
    </row>
    <row r="751" spans="1:12">
      <c r="A751" s="408" t="s">
        <v>19</v>
      </c>
      <c r="B751" s="405"/>
      <c r="C751" s="403">
        <f>IF(C$5 &gt;= Assumptions!$L$45, Assumptions!$AI$18 * (Revenue!Q98+Revenue!Q99+Revenue!Q100+Revenue!Q101), 0)</f>
        <v>0</v>
      </c>
      <c r="D751" s="403">
        <f>IF(D$5&gt;Assumptions!$L$45, Assumptions!$AI$18*(Revenue!R98+Revenue!R99+Revenue!R100+Revenue!R101)*(1+Revenue!C93), IF(D$5=Assumptions!$L$45, Assumptions!$AI$18 * (Revenue!R98+Revenue!R99+Revenue!R100+Revenue!R101), 0))</f>
        <v>0</v>
      </c>
      <c r="E751" s="403">
        <f>IF(E$5&gt;Assumptions!$L$45, Assumptions!$AI$18*(Revenue!S98+Revenue!S99+Revenue!S100+Revenue!S101)*(1+Revenue!D93), IF(E$5=Assumptions!$L$45, Assumptions!$AI$18 * (Revenue!S98+Revenue!S99+Revenue!S100+Revenue!S101), 0))</f>
        <v>0</v>
      </c>
      <c r="F751" s="403">
        <f>IF(F$5&gt;Assumptions!$L$45, Assumptions!$AI$18*(Revenue!T98+Revenue!T99+Revenue!T100+Revenue!T101)*(1+Revenue!E93), IF(F$5=Assumptions!$L$45, Assumptions!$AI$18 * (Revenue!T98+Revenue!T99+Revenue!T100+Revenue!T101), 0))</f>
        <v>419100</v>
      </c>
      <c r="G751" s="403">
        <f ca="1">IF(G$5&gt;Assumptions!$L$45, Assumptions!$AI$18*(Revenue!U98+Revenue!U99+Revenue!U100+Revenue!U101)*(1+Revenue!F93), IF(G$5=Assumptions!$L$45, Assumptions!$AI$18 * (Revenue!U98+Revenue!U99+Revenue!U100+Revenue!U101), 0))</f>
        <v>537186.60606617248</v>
      </c>
      <c r="H751" s="403">
        <f ca="1">IF(H$5&gt;Assumptions!$L$45, Assumptions!$AI$18*(Revenue!V98+Revenue!V99+Revenue!V100+Revenue!V101)*(1+Revenue!G93), IF(H$5=Assumptions!$L$45, Assumptions!$AI$18 * (Revenue!V98+Revenue!V99+Revenue!V100+Revenue!V101), 0))</f>
        <v>570725.83095332771</v>
      </c>
      <c r="I751" s="403">
        <f ca="1">IF(I$5&gt;Assumptions!$L$45, Assumptions!$AI$18*(Revenue!W98+Revenue!W99+Revenue!W100+Revenue!W101)*(1+Revenue!H93), IF(I$5=Assumptions!$L$45, Assumptions!$AI$18 * (Revenue!W98+Revenue!W99+Revenue!W100+Revenue!W101), 0))</f>
        <v>608711.64737418923</v>
      </c>
      <c r="J751" s="403">
        <f ca="1">IF(J$5&gt;Assumptions!$L$45, Assumptions!$AI$18*(Revenue!X98+Revenue!X99+Revenue!X100+Revenue!X101)*(1+Revenue!I93), IF(J$5=Assumptions!$L$45, Assumptions!$AI$18 * (Revenue!X98+Revenue!X99+Revenue!X100+Revenue!X101), 0))</f>
        <v>651715.40655583772</v>
      </c>
      <c r="K751" s="403">
        <f ca="1">IF(K$5&gt;Assumptions!$L$45, Assumptions!$AI$18*(Revenue!Y98+Revenue!Y99+Revenue!Y100+Revenue!Y101)*(1+Revenue!J93), IF(K$5=Assumptions!$L$45, Assumptions!$AI$18 * (Revenue!Y98+Revenue!Y99+Revenue!Y100+Revenue!Y101), 0))</f>
        <v>700499.52363047889</v>
      </c>
      <c r="L751" s="403">
        <f ca="1">IF(L$5&gt;Assumptions!$L$45, Assumptions!$AI$18*(Revenue!Z98+Revenue!Z99+Revenue!Z100+Revenue!Z101)*(1+Revenue!K93), IF(L$5=Assumptions!$L$45, Assumptions!$AI$18 * (Revenue!Z98+Revenue!Z99+Revenue!Z100+Revenue!Z101), 0))</f>
        <v>755764.39435013279</v>
      </c>
    </row>
    <row r="752" spans="1:12">
      <c r="A752" s="408" t="s">
        <v>20</v>
      </c>
      <c r="B752" s="405"/>
      <c r="C752" s="403">
        <f>IF(C$5 &gt;= Assumptions!$L$45, Assumptions!$AI$19*C717, 0)</f>
        <v>0</v>
      </c>
      <c r="D752" s="403">
        <f>IF(D$5 &gt; Assumptions!$L$45, Assumptions!$AI$19*D717*(1 + Revenue!C93), IF(D$5 = Assumptions!$L$45, Assumptions!$AI$19*D717, 0))</f>
        <v>0</v>
      </c>
      <c r="E752" s="403">
        <f>IF(E$5 &gt; Assumptions!$L$45, Assumptions!$AI$19*E717*(1 + Revenue!D93), IF(E$5 = Assumptions!$L$45, Assumptions!$AI$19*E717, 0))</f>
        <v>0</v>
      </c>
      <c r="F752" s="403">
        <f>IF(F$5 &gt; Assumptions!$L$45, Assumptions!$AI$19*F717*(1 + Revenue!E93), IF(F$5 = Assumptions!$L$45, Assumptions!$AI$19*F717, 0))</f>
        <v>9231200</v>
      </c>
      <c r="G752" s="403">
        <f ca="1">IF(G$5 &gt; Assumptions!$L$45, Assumptions!$AI$19*G717*(1 + Revenue!F93), IF(G$5 = Assumptions!$L$45, Assumptions!$AI$19*G717, 0))</f>
        <v>12173854.991790704</v>
      </c>
      <c r="H752" s="403">
        <f ca="1">IF(H$5 &gt; Assumptions!$L$45, Assumptions!$AI$19*H717*(1 + Revenue!G93), IF(H$5 = Assumptions!$L$45, Assumptions!$AI$19*H717, 0))</f>
        <v>14162819.512964454</v>
      </c>
      <c r="I752" s="403">
        <f ca="1">IF(I$5 &gt; Assumptions!$L$45, Assumptions!$AI$19*I717*(1 + Revenue!H93), IF(I$5 = Assumptions!$L$45, Assumptions!$AI$19*I717, 0))</f>
        <v>15644225.115220632</v>
      </c>
      <c r="J752" s="403">
        <f ca="1">IF(J$5 &gt; Assumptions!$L$45, Assumptions!$AI$19*J717*(1 + Revenue!I93), IF(J$5 = Assumptions!$L$45, Assumptions!$AI$19*J717, 0))</f>
        <v>17307696.827294383</v>
      </c>
      <c r="K752" s="403">
        <f ca="1">IF(K$5 &gt; Assumptions!$L$45, Assumptions!$AI$19*K717*(1 + Revenue!J93), IF(K$5 = Assumptions!$L$45, Assumptions!$AI$19*K717, 0))</f>
        <v>19179827.213214811</v>
      </c>
      <c r="L752" s="403">
        <f ca="1">IF(L$5 &gt; Assumptions!$L$45, Assumptions!$AI$19*L717*(1 + Revenue!K93), IF(L$5 = Assumptions!$L$45, Assumptions!$AI$19*L717, 0))</f>
        <v>21299341.029025722</v>
      </c>
    </row>
    <row r="753" spans="1:12">
      <c r="A753" s="408" t="s">
        <v>22</v>
      </c>
      <c r="B753" s="405"/>
      <c r="C753" s="403">
        <f>IF(C$5 &gt;= Assumptions!$L$45, Assumptions!AI20, 0)</f>
        <v>0</v>
      </c>
      <c r="D753" s="403">
        <f>IF(D$5 &gt; Assumptions!$L$45, C753*(1+Revenue!C93), IF(D$5 = Assumptions!$L$45, Assumptions!$AI20, 0))</f>
        <v>0</v>
      </c>
      <c r="E753" s="403">
        <f>IF(E$5 &gt; Assumptions!$L$45, D753*(1+Revenue!D93), IF(E$5 = Assumptions!$L$45, Assumptions!$AI20, 0))</f>
        <v>0</v>
      </c>
      <c r="F753" s="403">
        <f>IF(F$5 &gt; Assumptions!$L$45, E753*(1+Revenue!E93), IF(F$5 = Assumptions!$L$45, Assumptions!$AI20, 0))</f>
        <v>0</v>
      </c>
      <c r="G753" s="403">
        <f>IF(G$5 &gt; Assumptions!$L$45, F753*(1+Revenue!F93), IF(G$5 = Assumptions!$L$45, Assumptions!$AI20, 0))</f>
        <v>0</v>
      </c>
      <c r="H753" s="403">
        <f>IF(H$5 &gt; Assumptions!$L$45, G753*(1+Revenue!G93), IF(H$5 = Assumptions!$L$45, Assumptions!$AI20, 0))</f>
        <v>0</v>
      </c>
      <c r="I753" s="403">
        <f>IF(I$5 &gt; Assumptions!$L$45, H753*(1+Revenue!H93), IF(I$5 = Assumptions!$L$45, Assumptions!$AI20, 0))</f>
        <v>0</v>
      </c>
      <c r="J753" s="403">
        <f>IF(J$5 &gt; Assumptions!$L$45, I753*(1+Revenue!I93), IF(J$5 = Assumptions!$L$45, Assumptions!$AI20, 0))</f>
        <v>0</v>
      </c>
      <c r="K753" s="403">
        <f>IF(K$5 &gt; Assumptions!$L$45, J753*(1+Revenue!J93), IF(K$5 = Assumptions!$L$45, Assumptions!$AI20, 0))</f>
        <v>0</v>
      </c>
      <c r="L753" s="403">
        <f>IF(L$5 &gt; Assumptions!$L$45, K753*(1+Revenue!K93), IF(L$5 = Assumptions!$L$45, Assumptions!$AI20, 0))</f>
        <v>0</v>
      </c>
    </row>
    <row r="754" spans="1:12">
      <c r="A754" s="408" t="s">
        <v>25</v>
      </c>
      <c r="B754" s="405"/>
      <c r="C754" s="403">
        <f>IF(C$5 &gt;= Assumptions!$L$45, Assumptions!$AI21, 0)</f>
        <v>0</v>
      </c>
      <c r="D754" s="403">
        <f>IF(D$5 &gt; Assumptions!$L$45, Income!C754*(1+Revenue!C93), IF(D$5 = Assumptions!$L$45, Assumptions!$AI21, 0))</f>
        <v>0</v>
      </c>
      <c r="E754" s="403">
        <f>IF(E$5 &gt; Assumptions!$L$45, Income!D754*(1+Revenue!D93), IF(E$5 = Assumptions!$L$45, Assumptions!$AI21, 0))</f>
        <v>0</v>
      </c>
      <c r="F754" s="403">
        <f>IF(F$5 &gt; Assumptions!$L$45, Income!E754*(1+Revenue!E93), IF(F$5 = Assumptions!$L$45, Assumptions!$AI21, 0))</f>
        <v>1000</v>
      </c>
      <c r="G754" s="403">
        <f>IF(G$5 &gt; Assumptions!$L$45, Income!F754*(1+Revenue!F93), IF(G$5 = Assumptions!$L$45, Assumptions!$AI21, 0))</f>
        <v>1045</v>
      </c>
      <c r="H754" s="403">
        <f>IF(H$5 &gt; Assumptions!$L$45, Income!G754*(1+Revenue!G93), IF(H$5 = Assumptions!$L$45, Assumptions!$AI21, 0))</f>
        <v>1092.0249999999999</v>
      </c>
      <c r="I754" s="403">
        <f>IF(I$5 &gt; Assumptions!$L$45, Income!H754*(1+Revenue!H93), IF(I$5 = Assumptions!$L$45, Assumptions!$AI21, 0))</f>
        <v>1141.1661249999997</v>
      </c>
      <c r="J754" s="403">
        <f>IF(J$5 &gt; Assumptions!$L$45, Income!I754*(1+Revenue!I93), IF(J$5 = Assumptions!$L$45, Assumptions!$AI21, 0))</f>
        <v>1192.5186006249996</v>
      </c>
      <c r="K754" s="403">
        <f>IF(K$5 &gt; Assumptions!$L$45, Income!J754*(1+Revenue!J93), IF(K$5 = Assumptions!$L$45, Assumptions!$AI21, 0))</f>
        <v>1246.1819376531246</v>
      </c>
      <c r="L754" s="403">
        <f>IF(L$5 &gt; Assumptions!$L$45, Income!K754*(1+Revenue!K93), IF(L$5 = Assumptions!$L$45, Assumptions!$AI21, 0))</f>
        <v>1302.260124847515</v>
      </c>
    </row>
    <row r="755" spans="1:12">
      <c r="A755" s="408" t="s">
        <v>27</v>
      </c>
      <c r="B755" s="405"/>
      <c r="C755" s="403">
        <f>IF(C$5 &gt;= Assumptions!$L$45, Assumptions!AI22, 0)</f>
        <v>0</v>
      </c>
      <c r="D755" s="403">
        <f>IF(D$5 &gt; Assumptions!$L$45, Income!C755*(1+Revenue!C93), IF(D$5 = Assumptions!$L$45, Assumptions!$AI22, 0))</f>
        <v>0</v>
      </c>
      <c r="E755" s="403">
        <f>IF(E$5 &gt; Assumptions!$L$45, Income!D755*(1+Revenue!D93), IF(E$5 = Assumptions!$L$45, Assumptions!$AI22, 0))</f>
        <v>0</v>
      </c>
      <c r="F755" s="403">
        <f>IF(F$5 &gt; Assumptions!$L$45, Income!E755*(1+Revenue!E93), IF(F$5 = Assumptions!$L$45, Assumptions!$AI22, 0))</f>
        <v>1000</v>
      </c>
      <c r="G755" s="403">
        <f>IF(G$5 &gt; Assumptions!$L$45, Income!F755*(1+Revenue!F93), IF(G$5 = Assumptions!$L$45, Assumptions!$AI22, 0))</f>
        <v>1045</v>
      </c>
      <c r="H755" s="403">
        <f>IF(H$5 &gt; Assumptions!$L$45, Income!G755*(1+Revenue!G93), IF(H$5 = Assumptions!$L$45, Assumptions!$AI22, 0))</f>
        <v>1092.0249999999999</v>
      </c>
      <c r="I755" s="403">
        <f>IF(I$5 &gt; Assumptions!$L$45, Income!H755*(1+Revenue!H93), IF(I$5 = Assumptions!$L$45, Assumptions!$AI22, 0))</f>
        <v>1141.1661249999997</v>
      </c>
      <c r="J755" s="403">
        <f>IF(J$5 &gt; Assumptions!$L$45, Income!I755*(1+Revenue!I93), IF(J$5 = Assumptions!$L$45, Assumptions!$AI22, 0))</f>
        <v>1192.5186006249996</v>
      </c>
      <c r="K755" s="403">
        <f>IF(K$5 &gt; Assumptions!$L$45, Income!J755*(1+Revenue!J93), IF(K$5 = Assumptions!$L$45, Assumptions!$AI22, 0))</f>
        <v>1246.1819376531246</v>
      </c>
      <c r="L755" s="403">
        <f>IF(L$5 &gt; Assumptions!$L$45, Income!K755*(1+Revenue!K93), IF(L$5 = Assumptions!$L$45, Assumptions!$AI22, 0))</f>
        <v>1302.260124847515</v>
      </c>
    </row>
    <row r="756" spans="1:12">
      <c r="A756" s="408" t="s">
        <v>278</v>
      </c>
      <c r="B756" s="405"/>
      <c r="C756" s="403">
        <f>IF(C$5 &gt;= Assumptions!$L$45, Assumptions!$AI$23 + (Revenue!Q100+Revenue!Q101+Revenue!Q102)*Assumptions!$AI$24, 0)</f>
        <v>0</v>
      </c>
      <c r="D756" s="403">
        <f>IF(D$5&gt;Assumptions!$L$45,(Assumptions!$AI$23+(Revenue!R100+Revenue!R101+Revenue!R102)*Assumptions!$AI$24)*(1+Revenue!C93),IF(D$5=Assumptions!$L$45,Assumptions!$AI$23+(Revenue!R100+Revenue!R101+Revenue!R102)*Assumptions!$AI$24,0))</f>
        <v>0</v>
      </c>
      <c r="E756" s="403">
        <f>IF(E$5&gt;Assumptions!$L$45,(Assumptions!$AI$23+(Revenue!S100+Revenue!S101+Revenue!S102)*Assumptions!$AI$24)*(1+Revenue!D93),IF(E$5=Assumptions!$L$45,Assumptions!$AI$23+(Revenue!S100+Revenue!S101+Revenue!S102)*Assumptions!$AI$24,0))</f>
        <v>0</v>
      </c>
      <c r="F756" s="403">
        <f>IF(F$5&gt;Assumptions!$L$45,(Assumptions!$AI$23+(Revenue!T100+Revenue!T101+Revenue!T102)*Assumptions!$AI$24)*(1+Revenue!E93),IF(F$5=Assumptions!$L$45,Assumptions!$AI$23+(Revenue!T100+Revenue!T101+Revenue!T102)*Assumptions!$AI$24,0))</f>
        <v>12350</v>
      </c>
      <c r="G756" s="403">
        <f ca="1">IF(G$5&gt;Assumptions!$L$45,(Assumptions!$AI$23+(Revenue!U100+Revenue!U101+Revenue!U102)*Assumptions!$AI$24)*(1+Revenue!F93),IF(G$5=Assumptions!$L$45,Assumptions!$AI$23+(Revenue!U100+Revenue!U101+Revenue!U102)*Assumptions!$AI$24,0))</f>
        <v>16423.016146902304</v>
      </c>
      <c r="H756" s="403">
        <f ca="1">IF(H$5&gt;Assumptions!$L$45,(Assumptions!$AI$23+(Revenue!V100+Revenue!V101+Revenue!V102)*Assumptions!$AI$24)*(1+Revenue!G93),IF(H$5=Assumptions!$L$45,Assumptions!$AI$23+(Revenue!V100+Revenue!V101+Revenue!V102)*Assumptions!$AI$24,0))</f>
        <v>18488.889809007491</v>
      </c>
      <c r="I756" s="403">
        <f ca="1">IF(I$5&gt;Assumptions!$L$45,(Assumptions!$AI$23+(Revenue!W100+Revenue!W101+Revenue!W102)*Assumptions!$AI$24)*(1+Revenue!H93),IF(I$5=Assumptions!$L$45,Assumptions!$AI$23+(Revenue!W100+Revenue!W101+Revenue!W102)*Assumptions!$AI$24,0))</f>
        <v>19039.216990979003</v>
      </c>
      <c r="J756" s="403">
        <f ca="1">IF(J$5&gt;Assumptions!$L$45,(Assumptions!$AI$23+(Revenue!X100+Revenue!X101+Revenue!X102)*Assumptions!$AI$24)*(1+Revenue!I93),IF(J$5=Assumptions!$L$45,Assumptions!$AI$23+(Revenue!X100+Revenue!X101+Revenue!X102)*Assumptions!$AI$24,0))</f>
        <v>19662.109306534221</v>
      </c>
      <c r="K756" s="403">
        <f ca="1">IF(K$5&gt;Assumptions!$L$45,(Assumptions!$AI$23+(Revenue!Y100+Revenue!Y101+Revenue!Y102)*Assumptions!$AI$24)*(1+Revenue!J93),IF(K$5=Assumptions!$L$45,Assumptions!$AI$23+(Revenue!Y100+Revenue!Y101+Revenue!Y102)*Assumptions!$AI$24,0))</f>
        <v>20366.697093844017</v>
      </c>
      <c r="L756" s="403">
        <f ca="1">IF(L$5&gt;Assumptions!$L$45,(Assumptions!$AI$23+(Revenue!Z100+Revenue!Z101+Revenue!Z102)*Assumptions!$AI$24)*(1+Revenue!K93),IF(L$5=Assumptions!$L$45,Assumptions!$AI$23+(Revenue!Z100+Revenue!Z101+Revenue!Z102)*Assumptions!$AI$24,0))</f>
        <v>21163.774497967242</v>
      </c>
    </row>
    <row r="757" spans="1:12">
      <c r="A757" s="408" t="s">
        <v>29</v>
      </c>
      <c r="B757" s="405"/>
      <c r="C757" s="403">
        <f>IF(C$5 &gt;= Assumptions!$L$45, Assumptions!AI25, 0)</f>
        <v>0</v>
      </c>
      <c r="D757" s="403">
        <f>IF(D$5&gt;Assumptions!$L$45,C757*(1+Revenue!C93)*(1+Assumptions!$J$10),IF(D$5=Assumptions!$L$45,Assumptions!$AI25,0))</f>
        <v>0</v>
      </c>
      <c r="E757" s="403">
        <f>IF(E$5&gt;Assumptions!$L$45,D757*(1+Revenue!D93)*(1+Assumptions!$J$10),IF(E$5=Assumptions!$L$45,Assumptions!$AI25,0))</f>
        <v>0</v>
      </c>
      <c r="F757" s="403">
        <f>IF(F$5&gt;Assumptions!$L$45,E757*(1+Revenue!E93)*(1+Assumptions!$J$10),IF(F$5=Assumptions!$L$45,Assumptions!$AI25,0))</f>
        <v>0</v>
      </c>
      <c r="G757" s="403">
        <f>IF(G$5&gt;Assumptions!$L$45,F757*(1+Revenue!F93)*(1+Assumptions!$J$10),IF(G$5=Assumptions!$L$45,Assumptions!$AI25,0))</f>
        <v>0</v>
      </c>
      <c r="H757" s="403">
        <f>IF(H$5&gt;Assumptions!$L$45,G757*(1+Revenue!G93)*(1+Assumptions!$J$10),IF(H$5=Assumptions!$L$45,Assumptions!$AI25,0))</f>
        <v>0</v>
      </c>
      <c r="I757" s="403">
        <f>IF(I$5&gt;Assumptions!$L$45,H757*(1+Revenue!H93)*(1+Assumptions!$J$10),IF(I$5=Assumptions!$L$45,Assumptions!$AI25,0))</f>
        <v>0</v>
      </c>
      <c r="J757" s="403">
        <f>IF(J$5&gt;Assumptions!$L$45,I757*(1+Revenue!I93)*(1+Assumptions!$J$10),IF(J$5=Assumptions!$L$45,Assumptions!$AI25,0))</f>
        <v>0</v>
      </c>
      <c r="K757" s="403">
        <f>IF(K$5&gt;Assumptions!$L$45,J757*(1+Revenue!J93)*(1+Assumptions!$J$10),IF(K$5=Assumptions!$L$45,Assumptions!$AI25,0))</f>
        <v>0</v>
      </c>
      <c r="L757" s="403">
        <f>IF(L$5&gt;Assumptions!$L$45,K757*(1+Revenue!K93)*(1+Assumptions!$J$10),IF(L$5=Assumptions!$L$45,Assumptions!$AI25,0))</f>
        <v>0</v>
      </c>
    </row>
    <row r="758" spans="1:12">
      <c r="A758" s="408" t="s">
        <v>279</v>
      </c>
      <c r="B758" s="405"/>
      <c r="C758" s="403">
        <f>IF(C$5 &gt;= Assumptions!$L$45, Assumptions!AI26, 0)</f>
        <v>0</v>
      </c>
      <c r="D758" s="403">
        <f>IF(D$5 &gt; Assumptions!$L$45, C758*(1+Revenue!C93)*(1+Assumptions!$J$11), IF(D$5 = Assumptions!$L$45, Assumptions!$AI26, 0))</f>
        <v>0</v>
      </c>
      <c r="E758" s="403">
        <f>IF(E$5 &gt; Assumptions!$L$45, D758*(1+Revenue!D93)*(1+Assumptions!$J$11), IF(E$5 = Assumptions!$L$45, Assumptions!$AI26, 0))</f>
        <v>0</v>
      </c>
      <c r="F758" s="403">
        <f>IF(F$5 &gt; Assumptions!$L$45, E758*(1+Revenue!E93)*(1+Assumptions!$J$11), IF(F$5 = Assumptions!$L$45, Assumptions!$AI26, 0))</f>
        <v>0</v>
      </c>
      <c r="G758" s="403">
        <f>IF(G$5 &gt; Assumptions!$L$45, F758*(1+Revenue!F93)*(1+Assumptions!$J$11), IF(G$5 = Assumptions!$L$45, Assumptions!$AI26, 0))</f>
        <v>0</v>
      </c>
      <c r="H758" s="403">
        <f>IF(H$5 &gt; Assumptions!$L$45, G758*(1+Revenue!G93)*(1+Assumptions!$J$11), IF(H$5 = Assumptions!$L$45, Assumptions!$AI26, 0))</f>
        <v>0</v>
      </c>
      <c r="I758" s="403">
        <f>IF(I$5 &gt; Assumptions!$L$45, H758*(1+Revenue!H93)*(1+Assumptions!$J$11), IF(I$5 = Assumptions!$L$45, Assumptions!$AI26, 0))</f>
        <v>0</v>
      </c>
      <c r="J758" s="403">
        <f>IF(J$5 &gt; Assumptions!$L$45, I758*(1+Revenue!I93)*(1+Assumptions!$J$11), IF(J$5 = Assumptions!$L$45, Assumptions!$AI26, 0))</f>
        <v>0</v>
      </c>
      <c r="K758" s="403">
        <f>IF(K$5 &gt; Assumptions!$L$45, J758*(1+Revenue!J93)*(1+Assumptions!$J$11), IF(K$5 = Assumptions!$L$45, Assumptions!$AI26, 0))</f>
        <v>0</v>
      </c>
      <c r="L758" s="403">
        <f>IF(L$5 &gt; Assumptions!$L$45, K758*(1+Revenue!K93)*(1+Assumptions!$J$11), IF(L$5 = Assumptions!$L$45, Assumptions!$AI26, 0))</f>
        <v>0</v>
      </c>
    </row>
    <row r="759" spans="1:12">
      <c r="A759" s="408" t="s">
        <v>31</v>
      </c>
      <c r="B759" s="405"/>
      <c r="C759" s="403">
        <f>IF(C$5 &gt;= Assumptions!$L$45, Assumptions!AI27, 0)</f>
        <v>0</v>
      </c>
      <c r="D759" s="403">
        <f>IF(D$5 &gt; Assumptions!$L$45, C759*(1+Revenue!C93), IF(D$5 = Assumptions!$L$45, Assumptions!$AI27, 0))</f>
        <v>0</v>
      </c>
      <c r="E759" s="403">
        <f>IF(E$5 &gt; Assumptions!$L$45, D759*(1+Revenue!D93), IF(E$5 = Assumptions!$L$45, Assumptions!$AI27, 0))</f>
        <v>0</v>
      </c>
      <c r="F759" s="403">
        <f>IF(F$5 &gt; Assumptions!$L$45, E759*(1+Revenue!E93), IF(F$5 = Assumptions!$L$45, Assumptions!$AI27, 0))</f>
        <v>1200</v>
      </c>
      <c r="G759" s="403">
        <f>IF(G$5 &gt; Assumptions!$L$45, F759*(1+Revenue!F93), IF(G$5 = Assumptions!$L$45, Assumptions!$AI27, 0))</f>
        <v>1254</v>
      </c>
      <c r="H759" s="403">
        <f>IF(H$5 &gt; Assumptions!$L$45, G759*(1+Revenue!G93), IF(H$5 = Assumptions!$L$45, Assumptions!$AI27, 0))</f>
        <v>1310.4299999999998</v>
      </c>
      <c r="I759" s="403">
        <f>IF(I$5 &gt; Assumptions!$L$45, H759*(1+Revenue!H93), IF(I$5 = Assumptions!$L$45, Assumptions!$AI27, 0))</f>
        <v>1369.3993499999997</v>
      </c>
      <c r="J759" s="403">
        <f>IF(J$5 &gt; Assumptions!$L$45, I759*(1+Revenue!I93), IF(J$5 = Assumptions!$L$45, Assumptions!$AI27, 0))</f>
        <v>1431.0223207499996</v>
      </c>
      <c r="K759" s="403">
        <f>IF(K$5 &gt; Assumptions!$L$45, J759*(1+Revenue!J93), IF(K$5 = Assumptions!$L$45, Assumptions!$AI27, 0))</f>
        <v>1495.4183251837494</v>
      </c>
      <c r="L759" s="403">
        <f>IF(L$5 &gt; Assumptions!$L$45, K759*(1+Revenue!K93), IF(L$5 = Assumptions!$L$45, Assumptions!$AI27, 0))</f>
        <v>1562.7121498170179</v>
      </c>
    </row>
    <row r="760" spans="1:12">
      <c r="A760" s="408" t="s">
        <v>33</v>
      </c>
      <c r="B760" s="405"/>
      <c r="C760" s="403">
        <f>IF(C$5 &gt;= Assumptions!$L$45, Assumptions!AI28, 0)</f>
        <v>0</v>
      </c>
      <c r="D760" s="403">
        <f>IF(D$5 &gt; Assumptions!$L$45, C760*(1+Revenue!C93), IF(D$5 = Assumptions!$L$45, Assumptions!$AI28, 0))</f>
        <v>0</v>
      </c>
      <c r="E760" s="403">
        <f>IF(E$5 &gt; Assumptions!$L$45, D760*(1+Revenue!D93), IF(E$5 = Assumptions!$L$45, Assumptions!$AI28, 0))</f>
        <v>0</v>
      </c>
      <c r="F760" s="403">
        <f>IF(F$5 &gt; Assumptions!$L$45, E760*(1+Revenue!E93), IF(F$5 = Assumptions!$L$45, Assumptions!$AI28, 0))</f>
        <v>1000</v>
      </c>
      <c r="G760" s="403">
        <f>IF(G$5 &gt; Assumptions!$L$45, F760*(1+Revenue!F93), IF(G$5 = Assumptions!$L$45, Assumptions!$AI28, 0))</f>
        <v>1045</v>
      </c>
      <c r="H760" s="403">
        <f>IF(H$5 &gt; Assumptions!$L$45, G760*(1+Revenue!G93), IF(H$5 = Assumptions!$L$45, Assumptions!$AI28, 0))</f>
        <v>1092.0249999999999</v>
      </c>
      <c r="I760" s="403">
        <f>IF(I$5 &gt; Assumptions!$L$45, H760*(1+Revenue!H93), IF(I$5 = Assumptions!$L$45, Assumptions!$AI28, 0))</f>
        <v>1141.1661249999997</v>
      </c>
      <c r="J760" s="403">
        <f>IF(J$5 &gt; Assumptions!$L$45, I760*(1+Revenue!I93), IF(J$5 = Assumptions!$L$45, Assumptions!$AI28, 0))</f>
        <v>1192.5186006249996</v>
      </c>
      <c r="K760" s="403">
        <f>IF(K$5 &gt; Assumptions!$L$45, J760*(1+Revenue!J93), IF(K$5 = Assumptions!$L$45, Assumptions!$AI28, 0))</f>
        <v>1246.1819376531246</v>
      </c>
      <c r="L760" s="403">
        <f>IF(L$5 &gt; Assumptions!$L$45, K760*(1+Revenue!K93), IF(L$5 = Assumptions!$L$45, Assumptions!$AI28, 0))</f>
        <v>1302.260124847515</v>
      </c>
    </row>
    <row r="761" spans="1:12">
      <c r="A761" s="408" t="s">
        <v>35</v>
      </c>
      <c r="B761" s="405"/>
      <c r="C761" s="403">
        <f>IF(C$5 &gt;= Assumptions!$L$45, Assumptions!AI29, 0)</f>
        <v>0</v>
      </c>
      <c r="D761" s="403">
        <f>IF(D$5 &gt; Assumptions!$L$45, C761*(1+Revenue!C93), IF(D$5 = Assumptions!$L$45, Assumptions!$AI29, 0))</f>
        <v>0</v>
      </c>
      <c r="E761" s="403">
        <f>IF(E$5 &gt; Assumptions!$L$45, D761*(1+Revenue!D93), IF(E$5 = Assumptions!$L$45, Assumptions!$AI29, 0))</f>
        <v>0</v>
      </c>
      <c r="F761" s="403">
        <f>IF(F$5 &gt; Assumptions!$L$45, E761*(1+Revenue!E93), IF(F$5 = Assumptions!$L$45, Assumptions!$AI29, 0))</f>
        <v>5000</v>
      </c>
      <c r="G761" s="403">
        <f>IF(G$5 &gt; Assumptions!$L$45, F761*(1+Revenue!F93), IF(G$5 = Assumptions!$L$45, Assumptions!$AI29, 0))</f>
        <v>5225</v>
      </c>
      <c r="H761" s="403">
        <f>IF(H$5 &gt; Assumptions!$L$45, G761*(1+Revenue!G93), IF(H$5 = Assumptions!$L$45, Assumptions!$AI29, 0))</f>
        <v>5460.125</v>
      </c>
      <c r="I761" s="403">
        <f>IF(I$5 &gt; Assumptions!$L$45, H761*(1+Revenue!H93), IF(I$5 = Assumptions!$L$45, Assumptions!$AI29, 0))</f>
        <v>5705.8306249999996</v>
      </c>
      <c r="J761" s="403">
        <f>IF(J$5 &gt; Assumptions!$L$45, I761*(1+Revenue!I93), IF(J$5 = Assumptions!$L$45, Assumptions!$AI29, 0))</f>
        <v>5962.5930031249991</v>
      </c>
      <c r="K761" s="403">
        <f>IF(K$5 &gt; Assumptions!$L$45, J761*(1+Revenue!J93), IF(K$5 = Assumptions!$L$45, Assumptions!$AI29, 0))</f>
        <v>6230.909688265624</v>
      </c>
      <c r="L761" s="403">
        <f>IF(L$5 &gt; Assumptions!$L$45, K761*(1+Revenue!K93), IF(L$5 = Assumptions!$L$45, Assumptions!$AI29, 0))</f>
        <v>6511.3006242375768</v>
      </c>
    </row>
    <row r="762" spans="1:12">
      <c r="A762" s="408"/>
      <c r="B762" s="405"/>
      <c r="C762" s="403"/>
      <c r="D762" s="403"/>
      <c r="E762" s="403"/>
      <c r="F762" s="403"/>
      <c r="G762" s="403"/>
      <c r="H762" s="403"/>
      <c r="I762" s="403"/>
      <c r="J762" s="403"/>
      <c r="K762" s="403"/>
      <c r="L762" s="403"/>
    </row>
    <row r="763" spans="1:12" ht="15.5">
      <c r="A763" s="409" t="s">
        <v>156</v>
      </c>
      <c r="B763" s="405"/>
      <c r="C763" s="403">
        <f t="shared" ref="C763:L763" si="193">SUM(C748:C761)</f>
        <v>0</v>
      </c>
      <c r="D763" s="403">
        <f t="shared" si="193"/>
        <v>0</v>
      </c>
      <c r="E763" s="403">
        <f t="shared" si="193"/>
        <v>0</v>
      </c>
      <c r="F763" s="403">
        <f t="shared" si="193"/>
        <v>9671850</v>
      </c>
      <c r="G763" s="403">
        <f t="shared" ca="1" si="193"/>
        <v>12737078.614003779</v>
      </c>
      <c r="H763" s="403">
        <f t="shared" ca="1" si="193"/>
        <v>14762080.863726789</v>
      </c>
      <c r="I763" s="403">
        <f t="shared" ca="1" si="193"/>
        <v>16282474.707935799</v>
      </c>
      <c r="J763" s="403">
        <f t="shared" ca="1" si="193"/>
        <v>17990045.514282502</v>
      </c>
      <c r="K763" s="403">
        <f t="shared" ca="1" si="193"/>
        <v>19912158.30776554</v>
      </c>
      <c r="L763" s="403">
        <f t="shared" ca="1" si="193"/>
        <v>22088249.991022419</v>
      </c>
    </row>
    <row r="764" spans="1:12" ht="15.5">
      <c r="A764" s="409"/>
      <c r="B764" s="405"/>
      <c r="C764" s="403"/>
      <c r="D764" s="403"/>
      <c r="E764" s="403"/>
      <c r="F764" s="403"/>
      <c r="G764" s="403"/>
      <c r="H764" s="403"/>
      <c r="I764" s="403"/>
      <c r="J764" s="403"/>
      <c r="K764" s="403"/>
      <c r="L764" s="403"/>
    </row>
    <row r="765" spans="1:12" ht="15.5">
      <c r="A765" s="409" t="s">
        <v>36</v>
      </c>
      <c r="B765" s="405"/>
      <c r="C765" s="403"/>
      <c r="D765" s="403"/>
      <c r="E765" s="403"/>
      <c r="F765" s="403"/>
      <c r="G765" s="403"/>
      <c r="H765" s="403"/>
      <c r="I765" s="403"/>
      <c r="J765" s="403"/>
      <c r="K765" s="403"/>
      <c r="L765" s="403"/>
    </row>
    <row r="766" spans="1:12">
      <c r="A766" s="408" t="s">
        <v>38</v>
      </c>
      <c r="B766" s="405"/>
      <c r="C766" s="403">
        <f>IF(C$5 &gt;= Assumptions!$L$45, Assumptions!$AU22, 0)</f>
        <v>0</v>
      </c>
      <c r="D766" s="403">
        <f>IF(D$5 &gt; Assumptions!$L$45, C766*(1+Revenue!C93), IF(D$5 = Assumptions!$L$45, Assumptions!$AU22, 0))</f>
        <v>0</v>
      </c>
      <c r="E766" s="403">
        <f>IF(E$5 &gt; Assumptions!$L$45, D766*(1+Revenue!D93), IF(E$5 = Assumptions!$L$45, Assumptions!$AU22, 0))</f>
        <v>0</v>
      </c>
      <c r="F766" s="403">
        <f>IF(F$5 &gt; Assumptions!$L$45, E766*(1+Revenue!E93), IF(F$5 = Assumptions!$L$45, Assumptions!$AU22, 0))</f>
        <v>5000</v>
      </c>
      <c r="G766" s="403">
        <f>IF(G$5 &gt; Assumptions!$L$45, F766*(1+Revenue!F93), IF(G$5 = Assumptions!$L$45, Assumptions!$AU22, 0))</f>
        <v>5225</v>
      </c>
      <c r="H766" s="403">
        <f>IF(H$5 &gt; Assumptions!$L$45, G766*(1+Revenue!G93), IF(H$5 = Assumptions!$L$45, Assumptions!$AU22, 0))</f>
        <v>5460.125</v>
      </c>
      <c r="I766" s="403">
        <f>IF(I$5 &gt; Assumptions!$L$45, H766*(1+Revenue!H93), IF(I$5 = Assumptions!$L$45, Assumptions!$AU22, 0))</f>
        <v>5705.8306249999996</v>
      </c>
      <c r="J766" s="403">
        <f>IF(J$5 &gt; Assumptions!$L$45, I766*(1+Revenue!I93), IF(J$5 = Assumptions!$L$45, Assumptions!$AU22, 0))</f>
        <v>5962.5930031249991</v>
      </c>
      <c r="K766" s="403">
        <f>IF(K$5 &gt; Assumptions!$L$45, J766*(1+Revenue!J93), IF(K$5 = Assumptions!$L$45, Assumptions!$AU22, 0))</f>
        <v>6230.909688265624</v>
      </c>
      <c r="L766" s="403">
        <f>IF(L$5 &gt; Assumptions!$L$45, K766*(1+Revenue!K93), IF(L$5 = Assumptions!$L$45, Assumptions!$AU22, 0))</f>
        <v>6511.3006242375768</v>
      </c>
    </row>
    <row r="767" spans="1:12">
      <c r="A767" s="408" t="s">
        <v>39</v>
      </c>
      <c r="B767" s="405"/>
      <c r="C767" s="403">
        <f>IF(C$5 &gt;= Assumptions!$L$45, Assumptions!$AU23, 0)</f>
        <v>0</v>
      </c>
      <c r="D767" s="403">
        <f>IF(D$5 &gt; Assumptions!$L$45, C767*(1+Revenue!C93), IF(D$5 = Assumptions!$L$45, Assumptions!$AU23, 0))</f>
        <v>0</v>
      </c>
      <c r="E767" s="403">
        <f>IF(E$5 &gt; Assumptions!$L$45, D767*(1+Revenue!D93), IF(E$5 = Assumptions!$L$45, Assumptions!$AU23, 0))</f>
        <v>0</v>
      </c>
      <c r="F767" s="403">
        <f>IF(F$5 &gt; Assumptions!$L$45, E767*(1+Revenue!E93), IF(F$5 = Assumptions!$L$45, Assumptions!$AU23, 0))</f>
        <v>500</v>
      </c>
      <c r="G767" s="403">
        <f>IF(G$5 &gt; Assumptions!$L$45, F767*(1+Revenue!F93), IF(G$5 = Assumptions!$L$45, Assumptions!$AU23, 0))</f>
        <v>522.5</v>
      </c>
      <c r="H767" s="403">
        <f>IF(H$5 &gt; Assumptions!$L$45, G767*(1+Revenue!G93), IF(H$5 = Assumptions!$L$45, Assumptions!$AU23, 0))</f>
        <v>546.01249999999993</v>
      </c>
      <c r="I767" s="403">
        <f>IF(I$5 &gt; Assumptions!$L$45, H767*(1+Revenue!H93), IF(I$5 = Assumptions!$L$45, Assumptions!$AU23, 0))</f>
        <v>570.58306249999987</v>
      </c>
      <c r="J767" s="403">
        <f>IF(J$5 &gt; Assumptions!$L$45, I767*(1+Revenue!I93), IF(J$5 = Assumptions!$L$45, Assumptions!$AU23, 0))</f>
        <v>596.25930031249982</v>
      </c>
      <c r="K767" s="403">
        <f>IF(K$5 &gt; Assumptions!$L$45, J767*(1+Revenue!J93), IF(K$5 = Assumptions!$L$45, Assumptions!$AU23, 0))</f>
        <v>623.09096882656229</v>
      </c>
      <c r="L767" s="403">
        <f>IF(L$5 &gt; Assumptions!$L$45, K767*(1+Revenue!K93), IF(L$5 = Assumptions!$L$45, Assumptions!$AU23, 0))</f>
        <v>651.13006242375752</v>
      </c>
    </row>
    <row r="768" spans="1:12">
      <c r="A768" s="408"/>
      <c r="B768" s="405"/>
      <c r="C768" s="403"/>
      <c r="D768" s="403"/>
      <c r="E768" s="403"/>
      <c r="F768" s="403"/>
      <c r="G768" s="403"/>
      <c r="H768" s="403"/>
      <c r="I768" s="403"/>
      <c r="J768" s="403"/>
      <c r="K768" s="403"/>
      <c r="L768" s="403"/>
    </row>
    <row r="769" spans="1:12" ht="15.5">
      <c r="A769" s="409" t="s">
        <v>157</v>
      </c>
      <c r="B769" s="405"/>
      <c r="C769" s="403">
        <f t="shared" ref="C769:L769" si="194">SUM(C766:C767)</f>
        <v>0</v>
      </c>
      <c r="D769" s="403">
        <f t="shared" si="194"/>
        <v>0</v>
      </c>
      <c r="E769" s="403">
        <f t="shared" si="194"/>
        <v>0</v>
      </c>
      <c r="F769" s="403">
        <f t="shared" si="194"/>
        <v>5500</v>
      </c>
      <c r="G769" s="403">
        <f t="shared" si="194"/>
        <v>5747.5</v>
      </c>
      <c r="H769" s="403">
        <f t="shared" si="194"/>
        <v>6006.1374999999998</v>
      </c>
      <c r="I769" s="403">
        <f t="shared" si="194"/>
        <v>6276.4136874999995</v>
      </c>
      <c r="J769" s="403">
        <f t="shared" si="194"/>
        <v>6558.8523034374994</v>
      </c>
      <c r="K769" s="403">
        <f t="shared" si="194"/>
        <v>6854.000657092186</v>
      </c>
      <c r="L769" s="403">
        <f t="shared" si="194"/>
        <v>7162.4306866613342</v>
      </c>
    </row>
    <row r="770" spans="1:12">
      <c r="A770" s="408"/>
      <c r="B770" s="405"/>
      <c r="C770" s="403"/>
      <c r="D770" s="403"/>
      <c r="E770" s="403"/>
      <c r="F770" s="403"/>
      <c r="G770" s="403"/>
      <c r="H770" s="403"/>
      <c r="I770" s="403"/>
      <c r="J770" s="403"/>
      <c r="K770" s="403"/>
      <c r="L770" s="403"/>
    </row>
    <row r="771" spans="1:12" ht="15.5">
      <c r="A771" s="409" t="s">
        <v>112</v>
      </c>
      <c r="B771" s="405"/>
      <c r="C771" s="403">
        <f t="shared" ref="C771:L771" si="195">C744+C763+C769</f>
        <v>0</v>
      </c>
      <c r="D771" s="403">
        <f t="shared" si="195"/>
        <v>0</v>
      </c>
      <c r="E771" s="403">
        <f t="shared" si="195"/>
        <v>0</v>
      </c>
      <c r="F771" s="403">
        <f t="shared" si="195"/>
        <v>9712350</v>
      </c>
      <c r="G771" s="403">
        <f t="shared" ca="1" si="195"/>
        <v>12742826.114003779</v>
      </c>
      <c r="H771" s="403">
        <f t="shared" ca="1" si="195"/>
        <v>14768087.001226788</v>
      </c>
      <c r="I771" s="403">
        <f t="shared" ca="1" si="195"/>
        <v>16288751.121623298</v>
      </c>
      <c r="J771" s="403">
        <f t="shared" ca="1" si="195"/>
        <v>17996604.36658594</v>
      </c>
      <c r="K771" s="403">
        <f t="shared" ca="1" si="195"/>
        <v>19919012.308422633</v>
      </c>
      <c r="L771" s="403">
        <f t="shared" ca="1" si="195"/>
        <v>22095412.421709079</v>
      </c>
    </row>
    <row r="772" spans="1:12">
      <c r="A772" s="408"/>
      <c r="B772" s="405"/>
      <c r="C772" s="403"/>
      <c r="D772" s="403"/>
      <c r="E772" s="403"/>
      <c r="F772" s="403"/>
      <c r="G772" s="403"/>
      <c r="H772" s="403"/>
      <c r="I772" s="403"/>
      <c r="J772" s="403"/>
      <c r="K772" s="403"/>
      <c r="L772" s="403"/>
    </row>
    <row r="773" spans="1:12" ht="15.5">
      <c r="A773" s="409" t="s">
        <v>372</v>
      </c>
      <c r="B773" s="405"/>
      <c r="C773" s="403">
        <f>C730-C771</f>
        <v>0</v>
      </c>
      <c r="D773" s="403">
        <f t="shared" ref="D773:L773" si="196">D730-D771</f>
        <v>0</v>
      </c>
      <c r="E773" s="403">
        <f t="shared" si="196"/>
        <v>0</v>
      </c>
      <c r="F773" s="403">
        <f t="shared" si="196"/>
        <v>17561650</v>
      </c>
      <c r="G773" s="403">
        <f t="shared" ca="1" si="196"/>
        <v>21374886.618331835</v>
      </c>
      <c r="H773" s="403">
        <f t="shared" ca="1" si="196"/>
        <v>24784028.453726165</v>
      </c>
      <c r="I773" s="403">
        <f t="shared" ca="1" si="196"/>
        <v>27401010.088559471</v>
      </c>
      <c r="J773" s="403">
        <f t="shared" ca="1" si="196"/>
        <v>30338241.145867229</v>
      </c>
      <c r="K773" s="403">
        <f t="shared" ca="1" si="196"/>
        <v>33642452.956620231</v>
      </c>
      <c r="L773" s="403">
        <f t="shared" ca="1" si="196"/>
        <v>37382062.765420333</v>
      </c>
    </row>
    <row r="774" spans="1:12">
      <c r="A774" s="408"/>
      <c r="B774" s="405"/>
      <c r="C774" s="403"/>
      <c r="D774" s="403"/>
      <c r="E774" s="403"/>
      <c r="F774" s="403"/>
      <c r="G774" s="403"/>
      <c r="H774" s="403"/>
      <c r="I774" s="403"/>
      <c r="J774" s="403"/>
      <c r="K774" s="403"/>
      <c r="L774" s="403"/>
    </row>
    <row r="775" spans="1:12">
      <c r="A775" s="408" t="s">
        <v>159</v>
      </c>
      <c r="B775" s="405"/>
      <c r="C775" s="403">
        <v>0</v>
      </c>
      <c r="D775" s="403">
        <v>0</v>
      </c>
      <c r="E775" s="403">
        <v>0</v>
      </c>
      <c r="F775" s="403">
        <v>0</v>
      </c>
      <c r="G775" s="403">
        <v>0</v>
      </c>
      <c r="H775" s="403">
        <v>0</v>
      </c>
      <c r="I775" s="403">
        <v>0</v>
      </c>
      <c r="J775" s="403">
        <v>0</v>
      </c>
      <c r="K775" s="403">
        <v>0</v>
      </c>
      <c r="L775" s="403">
        <v>0</v>
      </c>
    </row>
    <row r="776" spans="1:12">
      <c r="A776" s="408" t="s">
        <v>160</v>
      </c>
      <c r="B776" s="405"/>
      <c r="C776" s="403">
        <v>0</v>
      </c>
      <c r="D776" s="403">
        <v>0</v>
      </c>
      <c r="E776" s="403">
        <v>0</v>
      </c>
      <c r="F776" s="403">
        <v>0</v>
      </c>
      <c r="G776" s="403">
        <v>0</v>
      </c>
      <c r="H776" s="403">
        <v>0</v>
      </c>
      <c r="I776" s="403">
        <v>0</v>
      </c>
      <c r="J776" s="403">
        <v>0</v>
      </c>
      <c r="K776" s="403">
        <v>0</v>
      </c>
      <c r="L776" s="403">
        <v>0</v>
      </c>
    </row>
    <row r="777" spans="1:12">
      <c r="A777" s="408"/>
      <c r="B777" s="405"/>
      <c r="C777" s="403"/>
      <c r="D777" s="403"/>
      <c r="E777" s="403"/>
      <c r="F777" s="403"/>
      <c r="G777" s="403"/>
      <c r="H777" s="403"/>
      <c r="I777" s="403"/>
      <c r="J777" s="403"/>
      <c r="K777" s="403"/>
      <c r="L777" s="403"/>
    </row>
    <row r="778" spans="1:12" ht="15.5">
      <c r="A778" s="409" t="s">
        <v>373</v>
      </c>
      <c r="B778" s="405"/>
      <c r="C778" s="403">
        <f>C773-C775-C776</f>
        <v>0</v>
      </c>
      <c r="D778" s="403">
        <f t="shared" ref="D778:L778" si="197">D773-D775-D776</f>
        <v>0</v>
      </c>
      <c r="E778" s="403">
        <f t="shared" si="197"/>
        <v>0</v>
      </c>
      <c r="F778" s="403">
        <f t="shared" si="197"/>
        <v>17561650</v>
      </c>
      <c r="G778" s="403">
        <f t="shared" ca="1" si="197"/>
        <v>21374886.618331835</v>
      </c>
      <c r="H778" s="403">
        <f t="shared" ca="1" si="197"/>
        <v>24784028.453726165</v>
      </c>
      <c r="I778" s="403">
        <f t="shared" ca="1" si="197"/>
        <v>27401010.088559471</v>
      </c>
      <c r="J778" s="403">
        <f t="shared" ca="1" si="197"/>
        <v>30338241.145867229</v>
      </c>
      <c r="K778" s="403">
        <f t="shared" ca="1" si="197"/>
        <v>33642452.956620231</v>
      </c>
      <c r="L778" s="403">
        <f t="shared" ca="1" si="197"/>
        <v>37382062.765420333</v>
      </c>
    </row>
    <row r="779" spans="1:12">
      <c r="A779" s="408"/>
      <c r="B779" s="405"/>
      <c r="C779" s="403"/>
      <c r="D779" s="403"/>
      <c r="E779" s="403"/>
      <c r="F779" s="403"/>
      <c r="G779" s="403"/>
      <c r="H779" s="403"/>
      <c r="I779" s="403"/>
      <c r="J779" s="403"/>
      <c r="K779" s="403"/>
      <c r="L779" s="403"/>
    </row>
    <row r="780" spans="1:12">
      <c r="A780" s="408" t="s">
        <v>162</v>
      </c>
      <c r="B780" s="405"/>
      <c r="C780" s="403">
        <v>0</v>
      </c>
      <c r="D780" s="403">
        <v>0</v>
      </c>
      <c r="E780" s="403">
        <v>0</v>
      </c>
      <c r="F780" s="403">
        <v>0</v>
      </c>
      <c r="G780" s="403">
        <v>0</v>
      </c>
      <c r="H780" s="403">
        <v>0</v>
      </c>
      <c r="I780" s="403">
        <v>0</v>
      </c>
      <c r="J780" s="403">
        <v>0</v>
      </c>
      <c r="K780" s="403">
        <v>0</v>
      </c>
      <c r="L780" s="403">
        <v>0</v>
      </c>
    </row>
    <row r="781" spans="1:12">
      <c r="A781" s="408"/>
      <c r="B781" s="405"/>
      <c r="C781" s="403"/>
      <c r="D781" s="403"/>
      <c r="E781" s="403"/>
      <c r="F781" s="403"/>
      <c r="G781" s="403"/>
      <c r="H781" s="403"/>
      <c r="I781" s="403"/>
      <c r="J781" s="403"/>
      <c r="K781" s="403"/>
      <c r="L781" s="403"/>
    </row>
    <row r="782" spans="1:12" ht="15.5">
      <c r="A782" s="409" t="s">
        <v>374</v>
      </c>
      <c r="B782" s="405"/>
      <c r="C782" s="403">
        <f>C778-C780</f>
        <v>0</v>
      </c>
      <c r="D782" s="403">
        <f t="shared" ref="D782:L782" si="198">D778-D780</f>
        <v>0</v>
      </c>
      <c r="E782" s="403">
        <f t="shared" si="198"/>
        <v>0</v>
      </c>
      <c r="F782" s="403">
        <f t="shared" si="198"/>
        <v>17561650</v>
      </c>
      <c r="G782" s="403">
        <f t="shared" ca="1" si="198"/>
        <v>21374886.618331835</v>
      </c>
      <c r="H782" s="403">
        <f t="shared" ca="1" si="198"/>
        <v>24784028.453726165</v>
      </c>
      <c r="I782" s="403">
        <f t="shared" ca="1" si="198"/>
        <v>27401010.088559471</v>
      </c>
      <c r="J782" s="403">
        <f t="shared" ca="1" si="198"/>
        <v>30338241.145867229</v>
      </c>
      <c r="K782" s="403">
        <f t="shared" ca="1" si="198"/>
        <v>33642452.956620231</v>
      </c>
      <c r="L782" s="403">
        <f t="shared" ca="1" si="198"/>
        <v>37382062.765420333</v>
      </c>
    </row>
    <row r="783" spans="1:12">
      <c r="A783" s="408"/>
      <c r="B783" s="405"/>
      <c r="C783" s="403"/>
      <c r="D783" s="403"/>
      <c r="E783" s="403"/>
      <c r="F783" s="403"/>
      <c r="G783" s="403"/>
      <c r="H783" s="403"/>
      <c r="I783" s="403"/>
      <c r="J783" s="403"/>
      <c r="K783" s="403"/>
      <c r="L783" s="403"/>
    </row>
    <row r="784" spans="1:12">
      <c r="A784" s="408" t="s">
        <v>164</v>
      </c>
      <c r="B784" s="405"/>
      <c r="C784" s="403">
        <f>C782*Assumptions!$Y$24</f>
        <v>0</v>
      </c>
      <c r="D784" s="403">
        <f>D782*Assumptions!$Y$24</f>
        <v>0</v>
      </c>
      <c r="E784" s="403">
        <f>E782*Assumptions!$Y$24</f>
        <v>0</v>
      </c>
      <c r="F784" s="403">
        <f>F782*Assumptions!$Y$24</f>
        <v>5268495</v>
      </c>
      <c r="G784" s="403">
        <f ca="1">G782*Assumptions!$Y$24</f>
        <v>6412465.9854995506</v>
      </c>
      <c r="H784" s="403">
        <f ca="1">H782*Assumptions!$Y$24</f>
        <v>7435208.5361178489</v>
      </c>
      <c r="I784" s="403">
        <f ca="1">I782*Assumptions!$Y$24</f>
        <v>8220303.0265678409</v>
      </c>
      <c r="J784" s="403">
        <f ca="1">J782*Assumptions!$Y$24</f>
        <v>9101472.3437601682</v>
      </c>
      <c r="K784" s="403">
        <f ca="1">K782*Assumptions!$Y$24</f>
        <v>10092735.886986069</v>
      </c>
      <c r="L784" s="403">
        <f ca="1">L782*Assumptions!$Y$24</f>
        <v>11214618.8296261</v>
      </c>
    </row>
    <row r="785" spans="1:12">
      <c r="A785" s="408"/>
      <c r="B785" s="405"/>
      <c r="C785" s="403"/>
      <c r="D785" s="403"/>
      <c r="E785" s="403"/>
      <c r="F785" s="403"/>
      <c r="G785" s="403"/>
      <c r="H785" s="403"/>
      <c r="I785" s="403"/>
      <c r="J785" s="403"/>
      <c r="K785" s="403"/>
      <c r="L785" s="403"/>
    </row>
    <row r="786" spans="1:12" ht="15.5">
      <c r="A786" s="409" t="s">
        <v>97</v>
      </c>
      <c r="B786" s="405"/>
      <c r="C786" s="403">
        <f>C782-C784</f>
        <v>0</v>
      </c>
      <c r="D786" s="403">
        <f t="shared" ref="D786:L786" si="199">D782-D784</f>
        <v>0</v>
      </c>
      <c r="E786" s="403">
        <f t="shared" si="199"/>
        <v>0</v>
      </c>
      <c r="F786" s="403">
        <f t="shared" si="199"/>
        <v>12293155</v>
      </c>
      <c r="G786" s="403">
        <f t="shared" ca="1" si="199"/>
        <v>14962420.632832285</v>
      </c>
      <c r="H786" s="403">
        <f t="shared" ca="1" si="199"/>
        <v>17348819.917608317</v>
      </c>
      <c r="I786" s="403">
        <f t="shared" ca="1" si="199"/>
        <v>19180707.061991632</v>
      </c>
      <c r="J786" s="403">
        <f t="shared" ca="1" si="199"/>
        <v>21236768.802107058</v>
      </c>
      <c r="K786" s="403">
        <f t="shared" ca="1" si="199"/>
        <v>23549717.069634162</v>
      </c>
      <c r="L786" s="403">
        <f t="shared" ca="1" si="199"/>
        <v>26167443.935794234</v>
      </c>
    </row>
    <row r="787" spans="1:12">
      <c r="A787" s="408"/>
      <c r="B787" s="405"/>
      <c r="C787" s="403"/>
      <c r="D787" s="403"/>
      <c r="E787" s="403"/>
      <c r="F787" s="403"/>
      <c r="G787" s="403"/>
      <c r="H787" s="403"/>
      <c r="I787" s="403"/>
      <c r="J787" s="403"/>
      <c r="K787" s="403"/>
      <c r="L787" s="403"/>
    </row>
    <row r="788" spans="1:12" ht="16" thickBot="1">
      <c r="A788" s="412" t="s">
        <v>165</v>
      </c>
      <c r="B788" s="406"/>
      <c r="C788" s="407">
        <f>C786</f>
        <v>0</v>
      </c>
      <c r="D788" s="407">
        <f t="shared" ref="D788:L788" si="200">C788+D786</f>
        <v>0</v>
      </c>
      <c r="E788" s="407">
        <f t="shared" si="200"/>
        <v>0</v>
      </c>
      <c r="F788" s="407">
        <f t="shared" si="200"/>
        <v>12293155</v>
      </c>
      <c r="G788" s="407">
        <f t="shared" ca="1" si="200"/>
        <v>27255575.632832285</v>
      </c>
      <c r="H788" s="407">
        <f t="shared" ca="1" si="200"/>
        <v>44604395.550440602</v>
      </c>
      <c r="I788" s="407">
        <f t="shared" ca="1" si="200"/>
        <v>63785102.612432234</v>
      </c>
      <c r="J788" s="407">
        <f t="shared" ca="1" si="200"/>
        <v>85021871.414539292</v>
      </c>
      <c r="K788" s="407">
        <f t="shared" ca="1" si="200"/>
        <v>108571588.48417345</v>
      </c>
      <c r="L788" s="407">
        <f t="shared" ca="1" si="200"/>
        <v>134739032.41996768</v>
      </c>
    </row>
    <row r="789" spans="1:12" ht="15" thickTop="1">
      <c r="B789" s="419"/>
      <c r="C789" s="420"/>
      <c r="D789" s="420"/>
      <c r="E789" s="420"/>
      <c r="F789" s="420"/>
      <c r="G789" s="420"/>
      <c r="H789" s="420"/>
      <c r="I789" s="420"/>
      <c r="J789" s="420"/>
      <c r="K789" s="420"/>
      <c r="L789" s="420"/>
    </row>
    <row r="790" spans="1:12" ht="15.5">
      <c r="A790" s="413" t="s">
        <v>381</v>
      </c>
      <c r="B790" s="405"/>
      <c r="C790" s="135"/>
      <c r="D790" s="135"/>
      <c r="E790" s="135"/>
      <c r="F790" s="135"/>
      <c r="G790" s="135"/>
      <c r="H790" s="135"/>
      <c r="I790" s="135"/>
      <c r="J790" s="135"/>
      <c r="K790" s="135"/>
      <c r="L790" s="136"/>
    </row>
    <row r="791" spans="1:12" ht="15.5">
      <c r="A791" s="414" t="s">
        <v>355</v>
      </c>
      <c r="B791" s="405"/>
      <c r="C791" s="48"/>
      <c r="D791" s="48"/>
      <c r="E791" s="48"/>
      <c r="F791" s="48"/>
      <c r="G791" s="48"/>
      <c r="H791" s="48"/>
      <c r="I791" s="48"/>
      <c r="J791" s="48"/>
      <c r="K791" s="48"/>
      <c r="L791" s="48"/>
    </row>
    <row r="792" spans="1:12">
      <c r="A792" s="415" t="s">
        <v>289</v>
      </c>
      <c r="B792" s="405"/>
      <c r="C792" s="133">
        <f>Revenue!AQ98</f>
        <v>0</v>
      </c>
      <c r="D792" s="133">
        <f>Revenue!AR98</f>
        <v>0</v>
      </c>
      <c r="E792" s="133">
        <f>Revenue!AS98</f>
        <v>0</v>
      </c>
      <c r="F792" s="133">
        <f>Revenue!AT98</f>
        <v>1540</v>
      </c>
      <c r="G792" s="133">
        <f ca="1">Revenue!AU98</f>
        <v>1630.3428666490604</v>
      </c>
      <c r="H792" s="133">
        <f ca="1">Revenue!AV98</f>
        <v>1732.4896646407437</v>
      </c>
      <c r="I792" s="133">
        <f ca="1">Revenue!AW98</f>
        <v>1845.3176279424649</v>
      </c>
      <c r="J792" s="133">
        <f ca="1">Revenue!AX98</f>
        <v>1972.0297091488901</v>
      </c>
      <c r="K792" s="133">
        <f ca="1">Revenue!AY98</f>
        <v>2115.1189304882578</v>
      </c>
      <c r="L792" s="133">
        <f ca="1">Revenue!AZ98</f>
        <v>2276.8477240803272</v>
      </c>
    </row>
    <row r="793" spans="1:12">
      <c r="A793" s="415" t="s">
        <v>60</v>
      </c>
      <c r="B793" s="405"/>
      <c r="C793" s="403">
        <f>Revenue!AC98</f>
        <v>0</v>
      </c>
      <c r="D793" s="403">
        <f>Revenue!AD98</f>
        <v>0</v>
      </c>
      <c r="E793" s="403">
        <f>Revenue!AE98</f>
        <v>0</v>
      </c>
      <c r="F793" s="403">
        <f>Revenue!AF98</f>
        <v>5000</v>
      </c>
      <c r="G793" s="403">
        <f>Revenue!AG98</f>
        <v>5250</v>
      </c>
      <c r="H793" s="403">
        <f>Revenue!AH98</f>
        <v>5512.5</v>
      </c>
      <c r="I793" s="403">
        <f>Revenue!AI98</f>
        <v>5788.125</v>
      </c>
      <c r="J793" s="403">
        <f>Revenue!AJ98</f>
        <v>6077.53125</v>
      </c>
      <c r="K793" s="403">
        <f>Revenue!AK98</f>
        <v>6381.4078125000005</v>
      </c>
      <c r="L793" s="403">
        <f>Revenue!AL98</f>
        <v>6700.4782031250006</v>
      </c>
    </row>
    <row r="794" spans="1:12">
      <c r="A794" s="415" t="s">
        <v>366</v>
      </c>
      <c r="B794" s="405"/>
      <c r="C794" s="403">
        <f t="shared" ref="C794:L794" si="201">C792*C793</f>
        <v>0</v>
      </c>
      <c r="D794" s="403">
        <f t="shared" si="201"/>
        <v>0</v>
      </c>
      <c r="E794" s="403">
        <f t="shared" si="201"/>
        <v>0</v>
      </c>
      <c r="F794" s="403">
        <f t="shared" si="201"/>
        <v>7700000</v>
      </c>
      <c r="G794" s="403">
        <f t="shared" ca="1" si="201"/>
        <v>8559300.049907567</v>
      </c>
      <c r="H794" s="403">
        <f t="shared" ca="1" si="201"/>
        <v>9550349.276332099</v>
      </c>
      <c r="I794" s="403">
        <f t="shared" ca="1" si="201"/>
        <v>10680929.09523448</v>
      </c>
      <c r="J794" s="403">
        <f t="shared" ca="1" si="201"/>
        <v>11985072.18328079</v>
      </c>
      <c r="K794" s="403">
        <f t="shared" ca="1" si="201"/>
        <v>13497436.467384413</v>
      </c>
      <c r="L794" s="403">
        <f t="shared" ca="1" si="201"/>
        <v>15255968.547034997</v>
      </c>
    </row>
    <row r="795" spans="1:12" ht="15.5">
      <c r="A795" s="416" t="s">
        <v>356</v>
      </c>
      <c r="B795" s="405"/>
      <c r="C795" s="48"/>
      <c r="D795" s="48"/>
      <c r="E795" s="48"/>
      <c r="F795" s="48"/>
      <c r="G795" s="48"/>
      <c r="H795" s="48"/>
      <c r="I795" s="48"/>
      <c r="J795" s="48"/>
      <c r="K795" s="48"/>
      <c r="L795" s="48"/>
    </row>
    <row r="796" spans="1:12">
      <c r="A796" s="417" t="s">
        <v>358</v>
      </c>
      <c r="B796" s="405"/>
      <c r="C796" s="133">
        <f>Revenue!AQ99</f>
        <v>0</v>
      </c>
      <c r="D796" s="133">
        <f>Revenue!AR99</f>
        <v>0</v>
      </c>
      <c r="E796" s="133">
        <f>Revenue!AS99</f>
        <v>0</v>
      </c>
      <c r="F796" s="133">
        <f>Revenue!AT99</f>
        <v>1000</v>
      </c>
      <c r="G796" s="133">
        <f ca="1">Revenue!AU99</f>
        <v>1100.3652794732068</v>
      </c>
      <c r="H796" s="133">
        <f ca="1">Revenue!AV99</f>
        <v>1214.4646630342727</v>
      </c>
      <c r="I796" s="133">
        <f ca="1">Revenue!AW99</f>
        <v>1345.1420726585243</v>
      </c>
      <c r="J796" s="133">
        <f ca="1">Revenue!AX99</f>
        <v>1495.2445868498721</v>
      </c>
      <c r="K796" s="133">
        <f ca="1">Revenue!AY99</f>
        <v>1666.536780025526</v>
      </c>
      <c r="L796" s="133">
        <f ca="1">Revenue!AZ99</f>
        <v>1862.914887097759</v>
      </c>
    </row>
    <row r="797" spans="1:12">
      <c r="A797" s="417" t="s">
        <v>359</v>
      </c>
      <c r="B797" s="405"/>
      <c r="C797" s="403">
        <f>Revenue!AC99</f>
        <v>0</v>
      </c>
      <c r="D797" s="403">
        <f>Revenue!AD99</f>
        <v>0</v>
      </c>
      <c r="E797" s="403">
        <f>Revenue!AE99</f>
        <v>0</v>
      </c>
      <c r="F797" s="403">
        <f>Revenue!AF99</f>
        <v>7000</v>
      </c>
      <c r="G797" s="403">
        <f>Revenue!AG99</f>
        <v>7350</v>
      </c>
      <c r="H797" s="403">
        <f>Revenue!AH99</f>
        <v>7717.5</v>
      </c>
      <c r="I797" s="403">
        <f>Revenue!AI99</f>
        <v>8103.375</v>
      </c>
      <c r="J797" s="403">
        <f>Revenue!AJ99</f>
        <v>8508.5437500000007</v>
      </c>
      <c r="K797" s="403">
        <f>Revenue!AK99</f>
        <v>8933.970937500002</v>
      </c>
      <c r="L797" s="403">
        <f>Revenue!AL99</f>
        <v>9380.6694843750029</v>
      </c>
    </row>
    <row r="798" spans="1:12">
      <c r="A798" s="418" t="s">
        <v>366</v>
      </c>
      <c r="B798" s="405"/>
      <c r="C798" s="403">
        <f t="shared" ref="C798:L798" si="202">C796*C797</f>
        <v>0</v>
      </c>
      <c r="D798" s="403">
        <f t="shared" si="202"/>
        <v>0</v>
      </c>
      <c r="E798" s="403">
        <f t="shared" si="202"/>
        <v>0</v>
      </c>
      <c r="F798" s="403">
        <f t="shared" si="202"/>
        <v>7000000</v>
      </c>
      <c r="G798" s="403">
        <f t="shared" ca="1" si="202"/>
        <v>8087684.8041280694</v>
      </c>
      <c r="H798" s="403">
        <f t="shared" ca="1" si="202"/>
        <v>9372631.036967</v>
      </c>
      <c r="I798" s="403">
        <f t="shared" ca="1" si="202"/>
        <v>10900190.643029269</v>
      </c>
      <c r="J798" s="403">
        <f t="shared" ca="1" si="202"/>
        <v>12722353.984162813</v>
      </c>
      <c r="K798" s="403">
        <f t="shared" ca="1" si="202"/>
        <v>14888791.159022883</v>
      </c>
      <c r="L798" s="403">
        <f t="shared" ca="1" si="202"/>
        <v>17475388.833385851</v>
      </c>
    </row>
    <row r="799" spans="1:12" ht="15.5">
      <c r="A799" s="416" t="s">
        <v>357</v>
      </c>
      <c r="B799" s="405"/>
      <c r="C799" s="48"/>
      <c r="D799" s="48"/>
      <c r="E799" s="48"/>
      <c r="F799" s="48"/>
      <c r="G799" s="48"/>
      <c r="H799" s="48"/>
      <c r="I799" s="48"/>
      <c r="J799" s="48"/>
      <c r="K799" s="48"/>
      <c r="L799" s="48"/>
    </row>
    <row r="800" spans="1:12">
      <c r="A800" s="417" t="s">
        <v>358</v>
      </c>
      <c r="B800" s="405"/>
      <c r="C800" s="133">
        <f>Revenue!AQ100</f>
        <v>0</v>
      </c>
      <c r="D800" s="133">
        <f>Revenue!AR100</f>
        <v>0</v>
      </c>
      <c r="E800" s="133">
        <f>Revenue!AS100</f>
        <v>0</v>
      </c>
      <c r="F800" s="133">
        <f>Revenue!AT100</f>
        <v>1270</v>
      </c>
      <c r="G800" s="133">
        <f ca="1">Revenue!AU100</f>
        <v>1308.9730050027056</v>
      </c>
      <c r="H800" s="133">
        <f ca="1">Revenue!AV100</f>
        <v>1354.2641896204889</v>
      </c>
      <c r="I800" s="133">
        <f ca="1">Revenue!AW100</f>
        <v>1406.2011492152135</v>
      </c>
      <c r="J800" s="133">
        <f ca="1">Revenue!AX100</f>
        <v>1465.6856337174029</v>
      </c>
      <c r="K800" s="133">
        <f ca="1">Revenue!AY100</f>
        <v>1533.0011989892907</v>
      </c>
      <c r="L800" s="133">
        <f ca="1">Revenue!AZ100</f>
        <v>1607.5980411547528</v>
      </c>
    </row>
    <row r="801" spans="1:12">
      <c r="A801" s="417" t="s">
        <v>359</v>
      </c>
      <c r="B801" s="405"/>
      <c r="C801" s="403">
        <f>Revenue!AC100</f>
        <v>0</v>
      </c>
      <c r="D801" s="403">
        <f>Revenue!AD100</f>
        <v>0</v>
      </c>
      <c r="E801" s="403">
        <f>Revenue!AE100</f>
        <v>0</v>
      </c>
      <c r="F801" s="403">
        <f>Revenue!AF100</f>
        <v>5000</v>
      </c>
      <c r="G801" s="403">
        <f>Revenue!AG100</f>
        <v>5250</v>
      </c>
      <c r="H801" s="403">
        <f>Revenue!AH100</f>
        <v>5512.5</v>
      </c>
      <c r="I801" s="403">
        <f>Revenue!AI100</f>
        <v>5788.125</v>
      </c>
      <c r="J801" s="403">
        <f>Revenue!AJ100</f>
        <v>6077.53125</v>
      </c>
      <c r="K801" s="403">
        <f>Revenue!AK100</f>
        <v>6381.4078125000005</v>
      </c>
      <c r="L801" s="403">
        <f>Revenue!L211</f>
        <v>0</v>
      </c>
    </row>
    <row r="802" spans="1:12">
      <c r="A802" s="418" t="s">
        <v>366</v>
      </c>
      <c r="B802" s="405"/>
      <c r="C802" s="403">
        <f t="shared" ref="C802:L802" si="203">C800*C801</f>
        <v>0</v>
      </c>
      <c r="D802" s="403">
        <f t="shared" si="203"/>
        <v>0</v>
      </c>
      <c r="E802" s="403">
        <f t="shared" si="203"/>
        <v>0</v>
      </c>
      <c r="F802" s="403">
        <f t="shared" si="203"/>
        <v>6350000</v>
      </c>
      <c r="G802" s="403">
        <f t="shared" ca="1" si="203"/>
        <v>6872108.2762642046</v>
      </c>
      <c r="H802" s="403">
        <f t="shared" ca="1" si="203"/>
        <v>7465381.3452829449</v>
      </c>
      <c r="I802" s="403">
        <f t="shared" ca="1" si="203"/>
        <v>8139268.0268013077</v>
      </c>
      <c r="J802" s="403">
        <f t="shared" ca="1" si="203"/>
        <v>8907750.2415935695</v>
      </c>
      <c r="K802" s="403">
        <f t="shared" ca="1" si="203"/>
        <v>9782705.8278021272</v>
      </c>
      <c r="L802" s="403">
        <f t="shared" ca="1" si="203"/>
        <v>0</v>
      </c>
    </row>
    <row r="803" spans="1:12" ht="15.5">
      <c r="A803" s="416" t="s">
        <v>360</v>
      </c>
      <c r="B803" s="405"/>
      <c r="C803" s="48"/>
      <c r="D803" s="48"/>
      <c r="E803" s="48"/>
      <c r="F803" s="48"/>
      <c r="G803" s="48"/>
      <c r="H803" s="48"/>
      <c r="I803" s="48"/>
      <c r="J803" s="48"/>
      <c r="K803" s="48"/>
      <c r="L803" s="48"/>
    </row>
    <row r="804" spans="1:12">
      <c r="A804" s="417" t="s">
        <v>358</v>
      </c>
      <c r="B804" s="405"/>
      <c r="C804" s="133">
        <f>Revenue!AQ101</f>
        <v>0</v>
      </c>
      <c r="D804" s="133">
        <f>Revenue!AR101</f>
        <v>0</v>
      </c>
      <c r="E804" s="133">
        <f>Revenue!AS101</f>
        <v>0</v>
      </c>
      <c r="F804" s="133">
        <f>Revenue!AT101</f>
        <v>0</v>
      </c>
      <c r="G804" s="133">
        <f>Revenue!AU101</f>
        <v>635</v>
      </c>
      <c r="H804" s="133">
        <f ca="1">Revenue!AV101</f>
        <v>668.79629202022431</v>
      </c>
      <c r="I804" s="133">
        <f ca="1">Revenue!AW101</f>
        <v>706.9800800104224</v>
      </c>
      <c r="J804" s="133">
        <f ca="1">Revenue!AX101</f>
        <v>749.75177066666299</v>
      </c>
      <c r="K804" s="133">
        <f ca="1">Revenue!AY101</f>
        <v>797.55808546746584</v>
      </c>
      <c r="L804" s="133">
        <f ca="1">Revenue!AZ101</f>
        <v>851.50176688042347</v>
      </c>
    </row>
    <row r="805" spans="1:12">
      <c r="A805" s="417" t="s">
        <v>359</v>
      </c>
      <c r="B805" s="405"/>
      <c r="C805" s="403">
        <f>Revenue!AC101</f>
        <v>0</v>
      </c>
      <c r="D805" s="403">
        <f>Revenue!AD101</f>
        <v>0</v>
      </c>
      <c r="E805" s="403">
        <f>Revenue!AE101</f>
        <v>0</v>
      </c>
      <c r="F805" s="403">
        <f>Revenue!AF101</f>
        <v>0</v>
      </c>
      <c r="G805" s="403">
        <f>Revenue!AG101</f>
        <v>9500</v>
      </c>
      <c r="H805" s="403">
        <f>Revenue!AH101</f>
        <v>9975</v>
      </c>
      <c r="I805" s="403">
        <f>Revenue!AI101</f>
        <v>10473.75</v>
      </c>
      <c r="J805" s="403">
        <f>Revenue!AJ101</f>
        <v>10997.4375</v>
      </c>
      <c r="K805" s="403">
        <f>Revenue!AK101</f>
        <v>11547.309375000001</v>
      </c>
      <c r="L805" s="403">
        <f>Revenue!AL101</f>
        <v>12124.674843750001</v>
      </c>
    </row>
    <row r="806" spans="1:12">
      <c r="A806" s="418" t="s">
        <v>366</v>
      </c>
      <c r="B806" s="405"/>
      <c r="C806" s="403">
        <f t="shared" ref="C806:L806" si="204">C804*C805</f>
        <v>0</v>
      </c>
      <c r="D806" s="403">
        <f t="shared" si="204"/>
        <v>0</v>
      </c>
      <c r="E806" s="403">
        <f t="shared" si="204"/>
        <v>0</v>
      </c>
      <c r="F806" s="403">
        <f t="shared" si="204"/>
        <v>0</v>
      </c>
      <c r="G806" s="403">
        <f t="shared" si="204"/>
        <v>6032500</v>
      </c>
      <c r="H806" s="403">
        <f t="shared" ca="1" si="204"/>
        <v>6671243.0129017374</v>
      </c>
      <c r="I806" s="403">
        <f t="shared" ca="1" si="204"/>
        <v>7404732.6130091613</v>
      </c>
      <c r="J806" s="403">
        <f t="shared" ca="1" si="204"/>
        <v>8245348.2384209596</v>
      </c>
      <c r="K806" s="403">
        <f t="shared" ca="1" si="204"/>
        <v>9209649.9574255198</v>
      </c>
      <c r="L806" s="403">
        <f t="shared" ca="1" si="204"/>
        <v>10324182.052303748</v>
      </c>
    </row>
    <row r="807" spans="1:12" ht="15.5">
      <c r="A807" s="416" t="s">
        <v>362</v>
      </c>
      <c r="B807" s="405"/>
      <c r="C807" s="48"/>
      <c r="D807" s="48"/>
      <c r="E807" s="48"/>
      <c r="F807" s="48"/>
      <c r="G807" s="48"/>
      <c r="H807" s="48"/>
      <c r="I807" s="48"/>
      <c r="J807" s="48"/>
      <c r="K807" s="48"/>
      <c r="L807" s="48"/>
    </row>
    <row r="808" spans="1:12">
      <c r="A808" s="417" t="s">
        <v>358</v>
      </c>
      <c r="B808" s="405"/>
      <c r="C808" s="133">
        <f>Revenue!AQ102</f>
        <v>0</v>
      </c>
      <c r="D808" s="133">
        <f>Revenue!AR102</f>
        <v>0</v>
      </c>
      <c r="E808" s="133">
        <f>Revenue!AS102</f>
        <v>0</v>
      </c>
      <c r="F808" s="133">
        <f>Revenue!AT102</f>
        <v>0</v>
      </c>
      <c r="G808" s="133">
        <f>Revenue!AU102</f>
        <v>0</v>
      </c>
      <c r="H808" s="133">
        <f>Revenue!AV102</f>
        <v>318</v>
      </c>
      <c r="I808" s="133">
        <f ca="1">Revenue!AW102</f>
        <v>335.80994793659755</v>
      </c>
      <c r="J808" s="133">
        <f ca="1">Revenue!AX102</f>
        <v>355.44375914208416</v>
      </c>
      <c r="K808" s="133">
        <f ca="1">Revenue!AY102</f>
        <v>377.56987236116311</v>
      </c>
      <c r="L808" s="133">
        <f ca="1">Revenue!AZ102</f>
        <v>402.57960397022765</v>
      </c>
    </row>
    <row r="809" spans="1:12">
      <c r="A809" s="417" t="s">
        <v>359</v>
      </c>
      <c r="B809" s="405"/>
      <c r="C809" s="403">
        <f>Revenue!AC102</f>
        <v>0</v>
      </c>
      <c r="D809" s="403">
        <f>Revenue!AD102</f>
        <v>0</v>
      </c>
      <c r="E809" s="403">
        <f>Revenue!AE102</f>
        <v>0</v>
      </c>
      <c r="F809" s="403">
        <f>Revenue!AF102</f>
        <v>0</v>
      </c>
      <c r="G809" s="403">
        <f>Revenue!AG102</f>
        <v>0</v>
      </c>
      <c r="H809" s="403">
        <f>Revenue!AH102</f>
        <v>10000</v>
      </c>
      <c r="I809" s="403">
        <f>Revenue!AI102</f>
        <v>10500</v>
      </c>
      <c r="J809" s="403">
        <f>Revenue!AJ102</f>
        <v>11025</v>
      </c>
      <c r="K809" s="403">
        <f>Revenue!AK102</f>
        <v>11576.25</v>
      </c>
      <c r="L809" s="403">
        <f>Revenue!AL102</f>
        <v>12155.0625</v>
      </c>
    </row>
    <row r="810" spans="1:12">
      <c r="A810" s="418" t="s">
        <v>366</v>
      </c>
      <c r="B810" s="405"/>
      <c r="C810" s="403">
        <f t="shared" ref="C810:L810" si="205">C808*C809</f>
        <v>0</v>
      </c>
      <c r="D810" s="403">
        <f t="shared" si="205"/>
        <v>0</v>
      </c>
      <c r="E810" s="403">
        <f t="shared" si="205"/>
        <v>0</v>
      </c>
      <c r="F810" s="403">
        <f t="shared" si="205"/>
        <v>0</v>
      </c>
      <c r="G810" s="403">
        <f t="shared" si="205"/>
        <v>0</v>
      </c>
      <c r="H810" s="403">
        <f t="shared" si="205"/>
        <v>3180000</v>
      </c>
      <c r="I810" s="403">
        <f t="shared" ca="1" si="205"/>
        <v>3526004.4533342742</v>
      </c>
      <c r="J810" s="403">
        <f t="shared" ca="1" si="205"/>
        <v>3918767.4445414781</v>
      </c>
      <c r="K810" s="403">
        <f t="shared" ca="1" si="205"/>
        <v>4370843.2349209143</v>
      </c>
      <c r="L810" s="403">
        <f t="shared" ca="1" si="205"/>
        <v>4893380.2474833652</v>
      </c>
    </row>
    <row r="811" spans="1:12" ht="15.5">
      <c r="A811" s="416" t="s">
        <v>361</v>
      </c>
      <c r="B811" s="405"/>
      <c r="C811" s="48"/>
      <c r="D811" s="48"/>
      <c r="E811" s="48"/>
      <c r="F811" s="48"/>
      <c r="G811" s="48"/>
      <c r="H811" s="48"/>
      <c r="I811" s="48"/>
      <c r="J811" s="48"/>
      <c r="K811" s="48"/>
      <c r="L811" s="48"/>
    </row>
    <row r="812" spans="1:12">
      <c r="A812" s="417" t="s">
        <v>358</v>
      </c>
      <c r="B812" s="405"/>
      <c r="C812" s="133">
        <f>Revenue!AQ103</f>
        <v>0</v>
      </c>
      <c r="D812" s="133">
        <f>Revenue!AR103</f>
        <v>0</v>
      </c>
      <c r="E812" s="133">
        <f>Revenue!AS103</f>
        <v>0</v>
      </c>
      <c r="F812" s="133">
        <f>Revenue!AT103</f>
        <v>1900</v>
      </c>
      <c r="G812" s="133">
        <f ca="1">Revenue!AU103</f>
        <v>1919.8881361403901</v>
      </c>
      <c r="H812" s="133">
        <f ca="1">Revenue!AV103</f>
        <v>1947.6288051740307</v>
      </c>
      <c r="I812" s="133">
        <f ca="1">Revenue!AW103</f>
        <v>1983.3494180890605</v>
      </c>
      <c r="J812" s="133">
        <f ca="1">Revenue!AX103</f>
        <v>2026.5374985928704</v>
      </c>
      <c r="K812" s="133">
        <f ca="1">Revenue!AY103</f>
        <v>2077.3557321355465</v>
      </c>
      <c r="L812" s="133">
        <f ca="1">Revenue!AZ103</f>
        <v>2137.4394138644006</v>
      </c>
    </row>
    <row r="813" spans="1:12">
      <c r="A813" s="417" t="s">
        <v>359</v>
      </c>
      <c r="B813" s="405"/>
      <c r="C813" s="403">
        <f>Revenue!AC103</f>
        <v>0</v>
      </c>
      <c r="D813" s="403">
        <f>Revenue!AD103</f>
        <v>0</v>
      </c>
      <c r="E813" s="403">
        <f>Revenue!AE103</f>
        <v>0</v>
      </c>
      <c r="F813" s="403">
        <f>Revenue!AF103</f>
        <v>1900</v>
      </c>
      <c r="G813" s="403">
        <f>Revenue!AG103</f>
        <v>1995</v>
      </c>
      <c r="H813" s="403">
        <f>Revenue!AH103</f>
        <v>2094.75</v>
      </c>
      <c r="I813" s="403">
        <f>Revenue!AI103</f>
        <v>2199.4875000000002</v>
      </c>
      <c r="J813" s="403">
        <f>Revenue!AJ103</f>
        <v>2309.4618750000004</v>
      </c>
      <c r="K813" s="403">
        <f>Revenue!AK103</f>
        <v>2424.9349687500007</v>
      </c>
      <c r="L813" s="403">
        <f>Revenue!AL103</f>
        <v>2546.1817171875009</v>
      </c>
    </row>
    <row r="814" spans="1:12">
      <c r="A814" s="418" t="s">
        <v>366</v>
      </c>
      <c r="B814" s="405"/>
      <c r="C814" s="403">
        <f t="shared" ref="C814:L814" si="206">C812*C813</f>
        <v>0</v>
      </c>
      <c r="D814" s="403">
        <f t="shared" si="206"/>
        <v>0</v>
      </c>
      <c r="E814" s="403">
        <f t="shared" si="206"/>
        <v>0</v>
      </c>
      <c r="F814" s="403">
        <f t="shared" si="206"/>
        <v>3610000</v>
      </c>
      <c r="G814" s="403">
        <f t="shared" ca="1" si="206"/>
        <v>3830176.8316000784</v>
      </c>
      <c r="H814" s="403">
        <f t="shared" ca="1" si="206"/>
        <v>4079795.4396383008</v>
      </c>
      <c r="I814" s="403">
        <f t="shared" ca="1" si="206"/>
        <v>4362352.253219163</v>
      </c>
      <c r="J814" s="403">
        <f t="shared" ca="1" si="206"/>
        <v>4680211.0912581012</v>
      </c>
      <c r="K814" s="403">
        <f t="shared" ca="1" si="206"/>
        <v>5037452.5573887462</v>
      </c>
      <c r="L814" s="403">
        <f t="shared" ca="1" si="206"/>
        <v>5442309.1571775051</v>
      </c>
    </row>
    <row r="815" spans="1:12" ht="15.5">
      <c r="A815" s="416" t="s">
        <v>363</v>
      </c>
      <c r="B815" s="405"/>
      <c r="C815" s="48"/>
      <c r="D815" s="48"/>
      <c r="E815" s="48"/>
      <c r="F815" s="48"/>
      <c r="G815" s="48"/>
      <c r="H815" s="48"/>
      <c r="I815" s="48"/>
      <c r="J815" s="48"/>
      <c r="K815" s="48"/>
      <c r="L815" s="48"/>
    </row>
    <row r="816" spans="1:12">
      <c r="A816" s="417" t="s">
        <v>358</v>
      </c>
      <c r="B816" s="405"/>
      <c r="C816" s="133">
        <f>Revenue!AQ104</f>
        <v>0</v>
      </c>
      <c r="D816" s="133">
        <f>Revenue!AR104</f>
        <v>0</v>
      </c>
      <c r="E816" s="133">
        <f>Revenue!AS104</f>
        <v>0</v>
      </c>
      <c r="F816" s="133">
        <f>Revenue!AT104</f>
        <v>0</v>
      </c>
      <c r="G816" s="133">
        <f>Revenue!AU104</f>
        <v>400</v>
      </c>
      <c r="H816" s="133">
        <f ca="1">Revenue!AV104</f>
        <v>765.77964278469028</v>
      </c>
      <c r="I816" s="133">
        <f ca="1">Revenue!AW104</f>
        <v>1096.5379045509655</v>
      </c>
      <c r="J816" s="133">
        <f ca="1">Revenue!AX104</f>
        <v>1395.5942445670637</v>
      </c>
      <c r="K816" s="133">
        <f ca="1">Revenue!AY104</f>
        <v>1666.0653739151521</v>
      </c>
      <c r="L816" s="133">
        <f ca="1">Revenue!AZ104</f>
        <v>1911.0280985040274</v>
      </c>
    </row>
    <row r="817" spans="1:12">
      <c r="A817" s="417" t="s">
        <v>359</v>
      </c>
      <c r="B817" s="405"/>
      <c r="C817" s="403">
        <f>Revenue!AC104</f>
        <v>0</v>
      </c>
      <c r="D817" s="403">
        <f>Revenue!AD104</f>
        <v>0</v>
      </c>
      <c r="E817" s="403">
        <f>Revenue!AE104</f>
        <v>0</v>
      </c>
      <c r="F817" s="403">
        <f>Revenue!AF104</f>
        <v>0</v>
      </c>
      <c r="G817" s="403">
        <f>Revenue!AG104</f>
        <v>500</v>
      </c>
      <c r="H817" s="403">
        <f>Revenue!AH104</f>
        <v>500</v>
      </c>
      <c r="I817" s="403">
        <f>Revenue!AI104</f>
        <v>500</v>
      </c>
      <c r="J817" s="403">
        <f>Revenue!AJ104</f>
        <v>500</v>
      </c>
      <c r="K817" s="403">
        <f>Revenue!AK104</f>
        <v>500</v>
      </c>
      <c r="L817" s="403">
        <f>Revenue!AL104</f>
        <v>500</v>
      </c>
    </row>
    <row r="818" spans="1:12">
      <c r="A818" s="418" t="s">
        <v>366</v>
      </c>
      <c r="B818" s="405"/>
      <c r="C818" s="403">
        <f t="shared" ref="C818:L818" si="207">C816*C817</f>
        <v>0</v>
      </c>
      <c r="D818" s="403">
        <f t="shared" si="207"/>
        <v>0</v>
      </c>
      <c r="E818" s="403">
        <f t="shared" si="207"/>
        <v>0</v>
      </c>
      <c r="F818" s="403">
        <f t="shared" si="207"/>
        <v>0</v>
      </c>
      <c r="G818" s="403">
        <f t="shared" si="207"/>
        <v>200000</v>
      </c>
      <c r="H818" s="403">
        <f t="shared" ca="1" si="207"/>
        <v>382889.82139234513</v>
      </c>
      <c r="I818" s="403">
        <f t="shared" ca="1" si="207"/>
        <v>548268.95227548282</v>
      </c>
      <c r="J818" s="403">
        <f t="shared" ca="1" si="207"/>
        <v>697797.12228353182</v>
      </c>
      <c r="K818" s="403">
        <f t="shared" ca="1" si="207"/>
        <v>833032.68695757608</v>
      </c>
      <c r="L818" s="403">
        <f t="shared" ca="1" si="207"/>
        <v>955514.04925201368</v>
      </c>
    </row>
    <row r="819" spans="1:12" ht="15.5">
      <c r="A819" s="416" t="s">
        <v>364</v>
      </c>
      <c r="B819" s="405"/>
      <c r="C819" s="48"/>
      <c r="D819" s="48"/>
      <c r="E819" s="48"/>
      <c r="F819" s="48"/>
      <c r="G819" s="48"/>
      <c r="H819" s="48"/>
      <c r="I819" s="48"/>
      <c r="J819" s="48"/>
      <c r="K819" s="48"/>
      <c r="L819" s="48"/>
    </row>
    <row r="820" spans="1:12">
      <c r="A820" s="417" t="s">
        <v>358</v>
      </c>
      <c r="B820" s="405"/>
      <c r="C820" s="133">
        <f>Revenue!AQ105</f>
        <v>0</v>
      </c>
      <c r="D820" s="133">
        <f>Revenue!AR105</f>
        <v>0</v>
      </c>
      <c r="E820" s="133">
        <f>Revenue!AS105</f>
        <v>0</v>
      </c>
      <c r="F820" s="133">
        <f>Revenue!AT105</f>
        <v>0</v>
      </c>
      <c r="G820" s="133">
        <f>Revenue!AU105</f>
        <v>300</v>
      </c>
      <c r="H820" s="133">
        <f ca="1">Revenue!AV105</f>
        <v>303.89407197443177</v>
      </c>
      <c r="I820" s="133">
        <f ca="1">Revenue!AW105</f>
        <v>308.7835796824528</v>
      </c>
      <c r="J820" s="133">
        <f ca="1">Revenue!AX105</f>
        <v>314.80506064855319</v>
      </c>
      <c r="K820" s="133">
        <f ca="1">Revenue!AY105</f>
        <v>322.03934917127708</v>
      </c>
      <c r="L820" s="133">
        <f ca="1">Revenue!AZ105</f>
        <v>330.48585715808417</v>
      </c>
    </row>
    <row r="821" spans="1:12">
      <c r="A821" s="417" t="s">
        <v>359</v>
      </c>
      <c r="B821" s="405"/>
      <c r="C821" s="403">
        <f>Revenue!AC105</f>
        <v>0</v>
      </c>
      <c r="D821" s="403">
        <f>Revenue!AD105</f>
        <v>0</v>
      </c>
      <c r="E821" s="403">
        <f>Revenue!AE105</f>
        <v>0</v>
      </c>
      <c r="F821" s="403">
        <f>Revenue!AF105</f>
        <v>0</v>
      </c>
      <c r="G821" s="403">
        <f>Revenue!AG105</f>
        <v>500</v>
      </c>
      <c r="H821" s="403">
        <f>Revenue!AH105</f>
        <v>525</v>
      </c>
      <c r="I821" s="403">
        <f>Revenue!AI105</f>
        <v>551.25</v>
      </c>
      <c r="J821" s="403">
        <f>Revenue!AJ105</f>
        <v>578.8125</v>
      </c>
      <c r="K821" s="403">
        <f>Revenue!AK105</f>
        <v>607.75312500000007</v>
      </c>
      <c r="L821" s="403">
        <f>Revenue!AL105</f>
        <v>638.14078125000015</v>
      </c>
    </row>
    <row r="822" spans="1:12">
      <c r="A822" s="418" t="s">
        <v>366</v>
      </c>
      <c r="B822" s="405"/>
      <c r="C822" s="403">
        <f t="shared" ref="C822:L822" si="208">C820*C821</f>
        <v>0</v>
      </c>
      <c r="D822" s="403">
        <f t="shared" si="208"/>
        <v>0</v>
      </c>
      <c r="E822" s="403">
        <f t="shared" si="208"/>
        <v>0</v>
      </c>
      <c r="F822" s="403">
        <f t="shared" si="208"/>
        <v>0</v>
      </c>
      <c r="G822" s="403">
        <f t="shared" si="208"/>
        <v>150000</v>
      </c>
      <c r="H822" s="403">
        <f t="shared" ca="1" si="208"/>
        <v>159544.38778657667</v>
      </c>
      <c r="I822" s="403">
        <f t="shared" ca="1" si="208"/>
        <v>170216.94829995211</v>
      </c>
      <c r="J822" s="403">
        <f t="shared" ca="1" si="208"/>
        <v>182213.1041666407</v>
      </c>
      <c r="K822" s="403">
        <f t="shared" ca="1" si="208"/>
        <v>195720.42083180984</v>
      </c>
      <c r="L822" s="403">
        <f t="shared" ca="1" si="208"/>
        <v>210896.50307893578</v>
      </c>
    </row>
    <row r="823" spans="1:12" ht="15.5">
      <c r="A823" s="416" t="s">
        <v>365</v>
      </c>
      <c r="B823" s="405"/>
      <c r="C823" s="48"/>
      <c r="D823" s="48"/>
      <c r="E823" s="48"/>
      <c r="F823" s="48"/>
      <c r="G823" s="48"/>
      <c r="H823" s="48"/>
      <c r="I823" s="48"/>
      <c r="J823" s="48"/>
      <c r="K823" s="48"/>
      <c r="L823" s="48"/>
    </row>
    <row r="824" spans="1:12">
      <c r="A824" s="417" t="s">
        <v>358</v>
      </c>
      <c r="B824" s="405"/>
      <c r="C824" s="133">
        <f>Revenue!AQ106</f>
        <v>0</v>
      </c>
      <c r="D824" s="133">
        <f>Revenue!AR106</f>
        <v>0</v>
      </c>
      <c r="E824" s="133">
        <f>Revenue!AS106</f>
        <v>0</v>
      </c>
      <c r="F824" s="133">
        <f>Revenue!AT106</f>
        <v>0</v>
      </c>
      <c r="G824" s="133">
        <f>Revenue!AU106</f>
        <v>1500</v>
      </c>
      <c r="H824" s="133">
        <f ca="1">Revenue!AV106</f>
        <v>1521.1442369499396</v>
      </c>
      <c r="I824" s="133">
        <f ca="1">Revenue!AW106</f>
        <v>1546.9541712015982</v>
      </c>
      <c r="J824" s="133">
        <f ca="1">Revenue!AX106</f>
        <v>1578.2825208258992</v>
      </c>
      <c r="K824" s="133">
        <f ca="1">Revenue!AY106</f>
        <v>1616.4050749956129</v>
      </c>
      <c r="L824" s="133">
        <f ca="1">Revenue!AZ106</f>
        <v>1660.4977459355582</v>
      </c>
    </row>
    <row r="825" spans="1:12">
      <c r="A825" s="417" t="s">
        <v>359</v>
      </c>
      <c r="B825" s="405"/>
      <c r="C825" s="403">
        <f>Revenue!AC106</f>
        <v>0</v>
      </c>
      <c r="D825" s="403">
        <f>Revenue!AD106</f>
        <v>0</v>
      </c>
      <c r="E825" s="403">
        <f>Revenue!AE106</f>
        <v>0</v>
      </c>
      <c r="F825" s="403">
        <f>Revenue!AF106</f>
        <v>0</v>
      </c>
      <c r="G825" s="403">
        <f>Revenue!AG106</f>
        <v>300</v>
      </c>
      <c r="H825" s="403">
        <f>Revenue!AH106</f>
        <v>315</v>
      </c>
      <c r="I825" s="403">
        <f>Revenue!AI106</f>
        <v>330.75</v>
      </c>
      <c r="J825" s="403">
        <f>Revenue!AJ106</f>
        <v>347.28750000000002</v>
      </c>
      <c r="K825" s="403">
        <f>Revenue!AK106</f>
        <v>364.65187500000002</v>
      </c>
      <c r="L825" s="403">
        <f>Revenue!AL106</f>
        <v>382.88446875000005</v>
      </c>
    </row>
    <row r="826" spans="1:12">
      <c r="A826" s="417" t="s">
        <v>366</v>
      </c>
      <c r="B826" s="405"/>
      <c r="C826" s="403">
        <f t="shared" ref="C826:L826" si="209">C824*C825</f>
        <v>0</v>
      </c>
      <c r="D826" s="403">
        <f t="shared" si="209"/>
        <v>0</v>
      </c>
      <c r="E826" s="403">
        <f t="shared" si="209"/>
        <v>0</v>
      </c>
      <c r="F826" s="403">
        <f t="shared" si="209"/>
        <v>0</v>
      </c>
      <c r="G826" s="403">
        <f t="shared" si="209"/>
        <v>450000</v>
      </c>
      <c r="H826" s="403">
        <f t="shared" ca="1" si="209"/>
        <v>479160.43463923095</v>
      </c>
      <c r="I826" s="403">
        <f t="shared" ca="1" si="209"/>
        <v>511655.0921249286</v>
      </c>
      <c r="J826" s="403">
        <f t="shared" ca="1" si="209"/>
        <v>548117.79095132451</v>
      </c>
      <c r="K826" s="403">
        <f t="shared" ca="1" si="209"/>
        <v>589425.14135666587</v>
      </c>
      <c r="L826" s="403">
        <f t="shared" ca="1" si="209"/>
        <v>635778.79731310881</v>
      </c>
    </row>
    <row r="827" spans="1:12">
      <c r="A827" s="418"/>
      <c r="B827" s="405"/>
      <c r="C827" s="48"/>
      <c r="D827" s="48"/>
      <c r="E827" s="48"/>
      <c r="F827" s="48"/>
      <c r="G827" s="48"/>
      <c r="H827" s="48"/>
      <c r="I827" s="48"/>
      <c r="J827" s="48"/>
      <c r="K827" s="48"/>
      <c r="L827" s="138"/>
    </row>
    <row r="828" spans="1:12" ht="15.5">
      <c r="A828" s="409" t="s">
        <v>367</v>
      </c>
      <c r="B828" s="405"/>
      <c r="C828" s="403">
        <f>SUM(C826,C822,C818,C814,C810,C806,C802,C798,C794)</f>
        <v>0</v>
      </c>
      <c r="D828" s="403">
        <f t="shared" ref="D828:L828" si="210">SUM(D826,D822,D818,D814,D810,D806,D802,D798,D794)</f>
        <v>0</v>
      </c>
      <c r="E828" s="403">
        <f t="shared" si="210"/>
        <v>0</v>
      </c>
      <c r="F828" s="403">
        <f t="shared" si="210"/>
        <v>24660000</v>
      </c>
      <c r="G828" s="403">
        <f t="shared" ca="1" si="210"/>
        <v>34181769.961899921</v>
      </c>
      <c r="H828" s="403">
        <f t="shared" ca="1" si="210"/>
        <v>41340994.754940242</v>
      </c>
      <c r="I828" s="403">
        <f t="shared" ca="1" si="210"/>
        <v>46243618.077328026</v>
      </c>
      <c r="J828" s="403">
        <f t="shared" ca="1" si="210"/>
        <v>51887631.200659208</v>
      </c>
      <c r="K828" s="403">
        <f t="shared" ca="1" si="210"/>
        <v>58405057.453090653</v>
      </c>
      <c r="L828" s="403">
        <f t="shared" ca="1" si="210"/>
        <v>55193418.187029526</v>
      </c>
    </row>
    <row r="829" spans="1:12">
      <c r="A829" s="408"/>
      <c r="B829" s="405"/>
      <c r="C829" s="48"/>
      <c r="D829" s="48"/>
      <c r="E829" s="48"/>
      <c r="F829" s="48"/>
      <c r="G829" s="48"/>
      <c r="H829" s="48"/>
      <c r="I829" s="48"/>
      <c r="J829" s="48"/>
      <c r="K829" s="48"/>
      <c r="L829" s="48"/>
    </row>
    <row r="830" spans="1:12" ht="18.5">
      <c r="A830" s="411" t="s">
        <v>152</v>
      </c>
      <c r="B830" s="405"/>
      <c r="C830" s="48"/>
      <c r="D830" s="48"/>
      <c r="E830" s="48"/>
      <c r="F830" s="48"/>
      <c r="G830" s="48"/>
      <c r="H830" s="48"/>
      <c r="I830" s="48"/>
      <c r="J830" s="48"/>
      <c r="K830" s="48"/>
      <c r="L830" s="48"/>
    </row>
    <row r="831" spans="1:12" ht="15.5">
      <c r="A831" s="409" t="s">
        <v>296</v>
      </c>
      <c r="B831" s="405"/>
      <c r="C831" s="403">
        <f>Assumptions!$Q$45*(C794+C798)</f>
        <v>0</v>
      </c>
      <c r="D831" s="403">
        <f>Assumptions!$Q$45*(D794+D798)</f>
        <v>0</v>
      </c>
      <c r="E831" s="403">
        <f>Assumptions!$Q$45*(E794+E798)</f>
        <v>0</v>
      </c>
      <c r="F831" s="403">
        <f>Assumptions!$Q$45*(F794+F798)</f>
        <v>5145000</v>
      </c>
      <c r="G831" s="403">
        <f ca="1">Assumptions!$Q$45*(G794+G798)</f>
        <v>5826444.6989124725</v>
      </c>
      <c r="H831" s="403">
        <f ca="1">Assumptions!$Q$45*(H794+H798)</f>
        <v>6623043.1096546836</v>
      </c>
      <c r="I831" s="403">
        <f ca="1">Assumptions!$Q$45*(I794+I798)</f>
        <v>7553391.9083923111</v>
      </c>
      <c r="J831" s="403">
        <f ca="1">Assumptions!$Q$45*(J794+J798)</f>
        <v>8647599.1586052608</v>
      </c>
      <c r="K831" s="403">
        <f ca="1">Assumptions!$Q$45*(K794+K798)</f>
        <v>9935179.6692425534</v>
      </c>
      <c r="L831" s="403">
        <f ca="1">Assumptions!$Q$45*(L794+L798)</f>
        <v>11455975.083147297</v>
      </c>
    </row>
    <row r="832" spans="1:12" ht="15.5">
      <c r="A832" s="409" t="s">
        <v>297</v>
      </c>
      <c r="B832" s="405"/>
      <c r="C832" s="403">
        <f>Assumptions!$Q$47*C802</f>
        <v>0</v>
      </c>
      <c r="D832" s="403">
        <f>Assumptions!$Q$47*D802</f>
        <v>0</v>
      </c>
      <c r="E832" s="403">
        <f>Assumptions!$Q$47*E802</f>
        <v>0</v>
      </c>
      <c r="F832" s="403">
        <f>Assumptions!$Q$47*F802</f>
        <v>2222500</v>
      </c>
      <c r="G832" s="403">
        <f ca="1">Assumptions!$Q$47*G802</f>
        <v>2405237.8966924716</v>
      </c>
      <c r="H832" s="403">
        <f ca="1">Assumptions!$Q$47*H802</f>
        <v>2612883.4708490307</v>
      </c>
      <c r="I832" s="403">
        <f ca="1">Assumptions!$Q$47*I802</f>
        <v>2848743.8093804577</v>
      </c>
      <c r="J832" s="403">
        <f ca="1">Assumptions!$Q$47*J802</f>
        <v>3117712.5845577493</v>
      </c>
      <c r="K832" s="403">
        <f ca="1">Assumptions!$Q$47*K802</f>
        <v>3423947.0397307444</v>
      </c>
      <c r="L832" s="403">
        <f ca="1">Assumptions!$Q$47*L802</f>
        <v>0</v>
      </c>
    </row>
    <row r="833" spans="1:12" ht="15.5">
      <c r="A833" s="409" t="s">
        <v>298</v>
      </c>
      <c r="B833" s="405"/>
      <c r="C833" s="403">
        <f>Assumptions!$Q$48*C806</f>
        <v>0</v>
      </c>
      <c r="D833" s="403">
        <f>Assumptions!$Q$48*D806</f>
        <v>0</v>
      </c>
      <c r="E833" s="403">
        <f>Assumptions!$Q$48*E806</f>
        <v>0</v>
      </c>
      <c r="F833" s="403">
        <f>Assumptions!$Q$48*F806</f>
        <v>0</v>
      </c>
      <c r="G833" s="403">
        <f>Assumptions!$Q$48*G806</f>
        <v>2413000</v>
      </c>
      <c r="H833" s="403">
        <f ca="1">Assumptions!$Q$48*H806</f>
        <v>2668497.2051606951</v>
      </c>
      <c r="I833" s="403">
        <f ca="1">Assumptions!$Q$48*I806</f>
        <v>2961893.0452036648</v>
      </c>
      <c r="J833" s="403">
        <f ca="1">Assumptions!$Q$48*J806</f>
        <v>3298139.2953683841</v>
      </c>
      <c r="K833" s="403">
        <f ca="1">Assumptions!$Q$48*K806</f>
        <v>3683859.9829702079</v>
      </c>
      <c r="L833" s="403">
        <f ca="1">Assumptions!$Q$48*L806</f>
        <v>4129672.8209214993</v>
      </c>
    </row>
    <row r="834" spans="1:12" ht="15.5">
      <c r="A834" s="409" t="s">
        <v>299</v>
      </c>
      <c r="B834" s="405"/>
      <c r="C834" s="403">
        <f>Assumptions!$Q$49*C810</f>
        <v>0</v>
      </c>
      <c r="D834" s="403">
        <f>Assumptions!$Q$49*D810</f>
        <v>0</v>
      </c>
      <c r="E834" s="403">
        <f>Assumptions!$Q$49*E810</f>
        <v>0</v>
      </c>
      <c r="F834" s="403">
        <f>Assumptions!$Q$49*F810</f>
        <v>0</v>
      </c>
      <c r="G834" s="403">
        <f>Assumptions!$Q$49*G810</f>
        <v>0</v>
      </c>
      <c r="H834" s="403">
        <f>Assumptions!$Q$49*H810</f>
        <v>1272000</v>
      </c>
      <c r="I834" s="403">
        <f ca="1">Assumptions!$Q$49*I810</f>
        <v>1410401.7813337098</v>
      </c>
      <c r="J834" s="403">
        <f ca="1">Assumptions!$Q$49*J810</f>
        <v>1567506.9778165913</v>
      </c>
      <c r="K834" s="403">
        <f ca="1">Assumptions!$Q$49*K810</f>
        <v>1748337.2939683658</v>
      </c>
      <c r="L834" s="403">
        <f ca="1">Assumptions!$Q$49*L810</f>
        <v>1957352.0989933461</v>
      </c>
    </row>
    <row r="835" spans="1:12" ht="15.5">
      <c r="A835" s="409" t="s">
        <v>368</v>
      </c>
      <c r="B835" s="405"/>
      <c r="C835" s="403">
        <f>Assumptions!$Q$50*C814</f>
        <v>0</v>
      </c>
      <c r="D835" s="403">
        <f>Assumptions!$Q$50*D814</f>
        <v>0</v>
      </c>
      <c r="E835" s="403">
        <f>Assumptions!$Q$50*E814</f>
        <v>0</v>
      </c>
      <c r="F835" s="403">
        <f>Assumptions!$Q$50*F814</f>
        <v>1263500</v>
      </c>
      <c r="G835" s="403">
        <f ca="1">Assumptions!$Q$50*G814</f>
        <v>1340561.8910600273</v>
      </c>
      <c r="H835" s="403">
        <f ca="1">Assumptions!$Q$50*H814</f>
        <v>1427928.4038734052</v>
      </c>
      <c r="I835" s="403">
        <f ca="1">Assumptions!$Q$50*I814</f>
        <v>1526823.2886267069</v>
      </c>
      <c r="J835" s="403">
        <f ca="1">Assumptions!$Q$50*J814</f>
        <v>1638073.8819403353</v>
      </c>
      <c r="K835" s="403">
        <f ca="1">Assumptions!$Q$50*K814</f>
        <v>1763108.395086061</v>
      </c>
      <c r="L835" s="403">
        <f ca="1">Assumptions!$Q$50*L814</f>
        <v>1904808.2050121266</v>
      </c>
    </row>
    <row r="836" spans="1:12" ht="15.5">
      <c r="A836" s="409" t="s">
        <v>369</v>
      </c>
      <c r="B836" s="405"/>
      <c r="C836" s="403">
        <f>Assumptions!$Q$51*C818</f>
        <v>0</v>
      </c>
      <c r="D836" s="403">
        <f>Assumptions!$Q$51*D818</f>
        <v>0</v>
      </c>
      <c r="E836" s="403">
        <f>Assumptions!$Q$51*E818</f>
        <v>0</v>
      </c>
      <c r="F836" s="403">
        <f>Assumptions!$Q$51*F818</f>
        <v>0</v>
      </c>
      <c r="G836" s="403">
        <f>Assumptions!$Q$51*G818</f>
        <v>70000</v>
      </c>
      <c r="H836" s="403">
        <f ca="1">Assumptions!$Q$51*H818</f>
        <v>134011.4374873208</v>
      </c>
      <c r="I836" s="403">
        <f ca="1">Assumptions!$Q$51*I818</f>
        <v>191894.13329641896</v>
      </c>
      <c r="J836" s="403">
        <f ca="1">Assumptions!$Q$51*J818</f>
        <v>244228.99279923612</v>
      </c>
      <c r="K836" s="403">
        <f ca="1">Assumptions!$Q$51*K818</f>
        <v>291561.44043515163</v>
      </c>
      <c r="L836" s="403">
        <f ca="1">Assumptions!$Q$51*L818</f>
        <v>334429.91723820474</v>
      </c>
    </row>
    <row r="837" spans="1:12" ht="15.5">
      <c r="A837" s="409" t="s">
        <v>370</v>
      </c>
      <c r="B837" s="405"/>
      <c r="C837" s="403">
        <f>Assumptions!$Q$52*C822</f>
        <v>0</v>
      </c>
      <c r="D837" s="403">
        <f>Assumptions!$Q$52*D822</f>
        <v>0</v>
      </c>
      <c r="E837" s="403">
        <f>Assumptions!$Q$52*E822</f>
        <v>0</v>
      </c>
      <c r="F837" s="403">
        <f>Assumptions!$Q$52*F822</f>
        <v>0</v>
      </c>
      <c r="G837" s="403">
        <f>Assumptions!$Q$52*G822</f>
        <v>52500</v>
      </c>
      <c r="H837" s="403">
        <f ca="1">Assumptions!$Q$52*H822</f>
        <v>55840.53572530183</v>
      </c>
      <c r="I837" s="403">
        <f ca="1">Assumptions!$Q$52*I822</f>
        <v>59575.931904983234</v>
      </c>
      <c r="J837" s="403">
        <f ca="1">Assumptions!$Q$52*J822</f>
        <v>63774.586458324236</v>
      </c>
      <c r="K837" s="403">
        <f ca="1">Assumptions!$Q$52*K822</f>
        <v>68502.147291133442</v>
      </c>
      <c r="L837" s="403">
        <f ca="1">Assumptions!$Q$52*L822</f>
        <v>73813.776077627525</v>
      </c>
    </row>
    <row r="838" spans="1:12" ht="15.5">
      <c r="A838" s="409" t="s">
        <v>371</v>
      </c>
      <c r="B838" s="405"/>
      <c r="C838" s="403">
        <f>Assumptions!$Q$53*C826</f>
        <v>0</v>
      </c>
      <c r="D838" s="403">
        <f>Assumptions!$Q$53*D826</f>
        <v>0</v>
      </c>
      <c r="E838" s="403">
        <f>Assumptions!$Q$53*E826</f>
        <v>0</v>
      </c>
      <c r="F838" s="403">
        <f>Assumptions!$Q$53*F826</f>
        <v>0</v>
      </c>
      <c r="G838" s="403">
        <f>Assumptions!$Q$53*G826</f>
        <v>157500</v>
      </c>
      <c r="H838" s="403">
        <f ca="1">Assumptions!$Q$53*H826</f>
        <v>167706.15212373083</v>
      </c>
      <c r="I838" s="403">
        <f ca="1">Assumptions!$Q$53*I826</f>
        <v>179079.282243725</v>
      </c>
      <c r="J838" s="403">
        <f ca="1">Assumptions!$Q$53*J826</f>
        <v>191841.22683296356</v>
      </c>
      <c r="K838" s="403">
        <f ca="1">Assumptions!$Q$53*K826</f>
        <v>206298.79947483304</v>
      </c>
      <c r="L838" s="403">
        <f ca="1">Assumptions!$Q$53*L826</f>
        <v>222522.57905958808</v>
      </c>
    </row>
    <row r="839" spans="1:12" ht="15.5">
      <c r="A839" s="409" t="s">
        <v>354</v>
      </c>
      <c r="B839" s="405"/>
      <c r="C839" s="403">
        <f t="shared" ref="C839:L839" si="211">SUM(C831:C838)</f>
        <v>0</v>
      </c>
      <c r="D839" s="403">
        <f t="shared" si="211"/>
        <v>0</v>
      </c>
      <c r="E839" s="403">
        <f t="shared" si="211"/>
        <v>0</v>
      </c>
      <c r="F839" s="403">
        <f t="shared" si="211"/>
        <v>8631000</v>
      </c>
      <c r="G839" s="403">
        <f t="shared" ca="1" si="211"/>
        <v>12265244.486664973</v>
      </c>
      <c r="H839" s="403">
        <f t="shared" ca="1" si="211"/>
        <v>14961910.314874167</v>
      </c>
      <c r="I839" s="403">
        <f t="shared" ca="1" si="211"/>
        <v>16731803.180381976</v>
      </c>
      <c r="J839" s="403">
        <f t="shared" ca="1" si="211"/>
        <v>18768876.704378847</v>
      </c>
      <c r="K839" s="403">
        <f t="shared" ca="1" si="211"/>
        <v>21120794.768199049</v>
      </c>
      <c r="L839" s="403">
        <f t="shared" ca="1" si="211"/>
        <v>20078574.480449695</v>
      </c>
    </row>
    <row r="840" spans="1:12">
      <c r="A840" s="408"/>
      <c r="B840" s="405"/>
      <c r="C840" s="48"/>
      <c r="D840" s="48"/>
      <c r="E840" s="48"/>
      <c r="F840" s="48"/>
      <c r="G840" s="48"/>
      <c r="H840" s="48"/>
      <c r="I840" s="48"/>
      <c r="J840" s="48"/>
      <c r="K840" s="48"/>
      <c r="L840" s="48"/>
    </row>
    <row r="841" spans="1:12" ht="15.5">
      <c r="A841" s="409" t="s">
        <v>154</v>
      </c>
      <c r="B841" s="405"/>
      <c r="C841" s="403">
        <f>C828-C839</f>
        <v>0</v>
      </c>
      <c r="D841" s="403">
        <f t="shared" ref="D841:L841" si="212">D828-D839</f>
        <v>0</v>
      </c>
      <c r="E841" s="403">
        <f t="shared" si="212"/>
        <v>0</v>
      </c>
      <c r="F841" s="403">
        <f t="shared" si="212"/>
        <v>16029000</v>
      </c>
      <c r="G841" s="403">
        <f t="shared" ca="1" si="212"/>
        <v>21916525.475234948</v>
      </c>
      <c r="H841" s="403">
        <f t="shared" ca="1" si="212"/>
        <v>26379084.440066077</v>
      </c>
      <c r="I841" s="403">
        <f t="shared" ca="1" si="212"/>
        <v>29511814.89694605</v>
      </c>
      <c r="J841" s="403">
        <f t="shared" ca="1" si="212"/>
        <v>33118754.496280361</v>
      </c>
      <c r="K841" s="403">
        <f t="shared" ca="1" si="212"/>
        <v>37284262.684891604</v>
      </c>
      <c r="L841" s="403">
        <f t="shared" ca="1" si="212"/>
        <v>35114843.706579834</v>
      </c>
    </row>
    <row r="842" spans="1:12">
      <c r="A842" s="408"/>
      <c r="B842" s="405"/>
      <c r="C842" s="48"/>
      <c r="D842" s="48"/>
      <c r="E842" s="48"/>
      <c r="F842" s="48"/>
      <c r="G842" s="48"/>
      <c r="H842" s="48"/>
      <c r="I842" s="48"/>
      <c r="J842" s="48"/>
      <c r="K842" s="48"/>
      <c r="L842" s="48"/>
    </row>
    <row r="843" spans="1:12" ht="18.5">
      <c r="A843" s="411" t="s">
        <v>96</v>
      </c>
      <c r="B843" s="405"/>
      <c r="C843" s="48"/>
      <c r="D843" s="48"/>
      <c r="E843" s="48"/>
      <c r="F843" s="48"/>
      <c r="G843" s="48"/>
      <c r="H843" s="48"/>
      <c r="I843" s="48"/>
      <c r="J843" s="48"/>
      <c r="K843" s="48"/>
      <c r="L843" s="48"/>
    </row>
    <row r="844" spans="1:12">
      <c r="A844" s="408"/>
      <c r="B844" s="405"/>
      <c r="C844" s="48"/>
      <c r="D844" s="48"/>
      <c r="E844" s="48"/>
      <c r="F844" s="48"/>
      <c r="G844" s="48"/>
      <c r="H844" s="48"/>
      <c r="I844" s="48"/>
      <c r="J844" s="48"/>
      <c r="K844" s="48"/>
      <c r="L844" s="48"/>
    </row>
    <row r="845" spans="1:12" ht="15.5">
      <c r="A845" s="409" t="s">
        <v>28</v>
      </c>
      <c r="B845" s="405"/>
      <c r="C845" s="48"/>
      <c r="D845" s="48"/>
      <c r="E845" s="48"/>
      <c r="F845" s="48"/>
      <c r="G845" s="48"/>
      <c r="H845" s="48"/>
      <c r="I845" s="48"/>
      <c r="J845" s="48"/>
      <c r="K845" s="48"/>
      <c r="L845" s="48"/>
    </row>
    <row r="846" spans="1:12" ht="15.5">
      <c r="A846" s="409"/>
      <c r="B846" s="405"/>
      <c r="C846" s="48"/>
      <c r="D846" s="48"/>
      <c r="E846" s="48"/>
      <c r="F846" s="48"/>
      <c r="G846" s="48"/>
      <c r="H846" s="48"/>
      <c r="I846" s="48"/>
      <c r="J846" s="48"/>
      <c r="K846" s="48"/>
      <c r="L846" s="48"/>
    </row>
    <row r="847" spans="1:12">
      <c r="A847" s="408" t="s">
        <v>37</v>
      </c>
      <c r="B847" s="405"/>
      <c r="C847" s="403">
        <f>IF(C$5 = Assumptions!$M$45, Assumptions!$AV15, 0)</f>
        <v>0</v>
      </c>
      <c r="D847" s="403">
        <f>IF(D$5 = Assumptions!$M$45, Assumptions!$AV15, 0)</f>
        <v>0</v>
      </c>
      <c r="E847" s="403">
        <f>IF(E$5 = Assumptions!$M$45, Assumptions!$AV15, 0)</f>
        <v>0</v>
      </c>
      <c r="F847" s="403">
        <f>IF(F$5 = Assumptions!$M$45, Assumptions!$AV15, 0)</f>
        <v>5000</v>
      </c>
      <c r="G847" s="403">
        <f>IF(G$5 = Assumptions!$M$45, Assumptions!$AV15, 0)</f>
        <v>0</v>
      </c>
      <c r="H847" s="403">
        <f>IF(H$5 = Assumptions!$M$45, Assumptions!$AV15, 0)</f>
        <v>0</v>
      </c>
      <c r="I847" s="403">
        <f>IF(I$5 = Assumptions!$M$45, Assumptions!$AV15, 0)</f>
        <v>0</v>
      </c>
      <c r="J847" s="403">
        <f>IF(J$5 = Assumptions!$M$45, Assumptions!$AV15, 0)</f>
        <v>0</v>
      </c>
      <c r="K847" s="403">
        <f>IF(K$5 = Assumptions!$M$45, Assumptions!$AV15, 0)</f>
        <v>0</v>
      </c>
      <c r="L847" s="403">
        <f>IF(L$5 = Assumptions!$M$45, Assumptions!$AV15, 0)</f>
        <v>0</v>
      </c>
    </row>
    <row r="848" spans="1:12">
      <c r="A848" s="408" t="s">
        <v>309</v>
      </c>
      <c r="B848" s="405"/>
      <c r="C848" s="403">
        <f>IF(C$5 = Assumptions!$M$45, Assumptions!$AV16, 0)</f>
        <v>0</v>
      </c>
      <c r="D848" s="403">
        <f>IF(D$5 = Assumptions!$M$45, Assumptions!$AV16, 0)</f>
        <v>0</v>
      </c>
      <c r="E848" s="403">
        <f>IF(E$5 = Assumptions!$M$45, Assumptions!$AV16, 0)</f>
        <v>0</v>
      </c>
      <c r="F848" s="403">
        <f>IF(F$5 = Assumptions!$M$45, Assumptions!$AV16, 0)</f>
        <v>15000</v>
      </c>
      <c r="G848" s="403">
        <f>IF(G$5 = Assumptions!$M$45, Assumptions!$AV16, 0)</f>
        <v>0</v>
      </c>
      <c r="H848" s="403">
        <f>IF(H$5 = Assumptions!$M$45, Assumptions!$AV16, 0)</f>
        <v>0</v>
      </c>
      <c r="I848" s="403">
        <f>IF(I$5 = Assumptions!$M$45, Assumptions!$AV16, 0)</f>
        <v>0</v>
      </c>
      <c r="J848" s="403">
        <f>IF(J$5 = Assumptions!$M$45, Assumptions!$AV16, 0)</f>
        <v>0</v>
      </c>
      <c r="K848" s="403">
        <f>IF(K$5 = Assumptions!$M$45, Assumptions!$AV16, 0)</f>
        <v>0</v>
      </c>
      <c r="L848" s="403">
        <f>IF(L$5 = Assumptions!$M$45, Assumptions!$AV16, 0)</f>
        <v>0</v>
      </c>
    </row>
    <row r="849" spans="1:12">
      <c r="A849" s="408" t="s">
        <v>40</v>
      </c>
      <c r="B849" s="405"/>
      <c r="C849" s="403">
        <f>IF(C$5 = Assumptions!$M$45, Assumptions!$AV17, 0)</f>
        <v>0</v>
      </c>
      <c r="D849" s="403">
        <f>IF(D$5 = Assumptions!$M$45, Assumptions!$AV17, 0)</f>
        <v>0</v>
      </c>
      <c r="E849" s="403">
        <f>IF(E$5 = Assumptions!$M$45, Assumptions!$AV17, 0)</f>
        <v>0</v>
      </c>
      <c r="F849" s="403">
        <f>IF(F$5 = Assumptions!$M$45, Assumptions!$AV17, 0)</f>
        <v>1000</v>
      </c>
      <c r="G849" s="403">
        <f>IF(G$5 = Assumptions!$M$45, Assumptions!$AV17, 0)</f>
        <v>0</v>
      </c>
      <c r="H849" s="403">
        <f>IF(H$5 = Assumptions!$M$45, Assumptions!$AV17, 0)</f>
        <v>0</v>
      </c>
      <c r="I849" s="403">
        <f>IF(I$5 = Assumptions!$M$45, Assumptions!$AV17, 0)</f>
        <v>0</v>
      </c>
      <c r="J849" s="403">
        <f>IF(J$5 = Assumptions!$M$45, Assumptions!$AV17, 0)</f>
        <v>0</v>
      </c>
      <c r="K849" s="403">
        <f>IF(K$5 = Assumptions!$M$45, Assumptions!$AV17, 0)</f>
        <v>0</v>
      </c>
      <c r="L849" s="403">
        <f>IF(L$5 = Assumptions!$M$45, Assumptions!$AV17, 0)</f>
        <v>0</v>
      </c>
    </row>
    <row r="850" spans="1:12">
      <c r="A850" s="408" t="s">
        <v>41</v>
      </c>
      <c r="B850" s="405"/>
      <c r="C850" s="403">
        <f>IF(C$5 = Assumptions!$M$45, Assumptions!$AV18, 0)</f>
        <v>0</v>
      </c>
      <c r="D850" s="403">
        <f>IF(D$5 = Assumptions!$M$45, Assumptions!$AV18, 0)</f>
        <v>0</v>
      </c>
      <c r="E850" s="403">
        <f>IF(E$5 = Assumptions!$M$45, Assumptions!$AV18, 0)</f>
        <v>0</v>
      </c>
      <c r="F850" s="403">
        <f>IF(F$5 = Assumptions!$M$45, Assumptions!$AV18, 0)</f>
        <v>5000</v>
      </c>
      <c r="G850" s="403">
        <f>IF(G$5 = Assumptions!$M$45, Assumptions!$AV18, 0)</f>
        <v>0</v>
      </c>
      <c r="H850" s="403">
        <f>IF(H$5 = Assumptions!$M$45, Assumptions!$AV18, 0)</f>
        <v>0</v>
      </c>
      <c r="I850" s="403">
        <f>IF(I$5 = Assumptions!$M$45, Assumptions!$AV18, 0)</f>
        <v>0</v>
      </c>
      <c r="J850" s="403">
        <f>IF(J$5 = Assumptions!$M$45, Assumptions!$AV18, 0)</f>
        <v>0</v>
      </c>
      <c r="K850" s="403">
        <f>IF(K$5 = Assumptions!$M$45, Assumptions!$AV18, 0)</f>
        <v>0</v>
      </c>
      <c r="L850" s="403">
        <f>IF(L$5 = Assumptions!$M$45, Assumptions!$AV18, 0)</f>
        <v>0</v>
      </c>
    </row>
    <row r="851" spans="1:12">
      <c r="A851" s="408" t="s">
        <v>43</v>
      </c>
      <c r="B851" s="405"/>
      <c r="C851" s="403">
        <f>IF(C$5 = Assumptions!$M$45, Assumptions!$AV19, 0)</f>
        <v>0</v>
      </c>
      <c r="D851" s="403">
        <f>IF(D$5 = Assumptions!$M$45, Assumptions!$AV19, 0)</f>
        <v>0</v>
      </c>
      <c r="E851" s="403">
        <f>IF(E$5 = Assumptions!$M$45, Assumptions!$AV19, 0)</f>
        <v>0</v>
      </c>
      <c r="F851" s="403">
        <f>IF(F$5 = Assumptions!$M$45, Assumptions!$AV19, 0)</f>
        <v>1000</v>
      </c>
      <c r="G851" s="403">
        <f>IF(G$5 = Assumptions!$M$45, Assumptions!$AV19, 0)</f>
        <v>0</v>
      </c>
      <c r="H851" s="403">
        <f>IF(H$5 = Assumptions!$M$45, Assumptions!$AV19, 0)</f>
        <v>0</v>
      </c>
      <c r="I851" s="403">
        <f>IF(I$5 = Assumptions!$M$45, Assumptions!$AV19, 0)</f>
        <v>0</v>
      </c>
      <c r="J851" s="403">
        <f>IF(J$5 = Assumptions!$M$45, Assumptions!$AV19, 0)</f>
        <v>0</v>
      </c>
      <c r="K851" s="403">
        <f>IF(K$5 = Assumptions!$M$45, Assumptions!$AV19, 0)</f>
        <v>0</v>
      </c>
      <c r="L851" s="403">
        <f>IF(L$5 = Assumptions!$M$45, Assumptions!$AV19, 0)</f>
        <v>0</v>
      </c>
    </row>
    <row r="852" spans="1:12">
      <c r="A852" s="408" t="s">
        <v>45</v>
      </c>
      <c r="B852" s="405"/>
      <c r="C852" s="403">
        <f>IF(C$5 = Assumptions!$M$45, Assumptions!$AV20, 0)</f>
        <v>0</v>
      </c>
      <c r="D852" s="403">
        <f>IF(D$5 = Assumptions!$M$45, Assumptions!$AV20, 0)</f>
        <v>0</v>
      </c>
      <c r="E852" s="403">
        <f>IF(E$5 = Assumptions!$M$45, Assumptions!$AV20, 0)</f>
        <v>0</v>
      </c>
      <c r="F852" s="403">
        <f>IF(F$5 = Assumptions!$M$45, Assumptions!$AV20, 0)</f>
        <v>3000</v>
      </c>
      <c r="G852" s="403">
        <f>IF(G$5 = Assumptions!$M$45, Assumptions!$AV20, 0)</f>
        <v>0</v>
      </c>
      <c r="H852" s="403">
        <f>IF(H$5 = Assumptions!$M$45, Assumptions!$AV20, 0)</f>
        <v>0</v>
      </c>
      <c r="I852" s="403">
        <f>IF(I$5 = Assumptions!$M$45, Assumptions!$AV20, 0)</f>
        <v>0</v>
      </c>
      <c r="J852" s="403">
        <f>IF(J$5 = Assumptions!$M$45, Assumptions!$AV20, 0)</f>
        <v>0</v>
      </c>
      <c r="K852" s="403">
        <f>IF(K$5 = Assumptions!$M$45, Assumptions!$AV20, 0)</f>
        <v>0</v>
      </c>
      <c r="L852" s="403">
        <f>IF(L$5 = Assumptions!$M$45, Assumptions!$AV20, 0)</f>
        <v>0</v>
      </c>
    </row>
    <row r="853" spans="1:12">
      <c r="A853" s="408" t="s">
        <v>35</v>
      </c>
      <c r="B853" s="405"/>
      <c r="C853" s="403">
        <f>IF(C$5 = Assumptions!$M$45, Assumptions!$AV21, 0)</f>
        <v>0</v>
      </c>
      <c r="D853" s="403">
        <f>IF(D$5 = Assumptions!$M$45, Assumptions!$AV21, 0)</f>
        <v>0</v>
      </c>
      <c r="E853" s="403">
        <f>IF(E$5 = Assumptions!$M$45, Assumptions!$AV21, 0)</f>
        <v>0</v>
      </c>
      <c r="F853" s="403">
        <f>IF(F$5 = Assumptions!$M$45, Assumptions!$AV21, 0)</f>
        <v>5000</v>
      </c>
      <c r="G853" s="403">
        <f>IF(G$5 = Assumptions!$M$45, Assumptions!$AV21, 0)</f>
        <v>0</v>
      </c>
      <c r="H853" s="403">
        <f>IF(H$5 = Assumptions!$M$45, Assumptions!$AV21, 0)</f>
        <v>0</v>
      </c>
      <c r="I853" s="403">
        <f>IF(I$5 = Assumptions!$M$45, Assumptions!$AV21, 0)</f>
        <v>0</v>
      </c>
      <c r="J853" s="403">
        <f>IF(J$5 = Assumptions!$M$45, Assumptions!$AV21, 0)</f>
        <v>0</v>
      </c>
      <c r="K853" s="403">
        <f>IF(K$5 = Assumptions!$M$45, Assumptions!$AV21, 0)</f>
        <v>0</v>
      </c>
      <c r="L853" s="403">
        <f>IF(L$5 = Assumptions!$M$45, Assumptions!$AV21, 0)</f>
        <v>0</v>
      </c>
    </row>
    <row r="854" spans="1:12">
      <c r="A854" s="408"/>
      <c r="B854" s="405"/>
      <c r="C854" s="403"/>
      <c r="D854" s="403"/>
      <c r="E854" s="403"/>
      <c r="F854" s="403"/>
      <c r="G854" s="403"/>
      <c r="H854" s="403"/>
      <c r="I854" s="403"/>
      <c r="J854" s="403"/>
      <c r="K854" s="403"/>
      <c r="L854" s="403"/>
    </row>
    <row r="855" spans="1:12" ht="15.5">
      <c r="A855" s="409" t="s">
        <v>155</v>
      </c>
      <c r="B855" s="405"/>
      <c r="C855" s="403">
        <f t="shared" ref="C855:L855" si="213">SUM(C847:C853)</f>
        <v>0</v>
      </c>
      <c r="D855" s="403">
        <f t="shared" si="213"/>
        <v>0</v>
      </c>
      <c r="E855" s="403">
        <f t="shared" si="213"/>
        <v>0</v>
      </c>
      <c r="F855" s="403">
        <f t="shared" si="213"/>
        <v>35000</v>
      </c>
      <c r="G855" s="403">
        <f t="shared" si="213"/>
        <v>0</v>
      </c>
      <c r="H855" s="403">
        <f t="shared" si="213"/>
        <v>0</v>
      </c>
      <c r="I855" s="403">
        <f t="shared" si="213"/>
        <v>0</v>
      </c>
      <c r="J855" s="403">
        <f t="shared" si="213"/>
        <v>0</v>
      </c>
      <c r="K855" s="403">
        <f t="shared" si="213"/>
        <v>0</v>
      </c>
      <c r="L855" s="403">
        <f t="shared" si="213"/>
        <v>0</v>
      </c>
    </row>
    <row r="856" spans="1:12">
      <c r="A856" s="408"/>
      <c r="B856" s="405"/>
      <c r="C856" s="403"/>
      <c r="D856" s="403"/>
      <c r="E856" s="403"/>
      <c r="F856" s="403"/>
      <c r="G856" s="403"/>
      <c r="H856" s="403"/>
      <c r="I856" s="403"/>
      <c r="J856" s="403"/>
      <c r="K856" s="403"/>
      <c r="L856" s="403"/>
    </row>
    <row r="857" spans="1:12" ht="15.5">
      <c r="A857" s="409" t="s">
        <v>13</v>
      </c>
      <c r="B857" s="405"/>
      <c r="C857" s="403"/>
      <c r="D857" s="403"/>
      <c r="E857" s="403"/>
      <c r="F857" s="403"/>
      <c r="G857" s="403"/>
      <c r="H857" s="403"/>
      <c r="I857" s="403"/>
      <c r="J857" s="403"/>
      <c r="K857" s="403"/>
      <c r="L857" s="403"/>
    </row>
    <row r="858" spans="1:12">
      <c r="A858" s="408"/>
      <c r="B858" s="405"/>
      <c r="C858" s="403"/>
      <c r="D858" s="403"/>
      <c r="E858" s="403"/>
      <c r="F858" s="403"/>
      <c r="G858" s="403"/>
      <c r="H858" s="403"/>
      <c r="I858" s="403"/>
      <c r="J858" s="403"/>
      <c r="K858" s="403"/>
      <c r="L858" s="403"/>
    </row>
    <row r="859" spans="1:12">
      <c r="A859" s="408" t="s">
        <v>14</v>
      </c>
      <c r="B859" s="405"/>
      <c r="C859" s="403">
        <f>IF(C$5 &gt;= Assumptions!$M$45, Assumptions!AJ15, 0)</f>
        <v>0</v>
      </c>
      <c r="D859" s="403">
        <f>IF(D$5&gt;Assumptions!$M$45,C859*(1+Revenue!AC93),IF(D$5=Assumptions!$M$45, Assumptions!$AJ15, 0))</f>
        <v>0</v>
      </c>
      <c r="E859" s="403">
        <f>IF(E$5&gt;Assumptions!$M$45,D859*(1+Revenue!AD93),IF(E$5=Assumptions!$M$45, Assumptions!$AJ15, 0))</f>
        <v>0</v>
      </c>
      <c r="F859" s="403">
        <f>IF(F$5&gt;Assumptions!$M$45,E859*(1+Revenue!AE93),IF(F$5=Assumptions!$M$45, Assumptions!$AJ15, 0))</f>
        <v>0</v>
      </c>
      <c r="G859" s="403">
        <f>IF(G$5&gt;Assumptions!$M$45,F859*(1+Revenue!AF93),IF(G$5=Assumptions!$M$45, Assumptions!$AJ15, 0))</f>
        <v>0</v>
      </c>
      <c r="H859" s="403">
        <f>IF(H$5&gt;Assumptions!$M$45,G859*(1+Revenue!AG93),IF(H$5=Assumptions!$M$45, Assumptions!$AJ15, 0))</f>
        <v>0</v>
      </c>
      <c r="I859" s="403">
        <f>IF(I$5&gt;Assumptions!$M$45,H859*(1+Revenue!AH93),IF(I$5=Assumptions!$M$45, Assumptions!$AJ15, 0))</f>
        <v>0</v>
      </c>
      <c r="J859" s="403">
        <f>IF(J$5&gt;Assumptions!$M$45,I859*(1+Revenue!AI93),IF(J$5=Assumptions!$M$45, Assumptions!$AJ15, 0))</f>
        <v>0</v>
      </c>
      <c r="K859" s="403">
        <f>IF(K$5&gt;Assumptions!$M$45,J859*(1+Revenue!AJ93),IF(K$5=Assumptions!$M$45, Assumptions!$AJ15, 0))</f>
        <v>0</v>
      </c>
      <c r="L859" s="403">
        <f>IF(L$5&gt;Assumptions!$M$45,K859*(1+Revenue!AK93),IF(L$5=Assumptions!$M$45, Assumptions!$AJ15, 0))</f>
        <v>0</v>
      </c>
    </row>
    <row r="860" spans="1:12">
      <c r="A860" s="408" t="s">
        <v>15</v>
      </c>
      <c r="B860" s="405"/>
      <c r="C860" s="403">
        <f>IF(C$5 &gt;= Assumptions!$M$45, Assumptions!$AJ16, 0)</f>
        <v>0</v>
      </c>
      <c r="D860" s="403">
        <f>IF(D$5&gt;Assumptions!$M$45,C860*(1+Revenue!AC93),IF(D$5=Assumptions!$M$45, Assumptions!$AJ16, 0))</f>
        <v>0</v>
      </c>
      <c r="E860" s="403">
        <f>IF(E$5&gt;Assumptions!$M$45,D860*(1+Revenue!AD93),IF(E$5=Assumptions!$M$45, Assumptions!$AJ16, 0))</f>
        <v>0</v>
      </c>
      <c r="F860" s="403">
        <f>IF(F$5&gt;Assumptions!$M$45,E860*(1+Revenue!AE93),IF(F$5=Assumptions!$M$45, Assumptions!$AJ16, 0))</f>
        <v>0</v>
      </c>
      <c r="G860" s="403">
        <f>IF(G$5&gt;Assumptions!$M$45,F860*(1+Revenue!AF93),IF(G$5=Assumptions!$M$45, Assumptions!$AJ16, 0))</f>
        <v>0</v>
      </c>
      <c r="H860" s="403">
        <f>IF(H$5&gt;Assumptions!$M$45,G860*(1+Revenue!AG93),IF(H$5=Assumptions!$M$45, Assumptions!$AJ16, 0))</f>
        <v>0</v>
      </c>
      <c r="I860" s="403">
        <f>IF(I$5&gt;Assumptions!$M$45,H860*(1+Revenue!AH93),IF(I$5=Assumptions!$M$45, Assumptions!$AJ16, 0))</f>
        <v>0</v>
      </c>
      <c r="J860" s="403">
        <f>IF(J$5&gt;Assumptions!$M$45,I860*(1+Revenue!AI93),IF(J$5=Assumptions!$M$45, Assumptions!$AJ16, 0))</f>
        <v>0</v>
      </c>
      <c r="K860" s="403">
        <f>IF(K$5&gt;Assumptions!$M$45,J860*(1+Revenue!AJ93),IF(K$5=Assumptions!$M$45, Assumptions!$AJ16, 0))</f>
        <v>0</v>
      </c>
      <c r="L860" s="403">
        <f>IF(L$5&gt;Assumptions!$M$45,K860*(1+Revenue!AK93),IF(L$5=Assumptions!$M$45, Assumptions!$AJ16, 0))</f>
        <v>0</v>
      </c>
    </row>
    <row r="861" spans="1:12">
      <c r="A861" s="408" t="s">
        <v>17</v>
      </c>
      <c r="B861" s="405"/>
      <c r="C861" s="403">
        <f>IF(C$5 &gt;= Assumptions!$M$45, Assumptions!$AJ17, 0)</f>
        <v>0</v>
      </c>
      <c r="D861" s="403">
        <f>IF(D$5&gt;Assumptions!$M$45,C861*(1+Revenue!AC93),IF(D$5=Assumptions!$M$45, Assumptions!$AJ17, 0))</f>
        <v>0</v>
      </c>
      <c r="E861" s="403">
        <f>IF(E$5&gt;Assumptions!$M$45,D861*(1+Revenue!AD93),IF(E$5=Assumptions!$M$45, Assumptions!$AJ17, 0))</f>
        <v>0</v>
      </c>
      <c r="F861" s="403">
        <f>IF(F$5&gt;Assumptions!$M$45,E861*(1+Revenue!AE93),IF(F$5=Assumptions!$M$45, Assumptions!$AJ17, 0))</f>
        <v>0</v>
      </c>
      <c r="G861" s="403">
        <f>IF(G$5&gt;Assumptions!$M$45,F861*(1+Revenue!AF93),IF(G$5=Assumptions!$M$45, Assumptions!$AJ17, 0))</f>
        <v>0</v>
      </c>
      <c r="H861" s="403">
        <f>IF(H$5&gt;Assumptions!$M$45,G861*(1+Revenue!AG93),IF(H$5=Assumptions!$M$45, Assumptions!$AJ17, 0))</f>
        <v>0</v>
      </c>
      <c r="I861" s="403">
        <f>IF(I$5&gt;Assumptions!$M$45,H861*(1+Revenue!AH93),IF(I$5=Assumptions!$M$45, Assumptions!$AJ17, 0))</f>
        <v>0</v>
      </c>
      <c r="J861" s="403">
        <f>IF(J$5&gt;Assumptions!$M$45,I861*(1+Revenue!AI93),IF(J$5=Assumptions!$M$45, Assumptions!$AJ17, 0))</f>
        <v>0</v>
      </c>
      <c r="K861" s="403">
        <f>IF(K$5&gt;Assumptions!$M$45,J861*(1+Revenue!AJ93),IF(K$5=Assumptions!$M$45, Assumptions!$AJ17, 0))</f>
        <v>0</v>
      </c>
      <c r="L861" s="403">
        <f>IF(L$5&gt;Assumptions!$M$45,K861*(1+Revenue!AK93),IF(L$5=Assumptions!$M$45, Assumptions!$AJ17, 0))</f>
        <v>0</v>
      </c>
    </row>
    <row r="862" spans="1:12">
      <c r="A862" s="408" t="s">
        <v>19</v>
      </c>
      <c r="B862" s="405"/>
      <c r="C862" s="403">
        <f>IF(C$5 &gt;= Assumptions!$M$45, Assumptions!$AJ$18 * (Revenue!AQ98+Revenue!AQ99+Revenue!AQ100+Revenue!AQ101), 0)</f>
        <v>0</v>
      </c>
      <c r="D862" s="403">
        <f>IF(D$5&gt;Assumptions!$M$45, Assumptions!$AJ$18*(Revenue!AR98+Revenue!AR99+Revenue!AR100+Revenue!AR101)*(1+Revenue!AC93), IF(D$5=Assumptions!$M$45, Assumptions!$AJ$18 * (Revenue!AR98+Revenue!AR99+Revenue!AR100+Revenue!AR101), 0))</f>
        <v>0</v>
      </c>
      <c r="E862" s="403">
        <f>IF(E$5&gt;Assumptions!$M$45, Assumptions!$AJ$18*(Revenue!AS98+Revenue!AS99+Revenue!AS100+Revenue!AS101)*(1+Revenue!AD93), IF(E$5=Assumptions!$M$45, Assumptions!$AJ$18 * (Revenue!AS98+Revenue!AS99+Revenue!AS100+Revenue!AS101), 0))</f>
        <v>0</v>
      </c>
      <c r="F862" s="403">
        <f>IF(F$5&gt;Assumptions!$M$45, Assumptions!$AJ$18*(Revenue!AT98+Revenue!AT99+Revenue!AT100+Revenue!AT101)*(1+Revenue!AE93), IF(F$5=Assumptions!$M$45, Assumptions!$AJ$18 * (Revenue!AT98+Revenue!AT99+Revenue!AT100+Revenue!AT101), 0))</f>
        <v>285750</v>
      </c>
      <c r="G862" s="403">
        <f ca="1">IF(G$5&gt;Assumptions!$M$45, Assumptions!$AJ$18*(Revenue!AU98+Revenue!AU99+Revenue!AU100+Revenue!AU101)*(1+Revenue!AF93), IF(G$5=Assumptions!$M$45, Assumptions!$AJ$18 * (Revenue!AU98+Revenue!AU99+Revenue!AU100+Revenue!AU101), 0))</f>
        <v>368131.14065109158</v>
      </c>
      <c r="H862" s="403">
        <f ca="1">IF(H$5&gt;Assumptions!$M$45, Assumptions!$AJ$18*(Revenue!AV98+Revenue!AV99+Revenue!AV100+Revenue!AV101)*(1+Revenue!AG93), IF(H$5=Assumptions!$M$45, Assumptions!$AJ$18 * (Revenue!AV98+Revenue!AV99+Revenue!AV100+Revenue!AV101), 0))</f>
        <v>391388.66623361368</v>
      </c>
      <c r="I862" s="403">
        <f ca="1">IF(I$5&gt;Assumptions!$M$45, Assumptions!$AJ$18*(Revenue!AW98+Revenue!AW99+Revenue!AW100+Revenue!AW101)*(1+Revenue!AH93), IF(I$5=Assumptions!$M$45, Assumptions!$AJ$18 * (Revenue!AW98+Revenue!AW99+Revenue!AW100+Revenue!AW101), 0))</f>
        <v>417661.7232238467</v>
      </c>
      <c r="J862" s="403">
        <f ca="1">IF(J$5&gt;Assumptions!$M$45, Assumptions!$AJ$18*(Revenue!AX98+Revenue!AX99+Revenue!AX100+Revenue!AX101)*(1+Revenue!AI93), IF(J$5=Assumptions!$M$45, Assumptions!$AJ$18 * (Revenue!AX98+Revenue!AX99+Revenue!AX100+Revenue!AX101), 0))</f>
        <v>447513.5464051477</v>
      </c>
      <c r="K862" s="403">
        <f ca="1">IF(K$5&gt;Assumptions!$M$45, Assumptions!$AJ$18*(Revenue!AY98+Revenue!AY99+Revenue!AY100+Revenue!AY101)*(1+Revenue!AJ93), IF(K$5=Assumptions!$M$45, Assumptions!$AJ$18 * (Revenue!AY98+Revenue!AY99+Revenue!AY100+Revenue!AY101), 0))</f>
        <v>481336.93085393001</v>
      </c>
      <c r="L862" s="403">
        <f ca="1">IF(L$5&gt;Assumptions!$M$45, Assumptions!$AJ$18*(Revenue!AZ98+Revenue!AZ99+Revenue!AZ100+Revenue!AZ101)*(1+Revenue!AK93), IF(L$5=Assumptions!$M$45, Assumptions!$AJ$18 * (Revenue!AZ98+Revenue!AZ99+Revenue!AZ100+Revenue!AZ101), 0))</f>
        <v>519660.41551304446</v>
      </c>
    </row>
    <row r="863" spans="1:12">
      <c r="A863" s="408" t="s">
        <v>20</v>
      </c>
      <c r="B863" s="405"/>
      <c r="C863" s="403">
        <f>IF(C$5 &gt;= Assumptions!$M$45, Assumptions!$AJ$19*C828, 0)</f>
        <v>0</v>
      </c>
      <c r="D863" s="403">
        <f>IF(D$5 &gt; Assumptions!$M$45, Assumptions!$AJ$19*D828*(1 + Revenue!AC93), IF(D$5 = Assumptions!$M$45, Assumptions!$AJ$19*D828, 0))</f>
        <v>0</v>
      </c>
      <c r="E863" s="403">
        <f>IF(E$5 &gt; Assumptions!$M$45, Assumptions!$AJ$19*E828*(1 + Revenue!AD93), IF(E$5 = Assumptions!$M$45, Assumptions!$AJ$19*E828, 0))</f>
        <v>0</v>
      </c>
      <c r="F863" s="403">
        <f>IF(F$5 &gt; Assumptions!$M$45, Assumptions!$AJ$19*F828*(1 + Revenue!AE93), IF(F$5 = Assumptions!$M$45, Assumptions!$AJ$19*F828, 0))</f>
        <v>5425200</v>
      </c>
      <c r="G863" s="403">
        <f ca="1">IF(G$5 &gt; Assumptions!$M$45, Assumptions!$AJ$19*G828*(1 + Revenue!AF93), IF(G$5 = Assumptions!$M$45, Assumptions!$AJ$19*G828, 0))</f>
        <v>7895988.8611988826</v>
      </c>
      <c r="H863" s="403">
        <f ca="1">IF(H$5 &gt; Assumptions!$M$45, Assumptions!$AJ$19*H828*(1 + Revenue!AG93), IF(H$5 = Assumptions!$M$45, Assumptions!$AJ$19*H828, 0))</f>
        <v>9549769.7883911971</v>
      </c>
      <c r="I863" s="403">
        <f ca="1">IF(I$5 &gt; Assumptions!$M$45, Assumptions!$AJ$19*I828*(1 + Revenue!AH93), IF(I$5 = Assumptions!$M$45, Assumptions!$AJ$19*I828, 0))</f>
        <v>10682275.775862776</v>
      </c>
      <c r="J863" s="403">
        <f ca="1">IF(J$5 &gt; Assumptions!$M$45, Assumptions!$AJ$19*J828*(1 + Revenue!AI93), IF(J$5 = Assumptions!$M$45, Assumptions!$AJ$19*J828, 0))</f>
        <v>11986042.807352277</v>
      </c>
      <c r="K863" s="403">
        <f ca="1">IF(K$5 &gt; Assumptions!$M$45, Assumptions!$AJ$19*K828*(1 + Revenue!AJ93), IF(K$5 = Assumptions!$M$45, Assumptions!$AJ$19*K828, 0))</f>
        <v>13491568.271663941</v>
      </c>
      <c r="L863" s="403">
        <f ca="1">IF(L$5 &gt; Assumptions!$M$45, Assumptions!$AJ$19*L828*(1 + Revenue!AK93), IF(L$5 = Assumptions!$M$45, Assumptions!$AJ$19*L828, 0))</f>
        <v>12749679.60120382</v>
      </c>
    </row>
    <row r="864" spans="1:12">
      <c r="A864" s="408" t="s">
        <v>22</v>
      </c>
      <c r="B864" s="405"/>
      <c r="C864" s="403">
        <f>IF(C$5 &gt;= Assumptions!$M$45, Assumptions!$AJ20, 0)</f>
        <v>0</v>
      </c>
      <c r="D864" s="403">
        <f>IF(D$5 &gt; Assumptions!$M$45, C864*(1+Revenue!AC93), IF(D$5 = Assumptions!$M$45, Assumptions!$AJ20, 0))</f>
        <v>0</v>
      </c>
      <c r="E864" s="403">
        <f>IF(E$5 &gt; Assumptions!$M$45, D864*(1+Revenue!AD93), IF(E$5 = Assumptions!$M$45, Assumptions!$AJ20, 0))</f>
        <v>0</v>
      </c>
      <c r="F864" s="403">
        <f>IF(F$5 &gt; Assumptions!$M$45, E864*(1+Revenue!AE93), IF(F$5 = Assumptions!$M$45, Assumptions!$AJ20, 0))</f>
        <v>0</v>
      </c>
      <c r="G864" s="403">
        <f>IF(G$5 &gt; Assumptions!$M$45, F864*(1+Revenue!AF93), IF(G$5 = Assumptions!$M$45, Assumptions!$AJ20, 0))</f>
        <v>0</v>
      </c>
      <c r="H864" s="403">
        <f>IF(H$5 &gt; Assumptions!$M$45, G864*(1+Revenue!AG93), IF(H$5 = Assumptions!$M$45, Assumptions!$AJ20, 0))</f>
        <v>0</v>
      </c>
      <c r="I864" s="403">
        <f>IF(I$5 &gt; Assumptions!$M$45, H864*(1+Revenue!AH93), IF(I$5 = Assumptions!$M$45, Assumptions!$AJ20, 0))</f>
        <v>0</v>
      </c>
      <c r="J864" s="403">
        <f>IF(J$5 &gt; Assumptions!$M$45, I864*(1+Revenue!AI93), IF(J$5 = Assumptions!$M$45, Assumptions!$AJ20, 0))</f>
        <v>0</v>
      </c>
      <c r="K864" s="403">
        <f>IF(K$5 &gt; Assumptions!$M$45, J864*(1+Revenue!AJ93), IF(K$5 = Assumptions!$M$45, Assumptions!$AJ20, 0))</f>
        <v>0</v>
      </c>
      <c r="L864" s="403">
        <f>IF(L$5 &gt; Assumptions!$M$45, K864*(1+Revenue!AK93), IF(L$5 = Assumptions!$M$45, Assumptions!$AJ20, 0))</f>
        <v>0</v>
      </c>
    </row>
    <row r="865" spans="1:12">
      <c r="A865" s="408" t="s">
        <v>25</v>
      </c>
      <c r="B865" s="405"/>
      <c r="C865" s="403">
        <f>IF(C$5 &gt;= Assumptions!$M$45, Assumptions!$AJ21, 0)</f>
        <v>0</v>
      </c>
      <c r="D865" s="403">
        <f>IF(D$5 &gt; Assumptions!$M$45, Income!C865*(1+Revenue!AC93), IF(D$5 = Assumptions!$M$45, Assumptions!$AJ21, 0))</f>
        <v>0</v>
      </c>
      <c r="E865" s="403">
        <f>IF(E$5 &gt; Assumptions!$M$45, Income!D865*(1+Revenue!AD93), IF(E$5 = Assumptions!$M$45, Assumptions!$AJ21, 0))</f>
        <v>0</v>
      </c>
      <c r="F865" s="403">
        <f>IF(F$5 &gt; Assumptions!$M$45, Income!E865*(1+Revenue!AE93), IF(F$5 = Assumptions!$M$45, Assumptions!$AJ21, 0))</f>
        <v>1000</v>
      </c>
      <c r="G865" s="403">
        <f>IF(G$5 &gt; Assumptions!$M$45, Income!F865*(1+Revenue!AF93), IF(G$5 = Assumptions!$M$45, Assumptions!$AJ21, 0))</f>
        <v>1050</v>
      </c>
      <c r="H865" s="403">
        <f>IF(H$5 &gt; Assumptions!$M$45, Income!G865*(1+Revenue!AG93), IF(H$5 = Assumptions!$M$45, Assumptions!$AJ21, 0))</f>
        <v>1102.5</v>
      </c>
      <c r="I865" s="403">
        <f>IF(I$5 &gt; Assumptions!$M$45, Income!H865*(1+Revenue!AH93), IF(I$5 = Assumptions!$M$45, Assumptions!$AJ21, 0))</f>
        <v>1157.625</v>
      </c>
      <c r="J865" s="403">
        <f>IF(J$5 &gt; Assumptions!$M$45, Income!I865*(1+Revenue!AI93), IF(J$5 = Assumptions!$M$45, Assumptions!$AJ21, 0))</f>
        <v>1215.5062500000001</v>
      </c>
      <c r="K865" s="403">
        <f>IF(K$5 &gt; Assumptions!$M$45, Income!J865*(1+Revenue!AJ93), IF(K$5 = Assumptions!$M$45, Assumptions!$AJ21, 0))</f>
        <v>1276.2815625000003</v>
      </c>
      <c r="L865" s="403">
        <f>IF(L$5 &gt; Assumptions!$M$45, Income!K865*(1+Revenue!AK93), IF(L$5 = Assumptions!$M$45, Assumptions!$AJ21, 0))</f>
        <v>1340.0956406250004</v>
      </c>
    </row>
    <row r="866" spans="1:12">
      <c r="A866" s="408" t="s">
        <v>27</v>
      </c>
      <c r="B866" s="405"/>
      <c r="C866" s="403">
        <f>IF(C$5 &gt;= Assumptions!$M$45, Assumptions!AJ22, 0)</f>
        <v>0</v>
      </c>
      <c r="D866" s="403">
        <f>IF(D$5 &gt; Assumptions!$M$45, Income!C866*(1+Revenue!AC93), IF(D$5 = Assumptions!$M$45, Assumptions!$AJ22, 0))</f>
        <v>0</v>
      </c>
      <c r="E866" s="403">
        <f>IF(E$5 &gt; Assumptions!$M$45, Income!D866*(1+Revenue!AD93), IF(E$5 = Assumptions!$M$45, Assumptions!$AJ22, 0))</f>
        <v>0</v>
      </c>
      <c r="F866" s="403">
        <f>IF(F$5 &gt; Assumptions!$M$45, Income!E866*(1+Revenue!AE93), IF(F$5 = Assumptions!$M$45, Assumptions!$AJ22, 0))</f>
        <v>1000</v>
      </c>
      <c r="G866" s="403">
        <f>IF(G$5 &gt; Assumptions!$M$45, Income!F866*(1+Revenue!AF93), IF(G$5 = Assumptions!$M$45, Assumptions!$AJ22, 0))</f>
        <v>1050</v>
      </c>
      <c r="H866" s="403">
        <f>IF(H$5 &gt; Assumptions!$M$45, Income!G866*(1+Revenue!AG93), IF(H$5 = Assumptions!$M$45, Assumptions!$AJ22, 0))</f>
        <v>1102.5</v>
      </c>
      <c r="I866" s="403">
        <f>IF(I$5 &gt; Assumptions!$M$45, Income!H866*(1+Revenue!AH93), IF(I$5 = Assumptions!$M$45, Assumptions!$AJ22, 0))</f>
        <v>1157.625</v>
      </c>
      <c r="J866" s="403">
        <f>IF(J$5 &gt; Assumptions!$M$45, Income!I866*(1+Revenue!AI93), IF(J$5 = Assumptions!$M$45, Assumptions!$AJ22, 0))</f>
        <v>1215.5062500000001</v>
      </c>
      <c r="K866" s="403">
        <f>IF(K$5 &gt; Assumptions!$M$45, Income!J866*(1+Revenue!AJ93), IF(K$5 = Assumptions!$M$45, Assumptions!$AJ22, 0))</f>
        <v>1276.2815625000003</v>
      </c>
      <c r="L866" s="403">
        <f>IF(L$5 &gt; Assumptions!$M$45, Income!K866*(1+Revenue!AK93), IF(L$5 = Assumptions!$M$45, Assumptions!$AJ22, 0))</f>
        <v>1340.0956406250004</v>
      </c>
    </row>
    <row r="867" spans="1:12">
      <c r="A867" s="408" t="s">
        <v>278</v>
      </c>
      <c r="B867" s="405"/>
      <c r="C867" s="403">
        <f>IF(C$5 &gt;= Assumptions!$M$45, Assumptions!$AJ$23 + (Revenue!AQ100+Revenue!AQ101+Revenue!AQ102)*Assumptions!$AJ$24, 0)</f>
        <v>0</v>
      </c>
      <c r="D867" s="403">
        <f>IF(D$5&gt;Assumptions!$M$45,(Assumptions!$AJ$23+(Revenue!AR100+Revenue!AR101+Revenue!AR102)*Assumptions!$AJ$24)*(1+Revenue!AC93),IF(D$5=Assumptions!$M$45,Assumptions!$AJ$23+(Revenue!AR100+Revenue!AR101+Revenue!AR102)*Assumptions!$AJ$24,0))</f>
        <v>0</v>
      </c>
      <c r="E867" s="403">
        <f>IF(E$5&gt;Assumptions!$M$45,(Assumptions!$AJ$23+(Revenue!AS100+Revenue!AS101+Revenue!AS102)*Assumptions!$AJ$24)*(1+Revenue!AD93),IF(E$5=Assumptions!$M$45,Assumptions!$AJ$23+(Revenue!AS100+Revenue!AS101+Revenue!AS102)*Assumptions!$AJ$24,0))</f>
        <v>0</v>
      </c>
      <c r="F867" s="403">
        <f>IF(F$5&gt;Assumptions!$M$45,(Assumptions!$AJ$23+(Revenue!AT100+Revenue!AT101+Revenue!AT102)*Assumptions!$AJ$24)*(1+Revenue!AE93),IF(F$5=Assumptions!$M$45,Assumptions!$AJ$23+(Revenue!AT100+Revenue!AT101+Revenue!AT102)*Assumptions!$AJ$24,0))</f>
        <v>12350</v>
      </c>
      <c r="G867" s="403">
        <f ca="1">IF(G$5&gt;Assumptions!$M$45,(Assumptions!$AJ$23+(Revenue!AU100+Revenue!AU101+Revenue!AU102)*Assumptions!$AJ$24)*(1+Revenue!AF93),IF(G$5=Assumptions!$M$45,Assumptions!$AJ$23+(Revenue!AU100+Revenue!AU101+Revenue!AU102)*Assumptions!$AJ$24,0))</f>
        <v>16505.858276264207</v>
      </c>
      <c r="H867" s="403">
        <f ca="1">IF(H$5&gt;Assumptions!$M$45,(Assumptions!$AJ$23+(Revenue!AV100+Revenue!AV101+Revenue!AV102)*Assumptions!$AJ$24)*(1+Revenue!AG93),IF(H$5=Assumptions!$M$45,Assumptions!$AJ$23+(Revenue!AV100+Revenue!AV101+Revenue!AV102)*Assumptions!$AJ$24,0))</f>
        <v>18590.567528613745</v>
      </c>
      <c r="I867" s="403">
        <f ca="1">IF(I$5&gt;Assumptions!$M$45,(Assumptions!$AJ$23+(Revenue!AW100+Revenue!AW101+Revenue!AW102)*Assumptions!$AJ$24)*(1+Revenue!AH93),IF(I$5=Assumptions!$M$45,Assumptions!$AJ$23+(Revenue!AW100+Revenue!AW101+Revenue!AW102)*Assumptions!$AJ$24,0))</f>
        <v>19157.203680101728</v>
      </c>
      <c r="J867" s="403">
        <f ca="1">IF(J$5&gt;Assumptions!$M$45,(Assumptions!$AJ$23+(Revenue!AX100+Revenue!AX101+Revenue!AX102)*Assumptions!$AJ$24)*(1+Revenue!AI93),IF(J$5=Assumptions!$M$45,Assumptions!$AJ$23+(Revenue!AX100+Revenue!AX101+Revenue!AX102)*Assumptions!$AJ$24,0))</f>
        <v>19797.12610851229</v>
      </c>
      <c r="K867" s="403">
        <f ca="1">IF(K$5&gt;Assumptions!$M$45,(Assumptions!$AJ$23+(Revenue!AY100+Revenue!AY101+Revenue!AY102)*Assumptions!$AJ$24)*(1+Revenue!AJ93),IF(K$5=Assumptions!$M$45,Assumptions!$AJ$23+(Revenue!AY100+Revenue!AY101+Revenue!AY102)*Assumptions!$AJ$24,0))</f>
        <v>20517.678073294079</v>
      </c>
      <c r="L867" s="403">
        <f ca="1">IF(L$5&gt;Assumptions!$M$45,(Assumptions!$AJ$23+(Revenue!AZ100+Revenue!AZ101+Revenue!AZ102)*Assumptions!$AJ$24)*(1+Revenue!AK93),IF(L$5=Assumptions!$M$45,Assumptions!$AJ$23+(Revenue!AZ100+Revenue!AZ101+Revenue!AZ102)*Assumptions!$AJ$24,0))</f>
        <v>21323.816913028371</v>
      </c>
    </row>
    <row r="868" spans="1:12">
      <c r="A868" s="408" t="s">
        <v>29</v>
      </c>
      <c r="B868" s="405"/>
      <c r="C868" s="403">
        <f>IF(C$5 &gt;= Assumptions!$M$45, Assumptions!AJ25, 0)</f>
        <v>0</v>
      </c>
      <c r="D868" s="403">
        <f>IF(D$5&gt;Assumptions!$M$45,C868*(1+Revenue!AC93)*(1+Assumptions!$M$10),IF(D$5=Assumptions!$M$45,Assumptions!$AJ25,0))</f>
        <v>0</v>
      </c>
      <c r="E868" s="403">
        <f>IF(E$5&gt;Assumptions!$M$45,D868*(1+Revenue!AD93)*(1+Assumptions!$M$10),IF(E$5=Assumptions!$M$45,Assumptions!$AJ25,0))</f>
        <v>0</v>
      </c>
      <c r="F868" s="403">
        <f>IF(F$5&gt;Assumptions!$M$45,E868*(1+Revenue!AE93)*(1+Assumptions!$M$10),IF(F$5=Assumptions!$M$45,Assumptions!$AJ25,0))</f>
        <v>0</v>
      </c>
      <c r="G868" s="403">
        <f>IF(G$5&gt;Assumptions!$M$45,F868*(1+Revenue!AF93)*(1+Assumptions!$M$10),IF(G$5=Assumptions!$M$45,Assumptions!$AJ25,0))</f>
        <v>0</v>
      </c>
      <c r="H868" s="403">
        <f>IF(H$5&gt;Assumptions!$M$45,G868*(1+Revenue!AG93)*(1+Assumptions!$M$10),IF(H$5=Assumptions!$M$45,Assumptions!$AJ25,0))</f>
        <v>0</v>
      </c>
      <c r="I868" s="403">
        <f>IF(I$5&gt;Assumptions!$M$45,H868*(1+Revenue!AH93)*(1+Assumptions!$M$10),IF(I$5=Assumptions!$M$45,Assumptions!$AJ25,0))</f>
        <v>0</v>
      </c>
      <c r="J868" s="403">
        <f>IF(J$5&gt;Assumptions!$M$45,I868*(1+Revenue!AI93)*(1+Assumptions!$M$10),IF(J$5=Assumptions!$M$45,Assumptions!$AJ25,0))</f>
        <v>0</v>
      </c>
      <c r="K868" s="403">
        <f>IF(K$5&gt;Assumptions!$M$45,J868*(1+Revenue!AJ93)*(1+Assumptions!$M$10),IF(K$5=Assumptions!$M$45,Assumptions!$AJ25,0))</f>
        <v>0</v>
      </c>
      <c r="L868" s="403">
        <f>IF(L$5&gt;Assumptions!$M$45,K868*(1+Revenue!AK93)*(1+Assumptions!$M$10),IF(L$5=Assumptions!$M$45,Assumptions!$AJ25,0))</f>
        <v>0</v>
      </c>
    </row>
    <row r="869" spans="1:12">
      <c r="A869" s="408" t="s">
        <v>279</v>
      </c>
      <c r="B869" s="405"/>
      <c r="C869" s="403">
        <f>IF(C$5 &gt;= Assumptions!$M$45, Assumptions!AJ26, 0)</f>
        <v>0</v>
      </c>
      <c r="D869" s="403">
        <f>IF(D$5 &gt; Assumptions!$M$45, C869*(1+Revenue!AC93)*(1+Assumptions!$J$11), IF(D$5 = Assumptions!$M$45, Assumptions!$AJ26, 0))</f>
        <v>0</v>
      </c>
      <c r="E869" s="403">
        <f>IF(E$5 &gt; Assumptions!$M$45, D869*(1+Revenue!AD93)*(1+Assumptions!$J$11), IF(E$5 = Assumptions!$M$45, Assumptions!$AJ26, 0))</f>
        <v>0</v>
      </c>
      <c r="F869" s="403">
        <f>IF(F$5 &gt; Assumptions!$M$45, E869*(1+Revenue!AE93)*(1+Assumptions!$J$11), IF(F$5 = Assumptions!$M$45, Assumptions!$AJ26, 0))</f>
        <v>0</v>
      </c>
      <c r="G869" s="403">
        <f>IF(G$5 &gt; Assumptions!$M$45, F869*(1+Revenue!AF93)*(1+Assumptions!$J$11), IF(G$5 = Assumptions!$M$45, Assumptions!$AJ26, 0))</f>
        <v>0</v>
      </c>
      <c r="H869" s="403">
        <f>IF(H$5 &gt; Assumptions!$M$45, G869*(1+Revenue!AG93)*(1+Assumptions!$J$11), IF(H$5 = Assumptions!$M$45, Assumptions!$AJ26, 0))</f>
        <v>0</v>
      </c>
      <c r="I869" s="403">
        <f>IF(I$5 &gt; Assumptions!$M$45, H869*(1+Revenue!AH93)*(1+Assumptions!$J$11), IF(I$5 = Assumptions!$M$45, Assumptions!$AJ26, 0))</f>
        <v>0</v>
      </c>
      <c r="J869" s="403">
        <f>IF(J$5 &gt; Assumptions!$M$45, I869*(1+Revenue!AI93)*(1+Assumptions!$J$11), IF(J$5 = Assumptions!$M$45, Assumptions!$AJ26, 0))</f>
        <v>0</v>
      </c>
      <c r="K869" s="403">
        <f>IF(K$5 &gt; Assumptions!$M$45, J869*(1+Revenue!AJ93)*(1+Assumptions!$J$11), IF(K$5 = Assumptions!$M$45, Assumptions!$AJ26, 0))</f>
        <v>0</v>
      </c>
      <c r="L869" s="403">
        <f>IF(L$5 &gt; Assumptions!$M$45, K869*(1+Revenue!AK93)*(1+Assumptions!$J$11), IF(L$5 = Assumptions!$M$45, Assumptions!$AJ26, 0))</f>
        <v>0</v>
      </c>
    </row>
    <row r="870" spans="1:12">
      <c r="A870" s="408" t="s">
        <v>31</v>
      </c>
      <c r="B870" s="405"/>
      <c r="C870" s="403">
        <f>IF(C$5 &gt;= Assumptions!$M$45, Assumptions!AJ27, 0)</f>
        <v>0</v>
      </c>
      <c r="D870" s="403">
        <f>IF(D$5 &gt; Assumptions!$M$45, C870*(1+Revenue!AC93), IF(D$5 = Assumptions!$M$45, Assumptions!$AJ27, 0))</f>
        <v>0</v>
      </c>
      <c r="E870" s="403">
        <f>IF(E$5 &gt; Assumptions!$M$45, D870*(1+Revenue!AD93), IF(E$5 = Assumptions!$M$45, Assumptions!$AJ27, 0))</f>
        <v>0</v>
      </c>
      <c r="F870" s="403">
        <f>IF(F$5 &gt; Assumptions!$M$45, E870*(1+Revenue!AE93), IF(F$5 = Assumptions!$M$45, Assumptions!$AJ27, 0))</f>
        <v>1200</v>
      </c>
      <c r="G870" s="403">
        <f>IF(G$5 &gt; Assumptions!$M$45, F870*(1+Revenue!AF93), IF(G$5 = Assumptions!$M$45, Assumptions!$AJ27, 0))</f>
        <v>1260</v>
      </c>
      <c r="H870" s="403">
        <f>IF(H$5 &gt; Assumptions!$M$45, G870*(1+Revenue!AG93), IF(H$5 = Assumptions!$M$45, Assumptions!$AJ27, 0))</f>
        <v>1323</v>
      </c>
      <c r="I870" s="403">
        <f>IF(I$5 &gt; Assumptions!$M$45, H870*(1+Revenue!AH93), IF(I$5 = Assumptions!$M$45, Assumptions!$AJ27, 0))</f>
        <v>1389.15</v>
      </c>
      <c r="J870" s="403">
        <f>IF(J$5 &gt; Assumptions!$M$45, I870*(1+Revenue!AI93), IF(J$5 = Assumptions!$M$45, Assumptions!$AJ27, 0))</f>
        <v>1458.6075000000001</v>
      </c>
      <c r="K870" s="403">
        <f>IF(K$5 &gt; Assumptions!$M$45, J870*(1+Revenue!AJ93), IF(K$5 = Assumptions!$M$45, Assumptions!$AJ27, 0))</f>
        <v>1531.5378750000002</v>
      </c>
      <c r="L870" s="403">
        <f>IF(L$5 &gt; Assumptions!$M$45, K870*(1+Revenue!AK93), IF(L$5 = Assumptions!$M$45, Assumptions!$AJ27, 0))</f>
        <v>1608.1147687500004</v>
      </c>
    </row>
    <row r="871" spans="1:12">
      <c r="A871" s="408" t="s">
        <v>33</v>
      </c>
      <c r="B871" s="405"/>
      <c r="C871" s="403">
        <f>IF(C$5 &gt;= Assumptions!$M$45, Assumptions!AJ28, 0)</f>
        <v>0</v>
      </c>
      <c r="D871" s="403">
        <f>IF(D$5 &gt; Assumptions!$M$45, C871*(1+Revenue!AC93), IF(D$5 = Assumptions!$M$45, Assumptions!$AJ28, 0))</f>
        <v>0</v>
      </c>
      <c r="E871" s="403">
        <f>IF(E$5 &gt; Assumptions!$M$45, D871*(1+Revenue!AD93), IF(E$5 = Assumptions!$M$45, Assumptions!$AJ28, 0))</f>
        <v>0</v>
      </c>
      <c r="F871" s="403">
        <f>IF(F$5 &gt; Assumptions!$M$45, E871*(1+Revenue!AE93), IF(F$5 = Assumptions!$M$45, Assumptions!$AJ28, 0))</f>
        <v>1000</v>
      </c>
      <c r="G871" s="403">
        <f>IF(G$5 &gt; Assumptions!$M$45, F871*(1+Revenue!AF93), IF(G$5 = Assumptions!$M$45, Assumptions!$AJ28, 0))</f>
        <v>1050</v>
      </c>
      <c r="H871" s="403">
        <f>IF(H$5 &gt; Assumptions!$M$45, G871*(1+Revenue!AG93), IF(H$5 = Assumptions!$M$45, Assumptions!$AJ28, 0))</f>
        <v>1102.5</v>
      </c>
      <c r="I871" s="403">
        <f>IF(I$5 &gt; Assumptions!$M$45, H871*(1+Revenue!AH93), IF(I$5 = Assumptions!$M$45, Assumptions!$AJ28, 0))</f>
        <v>1157.625</v>
      </c>
      <c r="J871" s="403">
        <f>IF(J$5 &gt; Assumptions!$M$45, I871*(1+Revenue!AI93), IF(J$5 = Assumptions!$M$45, Assumptions!$AJ28, 0))</f>
        <v>1215.5062500000001</v>
      </c>
      <c r="K871" s="403">
        <f>IF(K$5 &gt; Assumptions!$M$45, J871*(1+Revenue!AJ93), IF(K$5 = Assumptions!$M$45, Assumptions!$AJ28, 0))</f>
        <v>1276.2815625000003</v>
      </c>
      <c r="L871" s="403">
        <f>IF(L$5 &gt; Assumptions!$M$45, K871*(1+Revenue!AK93), IF(L$5 = Assumptions!$M$45, Assumptions!$AJ28, 0))</f>
        <v>1340.0956406250004</v>
      </c>
    </row>
    <row r="872" spans="1:12">
      <c r="A872" s="408" t="s">
        <v>35</v>
      </c>
      <c r="B872" s="405"/>
      <c r="C872" s="403">
        <f>IF(C$5 &gt;= Assumptions!$M$45, Assumptions!AJ29, 0)</f>
        <v>0</v>
      </c>
      <c r="D872" s="403">
        <f>IF(D$5 &gt; Assumptions!$M$45, C872*(1+Revenue!AC93), IF(D$5 = Assumptions!$M$45, Assumptions!$AJ29, 0))</f>
        <v>0</v>
      </c>
      <c r="E872" s="403">
        <f>IF(E$5 &gt; Assumptions!$M$45, D872*(1+Revenue!AD93), IF(E$5 = Assumptions!$M$45, Assumptions!$AJ29, 0))</f>
        <v>0</v>
      </c>
      <c r="F872" s="403">
        <f>IF(F$5 &gt; Assumptions!$M$45, E872*(1+Revenue!AE93), IF(F$5 = Assumptions!$M$45, Assumptions!$AJ29, 0))</f>
        <v>5000</v>
      </c>
      <c r="G872" s="403">
        <f>IF(G$5 &gt; Assumptions!$M$45, F872*(1+Revenue!AF93), IF(G$5 = Assumptions!$M$45, Assumptions!$AJ29, 0))</f>
        <v>5250</v>
      </c>
      <c r="H872" s="403">
        <f>IF(H$5 &gt; Assumptions!$M$45, G872*(1+Revenue!AG93), IF(H$5 = Assumptions!$M$45, Assumptions!$AJ29, 0))</f>
        <v>5512.5</v>
      </c>
      <c r="I872" s="403">
        <f>IF(I$5 &gt; Assumptions!$M$45, H872*(1+Revenue!AH93), IF(I$5 = Assumptions!$M$45, Assumptions!$AJ29, 0))</f>
        <v>5788.125</v>
      </c>
      <c r="J872" s="403">
        <f>IF(J$5 &gt; Assumptions!$M$45, I872*(1+Revenue!AI93), IF(J$5 = Assumptions!$M$45, Assumptions!$AJ29, 0))</f>
        <v>6077.53125</v>
      </c>
      <c r="K872" s="403">
        <f>IF(K$5 &gt; Assumptions!$M$45, J872*(1+Revenue!AJ93), IF(K$5 = Assumptions!$M$45, Assumptions!$AJ29, 0))</f>
        <v>6381.4078125000005</v>
      </c>
      <c r="L872" s="403">
        <f>IF(L$5 &gt; Assumptions!$M$45, K872*(1+Revenue!AK93), IF(L$5 = Assumptions!$M$45, Assumptions!$AJ29, 0))</f>
        <v>6700.4782031250006</v>
      </c>
    </row>
    <row r="873" spans="1:12">
      <c r="A873" s="408"/>
      <c r="B873" s="405"/>
      <c r="C873" s="403"/>
      <c r="D873" s="403"/>
      <c r="E873" s="403"/>
      <c r="F873" s="403"/>
      <c r="G873" s="403"/>
      <c r="H873" s="403"/>
      <c r="I873" s="403"/>
      <c r="J873" s="403"/>
      <c r="K873" s="403"/>
      <c r="L873" s="403"/>
    </row>
    <row r="874" spans="1:12" ht="15.5">
      <c r="A874" s="409" t="s">
        <v>156</v>
      </c>
      <c r="B874" s="405"/>
      <c r="C874" s="403">
        <f t="shared" ref="C874:L874" si="214">SUM(C859:C872)</f>
        <v>0</v>
      </c>
      <c r="D874" s="403">
        <f t="shared" si="214"/>
        <v>0</v>
      </c>
      <c r="E874" s="403">
        <f t="shared" si="214"/>
        <v>0</v>
      </c>
      <c r="F874" s="403">
        <f t="shared" si="214"/>
        <v>5732500</v>
      </c>
      <c r="G874" s="403">
        <f t="shared" ca="1" si="214"/>
        <v>8290285.8601262383</v>
      </c>
      <c r="H874" s="403">
        <f t="shared" ca="1" si="214"/>
        <v>9969892.0221534241</v>
      </c>
      <c r="I874" s="403">
        <f t="shared" ca="1" si="214"/>
        <v>11129744.852766724</v>
      </c>
      <c r="J874" s="403">
        <f t="shared" ca="1" si="214"/>
        <v>12464536.137365935</v>
      </c>
      <c r="K874" s="403">
        <f t="shared" ca="1" si="214"/>
        <v>14005164.670966165</v>
      </c>
      <c r="L874" s="403">
        <f t="shared" ca="1" si="214"/>
        <v>13302992.713523645</v>
      </c>
    </row>
    <row r="875" spans="1:12" ht="15.5">
      <c r="A875" s="409"/>
      <c r="B875" s="405"/>
      <c r="C875" s="403"/>
      <c r="D875" s="403"/>
      <c r="E875" s="403"/>
      <c r="F875" s="403"/>
      <c r="G875" s="403"/>
      <c r="H875" s="403"/>
      <c r="I875" s="403"/>
      <c r="J875" s="403"/>
      <c r="K875" s="403"/>
      <c r="L875" s="403"/>
    </row>
    <row r="876" spans="1:12" ht="15.5">
      <c r="A876" s="409" t="s">
        <v>36</v>
      </c>
      <c r="B876" s="405"/>
      <c r="C876" s="403"/>
      <c r="D876" s="403"/>
      <c r="E876" s="403"/>
      <c r="F876" s="403"/>
      <c r="G876" s="403"/>
      <c r="H876" s="403"/>
      <c r="I876" s="403"/>
      <c r="J876" s="403"/>
      <c r="K876" s="403"/>
      <c r="L876" s="403"/>
    </row>
    <row r="877" spans="1:12">
      <c r="A877" s="408" t="s">
        <v>38</v>
      </c>
      <c r="B877" s="405"/>
      <c r="C877" s="403">
        <f>IF(C$5 &gt;= Assumptions!$M$45, Assumptions!$AV22, 0)</f>
        <v>0</v>
      </c>
      <c r="D877" s="403">
        <f>IF(D$5 &gt; Assumptions!$M$45, C877*(1+Revenue!AC93), IF(D$5 = Assumptions!$M$45, Assumptions!$AV22, 0))</f>
        <v>0</v>
      </c>
      <c r="E877" s="403">
        <f>IF(E$5 &gt; Assumptions!$M$45, D877*(1+Revenue!AD93), IF(E$5 = Assumptions!$M$45, Assumptions!$AV22, 0))</f>
        <v>0</v>
      </c>
      <c r="F877" s="403">
        <f>IF(F$5 &gt; Assumptions!$M$45, E877*(1+Revenue!AE93), IF(F$5 = Assumptions!$M$45, Assumptions!$AV22, 0))</f>
        <v>5000</v>
      </c>
      <c r="G877" s="403">
        <f>IF(G$5 &gt; Assumptions!$M$45, F877*(1+Revenue!AF93), IF(G$5 = Assumptions!$M$45, Assumptions!$AV22, 0))</f>
        <v>5250</v>
      </c>
      <c r="H877" s="403">
        <f>IF(H$5 &gt; Assumptions!$M$45, G877*(1+Revenue!AG93), IF(H$5 = Assumptions!$M$45, Assumptions!$AV22, 0))</f>
        <v>5512.5</v>
      </c>
      <c r="I877" s="403">
        <f>IF(I$5 &gt; Assumptions!$M$45, H877*(1+Revenue!AH93), IF(I$5 = Assumptions!$M$45, Assumptions!$AV22, 0))</f>
        <v>5788.125</v>
      </c>
      <c r="J877" s="403">
        <f>IF(J$5 &gt; Assumptions!$M$45, I877*(1+Revenue!AI93), IF(J$5 = Assumptions!$M$45, Assumptions!$AV22, 0))</f>
        <v>6077.53125</v>
      </c>
      <c r="K877" s="403">
        <f>IF(K$5 &gt; Assumptions!$M$45, J877*(1+Revenue!AJ93), IF(K$5 = Assumptions!$M$45, Assumptions!$AV22, 0))</f>
        <v>6381.4078125000005</v>
      </c>
      <c r="L877" s="403">
        <f>IF(L$5 &gt; Assumptions!$M$45, K877*(1+Revenue!AK93), IF(L$5 = Assumptions!$M$45, Assumptions!$AV22, 0))</f>
        <v>6700.4782031250006</v>
      </c>
    </row>
    <row r="878" spans="1:12">
      <c r="A878" s="408" t="s">
        <v>39</v>
      </c>
      <c r="B878" s="405"/>
      <c r="C878" s="403">
        <f>IF(C$5 &gt;= Assumptions!$M$45, Assumptions!$AV23, 0)</f>
        <v>0</v>
      </c>
      <c r="D878" s="403">
        <f>IF(D$5 &gt; Assumptions!$M$45, C878*(1+Revenue!AC93), IF(D$5 = Assumptions!$M$45, Assumptions!$AV23, 0))</f>
        <v>0</v>
      </c>
      <c r="E878" s="403">
        <f>IF(E$5 &gt; Assumptions!$M$45, D878*(1+Revenue!AD93), IF(E$5 = Assumptions!$M$45, Assumptions!$AV23, 0))</f>
        <v>0</v>
      </c>
      <c r="F878" s="403">
        <f>IF(F$5 &gt; Assumptions!$M$45, E878*(1+Revenue!AE93), IF(F$5 = Assumptions!$M$45, Assumptions!$AV23, 0))</f>
        <v>500</v>
      </c>
      <c r="G878" s="403">
        <f>IF(G$5 &gt; Assumptions!$M$45, F878*(1+Revenue!AF93), IF(G$5 = Assumptions!$M$45, Assumptions!$AV23, 0))</f>
        <v>525</v>
      </c>
      <c r="H878" s="403">
        <f>IF(H$5 &gt; Assumptions!$M$45, G878*(1+Revenue!AG93), IF(H$5 = Assumptions!$M$45, Assumptions!$AV23, 0))</f>
        <v>551.25</v>
      </c>
      <c r="I878" s="403">
        <f>IF(I$5 &gt; Assumptions!$M$45, H878*(1+Revenue!AH93), IF(I$5 = Assumptions!$M$45, Assumptions!$AV23, 0))</f>
        <v>578.8125</v>
      </c>
      <c r="J878" s="403">
        <f>IF(J$5 &gt; Assumptions!$M$45, I878*(1+Revenue!AI93), IF(J$5 = Assumptions!$M$45, Assumptions!$AV23, 0))</f>
        <v>607.75312500000007</v>
      </c>
      <c r="K878" s="403">
        <f>IF(K$5 &gt; Assumptions!$M$45, J878*(1+Revenue!AJ93), IF(K$5 = Assumptions!$M$45, Assumptions!$AV23, 0))</f>
        <v>638.14078125000015</v>
      </c>
      <c r="L878" s="403">
        <f>IF(L$5 &gt; Assumptions!$M$45, K878*(1+Revenue!AK93), IF(L$5 = Assumptions!$M$45, Assumptions!$AV23, 0))</f>
        <v>670.04782031250022</v>
      </c>
    </row>
    <row r="879" spans="1:12">
      <c r="A879" s="408"/>
      <c r="B879" s="405"/>
      <c r="C879" s="403"/>
      <c r="D879" s="403"/>
      <c r="E879" s="403"/>
      <c r="F879" s="403"/>
      <c r="G879" s="403"/>
      <c r="H879" s="403"/>
      <c r="I879" s="403"/>
      <c r="J879" s="403"/>
      <c r="K879" s="403"/>
      <c r="L879" s="403"/>
    </row>
    <row r="880" spans="1:12" ht="15.5">
      <c r="A880" s="409" t="s">
        <v>157</v>
      </c>
      <c r="B880" s="405"/>
      <c r="C880" s="403">
        <f t="shared" ref="C880:L880" si="215">SUM(C877:C878)</f>
        <v>0</v>
      </c>
      <c r="D880" s="403">
        <f t="shared" si="215"/>
        <v>0</v>
      </c>
      <c r="E880" s="403">
        <f t="shared" si="215"/>
        <v>0</v>
      </c>
      <c r="F880" s="403">
        <f t="shared" si="215"/>
        <v>5500</v>
      </c>
      <c r="G880" s="403">
        <f t="shared" si="215"/>
        <v>5775</v>
      </c>
      <c r="H880" s="403">
        <f t="shared" si="215"/>
        <v>6063.75</v>
      </c>
      <c r="I880" s="403">
        <f t="shared" si="215"/>
        <v>6366.9375</v>
      </c>
      <c r="J880" s="403">
        <f t="shared" si="215"/>
        <v>6685.2843750000002</v>
      </c>
      <c r="K880" s="403">
        <f t="shared" si="215"/>
        <v>7019.5485937500007</v>
      </c>
      <c r="L880" s="403">
        <f t="shared" si="215"/>
        <v>7370.526023437501</v>
      </c>
    </row>
    <row r="881" spans="1:12">
      <c r="A881" s="408"/>
      <c r="B881" s="405"/>
      <c r="C881" s="403"/>
      <c r="D881" s="403"/>
      <c r="E881" s="403"/>
      <c r="F881" s="403"/>
      <c r="G881" s="403"/>
      <c r="H881" s="403"/>
      <c r="I881" s="403"/>
      <c r="J881" s="403"/>
      <c r="K881" s="403"/>
      <c r="L881" s="403"/>
    </row>
    <row r="882" spans="1:12" ht="15.5">
      <c r="A882" s="409" t="s">
        <v>112</v>
      </c>
      <c r="B882" s="405"/>
      <c r="C882" s="403">
        <f t="shared" ref="C882:L882" si="216">C855+C874+C880</f>
        <v>0</v>
      </c>
      <c r="D882" s="403">
        <f t="shared" si="216"/>
        <v>0</v>
      </c>
      <c r="E882" s="403">
        <f t="shared" si="216"/>
        <v>0</v>
      </c>
      <c r="F882" s="403">
        <f t="shared" si="216"/>
        <v>5773000</v>
      </c>
      <c r="G882" s="403">
        <f t="shared" ca="1" si="216"/>
        <v>8296060.8601262383</v>
      </c>
      <c r="H882" s="403">
        <f t="shared" ca="1" si="216"/>
        <v>9975955.7721534241</v>
      </c>
      <c r="I882" s="403">
        <f t="shared" ca="1" si="216"/>
        <v>11136111.790266724</v>
      </c>
      <c r="J882" s="403">
        <f t="shared" ca="1" si="216"/>
        <v>12471221.421740936</v>
      </c>
      <c r="K882" s="403">
        <f t="shared" ca="1" si="216"/>
        <v>14012184.219559915</v>
      </c>
      <c r="L882" s="403">
        <f t="shared" ca="1" si="216"/>
        <v>13310363.239547083</v>
      </c>
    </row>
    <row r="883" spans="1:12">
      <c r="A883" s="408"/>
      <c r="B883" s="405"/>
      <c r="C883" s="403"/>
      <c r="D883" s="403"/>
      <c r="E883" s="403"/>
      <c r="F883" s="403"/>
      <c r="G883" s="403"/>
      <c r="H883" s="403"/>
      <c r="I883" s="403"/>
      <c r="J883" s="403"/>
      <c r="K883" s="403"/>
      <c r="L883" s="403"/>
    </row>
    <row r="884" spans="1:12" ht="15.5">
      <c r="A884" s="409" t="s">
        <v>372</v>
      </c>
      <c r="B884" s="405"/>
      <c r="C884" s="403">
        <f>C841-C882</f>
        <v>0</v>
      </c>
      <c r="D884" s="403">
        <f t="shared" ref="D884:L884" si="217">D841-D882</f>
        <v>0</v>
      </c>
      <c r="E884" s="403">
        <f t="shared" si="217"/>
        <v>0</v>
      </c>
      <c r="F884" s="403">
        <f t="shared" si="217"/>
        <v>10256000</v>
      </c>
      <c r="G884" s="403">
        <f t="shared" ca="1" si="217"/>
        <v>13620464.61510871</v>
      </c>
      <c r="H884" s="403">
        <f t="shared" ca="1" si="217"/>
        <v>16403128.667912653</v>
      </c>
      <c r="I884" s="403">
        <f t="shared" ca="1" si="217"/>
        <v>18375703.106679328</v>
      </c>
      <c r="J884" s="403">
        <f t="shared" ca="1" si="217"/>
        <v>20647533.074539423</v>
      </c>
      <c r="K884" s="403">
        <f t="shared" ca="1" si="217"/>
        <v>23272078.465331689</v>
      </c>
      <c r="L884" s="403">
        <f t="shared" ca="1" si="217"/>
        <v>21804480.467032753</v>
      </c>
    </row>
    <row r="885" spans="1:12">
      <c r="A885" s="408"/>
      <c r="B885" s="405"/>
      <c r="C885" s="403"/>
      <c r="D885" s="403"/>
      <c r="E885" s="403"/>
      <c r="F885" s="403"/>
      <c r="G885" s="403"/>
      <c r="H885" s="403"/>
      <c r="I885" s="403"/>
      <c r="J885" s="403"/>
      <c r="K885" s="403"/>
      <c r="L885" s="403"/>
    </row>
    <row r="886" spans="1:12">
      <c r="A886" s="408" t="s">
        <v>159</v>
      </c>
      <c r="B886" s="405"/>
      <c r="C886" s="403">
        <v>0</v>
      </c>
      <c r="D886" s="403">
        <v>0</v>
      </c>
      <c r="E886" s="403">
        <v>0</v>
      </c>
      <c r="F886" s="403">
        <v>0</v>
      </c>
      <c r="G886" s="403">
        <v>0</v>
      </c>
      <c r="H886" s="403">
        <v>0</v>
      </c>
      <c r="I886" s="403">
        <v>0</v>
      </c>
      <c r="J886" s="403">
        <v>0</v>
      </c>
      <c r="K886" s="403">
        <v>0</v>
      </c>
      <c r="L886" s="403">
        <v>0</v>
      </c>
    </row>
    <row r="887" spans="1:12">
      <c r="A887" s="408" t="s">
        <v>160</v>
      </c>
      <c r="B887" s="405"/>
      <c r="C887" s="403">
        <v>0</v>
      </c>
      <c r="D887" s="403">
        <v>0</v>
      </c>
      <c r="E887" s="403">
        <v>0</v>
      </c>
      <c r="F887" s="403">
        <v>0</v>
      </c>
      <c r="G887" s="403">
        <v>0</v>
      </c>
      <c r="H887" s="403">
        <v>0</v>
      </c>
      <c r="I887" s="403">
        <v>0</v>
      </c>
      <c r="J887" s="403">
        <v>0</v>
      </c>
      <c r="K887" s="403">
        <v>0</v>
      </c>
      <c r="L887" s="403">
        <v>0</v>
      </c>
    </row>
    <row r="888" spans="1:12">
      <c r="A888" s="408"/>
      <c r="B888" s="405"/>
      <c r="C888" s="403"/>
      <c r="D888" s="403"/>
      <c r="E888" s="403"/>
      <c r="F888" s="403"/>
      <c r="G888" s="403"/>
      <c r="H888" s="403"/>
      <c r="I888" s="403"/>
      <c r="J888" s="403"/>
      <c r="K888" s="403"/>
      <c r="L888" s="403"/>
    </row>
    <row r="889" spans="1:12" ht="15.5">
      <c r="A889" s="409" t="s">
        <v>373</v>
      </c>
      <c r="B889" s="405"/>
      <c r="C889" s="403">
        <f>C884-C886-C887</f>
        <v>0</v>
      </c>
      <c r="D889" s="403">
        <f t="shared" ref="D889:L889" si="218">D884-D886-D887</f>
        <v>0</v>
      </c>
      <c r="E889" s="403">
        <f t="shared" si="218"/>
        <v>0</v>
      </c>
      <c r="F889" s="403">
        <f t="shared" si="218"/>
        <v>10256000</v>
      </c>
      <c r="G889" s="403">
        <f t="shared" ca="1" si="218"/>
        <v>13620464.61510871</v>
      </c>
      <c r="H889" s="403">
        <f t="shared" ca="1" si="218"/>
        <v>16403128.667912653</v>
      </c>
      <c r="I889" s="403">
        <f t="shared" ca="1" si="218"/>
        <v>18375703.106679328</v>
      </c>
      <c r="J889" s="403">
        <f t="shared" ca="1" si="218"/>
        <v>20647533.074539423</v>
      </c>
      <c r="K889" s="403">
        <f t="shared" ca="1" si="218"/>
        <v>23272078.465331689</v>
      </c>
      <c r="L889" s="403">
        <f t="shared" ca="1" si="218"/>
        <v>21804480.467032753</v>
      </c>
    </row>
    <row r="890" spans="1:12">
      <c r="A890" s="408"/>
      <c r="B890" s="405"/>
      <c r="C890" s="403"/>
      <c r="D890" s="403"/>
      <c r="E890" s="403"/>
      <c r="F890" s="403"/>
      <c r="G890" s="403"/>
      <c r="H890" s="403"/>
      <c r="I890" s="403"/>
      <c r="J890" s="403"/>
      <c r="K890" s="403"/>
      <c r="L890" s="403"/>
    </row>
    <row r="891" spans="1:12">
      <c r="A891" s="408" t="s">
        <v>162</v>
      </c>
      <c r="B891" s="405"/>
      <c r="C891" s="403">
        <v>0</v>
      </c>
      <c r="D891" s="403">
        <v>0</v>
      </c>
      <c r="E891" s="403">
        <v>0</v>
      </c>
      <c r="F891" s="403">
        <v>0</v>
      </c>
      <c r="G891" s="403">
        <v>0</v>
      </c>
      <c r="H891" s="403">
        <v>0</v>
      </c>
      <c r="I891" s="403">
        <v>0</v>
      </c>
      <c r="J891" s="403">
        <v>0</v>
      </c>
      <c r="K891" s="403">
        <v>0</v>
      </c>
      <c r="L891" s="403">
        <v>0</v>
      </c>
    </row>
    <row r="892" spans="1:12">
      <c r="A892" s="408"/>
      <c r="B892" s="405"/>
      <c r="C892" s="403"/>
      <c r="D892" s="403"/>
      <c r="E892" s="403"/>
      <c r="F892" s="403"/>
      <c r="G892" s="403"/>
      <c r="H892" s="403"/>
      <c r="I892" s="403"/>
      <c r="J892" s="403"/>
      <c r="K892" s="403"/>
      <c r="L892" s="403"/>
    </row>
    <row r="893" spans="1:12" ht="15.5">
      <c r="A893" s="409" t="s">
        <v>374</v>
      </c>
      <c r="B893" s="405"/>
      <c r="C893" s="403">
        <f>C889-C891</f>
        <v>0</v>
      </c>
      <c r="D893" s="403">
        <f t="shared" ref="D893:L893" si="219">D889-D891</f>
        <v>0</v>
      </c>
      <c r="E893" s="403">
        <f t="shared" si="219"/>
        <v>0</v>
      </c>
      <c r="F893" s="403">
        <f t="shared" si="219"/>
        <v>10256000</v>
      </c>
      <c r="G893" s="403">
        <f t="shared" ca="1" si="219"/>
        <v>13620464.61510871</v>
      </c>
      <c r="H893" s="403">
        <f t="shared" ca="1" si="219"/>
        <v>16403128.667912653</v>
      </c>
      <c r="I893" s="403">
        <f t="shared" ca="1" si="219"/>
        <v>18375703.106679328</v>
      </c>
      <c r="J893" s="403">
        <f t="shared" ca="1" si="219"/>
        <v>20647533.074539423</v>
      </c>
      <c r="K893" s="403">
        <f t="shared" ca="1" si="219"/>
        <v>23272078.465331689</v>
      </c>
      <c r="L893" s="403">
        <f t="shared" ca="1" si="219"/>
        <v>21804480.467032753</v>
      </c>
    </row>
    <row r="894" spans="1:12">
      <c r="A894" s="408"/>
      <c r="B894" s="405"/>
      <c r="C894" s="403"/>
      <c r="D894" s="403"/>
      <c r="E894" s="403"/>
      <c r="F894" s="403"/>
      <c r="G894" s="403"/>
      <c r="H894" s="403"/>
      <c r="I894" s="403"/>
      <c r="J894" s="403"/>
      <c r="K894" s="403"/>
      <c r="L894" s="403"/>
    </row>
    <row r="895" spans="1:12">
      <c r="A895" s="408" t="s">
        <v>164</v>
      </c>
      <c r="B895" s="405"/>
      <c r="C895" s="403">
        <f>C893*Assumptions!$Y$23</f>
        <v>0</v>
      </c>
      <c r="D895" s="403">
        <f>D893*Assumptions!$Y$23</f>
        <v>0</v>
      </c>
      <c r="E895" s="403">
        <f>E893*Assumptions!$Y$23</f>
        <v>0</v>
      </c>
      <c r="F895" s="403">
        <f>F893*Assumptions!$Y$23</f>
        <v>2769120</v>
      </c>
      <c r="G895" s="403">
        <f ca="1">G893*Assumptions!$Y$23</f>
        <v>3677525.4460793519</v>
      </c>
      <c r="H895" s="403">
        <f ca="1">H893*Assumptions!$Y$23</f>
        <v>4428844.7403364163</v>
      </c>
      <c r="I895" s="403">
        <f ca="1">I893*Assumptions!$Y$23</f>
        <v>4961439.8388034189</v>
      </c>
      <c r="J895" s="403">
        <f ca="1">J893*Assumptions!$Y$23</f>
        <v>5574833.9301256444</v>
      </c>
      <c r="K895" s="403">
        <f ca="1">K893*Assumptions!$Y$23</f>
        <v>6283461.1856395565</v>
      </c>
      <c r="L895" s="403">
        <f ca="1">L893*Assumptions!$Y$23</f>
        <v>5887209.7260988439</v>
      </c>
    </row>
    <row r="896" spans="1:12">
      <c r="A896" s="408"/>
      <c r="B896" s="405"/>
      <c r="C896" s="403"/>
      <c r="D896" s="403"/>
      <c r="E896" s="403"/>
      <c r="F896" s="403"/>
      <c r="G896" s="403"/>
      <c r="H896" s="403"/>
      <c r="I896" s="403"/>
      <c r="J896" s="403"/>
      <c r="K896" s="403"/>
      <c r="L896" s="403"/>
    </row>
    <row r="897" spans="1:12" ht="15.5">
      <c r="A897" s="409" t="s">
        <v>97</v>
      </c>
      <c r="B897" s="405"/>
      <c r="C897" s="403">
        <f>C893-C895</f>
        <v>0</v>
      </c>
      <c r="D897" s="403">
        <f t="shared" ref="D897:L897" si="220">D893-D895</f>
        <v>0</v>
      </c>
      <c r="E897" s="403">
        <f t="shared" si="220"/>
        <v>0</v>
      </c>
      <c r="F897" s="403">
        <f t="shared" si="220"/>
        <v>7486880</v>
      </c>
      <c r="G897" s="403">
        <f t="shared" ca="1" si="220"/>
        <v>9942939.1690293588</v>
      </c>
      <c r="H897" s="403">
        <f t="shared" ca="1" si="220"/>
        <v>11974283.927576236</v>
      </c>
      <c r="I897" s="403">
        <f t="shared" ca="1" si="220"/>
        <v>13414263.26787591</v>
      </c>
      <c r="J897" s="403">
        <f t="shared" ca="1" si="220"/>
        <v>15072699.144413779</v>
      </c>
      <c r="K897" s="403">
        <f t="shared" ca="1" si="220"/>
        <v>16988617.279692132</v>
      </c>
      <c r="L897" s="403">
        <f t="shared" ca="1" si="220"/>
        <v>15917270.74093391</v>
      </c>
    </row>
    <row r="898" spans="1:12">
      <c r="A898" s="408"/>
      <c r="B898" s="405"/>
      <c r="C898" s="403"/>
      <c r="D898" s="403"/>
      <c r="E898" s="403"/>
      <c r="F898" s="403"/>
      <c r="G898" s="403"/>
      <c r="H898" s="403"/>
      <c r="I898" s="403"/>
      <c r="J898" s="403"/>
      <c r="K898" s="403"/>
      <c r="L898" s="403"/>
    </row>
    <row r="899" spans="1:12" ht="16" thickBot="1">
      <c r="A899" s="412" t="s">
        <v>165</v>
      </c>
      <c r="B899" s="406"/>
      <c r="C899" s="407">
        <f>C897</f>
        <v>0</v>
      </c>
      <c r="D899" s="407">
        <f t="shared" ref="D899:L899" si="221">C899+D897</f>
        <v>0</v>
      </c>
      <c r="E899" s="407">
        <f t="shared" si="221"/>
        <v>0</v>
      </c>
      <c r="F899" s="407">
        <f t="shared" si="221"/>
        <v>7486880</v>
      </c>
      <c r="G899" s="407">
        <f t="shared" ca="1" si="221"/>
        <v>17429819.169029359</v>
      </c>
      <c r="H899" s="407">
        <f t="shared" ca="1" si="221"/>
        <v>29404103.096605595</v>
      </c>
      <c r="I899" s="407">
        <f t="shared" ca="1" si="221"/>
        <v>42818366.364481509</v>
      </c>
      <c r="J899" s="407">
        <f t="shared" ca="1" si="221"/>
        <v>57891065.508895285</v>
      </c>
      <c r="K899" s="407">
        <f t="shared" ca="1" si="221"/>
        <v>74879682.788587421</v>
      </c>
      <c r="L899" s="407">
        <f t="shared" ca="1" si="221"/>
        <v>90796953.529521331</v>
      </c>
    </row>
    <row r="900" spans="1:12" ht="15" thickTop="1">
      <c r="B900" s="419"/>
      <c r="C900" s="420"/>
      <c r="D900" s="420"/>
      <c r="E900" s="420"/>
      <c r="F900" s="420"/>
      <c r="G900" s="420"/>
      <c r="H900" s="420"/>
      <c r="I900" s="420"/>
      <c r="J900" s="420"/>
      <c r="K900" s="420"/>
      <c r="L900" s="420"/>
    </row>
    <row r="901" spans="1:12" ht="15.5">
      <c r="A901" s="413" t="s">
        <v>382</v>
      </c>
      <c r="B901" s="405"/>
      <c r="C901" s="135"/>
      <c r="D901" s="135"/>
      <c r="E901" s="135"/>
      <c r="F901" s="135"/>
      <c r="G901" s="135"/>
      <c r="H901" s="135"/>
      <c r="I901" s="135"/>
      <c r="J901" s="135"/>
      <c r="K901" s="135"/>
      <c r="L901" s="136"/>
    </row>
    <row r="902" spans="1:12" ht="15.5">
      <c r="A902" s="414" t="s">
        <v>355</v>
      </c>
      <c r="B902" s="405"/>
      <c r="C902" s="48"/>
      <c r="D902" s="48"/>
      <c r="E902" s="48"/>
      <c r="F902" s="48"/>
      <c r="G902" s="48"/>
      <c r="H902" s="48"/>
      <c r="I902" s="48"/>
      <c r="J902" s="48"/>
      <c r="K902" s="48"/>
      <c r="L902" s="48"/>
    </row>
    <row r="903" spans="1:12">
      <c r="A903" s="415" t="s">
        <v>289</v>
      </c>
      <c r="B903" s="405"/>
      <c r="C903" s="133">
        <f>Revenue!Q128</f>
        <v>0</v>
      </c>
      <c r="D903" s="133">
        <f>Revenue!R128</f>
        <v>0</v>
      </c>
      <c r="E903" s="133">
        <f>Revenue!S128</f>
        <v>0</v>
      </c>
      <c r="F903" s="133">
        <f>Revenue!T128</f>
        <v>1540</v>
      </c>
      <c r="G903" s="133">
        <f ca="1">Revenue!U128</f>
        <v>1631.7674771650786</v>
      </c>
      <c r="H903" s="133">
        <f ca="1">Revenue!V128</f>
        <v>1734.2209598142053</v>
      </c>
      <c r="I903" s="133">
        <f ca="1">Revenue!W128</f>
        <v>1848.9668713832862</v>
      </c>
      <c r="J903" s="133">
        <f ca="1">Revenue!X128</f>
        <v>1977.022188575603</v>
      </c>
      <c r="K903" s="133">
        <f ca="1">Revenue!Y128</f>
        <v>2121.0046089803336</v>
      </c>
      <c r="L903" s="133">
        <f ca="1">Revenue!Z128</f>
        <v>2282.3296862690281</v>
      </c>
    </row>
    <row r="904" spans="1:12">
      <c r="A904" s="415" t="s">
        <v>60</v>
      </c>
      <c r="B904" s="405"/>
      <c r="C904" s="403">
        <f>Revenue!C128</f>
        <v>0</v>
      </c>
      <c r="D904" s="403">
        <f>Revenue!D128</f>
        <v>0</v>
      </c>
      <c r="E904" s="403">
        <f>Revenue!E128</f>
        <v>0</v>
      </c>
      <c r="F904" s="403">
        <f>Revenue!F128</f>
        <v>5000</v>
      </c>
      <c r="G904" s="403">
        <f>Revenue!G128</f>
        <v>5115</v>
      </c>
      <c r="H904" s="403">
        <f>Revenue!H128</f>
        <v>5232.6449999999995</v>
      </c>
      <c r="I904" s="403">
        <f>Revenue!I128</f>
        <v>5352.9958349999988</v>
      </c>
      <c r="J904" s="403">
        <f>Revenue!J128</f>
        <v>5476.1147392049979</v>
      </c>
      <c r="K904" s="403">
        <f>Revenue!K128</f>
        <v>5602.065378206712</v>
      </c>
      <c r="L904" s="403">
        <f>Revenue!L128</f>
        <v>5730.9128819054658</v>
      </c>
    </row>
    <row r="905" spans="1:12">
      <c r="A905" s="415" t="s">
        <v>366</v>
      </c>
      <c r="B905" s="405"/>
      <c r="C905" s="403">
        <f t="shared" ref="C905" si="222">C903*C904</f>
        <v>0</v>
      </c>
      <c r="D905" s="403">
        <f t="shared" ref="D905" si="223">D903*D904</f>
        <v>0</v>
      </c>
      <c r="E905" s="403">
        <f t="shared" ref="E905" si="224">E903*E904</f>
        <v>0</v>
      </c>
      <c r="F905" s="403">
        <f t="shared" ref="F905" si="225">F903*F904</f>
        <v>7700000</v>
      </c>
      <c r="G905" s="403">
        <f t="shared" ref="G905" ca="1" si="226">G903*G904</f>
        <v>8346490.6456993772</v>
      </c>
      <c r="H905" s="403">
        <f t="shared" ref="H905" ca="1" si="227">H903*H904</f>
        <v>9074562.6342670023</v>
      </c>
      <c r="I905" s="403">
        <f t="shared" ref="I905" ca="1" si="228">I903*I904</f>
        <v>9897511.9615677092</v>
      </c>
      <c r="J905" s="403">
        <f t="shared" ref="J905" ca="1" si="229">J903*J904</f>
        <v>10826400.346594183</v>
      </c>
      <c r="K905" s="403">
        <f t="shared" ref="K905" ca="1" si="230">K903*K904</f>
        <v>11882006.486985592</v>
      </c>
      <c r="L905" s="403">
        <f t="shared" ref="L905" ca="1" si="231">L903*L904</f>
        <v>13079832.599794434</v>
      </c>
    </row>
    <row r="906" spans="1:12" ht="15.5">
      <c r="A906" s="416" t="s">
        <v>356</v>
      </c>
      <c r="B906" s="405"/>
      <c r="C906" s="48"/>
      <c r="D906" s="48"/>
      <c r="E906" s="48"/>
      <c r="F906" s="48"/>
      <c r="G906" s="48"/>
      <c r="H906" s="48"/>
      <c r="I906" s="48"/>
      <c r="J906" s="48"/>
      <c r="K906" s="48"/>
      <c r="L906" s="48"/>
    </row>
    <row r="907" spans="1:12">
      <c r="A907" s="417" t="s">
        <v>358</v>
      </c>
      <c r="B907" s="405"/>
      <c r="C907" s="133">
        <f>Revenue!Q129</f>
        <v>0</v>
      </c>
      <c r="D907" s="133">
        <f>Revenue!R129</f>
        <v>0</v>
      </c>
      <c r="E907" s="133">
        <f>Revenue!S129</f>
        <v>0</v>
      </c>
      <c r="F907" s="133">
        <f>Revenue!T129</f>
        <v>1000</v>
      </c>
      <c r="G907" s="133">
        <f ca="1">Revenue!U129</f>
        <v>1099.8232391144466</v>
      </c>
      <c r="H907" s="133">
        <f ca="1">Revenue!V129</f>
        <v>1213.3448739646335</v>
      </c>
      <c r="I907" s="133">
        <f ca="1">Revenue!W129</f>
        <v>1343.0481007896892</v>
      </c>
      <c r="J907" s="133">
        <f ca="1">Revenue!X129</f>
        <v>1491.9664052139276</v>
      </c>
      <c r="K907" s="133">
        <f ca="1">Revenue!Y129</f>
        <v>1662.9687010947473</v>
      </c>
      <c r="L907" s="133">
        <f ca="1">Revenue!Z129</f>
        <v>1858.6024443619797</v>
      </c>
    </row>
    <row r="908" spans="1:12">
      <c r="A908" s="417" t="s">
        <v>359</v>
      </c>
      <c r="B908" s="405"/>
      <c r="C908" s="403">
        <f>Revenue!C129</f>
        <v>0</v>
      </c>
      <c r="D908" s="403">
        <f>Revenue!D129</f>
        <v>0</v>
      </c>
      <c r="E908" s="403">
        <f>Revenue!E129</f>
        <v>0</v>
      </c>
      <c r="F908" s="403">
        <f>Revenue!F129</f>
        <v>7000</v>
      </c>
      <c r="G908" s="403">
        <f>Revenue!G129</f>
        <v>7160.9999999999991</v>
      </c>
      <c r="H908" s="403">
        <f>Revenue!H129</f>
        <v>7325.7029999999986</v>
      </c>
      <c r="I908" s="403">
        <f>Revenue!I129</f>
        <v>7494.1941689999976</v>
      </c>
      <c r="J908" s="403">
        <f>Revenue!J129</f>
        <v>7666.5606348869969</v>
      </c>
      <c r="K908" s="403">
        <f>Revenue!K129</f>
        <v>7842.8915294893968</v>
      </c>
      <c r="L908" s="403">
        <f>Revenue!L129</f>
        <v>8023.2780346676518</v>
      </c>
    </row>
    <row r="909" spans="1:12">
      <c r="A909" s="418" t="s">
        <v>366</v>
      </c>
      <c r="B909" s="405"/>
      <c r="C909" s="403">
        <f t="shared" ref="C909" si="232">C907*C908</f>
        <v>0</v>
      </c>
      <c r="D909" s="403">
        <f t="shared" ref="D909" si="233">D907*D908</f>
        <v>0</v>
      </c>
      <c r="E909" s="403">
        <f t="shared" ref="E909" si="234">E907*E908</f>
        <v>0</v>
      </c>
      <c r="F909" s="403">
        <f t="shared" ref="F909" si="235">F907*F908</f>
        <v>7000000</v>
      </c>
      <c r="G909" s="403">
        <f t="shared" ref="G909" ca="1" si="236">G907*G908</f>
        <v>7875834.2152985511</v>
      </c>
      <c r="H909" s="403">
        <f t="shared" ref="H909" ca="1" si="237">H907*H908</f>
        <v>8888604.1832373366</v>
      </c>
      <c r="I909" s="403">
        <f t="shared" ref="I909" ca="1" si="238">I907*I908</f>
        <v>10065063.245624609</v>
      </c>
      <c r="J909" s="403">
        <f t="shared" ref="J909" ca="1" si="239">J907*J908</f>
        <v>11438250.910786958</v>
      </c>
      <c r="K909" s="403">
        <f t="shared" ref="K909" ca="1" si="240">K907*K908</f>
        <v>13042483.139621979</v>
      </c>
      <c r="L909" s="403">
        <f t="shared" ref="L909" ca="1" si="241">L907*L908</f>
        <v>14912084.167029077</v>
      </c>
    </row>
    <row r="910" spans="1:12" ht="15.5">
      <c r="A910" s="416" t="s">
        <v>357</v>
      </c>
      <c r="B910" s="405"/>
      <c r="C910" s="48"/>
      <c r="D910" s="48"/>
      <c r="E910" s="48"/>
      <c r="F910" s="48"/>
      <c r="G910" s="48"/>
      <c r="H910" s="48"/>
      <c r="I910" s="48"/>
      <c r="J910" s="48"/>
      <c r="K910" s="48"/>
      <c r="L910" s="48"/>
    </row>
    <row r="911" spans="1:12">
      <c r="A911" s="417" t="s">
        <v>358</v>
      </c>
      <c r="B911" s="405"/>
      <c r="C911" s="133">
        <f>Revenue!Q130</f>
        <v>0</v>
      </c>
      <c r="D911" s="133">
        <f>Revenue!R130</f>
        <v>0</v>
      </c>
      <c r="E911" s="133">
        <f>Revenue!S130</f>
        <v>0</v>
      </c>
      <c r="F911" s="133">
        <f>Revenue!T130</f>
        <v>1270</v>
      </c>
      <c r="G911" s="133">
        <f ca="1">Revenue!U130</f>
        <v>1309.2751398827777</v>
      </c>
      <c r="H911" s="133">
        <f ca="1">Revenue!V130</f>
        <v>1354.2206193623717</v>
      </c>
      <c r="I911" s="133">
        <f ca="1">Revenue!W130</f>
        <v>1405.9127734706731</v>
      </c>
      <c r="J911" s="133">
        <f ca="1">Revenue!X130</f>
        <v>1465.1799492700106</v>
      </c>
      <c r="K911" s="133">
        <f ca="1">Revenue!Y130</f>
        <v>1530.9775146649552</v>
      </c>
      <c r="L911" s="133">
        <f ca="1">Revenue!Z130</f>
        <v>1605.6676129830544</v>
      </c>
    </row>
    <row r="912" spans="1:12">
      <c r="A912" s="417" t="s">
        <v>359</v>
      </c>
      <c r="B912" s="405"/>
      <c r="C912" s="403">
        <f>Revenue!C130</f>
        <v>0</v>
      </c>
      <c r="D912" s="403">
        <f>Revenue!D130</f>
        <v>0</v>
      </c>
      <c r="E912" s="403">
        <f>Revenue!E130</f>
        <v>0</v>
      </c>
      <c r="F912" s="403">
        <f>Revenue!F130</f>
        <v>5000</v>
      </c>
      <c r="G912" s="403">
        <f>Revenue!G130</f>
        <v>5115</v>
      </c>
      <c r="H912" s="403">
        <f>Revenue!H130</f>
        <v>5232.6449999999995</v>
      </c>
      <c r="I912" s="403">
        <f>Revenue!I130</f>
        <v>5352.9958349999988</v>
      </c>
      <c r="J912" s="403">
        <f>Revenue!J130</f>
        <v>5476.1147392049979</v>
      </c>
      <c r="K912" s="403">
        <f>Revenue!K130</f>
        <v>5602.065378206712</v>
      </c>
      <c r="L912" s="403">
        <f>Revenue!L130</f>
        <v>5730.9128819054658</v>
      </c>
    </row>
    <row r="913" spans="1:12">
      <c r="A913" s="418" t="s">
        <v>366</v>
      </c>
      <c r="B913" s="405"/>
      <c r="C913" s="403">
        <f t="shared" ref="C913" si="242">C911*C912</f>
        <v>0</v>
      </c>
      <c r="D913" s="403">
        <f t="shared" ref="D913" si="243">D911*D912</f>
        <v>0</v>
      </c>
      <c r="E913" s="403">
        <f t="shared" ref="E913" si="244">E911*E912</f>
        <v>0</v>
      </c>
      <c r="F913" s="403">
        <f t="shared" ref="F913" si="245">F911*F912</f>
        <v>6350000</v>
      </c>
      <c r="G913" s="403">
        <f t="shared" ref="G913" ca="1" si="246">G911*G912</f>
        <v>6696942.3405004079</v>
      </c>
      <c r="H913" s="403">
        <f t="shared" ref="H913" ca="1" si="247">H911*H912</f>
        <v>7086155.7528034169</v>
      </c>
      <c r="I913" s="403">
        <f t="shared" ref="I913" ca="1" si="248">I911*I912</f>
        <v>7525845.2207618095</v>
      </c>
      <c r="J913" s="403">
        <f t="shared" ref="J913" ca="1" si="249">J911*J912</f>
        <v>8023493.5157851363</v>
      </c>
      <c r="K913" s="403">
        <f t="shared" ref="K913" ca="1" si="250">K911*K912</f>
        <v>8576636.1297175046</v>
      </c>
      <c r="L913" s="403">
        <f t="shared" ref="L913" ca="1" si="251">L911*L912</f>
        <v>9201941.2073029857</v>
      </c>
    </row>
    <row r="914" spans="1:12" ht="15.5">
      <c r="A914" s="416" t="s">
        <v>360</v>
      </c>
      <c r="B914" s="405"/>
      <c r="C914" s="48"/>
      <c r="D914" s="48"/>
      <c r="E914" s="48"/>
      <c r="F914" s="48"/>
      <c r="G914" s="48"/>
      <c r="H914" s="48"/>
      <c r="I914" s="48"/>
      <c r="J914" s="48"/>
      <c r="K914" s="48"/>
      <c r="L914" s="48"/>
    </row>
    <row r="915" spans="1:12">
      <c r="A915" s="417" t="s">
        <v>358</v>
      </c>
      <c r="B915" s="405"/>
      <c r="C915" s="133">
        <f>Revenue!Q131</f>
        <v>0</v>
      </c>
      <c r="D915" s="133">
        <f>Revenue!R131</f>
        <v>0</v>
      </c>
      <c r="E915" s="133">
        <f>Revenue!S131</f>
        <v>0</v>
      </c>
      <c r="F915" s="133">
        <f>Revenue!T131</f>
        <v>0</v>
      </c>
      <c r="G915" s="133">
        <f>Revenue!U131</f>
        <v>635</v>
      </c>
      <c r="H915" s="133">
        <f ca="1">Revenue!V131</f>
        <v>668.55436296958931</v>
      </c>
      <c r="I915" s="133">
        <f ca="1">Revenue!W131</f>
        <v>706.53871017320205</v>
      </c>
      <c r="J915" s="133">
        <f ca="1">Revenue!X131</f>
        <v>748.56062327627217</v>
      </c>
      <c r="K915" s="133">
        <f ca="1">Revenue!Y131</f>
        <v>795.93265824474486</v>
      </c>
      <c r="L915" s="133">
        <f ca="1">Revenue!Z131</f>
        <v>849.18533237503902</v>
      </c>
    </row>
    <row r="916" spans="1:12">
      <c r="A916" s="417" t="s">
        <v>359</v>
      </c>
      <c r="B916" s="405"/>
      <c r="C916" s="403">
        <f>Revenue!C131</f>
        <v>0</v>
      </c>
      <c r="D916" s="403">
        <f>Revenue!D131</f>
        <v>0</v>
      </c>
      <c r="E916" s="403">
        <f>Revenue!E131</f>
        <v>0</v>
      </c>
      <c r="F916" s="403">
        <f>Revenue!F131</f>
        <v>0</v>
      </c>
      <c r="G916" s="403">
        <f>Revenue!G131</f>
        <v>9500</v>
      </c>
      <c r="H916" s="403">
        <f>Revenue!H131</f>
        <v>9718.5</v>
      </c>
      <c r="I916" s="403">
        <f>Revenue!I131</f>
        <v>9942.0254999999997</v>
      </c>
      <c r="J916" s="403">
        <f>Revenue!J131</f>
        <v>10170.692086499999</v>
      </c>
      <c r="K916" s="403">
        <f>Revenue!K131</f>
        <v>10404.618004489499</v>
      </c>
      <c r="L916" s="403">
        <f>Revenue!L131</f>
        <v>10643.924218592756</v>
      </c>
    </row>
    <row r="917" spans="1:12">
      <c r="A917" s="418" t="s">
        <v>366</v>
      </c>
      <c r="B917" s="405"/>
      <c r="C917" s="403">
        <f t="shared" ref="C917" si="252">C915*C916</f>
        <v>0</v>
      </c>
      <c r="D917" s="403">
        <f t="shared" ref="D917" si="253">D915*D916</f>
        <v>0</v>
      </c>
      <c r="E917" s="403">
        <f t="shared" ref="E917" si="254">E915*E916</f>
        <v>0</v>
      </c>
      <c r="F917" s="403">
        <f t="shared" ref="F917" si="255">F915*F916</f>
        <v>0</v>
      </c>
      <c r="G917" s="403">
        <f t="shared" ref="G917" si="256">G915*G916</f>
        <v>6032500</v>
      </c>
      <c r="H917" s="403">
        <f t="shared" ref="H917" ca="1" si="257">H915*H916</f>
        <v>6497345.576519954</v>
      </c>
      <c r="I917" s="403">
        <f t="shared" ref="I917" ca="1" si="258">I915*I916</f>
        <v>7024425.8732790845</v>
      </c>
      <c r="J917" s="403">
        <f t="shared" ref="J917" ca="1" si="259">J915*J916</f>
        <v>7613379.6074214885</v>
      </c>
      <c r="K917" s="403">
        <f t="shared" ref="K917" ca="1" si="260">K915*K916</f>
        <v>8281375.2663344601</v>
      </c>
      <c r="L917" s="403">
        <f t="shared" ref="L917" ca="1" si="261">L915*L916</f>
        <v>9038664.3253404163</v>
      </c>
    </row>
    <row r="918" spans="1:12" ht="15.5">
      <c r="A918" s="416" t="s">
        <v>362</v>
      </c>
      <c r="B918" s="405"/>
      <c r="C918" s="48"/>
      <c r="D918" s="48"/>
      <c r="E918" s="48"/>
      <c r="F918" s="48"/>
      <c r="G918" s="48"/>
      <c r="H918" s="48"/>
      <c r="I918" s="48"/>
      <c r="J918" s="48"/>
      <c r="K918" s="48"/>
      <c r="L918" s="48"/>
    </row>
    <row r="919" spans="1:12">
      <c r="A919" s="417" t="s">
        <v>358</v>
      </c>
      <c r="B919" s="405"/>
      <c r="C919" s="133">
        <f>Revenue!Q132</f>
        <v>0</v>
      </c>
      <c r="D919" s="133">
        <f>Revenue!R132</f>
        <v>0</v>
      </c>
      <c r="E919" s="133">
        <f>Revenue!S132</f>
        <v>0</v>
      </c>
      <c r="F919" s="133">
        <f>Revenue!T132</f>
        <v>0</v>
      </c>
      <c r="G919" s="133">
        <f>Revenue!U132</f>
        <v>0</v>
      </c>
      <c r="H919" s="133">
        <f>Revenue!V132</f>
        <v>318</v>
      </c>
      <c r="I919" s="133">
        <f ca="1">Revenue!W132</f>
        <v>336.31332052117494</v>
      </c>
      <c r="J919" s="133">
        <f ca="1">Revenue!X132</f>
        <v>356.91487783541999</v>
      </c>
      <c r="K919" s="133">
        <f ca="1">Revenue!Y132</f>
        <v>380.00362668107795</v>
      </c>
      <c r="L919" s="133">
        <f ca="1">Revenue!Z132</f>
        <v>405.61075884858235</v>
      </c>
    </row>
    <row r="920" spans="1:12">
      <c r="A920" s="417" t="s">
        <v>359</v>
      </c>
      <c r="B920" s="405"/>
      <c r="C920" s="403">
        <f>Revenue!C132</f>
        <v>0</v>
      </c>
      <c r="D920" s="403">
        <f>Revenue!D132</f>
        <v>0</v>
      </c>
      <c r="E920" s="403">
        <f>Revenue!E132</f>
        <v>0</v>
      </c>
      <c r="F920" s="403">
        <f>Revenue!F132</f>
        <v>0</v>
      </c>
      <c r="G920" s="403">
        <f>Revenue!G132</f>
        <v>0</v>
      </c>
      <c r="H920" s="403">
        <f>Revenue!H132</f>
        <v>10000</v>
      </c>
      <c r="I920" s="403">
        <f>Revenue!I132</f>
        <v>10230</v>
      </c>
      <c r="J920" s="403">
        <f>Revenue!J132</f>
        <v>10465.289999999999</v>
      </c>
      <c r="K920" s="403">
        <f>Revenue!K132</f>
        <v>10705.991669999998</v>
      </c>
      <c r="L920" s="403">
        <f>Revenue!L132</f>
        <v>10952.229478409996</v>
      </c>
    </row>
    <row r="921" spans="1:12">
      <c r="A921" s="418" t="s">
        <v>366</v>
      </c>
      <c r="B921" s="405"/>
      <c r="C921" s="403">
        <f t="shared" ref="C921" si="262">C919*C920</f>
        <v>0</v>
      </c>
      <c r="D921" s="403">
        <f t="shared" ref="D921" si="263">D919*D920</f>
        <v>0</v>
      </c>
      <c r="E921" s="403">
        <f t="shared" ref="E921" si="264">E919*E920</f>
        <v>0</v>
      </c>
      <c r="F921" s="403">
        <f t="shared" ref="F921" si="265">F919*F920</f>
        <v>0</v>
      </c>
      <c r="G921" s="403">
        <f t="shared" ref="G921" si="266">G919*G920</f>
        <v>0</v>
      </c>
      <c r="H921" s="403">
        <f t="shared" ref="H921" si="267">H919*H920</f>
        <v>3180000</v>
      </c>
      <c r="I921" s="403">
        <f t="shared" ref="I921" ca="1" si="268">I919*I920</f>
        <v>3440485.2689316198</v>
      </c>
      <c r="J921" s="403">
        <f t="shared" ref="J921" ca="1" si="269">J919*J920</f>
        <v>3735217.7018622421</v>
      </c>
      <c r="K921" s="403">
        <f t="shared" ref="K921" ca="1" si="270">K919*K920</f>
        <v>4068315.6618174096</v>
      </c>
      <c r="L921" s="403">
        <f t="shared" ref="L921" ca="1" si="271">L919*L920</f>
        <v>4442342.1098216921</v>
      </c>
    </row>
    <row r="922" spans="1:12" ht="15.5">
      <c r="A922" s="416" t="s">
        <v>361</v>
      </c>
      <c r="B922" s="405"/>
      <c r="C922" s="48"/>
      <c r="D922" s="48"/>
      <c r="E922" s="48"/>
      <c r="F922" s="48"/>
      <c r="G922" s="48"/>
      <c r="H922" s="48"/>
      <c r="I922" s="48"/>
      <c r="J922" s="48"/>
      <c r="K922" s="48"/>
      <c r="L922" s="48"/>
    </row>
    <row r="923" spans="1:12">
      <c r="A923" s="417" t="s">
        <v>358</v>
      </c>
      <c r="B923" s="405"/>
      <c r="C923" s="133">
        <f>Revenue!Q133</f>
        <v>0</v>
      </c>
      <c r="D923" s="133">
        <f>Revenue!R133</f>
        <v>0</v>
      </c>
      <c r="E923" s="133">
        <f>Revenue!S133</f>
        <v>0</v>
      </c>
      <c r="F923" s="133">
        <f>Revenue!T133</f>
        <v>1900</v>
      </c>
      <c r="G923" s="133">
        <f ca="1">Revenue!U133</f>
        <v>1918.2842748723481</v>
      </c>
      <c r="H923" s="133">
        <f ca="1">Revenue!V133</f>
        <v>1943.64467467025</v>
      </c>
      <c r="I923" s="133">
        <f ca="1">Revenue!W133</f>
        <v>1976.5686210037502</v>
      </c>
      <c r="J923" s="133">
        <f ca="1">Revenue!X133</f>
        <v>2016.3205045251709</v>
      </c>
      <c r="K923" s="133">
        <f ca="1">Revenue!Y133</f>
        <v>2064.8794801579011</v>
      </c>
      <c r="L923" s="133">
        <f ca="1">Revenue!Z133</f>
        <v>2122.7781098814366</v>
      </c>
    </row>
    <row r="924" spans="1:12">
      <c r="A924" s="417" t="s">
        <v>359</v>
      </c>
      <c r="B924" s="405"/>
      <c r="C924" s="403">
        <f>Revenue!C133</f>
        <v>0</v>
      </c>
      <c r="D924" s="403">
        <f>Revenue!D133</f>
        <v>0</v>
      </c>
      <c r="E924" s="403">
        <f>Revenue!E133</f>
        <v>0</v>
      </c>
      <c r="F924" s="403">
        <f>Revenue!F133</f>
        <v>1900</v>
      </c>
      <c r="G924" s="403">
        <f>Revenue!G133</f>
        <v>1943.6999999999998</v>
      </c>
      <c r="H924" s="403">
        <f>Revenue!H133</f>
        <v>1988.4050999999997</v>
      </c>
      <c r="I924" s="403">
        <f>Revenue!I133</f>
        <v>2034.1384172999994</v>
      </c>
      <c r="J924" s="403">
        <f>Revenue!J133</f>
        <v>2080.9236008978992</v>
      </c>
      <c r="K924" s="403">
        <f>Revenue!K133</f>
        <v>2128.7848437185507</v>
      </c>
      <c r="L924" s="403">
        <f>Revenue!L133</f>
        <v>2177.7468951240771</v>
      </c>
    </row>
    <row r="925" spans="1:12">
      <c r="A925" s="418" t="s">
        <v>366</v>
      </c>
      <c r="B925" s="405"/>
      <c r="C925" s="403">
        <f t="shared" ref="C925" si="272">C923*C924</f>
        <v>0</v>
      </c>
      <c r="D925" s="403">
        <f t="shared" ref="D925" si="273">D923*D924</f>
        <v>0</v>
      </c>
      <c r="E925" s="403">
        <f t="shared" ref="E925" si="274">E923*E924</f>
        <v>0</v>
      </c>
      <c r="F925" s="403">
        <f t="shared" ref="F925" si="275">F923*F924</f>
        <v>3610000</v>
      </c>
      <c r="G925" s="403">
        <f t="shared" ref="G925" ca="1" si="276">G923*G924</f>
        <v>3728569.1450693826</v>
      </c>
      <c r="H925" s="403">
        <f t="shared" ref="H925" ca="1" si="277">H923*H924</f>
        <v>3864752.9837021655</v>
      </c>
      <c r="I925" s="403">
        <f t="shared" ref="I925" ca="1" si="278">I923*I924</f>
        <v>4020614.166413411</v>
      </c>
      <c r="J925" s="403">
        <f t="shared" ref="J925" ca="1" si="279">J923*J924</f>
        <v>4195808.9248407874</v>
      </c>
      <c r="K925" s="403">
        <f t="shared" ref="K925" ca="1" si="280">K923*K924</f>
        <v>4395684.1414655801</v>
      </c>
      <c r="L925" s="403">
        <f t="shared" ref="L925" ca="1" si="281">L923*L924</f>
        <v>4622873.4378316561</v>
      </c>
    </row>
    <row r="926" spans="1:12" ht="15.5">
      <c r="A926" s="416" t="s">
        <v>363</v>
      </c>
      <c r="B926" s="405"/>
      <c r="C926" s="48"/>
      <c r="D926" s="48"/>
      <c r="E926" s="48"/>
      <c r="F926" s="48"/>
      <c r="G926" s="48"/>
      <c r="H926" s="48"/>
      <c r="I926" s="48"/>
      <c r="J926" s="48"/>
      <c r="K926" s="48"/>
      <c r="L926" s="48"/>
    </row>
    <row r="927" spans="1:12">
      <c r="A927" s="417" t="s">
        <v>358</v>
      </c>
      <c r="B927" s="405"/>
      <c r="C927" s="133">
        <f>Revenue!Q134</f>
        <v>0</v>
      </c>
      <c r="D927" s="133">
        <f>Revenue!R134</f>
        <v>0</v>
      </c>
      <c r="E927" s="133">
        <f>Revenue!S134</f>
        <v>0</v>
      </c>
      <c r="F927" s="133">
        <f>Revenue!T134</f>
        <v>0</v>
      </c>
      <c r="G927" s="133">
        <f>Revenue!U134</f>
        <v>400</v>
      </c>
      <c r="H927" s="133">
        <f ca="1">Revenue!V134</f>
        <v>753.28814214453996</v>
      </c>
      <c r="I927" s="133">
        <f ca="1">Revenue!W134</f>
        <v>1062.1363966883137</v>
      </c>
      <c r="J927" s="133">
        <f ca="1">Revenue!X134</f>
        <v>1332.1032901521362</v>
      </c>
      <c r="K927" s="133">
        <f ca="1">Revenue!Y134</f>
        <v>1568.5630483318721</v>
      </c>
      <c r="L927" s="133">
        <f ca="1">Revenue!Z134</f>
        <v>1775.8657375819816</v>
      </c>
    </row>
    <row r="928" spans="1:12">
      <c r="A928" s="417" t="s">
        <v>359</v>
      </c>
      <c r="B928" s="405"/>
      <c r="C928" s="403">
        <f>Revenue!C134</f>
        <v>0</v>
      </c>
      <c r="D928" s="403">
        <f>Revenue!D134</f>
        <v>0</v>
      </c>
      <c r="E928" s="403">
        <f>Revenue!E134</f>
        <v>0</v>
      </c>
      <c r="F928" s="403">
        <f>Revenue!F134</f>
        <v>0</v>
      </c>
      <c r="G928" s="403">
        <f>Revenue!G134</f>
        <v>500</v>
      </c>
      <c r="H928" s="403">
        <f>Revenue!H134</f>
        <v>500</v>
      </c>
      <c r="I928" s="403">
        <f>Revenue!I134</f>
        <v>500</v>
      </c>
      <c r="J928" s="403">
        <f>Revenue!J134</f>
        <v>500</v>
      </c>
      <c r="K928" s="403">
        <f>Revenue!K134</f>
        <v>500</v>
      </c>
      <c r="L928" s="403">
        <f>Revenue!L134</f>
        <v>500</v>
      </c>
    </row>
    <row r="929" spans="1:12">
      <c r="A929" s="418" t="s">
        <v>366</v>
      </c>
      <c r="B929" s="405"/>
      <c r="C929" s="403">
        <f t="shared" ref="C929" si="282">C927*C928</f>
        <v>0</v>
      </c>
      <c r="D929" s="403">
        <f t="shared" ref="D929" si="283">D927*D928</f>
        <v>0</v>
      </c>
      <c r="E929" s="403">
        <f t="shared" ref="E929" si="284">E927*E928</f>
        <v>0</v>
      </c>
      <c r="F929" s="403">
        <f t="shared" ref="F929" si="285">F927*F928</f>
        <v>0</v>
      </c>
      <c r="G929" s="403">
        <f t="shared" ref="G929" si="286">G927*G928</f>
        <v>200000</v>
      </c>
      <c r="H929" s="403">
        <f t="shared" ref="H929" ca="1" si="287">H927*H928</f>
        <v>376644.07107226999</v>
      </c>
      <c r="I929" s="403">
        <f t="shared" ref="I929" ca="1" si="288">I927*I928</f>
        <v>531068.19834415684</v>
      </c>
      <c r="J929" s="403">
        <f t="shared" ref="J929" ca="1" si="289">J927*J928</f>
        <v>666051.64507606812</v>
      </c>
      <c r="K929" s="403">
        <f t="shared" ref="K929" ca="1" si="290">K927*K928</f>
        <v>784281.52416593605</v>
      </c>
      <c r="L929" s="403">
        <f t="shared" ref="L929" ca="1" si="291">L927*L928</f>
        <v>887932.86879099079</v>
      </c>
    </row>
    <row r="930" spans="1:12" ht="15.5">
      <c r="A930" s="416" t="s">
        <v>364</v>
      </c>
      <c r="B930" s="405"/>
      <c r="C930" s="48"/>
      <c r="D930" s="48"/>
      <c r="E930" s="48"/>
      <c r="F930" s="48"/>
      <c r="G930" s="48"/>
      <c r="H930" s="48"/>
      <c r="I930" s="48"/>
      <c r="J930" s="48"/>
      <c r="K930" s="48"/>
      <c r="L930" s="48"/>
    </row>
    <row r="931" spans="1:12">
      <c r="A931" s="417" t="s">
        <v>358</v>
      </c>
      <c r="B931" s="405"/>
      <c r="C931" s="133">
        <f>Revenue!Q135</f>
        <v>0</v>
      </c>
      <c r="D931" s="133">
        <f>Revenue!R135</f>
        <v>0</v>
      </c>
      <c r="E931" s="133">
        <f>Revenue!S135</f>
        <v>0</v>
      </c>
      <c r="F931" s="133">
        <f>Revenue!T135</f>
        <v>0</v>
      </c>
      <c r="G931" s="133">
        <f>Revenue!U135</f>
        <v>300</v>
      </c>
      <c r="H931" s="133">
        <f ca="1">Revenue!V135</f>
        <v>304.51211730924285</v>
      </c>
      <c r="I931" s="133">
        <f ca="1">Revenue!W135</f>
        <v>310.03703982375356</v>
      </c>
      <c r="J931" s="133">
        <f ca="1">Revenue!X135</f>
        <v>316.44149972649836</v>
      </c>
      <c r="K931" s="133">
        <f ca="1">Revenue!Y135</f>
        <v>324.00102262319166</v>
      </c>
      <c r="L931" s="133">
        <f ca="1">Revenue!Z135</f>
        <v>332.67206160351589</v>
      </c>
    </row>
    <row r="932" spans="1:12">
      <c r="A932" s="417" t="s">
        <v>359</v>
      </c>
      <c r="B932" s="405"/>
      <c r="C932" s="403">
        <f>Revenue!C135</f>
        <v>0</v>
      </c>
      <c r="D932" s="403">
        <f>Revenue!D135</f>
        <v>0</v>
      </c>
      <c r="E932" s="403">
        <f>Revenue!E135</f>
        <v>0</v>
      </c>
      <c r="F932" s="403">
        <f>Revenue!F135</f>
        <v>0</v>
      </c>
      <c r="G932" s="403">
        <f>Revenue!G135</f>
        <v>500</v>
      </c>
      <c r="H932" s="403">
        <f>Revenue!H135</f>
        <v>511.49999999999994</v>
      </c>
      <c r="I932" s="403">
        <f>Revenue!I135</f>
        <v>523.26449999999988</v>
      </c>
      <c r="J932" s="403">
        <f>Revenue!J135</f>
        <v>535.29958349999981</v>
      </c>
      <c r="K932" s="403">
        <f>Revenue!K135</f>
        <v>547.61147392049975</v>
      </c>
      <c r="L932" s="403">
        <f>Revenue!L135</f>
        <v>560.2065378206712</v>
      </c>
    </row>
    <row r="933" spans="1:12">
      <c r="A933" s="418" t="s">
        <v>366</v>
      </c>
      <c r="B933" s="405"/>
      <c r="C933" s="403">
        <f t="shared" ref="C933" si="292">C931*C932</f>
        <v>0</v>
      </c>
      <c r="D933" s="403">
        <f t="shared" ref="D933" si="293">D931*D932</f>
        <v>0</v>
      </c>
      <c r="E933" s="403">
        <f t="shared" ref="E933" si="294">E931*E932</f>
        <v>0</v>
      </c>
      <c r="F933" s="403">
        <f t="shared" ref="F933" si="295">F931*F932</f>
        <v>0</v>
      </c>
      <c r="G933" s="403">
        <f t="shared" ref="G933" si="296">G931*G932</f>
        <v>150000</v>
      </c>
      <c r="H933" s="403">
        <f t="shared" ref="H933" ca="1" si="297">H931*H932</f>
        <v>155757.94800367771</v>
      </c>
      <c r="I933" s="403">
        <f t="shared" ref="I933" ca="1" si="298">I931*I932</f>
        <v>162231.37662485646</v>
      </c>
      <c r="J933" s="403">
        <f t="shared" ref="J933" ca="1" si="299">J931*J932</f>
        <v>169391.00300570988</v>
      </c>
      <c r="K933" s="403">
        <f t="shared" ref="K933" ca="1" si="300">K931*K932</f>
        <v>177426.67755043515</v>
      </c>
      <c r="L933" s="403">
        <f t="shared" ref="L933" ca="1" si="301">L931*L932</f>
        <v>186365.06386057069</v>
      </c>
    </row>
    <row r="934" spans="1:12" ht="15.5">
      <c r="A934" s="416" t="s">
        <v>365</v>
      </c>
      <c r="B934" s="405"/>
      <c r="C934" s="48"/>
      <c r="D934" s="48"/>
      <c r="E934" s="48"/>
      <c r="F934" s="48"/>
      <c r="G934" s="48"/>
      <c r="H934" s="48"/>
      <c r="I934" s="48"/>
      <c r="J934" s="48"/>
      <c r="K934" s="48"/>
      <c r="L934" s="48"/>
    </row>
    <row r="935" spans="1:12">
      <c r="A935" s="417" t="s">
        <v>358</v>
      </c>
      <c r="B935" s="405"/>
      <c r="C935" s="133">
        <f>Revenue!Q136</f>
        <v>0</v>
      </c>
      <c r="D935" s="133">
        <f>Revenue!R136</f>
        <v>0</v>
      </c>
      <c r="E935" s="133">
        <f>Revenue!S136</f>
        <v>0</v>
      </c>
      <c r="F935" s="133">
        <f>Revenue!T136</f>
        <v>0</v>
      </c>
      <c r="G935" s="133">
        <f>Revenue!U136</f>
        <v>1500</v>
      </c>
      <c r="H935" s="133">
        <f ca="1">Revenue!V136</f>
        <v>1521.054576765664</v>
      </c>
      <c r="I935" s="133">
        <f ca="1">Revenue!W136</f>
        <v>1547.9981498957764</v>
      </c>
      <c r="J935" s="133">
        <f ca="1">Revenue!X136</f>
        <v>1581.2327299216838</v>
      </c>
      <c r="K935" s="133">
        <f ca="1">Revenue!Y136</f>
        <v>1619.6259107130456</v>
      </c>
      <c r="L935" s="133">
        <f ca="1">Revenue!Z136</f>
        <v>1665.1453776737178</v>
      </c>
    </row>
    <row r="936" spans="1:12">
      <c r="A936" s="417" t="s">
        <v>359</v>
      </c>
      <c r="B936" s="405"/>
      <c r="C936" s="403">
        <f>Revenue!C136</f>
        <v>0</v>
      </c>
      <c r="D936" s="403">
        <f>Revenue!D136</f>
        <v>0</v>
      </c>
      <c r="E936" s="403">
        <f>Revenue!E136</f>
        <v>0</v>
      </c>
      <c r="F936" s="403">
        <f>Revenue!F136</f>
        <v>0</v>
      </c>
      <c r="G936" s="403">
        <f>Revenue!G136</f>
        <v>300</v>
      </c>
      <c r="H936" s="403">
        <f>Revenue!H136</f>
        <v>306.89999999999998</v>
      </c>
      <c r="I936" s="403">
        <f>Revenue!I136</f>
        <v>313.95869999999996</v>
      </c>
      <c r="J936" s="403">
        <f>Revenue!J136</f>
        <v>321.17975009999992</v>
      </c>
      <c r="K936" s="403">
        <f>Revenue!K136</f>
        <v>328.56688435229989</v>
      </c>
      <c r="L936" s="403">
        <f>Revenue!L136</f>
        <v>336.12392269240274</v>
      </c>
    </row>
    <row r="937" spans="1:12">
      <c r="A937" s="417" t="s">
        <v>366</v>
      </c>
      <c r="B937" s="405"/>
      <c r="C937" s="403">
        <f t="shared" ref="C937" si="302">C935*C936</f>
        <v>0</v>
      </c>
      <c r="D937" s="403">
        <f t="shared" ref="D937" si="303">D935*D936</f>
        <v>0</v>
      </c>
      <c r="E937" s="403">
        <f t="shared" ref="E937" si="304">E935*E936</f>
        <v>0</v>
      </c>
      <c r="F937" s="403">
        <f t="shared" ref="F937" si="305">F935*F936</f>
        <v>0</v>
      </c>
      <c r="G937" s="403">
        <f t="shared" ref="G937" si="306">G935*G936</f>
        <v>450000</v>
      </c>
      <c r="H937" s="403">
        <f t="shared" ref="H937" ca="1" si="307">H935*H936</f>
        <v>466811.64960938226</v>
      </c>
      <c r="I937" s="403">
        <f t="shared" ref="I937" ca="1" si="308">I935*I936</f>
        <v>486007.486743683</v>
      </c>
      <c r="J937" s="403">
        <f t="shared" ref="J937" ca="1" si="309">J935*J936</f>
        <v>507859.9330461871</v>
      </c>
      <c r="K937" s="403">
        <f t="shared" ref="K937" ca="1" si="310">K935*K936</f>
        <v>532155.43929924164</v>
      </c>
      <c r="L937" s="403">
        <f t="shared" ref="L937" ca="1" si="311">L935*L936</f>
        <v>559695.19619681244</v>
      </c>
    </row>
    <row r="938" spans="1:12">
      <c r="A938" s="418"/>
      <c r="B938" s="405"/>
      <c r="C938" s="48"/>
      <c r="D938" s="48"/>
      <c r="E938" s="48"/>
      <c r="F938" s="48"/>
      <c r="G938" s="48"/>
      <c r="H938" s="48"/>
      <c r="I938" s="48"/>
      <c r="J938" s="48"/>
      <c r="K938" s="48"/>
      <c r="L938" s="138"/>
    </row>
    <row r="939" spans="1:12" ht="15.5">
      <c r="A939" s="409" t="s">
        <v>367</v>
      </c>
      <c r="B939" s="405"/>
      <c r="C939" s="403">
        <f>SUM(C937,C933,C929,C925,C921,C917,C913,C909,C905)</f>
        <v>0</v>
      </c>
      <c r="D939" s="403">
        <f t="shared" ref="D939:L939" si="312">SUM(D937,D933,D929,D925,D921,D917,D913,D909,D905)</f>
        <v>0</v>
      </c>
      <c r="E939" s="403">
        <f t="shared" si="312"/>
        <v>0</v>
      </c>
      <c r="F939" s="403">
        <f t="shared" si="312"/>
        <v>24660000</v>
      </c>
      <c r="G939" s="403">
        <f t="shared" ca="1" si="312"/>
        <v>33480336.34656772</v>
      </c>
      <c r="H939" s="403">
        <f t="shared" ca="1" si="312"/>
        <v>39590634.799215205</v>
      </c>
      <c r="I939" s="403">
        <f t="shared" ca="1" si="312"/>
        <v>43153252.798290938</v>
      </c>
      <c r="J939" s="403">
        <f t="shared" ca="1" si="312"/>
        <v>47175853.588418759</v>
      </c>
      <c r="K939" s="403">
        <f t="shared" ca="1" si="312"/>
        <v>51740364.466958143</v>
      </c>
      <c r="L939" s="403">
        <f t="shared" ca="1" si="312"/>
        <v>56931730.975968629</v>
      </c>
    </row>
    <row r="940" spans="1:12">
      <c r="A940" s="408"/>
      <c r="B940" s="405"/>
      <c r="C940" s="48"/>
      <c r="D940" s="48"/>
      <c r="E940" s="48"/>
      <c r="F940" s="48"/>
      <c r="G940" s="48"/>
      <c r="H940" s="48"/>
      <c r="I940" s="48"/>
      <c r="J940" s="48"/>
      <c r="K940" s="48"/>
      <c r="L940" s="48"/>
    </row>
    <row r="941" spans="1:12" ht="18.5">
      <c r="A941" s="411" t="s">
        <v>152</v>
      </c>
      <c r="B941" s="405"/>
      <c r="C941" s="48"/>
      <c r="D941" s="48"/>
      <c r="E941" s="48"/>
      <c r="F941" s="48"/>
      <c r="G941" s="48"/>
      <c r="H941" s="48"/>
      <c r="I941" s="48"/>
      <c r="J941" s="48"/>
      <c r="K941" s="48"/>
      <c r="L941" s="48"/>
    </row>
    <row r="942" spans="1:12" ht="15.5">
      <c r="A942" s="409" t="s">
        <v>296</v>
      </c>
      <c r="B942" s="405"/>
      <c r="C942" s="403">
        <f>Assumptions!$Q$45*(C905+C909)</f>
        <v>0</v>
      </c>
      <c r="D942" s="403">
        <f>Assumptions!$Q$45*(D905+D909)</f>
        <v>0</v>
      </c>
      <c r="E942" s="403">
        <f>Assumptions!$Q$45*(E905+E909)</f>
        <v>0</v>
      </c>
      <c r="F942" s="403">
        <f>Assumptions!$Q$45*(F905+F909)</f>
        <v>5145000</v>
      </c>
      <c r="G942" s="403">
        <f ca="1">Assumptions!$Q$45*(G905+G909)</f>
        <v>5677813.7013492743</v>
      </c>
      <c r="H942" s="403">
        <f ca="1">Assumptions!$Q$45*(H905+H909)</f>
        <v>6287108.3861265182</v>
      </c>
      <c r="I942" s="403">
        <f ca="1">Assumptions!$Q$45*(I905+I909)</f>
        <v>6986901.3225173103</v>
      </c>
      <c r="J942" s="403">
        <f ca="1">Assumptions!$Q$45*(J905+J909)</f>
        <v>7792627.9400833985</v>
      </c>
      <c r="K942" s="403">
        <f ca="1">Assumptions!$Q$45*(K905+K909)</f>
        <v>8723571.3693126496</v>
      </c>
      <c r="L942" s="403">
        <f ca="1">Assumptions!$Q$45*(L905+L909)</f>
        <v>9797170.8683882281</v>
      </c>
    </row>
    <row r="943" spans="1:12" ht="15.5">
      <c r="A943" s="409" t="s">
        <v>297</v>
      </c>
      <c r="B943" s="405"/>
      <c r="C943" s="403">
        <f>Assumptions!$Q$47*C913</f>
        <v>0</v>
      </c>
      <c r="D943" s="403">
        <f>Assumptions!$Q$47*D913</f>
        <v>0</v>
      </c>
      <c r="E943" s="403">
        <f>Assumptions!$Q$47*E913</f>
        <v>0</v>
      </c>
      <c r="F943" s="403">
        <f>Assumptions!$Q$47*F913</f>
        <v>2222500</v>
      </c>
      <c r="G943" s="403">
        <f ca="1">Assumptions!$Q$47*G913</f>
        <v>2343929.8191751428</v>
      </c>
      <c r="H943" s="403">
        <f ca="1">Assumptions!$Q$47*H913</f>
        <v>2480154.5134811956</v>
      </c>
      <c r="I943" s="403">
        <f ca="1">Assumptions!$Q$47*I913</f>
        <v>2634045.827266633</v>
      </c>
      <c r="J943" s="403">
        <f ca="1">Assumptions!$Q$47*J913</f>
        <v>2808222.7305247975</v>
      </c>
      <c r="K943" s="403">
        <f ca="1">Assumptions!$Q$47*K913</f>
        <v>3001822.6454011262</v>
      </c>
      <c r="L943" s="403">
        <f ca="1">Assumptions!$Q$47*L913</f>
        <v>3220679.422556045</v>
      </c>
    </row>
    <row r="944" spans="1:12" ht="15.5">
      <c r="A944" s="409" t="s">
        <v>298</v>
      </c>
      <c r="B944" s="405"/>
      <c r="C944" s="403">
        <f>Assumptions!$Q$48*C917</f>
        <v>0</v>
      </c>
      <c r="D944" s="403">
        <f>Assumptions!$Q$48*D917</f>
        <v>0</v>
      </c>
      <c r="E944" s="403">
        <f>Assumptions!$Q$48*E917</f>
        <v>0</v>
      </c>
      <c r="F944" s="403">
        <f>Assumptions!$Q$48*F917</f>
        <v>0</v>
      </c>
      <c r="G944" s="403">
        <f>Assumptions!$Q$48*G917</f>
        <v>2413000</v>
      </c>
      <c r="H944" s="403">
        <f ca="1">Assumptions!$Q$48*H917</f>
        <v>2598938.2306079818</v>
      </c>
      <c r="I944" s="403">
        <f ca="1">Assumptions!$Q$48*I917</f>
        <v>2809770.349311634</v>
      </c>
      <c r="J944" s="403">
        <f ca="1">Assumptions!$Q$48*J917</f>
        <v>3045351.8429685957</v>
      </c>
      <c r="K944" s="403">
        <f ca="1">Assumptions!$Q$48*K917</f>
        <v>3312550.1065337844</v>
      </c>
      <c r="L944" s="403">
        <f ca="1">Assumptions!$Q$48*L917</f>
        <v>3615465.7301361668</v>
      </c>
    </row>
    <row r="945" spans="1:12" ht="15.5">
      <c r="A945" s="409" t="s">
        <v>299</v>
      </c>
      <c r="B945" s="405"/>
      <c r="C945" s="403">
        <f>Assumptions!$Q$49*C921</f>
        <v>0</v>
      </c>
      <c r="D945" s="403">
        <f>Assumptions!$Q$49*D921</f>
        <v>0</v>
      </c>
      <c r="E945" s="403">
        <f>Assumptions!$Q$49*E921</f>
        <v>0</v>
      </c>
      <c r="F945" s="403">
        <f>Assumptions!$Q$49*F921</f>
        <v>0</v>
      </c>
      <c r="G945" s="403">
        <f>Assumptions!$Q$49*G921</f>
        <v>0</v>
      </c>
      <c r="H945" s="403">
        <f>Assumptions!$Q$49*H921</f>
        <v>1272000</v>
      </c>
      <c r="I945" s="403">
        <f ca="1">Assumptions!$Q$49*I921</f>
        <v>1376194.107572648</v>
      </c>
      <c r="J945" s="403">
        <f ca="1">Assumptions!$Q$49*J921</f>
        <v>1494087.080744897</v>
      </c>
      <c r="K945" s="403">
        <f ca="1">Assumptions!$Q$49*K921</f>
        <v>1627326.2647269638</v>
      </c>
      <c r="L945" s="403">
        <f ca="1">Assumptions!$Q$49*L921</f>
        <v>1776936.843928677</v>
      </c>
    </row>
    <row r="946" spans="1:12" ht="15.5">
      <c r="A946" s="409" t="s">
        <v>368</v>
      </c>
      <c r="B946" s="405"/>
      <c r="C946" s="403">
        <f>Assumptions!$Q$50*C925</f>
        <v>0</v>
      </c>
      <c r="D946" s="403">
        <f>Assumptions!$Q$50*D925</f>
        <v>0</v>
      </c>
      <c r="E946" s="403">
        <f>Assumptions!$Q$50*E925</f>
        <v>0</v>
      </c>
      <c r="F946" s="403">
        <f>Assumptions!$Q$50*F925</f>
        <v>1263500</v>
      </c>
      <c r="G946" s="403">
        <f ca="1">Assumptions!$Q$50*G925</f>
        <v>1304999.2007742838</v>
      </c>
      <c r="H946" s="403">
        <f ca="1">Assumptions!$Q$50*H925</f>
        <v>1352663.5442957578</v>
      </c>
      <c r="I946" s="403">
        <f ca="1">Assumptions!$Q$50*I925</f>
        <v>1407214.9582446937</v>
      </c>
      <c r="J946" s="403">
        <f ca="1">Assumptions!$Q$50*J925</f>
        <v>1468533.1236942755</v>
      </c>
      <c r="K946" s="403">
        <f ca="1">Assumptions!$Q$50*K925</f>
        <v>1538489.4495129529</v>
      </c>
      <c r="L946" s="403">
        <f ca="1">Assumptions!$Q$50*L925</f>
        <v>1618005.7032410796</v>
      </c>
    </row>
    <row r="947" spans="1:12" ht="15.5">
      <c r="A947" s="409" t="s">
        <v>369</v>
      </c>
      <c r="B947" s="405"/>
      <c r="C947" s="403">
        <f>Assumptions!$Q$51*C929</f>
        <v>0</v>
      </c>
      <c r="D947" s="403">
        <f>Assumptions!$Q$51*D929</f>
        <v>0</v>
      </c>
      <c r="E947" s="403">
        <f>Assumptions!$Q$51*E929</f>
        <v>0</v>
      </c>
      <c r="F947" s="403">
        <f>Assumptions!$Q$51*F929</f>
        <v>0</v>
      </c>
      <c r="G947" s="403">
        <f>Assumptions!$Q$51*G929</f>
        <v>70000</v>
      </c>
      <c r="H947" s="403">
        <f ca="1">Assumptions!$Q$51*H929</f>
        <v>131825.4248752945</v>
      </c>
      <c r="I947" s="403">
        <f ca="1">Assumptions!$Q$51*I929</f>
        <v>185873.8694204549</v>
      </c>
      <c r="J947" s="403">
        <f ca="1">Assumptions!$Q$51*J929</f>
        <v>233118.07577662382</v>
      </c>
      <c r="K947" s="403">
        <f ca="1">Assumptions!$Q$51*K929</f>
        <v>274498.53345807758</v>
      </c>
      <c r="L947" s="403">
        <f ca="1">Assumptions!$Q$51*L929</f>
        <v>310776.50407684676</v>
      </c>
    </row>
    <row r="948" spans="1:12" ht="15.5">
      <c r="A948" s="409" t="s">
        <v>370</v>
      </c>
      <c r="B948" s="405"/>
      <c r="C948" s="403">
        <f>Assumptions!$Q$52*C933</f>
        <v>0</v>
      </c>
      <c r="D948" s="403">
        <f>Assumptions!$Q$52*D933</f>
        <v>0</v>
      </c>
      <c r="E948" s="403">
        <f>Assumptions!$Q$52*E933</f>
        <v>0</v>
      </c>
      <c r="F948" s="403">
        <f>Assumptions!$Q$52*F933</f>
        <v>0</v>
      </c>
      <c r="G948" s="403">
        <f>Assumptions!$Q$52*G933</f>
        <v>52500</v>
      </c>
      <c r="H948" s="403">
        <f ca="1">Assumptions!$Q$52*H933</f>
        <v>54515.281801287194</v>
      </c>
      <c r="I948" s="403">
        <f ca="1">Assumptions!$Q$52*I933</f>
        <v>56780.981818699758</v>
      </c>
      <c r="J948" s="403">
        <f ca="1">Assumptions!$Q$52*J933</f>
        <v>59286.851051998456</v>
      </c>
      <c r="K948" s="403">
        <f ca="1">Assumptions!$Q$52*K933</f>
        <v>62099.337142652301</v>
      </c>
      <c r="L948" s="403">
        <f ca="1">Assumptions!$Q$52*L933</f>
        <v>65227.772351199739</v>
      </c>
    </row>
    <row r="949" spans="1:12" ht="15.5">
      <c r="A949" s="409" t="s">
        <v>371</v>
      </c>
      <c r="B949" s="405"/>
      <c r="C949" s="403">
        <f>Assumptions!$Q$53*C937</f>
        <v>0</v>
      </c>
      <c r="D949" s="403">
        <f>Assumptions!$Q$53*D937</f>
        <v>0</v>
      </c>
      <c r="E949" s="403">
        <f>Assumptions!$Q$53*E937</f>
        <v>0</v>
      </c>
      <c r="F949" s="403">
        <f>Assumptions!$Q$53*F937</f>
        <v>0</v>
      </c>
      <c r="G949" s="403">
        <f>Assumptions!$Q$53*G937</f>
        <v>157500</v>
      </c>
      <c r="H949" s="403">
        <f ca="1">Assumptions!$Q$53*H937</f>
        <v>163384.07736328378</v>
      </c>
      <c r="I949" s="403">
        <f ca="1">Assumptions!$Q$53*I937</f>
        <v>170102.62036028903</v>
      </c>
      <c r="J949" s="403">
        <f ca="1">Assumptions!$Q$53*J937</f>
        <v>177750.97656616548</v>
      </c>
      <c r="K949" s="403">
        <f ca="1">Assumptions!$Q$53*K937</f>
        <v>186254.40375473455</v>
      </c>
      <c r="L949" s="403">
        <f ca="1">Assumptions!$Q$53*L937</f>
        <v>195893.31866888434</v>
      </c>
    </row>
    <row r="950" spans="1:12" ht="15.5">
      <c r="A950" s="409" t="s">
        <v>354</v>
      </c>
      <c r="B950" s="405"/>
      <c r="C950" s="403">
        <f t="shared" ref="C950" si="313">SUM(C942:C949)</f>
        <v>0</v>
      </c>
      <c r="D950" s="403">
        <f t="shared" ref="D950" si="314">SUM(D942:D949)</f>
        <v>0</v>
      </c>
      <c r="E950" s="403">
        <f t="shared" ref="E950" si="315">SUM(E942:E949)</f>
        <v>0</v>
      </c>
      <c r="F950" s="403">
        <f t="shared" ref="F950" si="316">SUM(F942:F949)</f>
        <v>8631000</v>
      </c>
      <c r="G950" s="403">
        <f t="shared" ref="G950" ca="1" si="317">SUM(G942:G949)</f>
        <v>12019742.7212987</v>
      </c>
      <c r="H950" s="403">
        <f t="shared" ref="H950" ca="1" si="318">SUM(H942:H949)</f>
        <v>14340589.458551321</v>
      </c>
      <c r="I950" s="403">
        <f t="shared" ref="I950" ca="1" si="319">SUM(I942:I949)</f>
        <v>15626884.036512366</v>
      </c>
      <c r="J950" s="403">
        <f t="shared" ref="J950" ca="1" si="320">SUM(J942:J949)</f>
        <v>17078978.621410754</v>
      </c>
      <c r="K950" s="403">
        <f t="shared" ref="K950" ca="1" si="321">SUM(K942:K949)</f>
        <v>18726612.109842941</v>
      </c>
      <c r="L950" s="403">
        <f t="shared" ref="L950" ca="1" si="322">SUM(L942:L949)</f>
        <v>20600156.163347125</v>
      </c>
    </row>
    <row r="951" spans="1:12">
      <c r="A951" s="408"/>
      <c r="B951" s="405"/>
      <c r="C951" s="403"/>
      <c r="D951" s="403"/>
      <c r="E951" s="403"/>
      <c r="F951" s="403"/>
      <c r="G951" s="403"/>
      <c r="H951" s="403"/>
      <c r="I951" s="403"/>
      <c r="J951" s="403"/>
      <c r="K951" s="403"/>
      <c r="L951" s="403"/>
    </row>
    <row r="952" spans="1:12" ht="15.5">
      <c r="A952" s="409" t="s">
        <v>154</v>
      </c>
      <c r="B952" s="405"/>
      <c r="C952" s="403">
        <f>C939-C950</f>
        <v>0</v>
      </c>
      <c r="D952" s="403">
        <f t="shared" ref="D952:L952" si="323">D939-D950</f>
        <v>0</v>
      </c>
      <c r="E952" s="403">
        <f t="shared" si="323"/>
        <v>0</v>
      </c>
      <c r="F952" s="403">
        <f t="shared" si="323"/>
        <v>16029000</v>
      </c>
      <c r="G952" s="403">
        <f t="shared" ca="1" si="323"/>
        <v>21460593.625269018</v>
      </c>
      <c r="H952" s="403">
        <f t="shared" ca="1" si="323"/>
        <v>25250045.340663884</v>
      </c>
      <c r="I952" s="403">
        <f t="shared" ca="1" si="323"/>
        <v>27526368.761778571</v>
      </c>
      <c r="J952" s="403">
        <f t="shared" ca="1" si="323"/>
        <v>30096874.967008006</v>
      </c>
      <c r="K952" s="403">
        <f t="shared" ca="1" si="323"/>
        <v>33013752.357115202</v>
      </c>
      <c r="L952" s="403">
        <f t="shared" ca="1" si="323"/>
        <v>36331574.812621504</v>
      </c>
    </row>
    <row r="953" spans="1:12">
      <c r="A953" s="408"/>
      <c r="B953" s="405"/>
      <c r="C953" s="403"/>
      <c r="D953" s="403"/>
      <c r="E953" s="403"/>
      <c r="F953" s="403"/>
      <c r="G953" s="403"/>
      <c r="H953" s="403"/>
      <c r="I953" s="403"/>
      <c r="J953" s="403"/>
      <c r="K953" s="403"/>
      <c r="L953" s="403"/>
    </row>
    <row r="954" spans="1:12" ht="18.5">
      <c r="A954" s="411" t="s">
        <v>96</v>
      </c>
      <c r="B954" s="405"/>
      <c r="C954" s="403"/>
      <c r="D954" s="403"/>
      <c r="E954" s="403"/>
      <c r="F954" s="403"/>
      <c r="G954" s="403"/>
      <c r="H954" s="403"/>
      <c r="I954" s="403"/>
      <c r="J954" s="403"/>
      <c r="K954" s="403"/>
      <c r="L954" s="403"/>
    </row>
    <row r="955" spans="1:12">
      <c r="A955" s="408"/>
      <c r="B955" s="405"/>
      <c r="C955" s="403"/>
      <c r="D955" s="403"/>
      <c r="E955" s="403"/>
      <c r="F955" s="403"/>
      <c r="G955" s="403"/>
      <c r="H955" s="403"/>
      <c r="I955" s="403"/>
      <c r="J955" s="403"/>
      <c r="K955" s="403"/>
      <c r="L955" s="403"/>
    </row>
    <row r="956" spans="1:12" ht="15.5">
      <c r="A956" s="409" t="s">
        <v>28</v>
      </c>
      <c r="B956" s="405"/>
      <c r="C956" s="403"/>
      <c r="D956" s="403"/>
      <c r="E956" s="403"/>
      <c r="F956" s="403"/>
      <c r="G956" s="403"/>
      <c r="H956" s="403"/>
      <c r="I956" s="403"/>
      <c r="J956" s="403"/>
      <c r="K956" s="403"/>
      <c r="L956" s="403"/>
    </row>
    <row r="957" spans="1:12" ht="15.5">
      <c r="A957" s="409"/>
      <c r="B957" s="405"/>
      <c r="C957" s="403"/>
      <c r="D957" s="403"/>
      <c r="E957" s="403"/>
      <c r="F957" s="403"/>
      <c r="G957" s="403"/>
      <c r="H957" s="403"/>
      <c r="I957" s="403"/>
      <c r="J957" s="403"/>
      <c r="K957" s="403"/>
      <c r="L957" s="403"/>
    </row>
    <row r="958" spans="1:12">
      <c r="A958" s="408" t="s">
        <v>37</v>
      </c>
      <c r="B958" s="405"/>
      <c r="C958" s="403">
        <f>IF(C$5 = Assumptions!$N$45, Assumptions!$AW15, 0)</f>
        <v>0</v>
      </c>
      <c r="D958" s="403">
        <f>IF(D$5 = Assumptions!$N$45, Assumptions!$AW15, 0)</f>
        <v>0</v>
      </c>
      <c r="E958" s="403">
        <f>IF(E$5 = Assumptions!$N$45, Assumptions!$AW15, 0)</f>
        <v>0</v>
      </c>
      <c r="F958" s="403">
        <f>IF(F$5 = Assumptions!$N$45, Assumptions!$AW15, 0)</f>
        <v>5000</v>
      </c>
      <c r="G958" s="403">
        <f>IF(G$5 = Assumptions!$N$45, Assumptions!$AW15, 0)</f>
        <v>0</v>
      </c>
      <c r="H958" s="403">
        <f>IF(H$5 = Assumptions!$N$45, Assumptions!$AW15, 0)</f>
        <v>0</v>
      </c>
      <c r="I958" s="403">
        <f>IF(I$5 = Assumptions!$N$45, Assumptions!$AW15, 0)</f>
        <v>0</v>
      </c>
      <c r="J958" s="403">
        <f>IF(J$5 = Assumptions!$N$45, Assumptions!$AW15, 0)</f>
        <v>0</v>
      </c>
      <c r="K958" s="403">
        <f>IF(K$5 = Assumptions!$N$45, Assumptions!$AW15, 0)</f>
        <v>0</v>
      </c>
      <c r="L958" s="403">
        <f>IF(L$5 = Assumptions!$N$45, Assumptions!$AW15, 0)</f>
        <v>0</v>
      </c>
    </row>
    <row r="959" spans="1:12">
      <c r="A959" s="408" t="s">
        <v>309</v>
      </c>
      <c r="B959" s="405"/>
      <c r="C959" s="403">
        <f>IF(C$5 = Assumptions!$N$45, Assumptions!$AW16, 0)</f>
        <v>0</v>
      </c>
      <c r="D959" s="403">
        <f>IF(D$5 = Assumptions!$N$45, Assumptions!$AW16, 0)</f>
        <v>0</v>
      </c>
      <c r="E959" s="403">
        <f>IF(E$5 = Assumptions!$N$45, Assumptions!$AW16, 0)</f>
        <v>0</v>
      </c>
      <c r="F959" s="403">
        <f>IF(F$5 = Assumptions!$N$45, Assumptions!$AW16, 0)</f>
        <v>15000</v>
      </c>
      <c r="G959" s="403">
        <f>IF(G$5 = Assumptions!$N$45, Assumptions!$AW16, 0)</f>
        <v>0</v>
      </c>
      <c r="H959" s="403">
        <f>IF(H$5 = Assumptions!$N$45, Assumptions!$AW16, 0)</f>
        <v>0</v>
      </c>
      <c r="I959" s="403">
        <f>IF(I$5 = Assumptions!$N$45, Assumptions!$AW16, 0)</f>
        <v>0</v>
      </c>
      <c r="J959" s="403">
        <f>IF(J$5 = Assumptions!$N$45, Assumptions!$AW16, 0)</f>
        <v>0</v>
      </c>
      <c r="K959" s="403">
        <f>IF(K$5 = Assumptions!$N$45, Assumptions!$AW16, 0)</f>
        <v>0</v>
      </c>
      <c r="L959" s="403">
        <f>IF(L$5 = Assumptions!$N$45, Assumptions!$AW16, 0)</f>
        <v>0</v>
      </c>
    </row>
    <row r="960" spans="1:12">
      <c r="A960" s="408" t="s">
        <v>40</v>
      </c>
      <c r="B960" s="405"/>
      <c r="C960" s="403">
        <f>IF(C$5 = Assumptions!$N$45, Assumptions!$AW17, 0)</f>
        <v>0</v>
      </c>
      <c r="D960" s="403">
        <f>IF(D$5 = Assumptions!$N$45, Assumptions!$AW17, 0)</f>
        <v>0</v>
      </c>
      <c r="E960" s="403">
        <f>IF(E$5 = Assumptions!$N$45, Assumptions!$AW17, 0)</f>
        <v>0</v>
      </c>
      <c r="F960" s="403">
        <f>IF(F$5 = Assumptions!$N$45, Assumptions!$AW17, 0)</f>
        <v>1000</v>
      </c>
      <c r="G960" s="403">
        <f>IF(G$5 = Assumptions!$N$45, Assumptions!$AW17, 0)</f>
        <v>0</v>
      </c>
      <c r="H960" s="403">
        <f>IF(H$5 = Assumptions!$N$45, Assumptions!$AW17, 0)</f>
        <v>0</v>
      </c>
      <c r="I960" s="403">
        <f>IF(I$5 = Assumptions!$N$45, Assumptions!$AW17, 0)</f>
        <v>0</v>
      </c>
      <c r="J960" s="403">
        <f>IF(J$5 = Assumptions!$N$45, Assumptions!$AW17, 0)</f>
        <v>0</v>
      </c>
      <c r="K960" s="403">
        <f>IF(K$5 = Assumptions!$N$45, Assumptions!$AW17, 0)</f>
        <v>0</v>
      </c>
      <c r="L960" s="403">
        <f>IF(L$5 = Assumptions!$N$45, Assumptions!$AW17, 0)</f>
        <v>0</v>
      </c>
    </row>
    <row r="961" spans="1:12">
      <c r="A961" s="408" t="s">
        <v>41</v>
      </c>
      <c r="B961" s="405"/>
      <c r="C961" s="403">
        <f>IF(C$5 = Assumptions!$N$45, Assumptions!$AW18, 0)</f>
        <v>0</v>
      </c>
      <c r="D961" s="403">
        <f>IF(D$5 = Assumptions!$N$45, Assumptions!$AW18, 0)</f>
        <v>0</v>
      </c>
      <c r="E961" s="403">
        <f>IF(E$5 = Assumptions!$N$45, Assumptions!$AW18, 0)</f>
        <v>0</v>
      </c>
      <c r="F961" s="403">
        <f>IF(F$5 = Assumptions!$N$45, Assumptions!$AW18, 0)</f>
        <v>5000</v>
      </c>
      <c r="G961" s="403">
        <f>IF(G$5 = Assumptions!$N$45, Assumptions!$AW18, 0)</f>
        <v>0</v>
      </c>
      <c r="H961" s="403">
        <f>IF(H$5 = Assumptions!$N$45, Assumptions!$AW18, 0)</f>
        <v>0</v>
      </c>
      <c r="I961" s="403">
        <f>IF(I$5 = Assumptions!$N$45, Assumptions!$AW18, 0)</f>
        <v>0</v>
      </c>
      <c r="J961" s="403">
        <f>IF(J$5 = Assumptions!$N$45, Assumptions!$AW18, 0)</f>
        <v>0</v>
      </c>
      <c r="K961" s="403">
        <f>IF(K$5 = Assumptions!$N$45, Assumptions!$AW18, 0)</f>
        <v>0</v>
      </c>
      <c r="L961" s="403">
        <f>IF(L$5 = Assumptions!$N$45, Assumptions!$AW18, 0)</f>
        <v>0</v>
      </c>
    </row>
    <row r="962" spans="1:12">
      <c r="A962" s="408" t="s">
        <v>43</v>
      </c>
      <c r="B962" s="405"/>
      <c r="C962" s="403">
        <f>IF(C$5 = Assumptions!$N$45, Assumptions!$AW19, 0)</f>
        <v>0</v>
      </c>
      <c r="D962" s="403">
        <f>IF(D$5 = Assumptions!$N$45, Assumptions!$AW19, 0)</f>
        <v>0</v>
      </c>
      <c r="E962" s="403">
        <f>IF(E$5 = Assumptions!$N$45, Assumptions!$AW19, 0)</f>
        <v>0</v>
      </c>
      <c r="F962" s="403">
        <f>IF(F$5 = Assumptions!$N$45, Assumptions!$AW19, 0)</f>
        <v>1000</v>
      </c>
      <c r="G962" s="403">
        <f>IF(G$5 = Assumptions!$N$45, Assumptions!$AW19, 0)</f>
        <v>0</v>
      </c>
      <c r="H962" s="403">
        <f>IF(H$5 = Assumptions!$N$45, Assumptions!$AW19, 0)</f>
        <v>0</v>
      </c>
      <c r="I962" s="403">
        <f>IF(I$5 = Assumptions!$N$45, Assumptions!$AW19, 0)</f>
        <v>0</v>
      </c>
      <c r="J962" s="403">
        <f>IF(J$5 = Assumptions!$N$45, Assumptions!$AW19, 0)</f>
        <v>0</v>
      </c>
      <c r="K962" s="403">
        <f>IF(K$5 = Assumptions!$N$45, Assumptions!$AW19, 0)</f>
        <v>0</v>
      </c>
      <c r="L962" s="403">
        <f>IF(L$5 = Assumptions!$N$45, Assumptions!$AW19, 0)</f>
        <v>0</v>
      </c>
    </row>
    <row r="963" spans="1:12">
      <c r="A963" s="408" t="s">
        <v>45</v>
      </c>
      <c r="B963" s="405"/>
      <c r="C963" s="403">
        <f>IF(C$5 = Assumptions!$N$45, Assumptions!$AW20, 0)</f>
        <v>0</v>
      </c>
      <c r="D963" s="403">
        <f>IF(D$5 = Assumptions!$N$45, Assumptions!$AW20, 0)</f>
        <v>0</v>
      </c>
      <c r="E963" s="403">
        <f>IF(E$5 = Assumptions!$N$45, Assumptions!$AW20, 0)</f>
        <v>0</v>
      </c>
      <c r="F963" s="403">
        <f>IF(F$5 = Assumptions!$N$45, Assumptions!$AW20, 0)</f>
        <v>3000</v>
      </c>
      <c r="G963" s="403">
        <f>IF(G$5 = Assumptions!$N$45, Assumptions!$AW20, 0)</f>
        <v>0</v>
      </c>
      <c r="H963" s="403">
        <f>IF(H$5 = Assumptions!$N$45, Assumptions!$AW20, 0)</f>
        <v>0</v>
      </c>
      <c r="I963" s="403">
        <f>IF(I$5 = Assumptions!$N$45, Assumptions!$AW20, 0)</f>
        <v>0</v>
      </c>
      <c r="J963" s="403">
        <f>IF(J$5 = Assumptions!$N$45, Assumptions!$AW20, 0)</f>
        <v>0</v>
      </c>
      <c r="K963" s="403">
        <f>IF(K$5 = Assumptions!$N$45, Assumptions!$AW20, 0)</f>
        <v>0</v>
      </c>
      <c r="L963" s="403">
        <f>IF(L$5 = Assumptions!$N$45, Assumptions!$AW20, 0)</f>
        <v>0</v>
      </c>
    </row>
    <row r="964" spans="1:12">
      <c r="A964" s="408" t="s">
        <v>35</v>
      </c>
      <c r="B964" s="405"/>
      <c r="C964" s="403">
        <f>IF(C$5 = Assumptions!$N$45, Assumptions!$AW21, 0)</f>
        <v>0</v>
      </c>
      <c r="D964" s="403">
        <f>IF(D$5 = Assumptions!$N$45, Assumptions!$AW21, 0)</f>
        <v>0</v>
      </c>
      <c r="E964" s="403">
        <f>IF(E$5 = Assumptions!$N$45, Assumptions!$AW21, 0)</f>
        <v>0</v>
      </c>
      <c r="F964" s="403">
        <f>IF(F$5 = Assumptions!$N$45, Assumptions!$AW21, 0)</f>
        <v>5000</v>
      </c>
      <c r="G964" s="403">
        <f>IF(G$5 = Assumptions!$N$45, Assumptions!$AW21, 0)</f>
        <v>0</v>
      </c>
      <c r="H964" s="403">
        <f>IF(H$5 = Assumptions!$N$45, Assumptions!$AW21, 0)</f>
        <v>0</v>
      </c>
      <c r="I964" s="403">
        <f>IF(I$5 = Assumptions!$N$45, Assumptions!$AW21, 0)</f>
        <v>0</v>
      </c>
      <c r="J964" s="403">
        <f>IF(J$5 = Assumptions!$N$45, Assumptions!$AW21, 0)</f>
        <v>0</v>
      </c>
      <c r="K964" s="403">
        <f>IF(K$5 = Assumptions!$N$45, Assumptions!$AW21, 0)</f>
        <v>0</v>
      </c>
      <c r="L964" s="403">
        <f>IF(L$5 = Assumptions!$N$45, Assumptions!$AW21, 0)</f>
        <v>0</v>
      </c>
    </row>
    <row r="965" spans="1:12">
      <c r="A965" s="408"/>
      <c r="B965" s="405"/>
      <c r="C965" s="403"/>
      <c r="D965" s="403"/>
      <c r="E965" s="403"/>
      <c r="F965" s="403"/>
      <c r="G965" s="403"/>
      <c r="H965" s="403"/>
      <c r="I965" s="403"/>
      <c r="J965" s="403"/>
      <c r="K965" s="403"/>
      <c r="L965" s="403"/>
    </row>
    <row r="966" spans="1:12" ht="15.5">
      <c r="A966" s="409" t="s">
        <v>155</v>
      </c>
      <c r="B966" s="405"/>
      <c r="C966" s="403">
        <f t="shared" ref="C966:L966" si="324">SUM(C958:C964)</f>
        <v>0</v>
      </c>
      <c r="D966" s="403">
        <f t="shared" si="324"/>
        <v>0</v>
      </c>
      <c r="E966" s="403">
        <f t="shared" si="324"/>
        <v>0</v>
      </c>
      <c r="F966" s="403">
        <f t="shared" si="324"/>
        <v>35000</v>
      </c>
      <c r="G966" s="403">
        <f t="shared" si="324"/>
        <v>0</v>
      </c>
      <c r="H966" s="403">
        <f t="shared" si="324"/>
        <v>0</v>
      </c>
      <c r="I966" s="403">
        <f t="shared" si="324"/>
        <v>0</v>
      </c>
      <c r="J966" s="403">
        <f t="shared" si="324"/>
        <v>0</v>
      </c>
      <c r="K966" s="403">
        <f t="shared" si="324"/>
        <v>0</v>
      </c>
      <c r="L966" s="403">
        <f t="shared" si="324"/>
        <v>0</v>
      </c>
    </row>
    <row r="967" spans="1:12">
      <c r="A967" s="408"/>
      <c r="B967" s="405"/>
      <c r="C967" s="403"/>
      <c r="D967" s="403"/>
      <c r="E967" s="403"/>
      <c r="F967" s="403"/>
      <c r="G967" s="403"/>
      <c r="H967" s="403"/>
      <c r="I967" s="403"/>
      <c r="J967" s="403"/>
      <c r="K967" s="403"/>
      <c r="L967" s="403"/>
    </row>
    <row r="968" spans="1:12" ht="15.5">
      <c r="A968" s="409" t="s">
        <v>13</v>
      </c>
      <c r="B968" s="405"/>
      <c r="C968" s="403"/>
      <c r="D968" s="403"/>
      <c r="E968" s="403"/>
      <c r="F968" s="403"/>
      <c r="G968" s="403"/>
      <c r="H968" s="403"/>
      <c r="I968" s="403"/>
      <c r="J968" s="403"/>
      <c r="K968" s="403"/>
      <c r="L968" s="403"/>
    </row>
    <row r="969" spans="1:12">
      <c r="A969" s="408"/>
      <c r="B969" s="405"/>
      <c r="C969" s="403"/>
      <c r="D969" s="403"/>
      <c r="E969" s="403"/>
      <c r="F969" s="403"/>
      <c r="G969" s="403"/>
      <c r="H969" s="403"/>
      <c r="I969" s="403"/>
      <c r="J969" s="403"/>
      <c r="K969" s="403"/>
      <c r="L969" s="403"/>
    </row>
    <row r="970" spans="1:12">
      <c r="A970" s="408" t="s">
        <v>14</v>
      </c>
      <c r="B970" s="405"/>
      <c r="C970" s="403">
        <f>IF(C$5 &gt;= Assumptions!$N$45, Assumptions!AK15, 0)</f>
        <v>0</v>
      </c>
      <c r="D970" s="403">
        <f>IF(D$5&gt;Assumptions!$N$45,C970*(1+Revenue!C123),IF(D$5=Assumptions!$N$45, Assumptions!$AK15, 0))</f>
        <v>0</v>
      </c>
      <c r="E970" s="403">
        <f>IF(E$5&gt;Assumptions!$N$45,D970*(1+Revenue!D123),IF(E$5=Assumptions!$N$45, Assumptions!$AK15, 0))</f>
        <v>0</v>
      </c>
      <c r="F970" s="403">
        <f>IF(F$5&gt;Assumptions!$N$45,E970*(1+Revenue!E123),IF(F$5=Assumptions!$N$45, Assumptions!$AK15, 0))</f>
        <v>0</v>
      </c>
      <c r="G970" s="403">
        <f>IF(G$5&gt;Assumptions!$N$45,F970*(1+Revenue!F123),IF(G$5=Assumptions!$N$45, Assumptions!$AK15, 0))</f>
        <v>0</v>
      </c>
      <c r="H970" s="403">
        <f>IF(H$5&gt;Assumptions!$N$45,G970*(1+Revenue!G123),IF(H$5=Assumptions!$N$45, Assumptions!$AK15, 0))</f>
        <v>0</v>
      </c>
      <c r="I970" s="403">
        <f>IF(I$5&gt;Assumptions!$N$45,H970*(1+Revenue!H123),IF(I$5=Assumptions!$N$45, Assumptions!$AK15, 0))</f>
        <v>0</v>
      </c>
      <c r="J970" s="403">
        <f>IF(J$5&gt;Assumptions!$N$45,I970*(1+Revenue!I123),IF(J$5=Assumptions!$N$45, Assumptions!$AK15, 0))</f>
        <v>0</v>
      </c>
      <c r="K970" s="403">
        <f>IF(K$5&gt;Assumptions!$N$45,J970*(1+Revenue!J123),IF(K$5=Assumptions!$N$45, Assumptions!$AK15, 0))</f>
        <v>0</v>
      </c>
      <c r="L970" s="403">
        <f>IF(L$5&gt;Assumptions!$N$45,K970*(1+Revenue!K123),IF(L$5=Assumptions!$N$45, Assumptions!$AK15, 0))</f>
        <v>0</v>
      </c>
    </row>
    <row r="971" spans="1:12">
      <c r="A971" s="408" t="s">
        <v>15</v>
      </c>
      <c r="B971" s="405"/>
      <c r="C971" s="403">
        <f>IF(C$5 &gt;= Assumptions!$N$45, Assumptions!AK16, 0)</f>
        <v>0</v>
      </c>
      <c r="D971" s="403">
        <f>IF(D$5&gt;Assumptions!$N$45,C971*(1+Revenue!C123),IF(D$5=Assumptions!$N$45, Assumptions!$AK16, 0))</f>
        <v>0</v>
      </c>
      <c r="E971" s="403">
        <f>IF(E$5&gt;Assumptions!$N$45,D971*(1+Revenue!D123),IF(E$5=Assumptions!$N$45, Assumptions!$AK16, 0))</f>
        <v>0</v>
      </c>
      <c r="F971" s="403">
        <f>IF(F$5&gt;Assumptions!$N$45,E971*(1+Revenue!E123),IF(F$5=Assumptions!$N$45, Assumptions!$AK16, 0))</f>
        <v>0</v>
      </c>
      <c r="G971" s="403">
        <f>IF(G$5&gt;Assumptions!$N$45,F971*(1+Revenue!F123),IF(G$5=Assumptions!$N$45, Assumptions!$AK16, 0))</f>
        <v>0</v>
      </c>
      <c r="H971" s="403">
        <f>IF(H$5&gt;Assumptions!$N$45,G971*(1+Revenue!G123),IF(H$5=Assumptions!$N$45, Assumptions!$AK16, 0))</f>
        <v>0</v>
      </c>
      <c r="I971" s="403">
        <f>IF(I$5&gt;Assumptions!$N$45,H971*(1+Revenue!H123),IF(I$5=Assumptions!$N$45, Assumptions!$AK16, 0))</f>
        <v>0</v>
      </c>
      <c r="J971" s="403">
        <f>IF(J$5&gt;Assumptions!$N$45,I971*(1+Revenue!I123),IF(J$5=Assumptions!$N$45, Assumptions!$AK16, 0))</f>
        <v>0</v>
      </c>
      <c r="K971" s="403">
        <f>IF(K$5&gt;Assumptions!$N$45,J971*(1+Revenue!J123),IF(K$5=Assumptions!$N$45, Assumptions!$AK16, 0))</f>
        <v>0</v>
      </c>
      <c r="L971" s="403">
        <f>IF(L$5&gt;Assumptions!$N$45,K971*(1+Revenue!K123),IF(L$5=Assumptions!$N$45, Assumptions!$AK16, 0))</f>
        <v>0</v>
      </c>
    </row>
    <row r="972" spans="1:12">
      <c r="A972" s="408" t="s">
        <v>17</v>
      </c>
      <c r="B972" s="405"/>
      <c r="C972" s="403">
        <f>IF(C$5 &gt;= Assumptions!$N$45, Assumptions!AK17, 0)</f>
        <v>0</v>
      </c>
      <c r="D972" s="403">
        <f>IF(D$5&gt;Assumptions!$N$45,C972*(1+Revenue!C123),IF(D$5=Assumptions!$N$45, Assumptions!$AK17, 0))</f>
        <v>0</v>
      </c>
      <c r="E972" s="403">
        <f>IF(E$5&gt;Assumptions!$N$45,D972*(1+Revenue!D123),IF(E$5=Assumptions!$N$45, Assumptions!$AK17, 0))</f>
        <v>0</v>
      </c>
      <c r="F972" s="403">
        <f>IF(F$5&gt;Assumptions!$N$45,E972*(1+Revenue!E123),IF(F$5=Assumptions!$N$45, Assumptions!$AK17, 0))</f>
        <v>0</v>
      </c>
      <c r="G972" s="403">
        <f>IF(G$5&gt;Assumptions!$N$45,F972*(1+Revenue!F123),IF(G$5=Assumptions!$N$45, Assumptions!$AK17, 0))</f>
        <v>0</v>
      </c>
      <c r="H972" s="403">
        <f>IF(H$5&gt;Assumptions!$N$45,G972*(1+Revenue!G123),IF(H$5=Assumptions!$N$45, Assumptions!$AK17, 0))</f>
        <v>0</v>
      </c>
      <c r="I972" s="403">
        <f>IF(I$5&gt;Assumptions!$N$45,H972*(1+Revenue!H123),IF(I$5=Assumptions!$N$45, Assumptions!$AK17, 0))</f>
        <v>0</v>
      </c>
      <c r="J972" s="403">
        <f>IF(J$5&gt;Assumptions!$N$45,I972*(1+Revenue!I123),IF(J$5=Assumptions!$N$45, Assumptions!$AK17, 0))</f>
        <v>0</v>
      </c>
      <c r="K972" s="403">
        <f>IF(K$5&gt;Assumptions!$N$45,J972*(1+Revenue!J123),IF(K$5=Assumptions!$N$45, Assumptions!$AK17, 0))</f>
        <v>0</v>
      </c>
      <c r="L972" s="403">
        <f>IF(L$5&gt;Assumptions!$N$45,K972*(1+Revenue!K123),IF(L$5=Assumptions!$N$45, Assumptions!$AK17, 0))</f>
        <v>0</v>
      </c>
    </row>
    <row r="973" spans="1:12">
      <c r="A973" s="408" t="s">
        <v>19</v>
      </c>
      <c r="B973" s="405"/>
      <c r="C973" s="403">
        <f>IF(C$5 &gt;= Assumptions!$N$45, Assumptions!$AK$18 * (Revenue!Q128+Revenue!Q129+Revenue!Q130+Revenue!Q131), 0)</f>
        <v>0</v>
      </c>
      <c r="D973" s="403">
        <f>IF(D$5&gt;Assumptions!$N$45, Assumptions!$AK$18*(Revenue!R128+Revenue!R129+Revenue!R130+Revenue!R131)*(1+Revenue!C123), IF(D$5=Assumptions!$N$45, Assumptions!$AK$18 * (Revenue!R128+Revenue!R129+Revenue!R130+Revenue!R131), 0))</f>
        <v>0</v>
      </c>
      <c r="E973" s="403">
        <f>IF(E$5&gt;Assumptions!$N$45, Assumptions!$AK$18*(Revenue!S128+Revenue!S129+Revenue!S130+Revenue!S131)*(1+Revenue!D123), IF(E$5=Assumptions!$N$45, Assumptions!$AK$18 * (Revenue!S128+Revenue!S129+Revenue!S130+Revenue!S131), 0))</f>
        <v>0</v>
      </c>
      <c r="F973" s="403">
        <f>IF(F$5&gt;Assumptions!$N$45, Assumptions!$AK$18*(Revenue!T128+Revenue!T129+Revenue!T130+Revenue!T131)*(1+Revenue!E123), IF(F$5=Assumptions!$N$45, Assumptions!$AK$18 * (Revenue!T128+Revenue!T129+Revenue!T130+Revenue!T131), 0))</f>
        <v>171450</v>
      </c>
      <c r="G973" s="403">
        <f ca="1">IF(G$5&gt;Assumptions!$N$45, Assumptions!$AK$18*(Revenue!U128+Revenue!U129+Revenue!U130+Revenue!U131)*(1+Revenue!F123), IF(G$5=Assumptions!$N$45, Assumptions!$AK$18 * (Revenue!U128+Revenue!U129+Revenue!U130+Revenue!U131), 0))</f>
        <v>215253.48468843161</v>
      </c>
      <c r="H973" s="403">
        <f ca="1">IF(H$5&gt;Assumptions!$N$45, Assumptions!$AK$18*(Revenue!V128+Revenue!V129+Revenue!V130+Revenue!V131)*(1+Revenue!G123), IF(H$5=Assumptions!$N$45, Assumptions!$AK$18 * (Revenue!V128+Revenue!V129+Revenue!V130+Revenue!V131), 0))</f>
        <v>228809.63946966067</v>
      </c>
      <c r="I973" s="403">
        <f ca="1">IF(I$5&gt;Assumptions!$N$45, Assumptions!$AK$18*(Revenue!W128+Revenue!W129+Revenue!W130+Revenue!W131)*(1+Revenue!H123), IF(I$5=Assumptions!$N$45, Assumptions!$AK$18 * (Revenue!W128+Revenue!W129+Revenue!W130+Revenue!W131), 0))</f>
        <v>244191.1132935287</v>
      </c>
      <c r="J973" s="403">
        <f ca="1">IF(J$5&gt;Assumptions!$N$45, Assumptions!$AK$18*(Revenue!X128+Revenue!X129+Revenue!X130+Revenue!X131)*(1+Revenue!I123), IF(J$5=Assumptions!$N$45, Assumptions!$AK$18 * (Revenue!X128+Revenue!X129+Revenue!X130+Revenue!X131), 0))</f>
        <v>261604.43717226913</v>
      </c>
      <c r="K973" s="403">
        <f ca="1">IF(K$5&gt;Assumptions!$N$45, Assumptions!$AK$18*(Revenue!Y128+Revenue!Y129+Revenue!Y130+Revenue!Y131)*(1+Revenue!J123), IF(K$5=Assumptions!$N$45, Assumptions!$AK$18 * (Revenue!Y128+Revenue!Y129+Revenue!Y130+Revenue!Y131), 0))</f>
        <v>281314.52113920433</v>
      </c>
      <c r="L973" s="403">
        <f ca="1">IF(L$5&gt;Assumptions!$N$45, Assumptions!$AK$18*(Revenue!Z128+Revenue!Z129+Revenue!Z130+Revenue!Z131)*(1+Revenue!K123), IF(L$5=Assumptions!$N$45, Assumptions!$AK$18 * (Revenue!Z128+Revenue!Z129+Revenue!Z130+Revenue!Z131), 0))</f>
        <v>303636.96597315825</v>
      </c>
    </row>
    <row r="974" spans="1:12">
      <c r="A974" s="408" t="s">
        <v>20</v>
      </c>
      <c r="B974" s="405"/>
      <c r="C974" s="403">
        <f>IF(C$5 &gt;= Assumptions!$N$45, Assumptions!$AK$19*C939, 0)</f>
        <v>0</v>
      </c>
      <c r="D974" s="403">
        <f>IF(D$5 &gt; Assumptions!$N$45, Assumptions!$AK$19*D939*(1 + Revenue!C123), IF(D$5 = Assumptions!$N$45, Assumptions!$AK$19*D939, 0))</f>
        <v>0</v>
      </c>
      <c r="E974" s="403">
        <f>IF(E$5 &gt; Assumptions!$N$45, Assumptions!$AK$19*E939*(1 + Revenue!D123), IF(E$5 = Assumptions!$N$45, Assumptions!$AK$19*E939, 0))</f>
        <v>0</v>
      </c>
      <c r="F974" s="403">
        <f>IF(F$5 &gt; Assumptions!$N$45, Assumptions!$AK$19*F939*(1 + Revenue!E123), IF(F$5 = Assumptions!$N$45, Assumptions!$AK$19*F939, 0))</f>
        <v>5425200</v>
      </c>
      <c r="G974" s="403">
        <f ca="1">IF(G$5 &gt; Assumptions!$N$45, Assumptions!$AK$19*G939*(1 + Revenue!F123), IF(G$5 = Assumptions!$N$45, Assumptions!$AK$19*G939, 0))</f>
        <v>7535084.4981585303</v>
      </c>
      <c r="H974" s="403">
        <f ca="1">IF(H$5 &gt; Assumptions!$N$45, Assumptions!$AK$19*H939*(1 + Revenue!G123), IF(H$5 = Assumptions!$N$45, Assumptions!$AK$19*H939, 0))</f>
        <v>8910268.2679113727</v>
      </c>
      <c r="I974" s="403">
        <f ca="1">IF(I$5 &gt; Assumptions!$N$45, Assumptions!$AK$19*I939*(1 + Revenue!H123), IF(I$5 = Assumptions!$N$45, Assumptions!$AK$19*I939, 0))</f>
        <v>9712071.0747833587</v>
      </c>
      <c r="J974" s="403">
        <f ca="1">IF(J$5 &gt; Assumptions!$N$45, Assumptions!$AK$19*J939*(1 + Revenue!I123), IF(J$5 = Assumptions!$N$45, Assumptions!$AK$19*J939, 0))</f>
        <v>10617397.608609524</v>
      </c>
      <c r="K974" s="403">
        <f ca="1">IF(K$5 &gt; Assumptions!$N$45, Assumptions!$AK$19*K939*(1 + Revenue!J123), IF(K$5 = Assumptions!$N$45, Assumptions!$AK$19*K939, 0))</f>
        <v>11644686.4269336</v>
      </c>
      <c r="L974" s="403">
        <f ca="1">IF(L$5 &gt; Assumptions!$N$45, Assumptions!$AK$19*L939*(1 + Revenue!K123), IF(L$5 = Assumptions!$N$45, Assumptions!$AK$19*L939, 0))</f>
        <v>12813055.373451497</v>
      </c>
    </row>
    <row r="975" spans="1:12">
      <c r="A975" s="408" t="s">
        <v>22</v>
      </c>
      <c r="B975" s="405"/>
      <c r="C975" s="403">
        <f>IF(C$5 &gt;= Assumptions!$N$45, Assumptions!$AK20, 0)</f>
        <v>0</v>
      </c>
      <c r="D975" s="403">
        <f>IF(D$5 &gt; Assumptions!$N$45, C975*(1+Revenue!C123), IF(D$5 = Assumptions!$N$45, Assumptions!$AK20, 0))</f>
        <v>0</v>
      </c>
      <c r="E975" s="403">
        <f>IF(E$5 &gt; Assumptions!$N$45, D975*(1+Revenue!D123), IF(E$5 = Assumptions!$N$45, Assumptions!$AK20, 0))</f>
        <v>0</v>
      </c>
      <c r="F975" s="403">
        <f>IF(F$5 &gt; Assumptions!$N$45, E975*(1+Revenue!E123), IF(F$5 = Assumptions!$N$45, Assumptions!$AK20, 0))</f>
        <v>0</v>
      </c>
      <c r="G975" s="403">
        <f>IF(G$5 &gt; Assumptions!$N$45, F975*(1+Revenue!F123), IF(G$5 = Assumptions!$N$45, Assumptions!$AK20, 0))</f>
        <v>0</v>
      </c>
      <c r="H975" s="403">
        <f>IF(H$5 &gt; Assumptions!$N$45, G975*(1+Revenue!G123), IF(H$5 = Assumptions!$N$45, Assumptions!$AK20, 0))</f>
        <v>0</v>
      </c>
      <c r="I975" s="403">
        <f>IF(I$5 &gt; Assumptions!$N$45, H975*(1+Revenue!H123), IF(I$5 = Assumptions!$N$45, Assumptions!$AK20, 0))</f>
        <v>0</v>
      </c>
      <c r="J975" s="403">
        <f>IF(J$5 &gt; Assumptions!$N$45, I975*(1+Revenue!I123), IF(J$5 = Assumptions!$N$45, Assumptions!$AK20, 0))</f>
        <v>0</v>
      </c>
      <c r="K975" s="403">
        <f>IF(K$5 &gt; Assumptions!$N$45, J975*(1+Revenue!J123), IF(K$5 = Assumptions!$N$45, Assumptions!$AK20, 0))</f>
        <v>0</v>
      </c>
      <c r="L975" s="403">
        <f>IF(L$5 &gt; Assumptions!$N$45, K975*(1+Revenue!K123), IF(L$5 = Assumptions!$N$45, Assumptions!$AK20, 0))</f>
        <v>0</v>
      </c>
    </row>
    <row r="976" spans="1:12">
      <c r="A976" s="408" t="s">
        <v>25</v>
      </c>
      <c r="B976" s="405"/>
      <c r="C976" s="403">
        <f>IF(C$5 &gt;= Assumptions!$N$45, Assumptions!$AK21, 0)</f>
        <v>0</v>
      </c>
      <c r="D976" s="403">
        <f>IF(D$5 &gt; Assumptions!$N$45, Income!C976*(1+Revenue!C123), IF(D$5 = Assumptions!$N$45, Assumptions!$AK21, 0))</f>
        <v>0</v>
      </c>
      <c r="E976" s="403">
        <f>IF(E$5 &gt; Assumptions!$N$45, Income!D976*(1+Revenue!D123), IF(E$5 = Assumptions!$N$45, Assumptions!$AK21, 0))</f>
        <v>0</v>
      </c>
      <c r="F976" s="403">
        <f>IF(F$5 &gt; Assumptions!$N$45, Income!E976*(1+Revenue!E123), IF(F$5 = Assumptions!$N$45, Assumptions!$AK21, 0))</f>
        <v>1000</v>
      </c>
      <c r="G976" s="403">
        <f>IF(G$5 &gt; Assumptions!$N$45, Income!F976*(1+Revenue!F123), IF(G$5 = Assumptions!$N$45, Assumptions!$AK21, 0))</f>
        <v>1022.9999999999999</v>
      </c>
      <c r="H976" s="403">
        <f>IF(H$5 &gt; Assumptions!$N$45, Income!G976*(1+Revenue!G123), IF(H$5 = Assumptions!$N$45, Assumptions!$AK21, 0))</f>
        <v>1046.5289999999998</v>
      </c>
      <c r="I976" s="403">
        <f>IF(I$5 &gt; Assumptions!$N$45, Income!H976*(1+Revenue!H123), IF(I$5 = Assumptions!$N$45, Assumptions!$AK21, 0))</f>
        <v>1070.5991669999996</v>
      </c>
      <c r="J976" s="403">
        <f>IF(J$5 &gt; Assumptions!$N$45, Income!I976*(1+Revenue!I123), IF(J$5 = Assumptions!$N$45, Assumptions!$AK21, 0))</f>
        <v>1095.2229478409995</v>
      </c>
      <c r="K976" s="403">
        <f>IF(K$5 &gt; Assumptions!$N$45, Income!J976*(1+Revenue!J123), IF(K$5 = Assumptions!$N$45, Assumptions!$AK21, 0))</f>
        <v>1120.4130756413424</v>
      </c>
      <c r="L976" s="403">
        <f>IF(L$5 &gt; Assumptions!$N$45, Income!K976*(1+Revenue!K123), IF(L$5 = Assumptions!$N$45, Assumptions!$AK21, 0))</f>
        <v>1146.1825763810932</v>
      </c>
    </row>
    <row r="977" spans="1:12">
      <c r="A977" s="408" t="s">
        <v>27</v>
      </c>
      <c r="B977" s="405"/>
      <c r="C977" s="403">
        <f>IF(C$5 &gt;= Assumptions!$N$45, Assumptions!AK22, 0)</f>
        <v>0</v>
      </c>
      <c r="D977" s="403">
        <f>IF(D$5 &gt; Assumptions!$N$45, Income!C977*(1+Revenue!C123), IF(D$5 = Assumptions!$N$45, Assumptions!$AK22, 0))</f>
        <v>0</v>
      </c>
      <c r="E977" s="403">
        <f>IF(E$5 &gt; Assumptions!$N$45, Income!D977*(1+Revenue!D123), IF(E$5 = Assumptions!$N$45, Assumptions!$AK22, 0))</f>
        <v>0</v>
      </c>
      <c r="F977" s="403">
        <f>IF(F$5 &gt; Assumptions!$N$45, Income!E977*(1+Revenue!E123), IF(F$5 = Assumptions!$N$45, Assumptions!$AK22, 0))</f>
        <v>1000</v>
      </c>
      <c r="G977" s="403">
        <f>IF(G$5 &gt; Assumptions!$N$45, Income!F977*(1+Revenue!F123), IF(G$5 = Assumptions!$N$45, Assumptions!$AK22, 0))</f>
        <v>1022.9999999999999</v>
      </c>
      <c r="H977" s="403">
        <f>IF(H$5 &gt; Assumptions!$N$45, Income!G977*(1+Revenue!G123), IF(H$5 = Assumptions!$N$45, Assumptions!$AK22, 0))</f>
        <v>1046.5289999999998</v>
      </c>
      <c r="I977" s="403">
        <f>IF(I$5 &gt; Assumptions!$N$45, Income!H977*(1+Revenue!H123), IF(I$5 = Assumptions!$N$45, Assumptions!$AK22, 0))</f>
        <v>1070.5991669999996</v>
      </c>
      <c r="J977" s="403">
        <f>IF(J$5 &gt; Assumptions!$N$45, Income!I977*(1+Revenue!I123), IF(J$5 = Assumptions!$N$45, Assumptions!$AK22, 0))</f>
        <v>1095.2229478409995</v>
      </c>
      <c r="K977" s="403">
        <f>IF(K$5 &gt; Assumptions!$N$45, Income!J977*(1+Revenue!J123), IF(K$5 = Assumptions!$N$45, Assumptions!$AK22, 0))</f>
        <v>1120.4130756413424</v>
      </c>
      <c r="L977" s="403">
        <f>IF(L$5 &gt; Assumptions!$N$45, Income!K977*(1+Revenue!K123), IF(L$5 = Assumptions!$N$45, Assumptions!$AK22, 0))</f>
        <v>1146.1825763810932</v>
      </c>
    </row>
    <row r="978" spans="1:12">
      <c r="A978" s="408" t="s">
        <v>278</v>
      </c>
      <c r="B978" s="405"/>
      <c r="C978" s="403">
        <f>IF(C$5 &gt;= Assumptions!$N$45, Assumptions!$AK$23 + (Revenue!Q130+Revenue!Q131+Revenue!Q132)*Assumptions!$AK$24, 0)</f>
        <v>0</v>
      </c>
      <c r="D978" s="403">
        <f>IF(D$5&gt;Assumptions!$N$45,(Assumptions!$AK$23+(Revenue!R130+Revenue!R131+Revenue!R132)*Assumptions!$AK$24)*(1+Revenue!C123),IF(D$5=Assumptions!$N$45,Assumptions!$AK$23+(Revenue!R130+Revenue!R131+Revenue!R132)*Assumptions!$AK$24,0))</f>
        <v>0</v>
      </c>
      <c r="E978" s="403">
        <f>IF(E$5&gt;Assumptions!$N$45,(Assumptions!$AK$23+(Revenue!S130+Revenue!S131+Revenue!S132)*Assumptions!$AK$24)*(1+Revenue!D123),IF(E$5=Assumptions!$N$45,Assumptions!$AK$23+(Revenue!S130+Revenue!S131+Revenue!S132)*Assumptions!$AK$24,0))</f>
        <v>0</v>
      </c>
      <c r="F978" s="403">
        <f>IF(F$5&gt;Assumptions!$N$45,(Assumptions!$AK$23+(Revenue!T130+Revenue!T131+Revenue!T132)*Assumptions!$AK$24)*(1+Revenue!E123),IF(F$5=Assumptions!$N$45,Assumptions!$AK$23+(Revenue!T130+Revenue!T131+Revenue!T132)*Assumptions!$AK$24,0))</f>
        <v>12350</v>
      </c>
      <c r="G978" s="403">
        <f ca="1">IF(G$5&gt;Assumptions!$N$45,(Assumptions!$AK$23+(Revenue!U130+Revenue!U131+Revenue!U132)*Assumptions!$AK$24)*(1+Revenue!F123),IF(G$5=Assumptions!$N$45,Assumptions!$AK$23+(Revenue!U130+Revenue!U131+Revenue!U132)*Assumptions!$AK$24,0))</f>
        <v>16082.967340500407</v>
      </c>
      <c r="H978" s="403">
        <f ca="1">IF(H$5&gt;Assumptions!$N$45,(Assumptions!$AK$23+(Revenue!V130+Revenue!V131+Revenue!V132)*Assumptions!$AK$24)*(1+Revenue!G123),IF(H$5=Assumptions!$N$45,Assumptions!$AK$23+(Revenue!V130+Revenue!V131+Revenue!V132)*Assumptions!$AK$24,0))</f>
        <v>18111.06403462798</v>
      </c>
      <c r="I978" s="403">
        <f ca="1">IF(I$5&gt;Assumptions!$N$45,(Assumptions!$AK$23+(Revenue!W130+Revenue!W131+Revenue!W132)*Assumptions!$AK$24)*(1+Revenue!H123),IF(I$5=Assumptions!$N$45,Assumptions!$AK$23+(Revenue!W130+Revenue!W131+Revenue!W132)*Assumptions!$AK$24,0))</f>
        <v>18663.431973304228</v>
      </c>
      <c r="J978" s="403">
        <f ca="1">IF(J$5&gt;Assumptions!$N$45,(Assumptions!$AK$23+(Revenue!X130+Revenue!X131+Revenue!X132)*Assumptions!$AK$24)*(1+Revenue!I123),IF(J$5=Assumptions!$N$45,Assumptions!$AK$23+(Revenue!X130+Revenue!X131+Revenue!X132)*Assumptions!$AK$24,0))</f>
        <v>19286.902628702406</v>
      </c>
      <c r="K978" s="403">
        <f ca="1">IF(K$5&gt;Assumptions!$N$45,(Assumptions!$AK$23+(Revenue!Y130+Revenue!Y131+Revenue!Y132)*Assumptions!$AK$24)*(1+Revenue!J123),IF(K$5=Assumptions!$N$45,Assumptions!$AK$23+(Revenue!Y130+Revenue!Y131+Revenue!Y132)*Assumptions!$AK$24,0))</f>
        <v>19983.864084906829</v>
      </c>
      <c r="L978" s="403">
        <f ca="1">IF(L$5&gt;Assumptions!$N$45,(Assumptions!$AK$23+(Revenue!Z130+Revenue!Z131+Revenue!Z132)*Assumptions!$AK$24)*(1+Revenue!K123),IF(L$5=Assumptions!$N$45,Assumptions!$AK$23+(Revenue!Z130+Revenue!Z131+Revenue!Z132)*Assumptions!$AK$24,0))</f>
        <v>20769.271847017142</v>
      </c>
    </row>
    <row r="979" spans="1:12">
      <c r="A979" s="408" t="s">
        <v>29</v>
      </c>
      <c r="B979" s="405"/>
      <c r="C979" s="403">
        <f>IF(C$5 &gt;= Assumptions!$M$45, Assumptions!AK25, 0)</f>
        <v>0</v>
      </c>
      <c r="D979" s="403">
        <f>IF(D$5&gt;Assumptions!$N$45,C979*(1+Revenue!C123)*(1+Assumptions!$N$10),IF(D$5=Assumptions!$N$45,Assumptions!$AK25,0))</f>
        <v>0</v>
      </c>
      <c r="E979" s="403">
        <f>IF(E$5&gt;Assumptions!$N$45,D979*(1+Revenue!D123)*(1+Assumptions!$N$10),IF(E$5=Assumptions!$N$45,Assumptions!$AK25,0))</f>
        <v>0</v>
      </c>
      <c r="F979" s="403">
        <f>IF(F$5&gt;Assumptions!$N$45,E979*(1+Revenue!E123)*(1+Assumptions!$N$10),IF(F$5=Assumptions!$N$45,Assumptions!$AK25,0))</f>
        <v>0</v>
      </c>
      <c r="G979" s="403">
        <f>IF(G$5&gt;Assumptions!$N$45,F979*(1+Revenue!F123)*(1+Assumptions!$N$10),IF(G$5=Assumptions!$N$45,Assumptions!$AK25,0))</f>
        <v>0</v>
      </c>
      <c r="H979" s="403">
        <f>IF(H$5&gt;Assumptions!$N$45,G979*(1+Revenue!G123)*(1+Assumptions!$N$10),IF(H$5=Assumptions!$N$45,Assumptions!$AK25,0))</f>
        <v>0</v>
      </c>
      <c r="I979" s="403">
        <f>IF(I$5&gt;Assumptions!$N$45,H979*(1+Revenue!H123)*(1+Assumptions!$N$10),IF(I$5=Assumptions!$N$45,Assumptions!$AK25,0))</f>
        <v>0</v>
      </c>
      <c r="J979" s="403">
        <f>IF(J$5&gt;Assumptions!$N$45,I979*(1+Revenue!I123)*(1+Assumptions!$N$10),IF(J$5=Assumptions!$N$45,Assumptions!$AK25,0))</f>
        <v>0</v>
      </c>
      <c r="K979" s="403">
        <f>IF(K$5&gt;Assumptions!$N$45,J979*(1+Revenue!J123)*(1+Assumptions!$N$10),IF(K$5=Assumptions!$N$45,Assumptions!$AK25,0))</f>
        <v>0</v>
      </c>
      <c r="L979" s="403">
        <f>IF(L$5&gt;Assumptions!$N$45,K979*(1+Revenue!K123)*(1+Assumptions!$N$10),IF(L$5=Assumptions!$N$45,Assumptions!$AK25,0))</f>
        <v>0</v>
      </c>
    </row>
    <row r="980" spans="1:12">
      <c r="A980" s="408" t="s">
        <v>279</v>
      </c>
      <c r="B980" s="405"/>
      <c r="C980" s="403">
        <f>IF(C$5 &gt;= Assumptions!$N$45, Assumptions!AK26, 0)</f>
        <v>0</v>
      </c>
      <c r="D980" s="403">
        <f>IF(D$5 &gt; Assumptions!$N$45, C980*(1+Revenue!C123)*(1+Assumptions!$J$11), IF(D$5 = Assumptions!$N$45, Assumptions!$AK26, 0))</f>
        <v>0</v>
      </c>
      <c r="E980" s="403">
        <f>IF(E$5 &gt; Assumptions!$N$45, D980*(1+Revenue!D123)*(1+Assumptions!$J$11), IF(E$5 = Assumptions!$N$45, Assumptions!$AK26, 0))</f>
        <v>0</v>
      </c>
      <c r="F980" s="403">
        <f>IF(F$5 &gt; Assumptions!$N$45, E980*(1+Revenue!E123)*(1+Assumptions!$J$11), IF(F$5 = Assumptions!$N$45, Assumptions!$AK26, 0))</f>
        <v>0</v>
      </c>
      <c r="G980" s="403">
        <f>IF(G$5 &gt; Assumptions!$N$45, F980*(1+Revenue!F123)*(1+Assumptions!$J$11), IF(G$5 = Assumptions!$N$45, Assumptions!$AK26, 0))</f>
        <v>0</v>
      </c>
      <c r="H980" s="403">
        <f>IF(H$5 &gt; Assumptions!$N$45, G980*(1+Revenue!G123)*(1+Assumptions!$J$11), IF(H$5 = Assumptions!$N$45, Assumptions!$AK26, 0))</f>
        <v>0</v>
      </c>
      <c r="I980" s="403">
        <f>IF(I$5 &gt; Assumptions!$N$45, H980*(1+Revenue!H123)*(1+Assumptions!$J$11), IF(I$5 = Assumptions!$N$45, Assumptions!$AK26, 0))</f>
        <v>0</v>
      </c>
      <c r="J980" s="403">
        <f>IF(J$5 &gt; Assumptions!$N$45, I980*(1+Revenue!I123)*(1+Assumptions!$J$11), IF(J$5 = Assumptions!$N$45, Assumptions!$AK26, 0))</f>
        <v>0</v>
      </c>
      <c r="K980" s="403">
        <f>IF(K$5 &gt; Assumptions!$N$45, J980*(1+Revenue!J123)*(1+Assumptions!$J$11), IF(K$5 = Assumptions!$N$45, Assumptions!$AK26, 0))</f>
        <v>0</v>
      </c>
      <c r="L980" s="403">
        <f>IF(L$5 &gt; Assumptions!$N$45, K980*(1+Revenue!K123)*(1+Assumptions!$J$11), IF(L$5 = Assumptions!$N$45, Assumptions!$AK26, 0))</f>
        <v>0</v>
      </c>
    </row>
    <row r="981" spans="1:12">
      <c r="A981" s="408" t="s">
        <v>31</v>
      </c>
      <c r="B981" s="405"/>
      <c r="C981" s="403">
        <f>IF(C$5 &gt;= Assumptions!$N$45, Assumptions!AK27, 0)</f>
        <v>0</v>
      </c>
      <c r="D981" s="403">
        <f>IF(D$5 &gt; Assumptions!$N$45, C981*(1+Revenue!C123), IF(D$5 = Assumptions!$N$45, Assumptions!$AK27, 0))</f>
        <v>0</v>
      </c>
      <c r="E981" s="403">
        <f>IF(E$5 &gt; Assumptions!$N$45, D981*(1+Revenue!D123), IF(E$5 = Assumptions!$N$45, Assumptions!$AK27, 0))</f>
        <v>0</v>
      </c>
      <c r="F981" s="403">
        <f>IF(F$5 &gt; Assumptions!$N$45, E981*(1+Revenue!E123), IF(F$5 = Assumptions!$N$45, Assumptions!$AK27, 0))</f>
        <v>1200</v>
      </c>
      <c r="G981" s="403">
        <f>IF(G$5 &gt; Assumptions!$N$45, F981*(1+Revenue!F123), IF(G$5 = Assumptions!$N$45, Assumptions!$AK27, 0))</f>
        <v>1227.5999999999999</v>
      </c>
      <c r="H981" s="403">
        <f>IF(H$5 &gt; Assumptions!$N$45, G981*(1+Revenue!G123), IF(H$5 = Assumptions!$N$45, Assumptions!$AK27, 0))</f>
        <v>1255.8347999999999</v>
      </c>
      <c r="I981" s="403">
        <f>IF(I$5 &gt; Assumptions!$N$45, H981*(1+Revenue!H123), IF(I$5 = Assumptions!$N$45, Assumptions!$AK27, 0))</f>
        <v>1284.7190003999997</v>
      </c>
      <c r="J981" s="403">
        <f>IF(J$5 &gt; Assumptions!$N$45, I981*(1+Revenue!I123), IF(J$5 = Assumptions!$N$45, Assumptions!$AK27, 0))</f>
        <v>1314.2675374091996</v>
      </c>
      <c r="K981" s="403">
        <f>IF(K$5 &gt; Assumptions!$N$45, J981*(1+Revenue!J123), IF(K$5 = Assumptions!$N$45, Assumptions!$AK27, 0))</f>
        <v>1344.495690769611</v>
      </c>
      <c r="L981" s="403">
        <f>IF(L$5 &gt; Assumptions!$N$45, K981*(1+Revenue!K123), IF(L$5 = Assumptions!$N$45, Assumptions!$AK27, 0))</f>
        <v>1375.4190916573118</v>
      </c>
    </row>
    <row r="982" spans="1:12">
      <c r="A982" s="408" t="s">
        <v>33</v>
      </c>
      <c r="B982" s="405"/>
      <c r="C982" s="403">
        <f>IF(C$5 &gt;= Assumptions!$N$45, Assumptions!AK28, 0)</f>
        <v>0</v>
      </c>
      <c r="D982" s="403">
        <f>IF(D$5 &gt; Assumptions!$N$45, C982*(1+Revenue!C123), IF(D$5 = Assumptions!$N$45, Assumptions!$AK28, 0))</f>
        <v>0</v>
      </c>
      <c r="E982" s="403">
        <f>IF(E$5 &gt; Assumptions!$N$45, D982*(1+Revenue!D123), IF(E$5 = Assumptions!$N$45, Assumptions!$AK28, 0))</f>
        <v>0</v>
      </c>
      <c r="F982" s="403">
        <f>IF(F$5 &gt; Assumptions!$N$45, E982*(1+Revenue!E123), IF(F$5 = Assumptions!$N$45, Assumptions!$AK28, 0))</f>
        <v>1000</v>
      </c>
      <c r="G982" s="403">
        <f>IF(G$5 &gt; Assumptions!$N$45, F982*(1+Revenue!F123), IF(G$5 = Assumptions!$N$45, Assumptions!$AK28, 0))</f>
        <v>1022.9999999999999</v>
      </c>
      <c r="H982" s="403">
        <f>IF(H$5 &gt; Assumptions!$N$45, G982*(1+Revenue!G123), IF(H$5 = Assumptions!$N$45, Assumptions!$AK28, 0))</f>
        <v>1046.5289999999998</v>
      </c>
      <c r="I982" s="403">
        <f>IF(I$5 &gt; Assumptions!$N$45, H982*(1+Revenue!H123), IF(I$5 = Assumptions!$N$45, Assumptions!$AK28, 0))</f>
        <v>1070.5991669999996</v>
      </c>
      <c r="J982" s="403">
        <f>IF(J$5 &gt; Assumptions!$N$45, I982*(1+Revenue!I123), IF(J$5 = Assumptions!$N$45, Assumptions!$AK28, 0))</f>
        <v>1095.2229478409995</v>
      </c>
      <c r="K982" s="403">
        <f>IF(K$5 &gt; Assumptions!$N$45, J982*(1+Revenue!J123), IF(K$5 = Assumptions!$N$45, Assumptions!$AK28, 0))</f>
        <v>1120.4130756413424</v>
      </c>
      <c r="L982" s="403">
        <f>IF(L$5 &gt; Assumptions!$N$45, K982*(1+Revenue!K123), IF(L$5 = Assumptions!$N$45, Assumptions!$AK28, 0))</f>
        <v>1146.1825763810932</v>
      </c>
    </row>
    <row r="983" spans="1:12">
      <c r="A983" s="408" t="s">
        <v>35</v>
      </c>
      <c r="B983" s="405"/>
      <c r="C983" s="403">
        <f>IF(C$5 &gt;= Assumptions!$N$45, Assumptions!AK29, 0)</f>
        <v>0</v>
      </c>
      <c r="D983" s="403">
        <f>IF(D$5 &gt; Assumptions!$N$45, C983*(1+Revenue!C123), IF(D$5 = Assumptions!$N$45, Assumptions!$AK29, 0))</f>
        <v>0</v>
      </c>
      <c r="E983" s="403">
        <f>IF(E$5 &gt; Assumptions!$N$45, D983*(1+Revenue!D123), IF(E$5 = Assumptions!$N$45, Assumptions!$AK29, 0))</f>
        <v>0</v>
      </c>
      <c r="F983" s="403">
        <f>IF(F$5 &gt; Assumptions!$N$45, E983*(1+Revenue!E123), IF(F$5 = Assumptions!$N$45, Assumptions!$AK29, 0))</f>
        <v>5000</v>
      </c>
      <c r="G983" s="403">
        <f>IF(G$5 &gt; Assumptions!$N$45, F983*(1+Revenue!F123), IF(G$5 = Assumptions!$N$45, Assumptions!$AK29, 0))</f>
        <v>5115</v>
      </c>
      <c r="H983" s="403">
        <f>IF(H$5 &gt; Assumptions!$N$45, G983*(1+Revenue!G123), IF(H$5 = Assumptions!$N$45, Assumptions!$AK29, 0))</f>
        <v>5232.6449999999995</v>
      </c>
      <c r="I983" s="403">
        <f>IF(I$5 &gt; Assumptions!$N$45, H983*(1+Revenue!H123), IF(I$5 = Assumptions!$N$45, Assumptions!$AK29, 0))</f>
        <v>5352.9958349999988</v>
      </c>
      <c r="J983" s="403">
        <f>IF(J$5 &gt; Assumptions!$N$45, I983*(1+Revenue!I123), IF(J$5 = Assumptions!$N$45, Assumptions!$AK29, 0))</f>
        <v>5476.1147392049979</v>
      </c>
      <c r="K983" s="403">
        <f>IF(K$5 &gt; Assumptions!$N$45, J983*(1+Revenue!J123), IF(K$5 = Assumptions!$N$45, Assumptions!$AK29, 0))</f>
        <v>5602.065378206712</v>
      </c>
      <c r="L983" s="403">
        <f>IF(L$5 &gt; Assumptions!$N$45, K983*(1+Revenue!K123), IF(L$5 = Assumptions!$N$45, Assumptions!$AK29, 0))</f>
        <v>5730.9128819054658</v>
      </c>
    </row>
    <row r="984" spans="1:12">
      <c r="A984" s="408"/>
      <c r="B984" s="405"/>
      <c r="C984" s="403"/>
      <c r="D984" s="403"/>
      <c r="E984" s="403"/>
      <c r="F984" s="403"/>
      <c r="G984" s="403"/>
      <c r="H984" s="403"/>
      <c r="I984" s="403"/>
      <c r="J984" s="403"/>
      <c r="K984" s="403"/>
      <c r="L984" s="403"/>
    </row>
    <row r="985" spans="1:12" ht="15.5">
      <c r="A985" s="409" t="s">
        <v>156</v>
      </c>
      <c r="B985" s="405"/>
      <c r="C985" s="403">
        <f t="shared" ref="C985:L985" si="325">SUM(C970:C983)</f>
        <v>0</v>
      </c>
      <c r="D985" s="403">
        <f t="shared" si="325"/>
        <v>0</v>
      </c>
      <c r="E985" s="403">
        <f t="shared" si="325"/>
        <v>0</v>
      </c>
      <c r="F985" s="403">
        <f t="shared" si="325"/>
        <v>5618200</v>
      </c>
      <c r="G985" s="403">
        <f t="shared" ca="1" si="325"/>
        <v>7775832.550187462</v>
      </c>
      <c r="H985" s="403">
        <f t="shared" ca="1" si="325"/>
        <v>9166817.0382156577</v>
      </c>
      <c r="I985" s="403">
        <f t="shared" ca="1" si="325"/>
        <v>9984775.1323865931</v>
      </c>
      <c r="J985" s="403">
        <f t="shared" ca="1" si="325"/>
        <v>10908364.999530636</v>
      </c>
      <c r="K985" s="403">
        <f t="shared" ca="1" si="325"/>
        <v>11956292.61245361</v>
      </c>
      <c r="L985" s="403">
        <f t="shared" ca="1" si="325"/>
        <v>13148006.490974376</v>
      </c>
    </row>
    <row r="986" spans="1:12" ht="15.5">
      <c r="A986" s="409"/>
      <c r="B986" s="405"/>
      <c r="C986" s="403"/>
      <c r="D986" s="403"/>
      <c r="E986" s="403"/>
      <c r="F986" s="403"/>
      <c r="G986" s="403"/>
      <c r="H986" s="403"/>
      <c r="I986" s="403"/>
      <c r="J986" s="403"/>
      <c r="K986" s="403"/>
      <c r="L986" s="403"/>
    </row>
    <row r="987" spans="1:12" ht="15.5">
      <c r="A987" s="409" t="s">
        <v>36</v>
      </c>
      <c r="B987" s="405"/>
      <c r="C987" s="403"/>
      <c r="D987" s="403"/>
      <c r="E987" s="403"/>
      <c r="F987" s="403"/>
      <c r="G987" s="403"/>
      <c r="H987" s="403"/>
      <c r="I987" s="403"/>
      <c r="J987" s="403"/>
      <c r="K987" s="403"/>
      <c r="L987" s="403"/>
    </row>
    <row r="988" spans="1:12">
      <c r="A988" s="408" t="s">
        <v>38</v>
      </c>
      <c r="B988" s="405"/>
      <c r="C988" s="403">
        <f>IF(C$5 &gt;= Assumptions!$N$45, Assumptions!$AW22, 0)</f>
        <v>0</v>
      </c>
      <c r="D988" s="403">
        <f>IF(D$5 &gt; Assumptions!$N$45, C988*(1+Revenue!C123), IF(D$5 = Assumptions!$N$45, Assumptions!$AW22, 0))</f>
        <v>0</v>
      </c>
      <c r="E988" s="403">
        <f>IF(E$5 &gt; Assumptions!$N$45, D988*(1+Revenue!D123), IF(E$5 = Assumptions!$N$45, Assumptions!$AW22, 0))</f>
        <v>0</v>
      </c>
      <c r="F988" s="403">
        <f>IF(F$5 &gt; Assumptions!$N$45, E988*(1+Revenue!E123), IF(F$5 = Assumptions!$N$45, Assumptions!$AW22, 0))</f>
        <v>5000</v>
      </c>
      <c r="G988" s="403">
        <f>IF(G$5 &gt; Assumptions!$N$45, F988*(1+Revenue!F123), IF(G$5 = Assumptions!$N$45, Assumptions!$AW22, 0))</f>
        <v>5115</v>
      </c>
      <c r="H988" s="403">
        <f>IF(H$5 &gt; Assumptions!$N$45, G988*(1+Revenue!G123), IF(H$5 = Assumptions!$N$45, Assumptions!$AW22, 0))</f>
        <v>5232.6449999999995</v>
      </c>
      <c r="I988" s="403">
        <f>IF(I$5 &gt; Assumptions!$N$45, H988*(1+Revenue!H123), IF(I$5 = Assumptions!$N$45, Assumptions!$AW22, 0))</f>
        <v>5352.9958349999988</v>
      </c>
      <c r="J988" s="403">
        <f>IF(J$5 &gt; Assumptions!$N$45, I988*(1+Revenue!I123), IF(J$5 = Assumptions!$N$45, Assumptions!$AW22, 0))</f>
        <v>5476.1147392049979</v>
      </c>
      <c r="K988" s="403">
        <f>IF(K$5 &gt; Assumptions!$N$45, J988*(1+Revenue!J123), IF(K$5 = Assumptions!$N$45, Assumptions!$AW22, 0))</f>
        <v>5602.065378206712</v>
      </c>
      <c r="L988" s="403">
        <f>IF(L$5 &gt; Assumptions!$N$45, K988*(1+Revenue!K123), IF(L$5 = Assumptions!$N$45, Assumptions!$AW22, 0))</f>
        <v>5730.9128819054658</v>
      </c>
    </row>
    <row r="989" spans="1:12">
      <c r="A989" s="408" t="s">
        <v>39</v>
      </c>
      <c r="B989" s="405"/>
      <c r="C989" s="403">
        <f>IF(C$5 &gt;= Assumptions!$N$45, Assumptions!$AW23, 0)</f>
        <v>0</v>
      </c>
      <c r="D989" s="403">
        <f>IF(D$5 &gt; Assumptions!$N$45, C989*(1+Revenue!C123), IF(D$5 = Assumptions!$N$45, Assumptions!$AW23, 0))</f>
        <v>0</v>
      </c>
      <c r="E989" s="403">
        <f>IF(E$5 &gt; Assumptions!$N$45, D989*(1+Revenue!D123), IF(E$5 = Assumptions!$N$45, Assumptions!$AW23, 0))</f>
        <v>0</v>
      </c>
      <c r="F989" s="403">
        <f>IF(F$5 &gt; Assumptions!$N$45, E989*(1+Revenue!E123), IF(F$5 = Assumptions!$N$45, Assumptions!$AW23, 0))</f>
        <v>500</v>
      </c>
      <c r="G989" s="403">
        <f>IF(G$5 &gt; Assumptions!$N$45, F989*(1+Revenue!F123), IF(G$5 = Assumptions!$N$45, Assumptions!$AW23, 0))</f>
        <v>511.49999999999994</v>
      </c>
      <c r="H989" s="403">
        <f>IF(H$5 &gt; Assumptions!$N$45, G989*(1+Revenue!G123), IF(H$5 = Assumptions!$N$45, Assumptions!$AW23, 0))</f>
        <v>523.26449999999988</v>
      </c>
      <c r="I989" s="403">
        <f>IF(I$5 &gt; Assumptions!$N$45, H989*(1+Revenue!H123), IF(I$5 = Assumptions!$N$45, Assumptions!$AW23, 0))</f>
        <v>535.29958349999981</v>
      </c>
      <c r="J989" s="403">
        <f>IF(J$5 &gt; Assumptions!$N$45, I989*(1+Revenue!I123), IF(J$5 = Assumptions!$N$45, Assumptions!$AW23, 0))</f>
        <v>547.61147392049975</v>
      </c>
      <c r="K989" s="403">
        <f>IF(K$5 &gt; Assumptions!$N$45, J989*(1+Revenue!J123), IF(K$5 = Assumptions!$N$45, Assumptions!$AW23, 0))</f>
        <v>560.2065378206712</v>
      </c>
      <c r="L989" s="403">
        <f>IF(L$5 &gt; Assumptions!$N$45, K989*(1+Revenue!K123), IF(L$5 = Assumptions!$N$45, Assumptions!$AW23, 0))</f>
        <v>573.09128819054661</v>
      </c>
    </row>
    <row r="990" spans="1:12">
      <c r="A990" s="408"/>
      <c r="B990" s="405"/>
      <c r="C990" s="403"/>
      <c r="D990" s="403"/>
      <c r="E990" s="403"/>
      <c r="F990" s="403"/>
      <c r="G990" s="403"/>
      <c r="H990" s="403"/>
      <c r="I990" s="403"/>
      <c r="J990" s="403"/>
      <c r="K990" s="403"/>
      <c r="L990" s="403"/>
    </row>
    <row r="991" spans="1:12" ht="15.5">
      <c r="A991" s="409" t="s">
        <v>157</v>
      </c>
      <c r="B991" s="405"/>
      <c r="C991" s="403">
        <f t="shared" ref="C991:L991" si="326">SUM(C988:C989)</f>
        <v>0</v>
      </c>
      <c r="D991" s="403">
        <f t="shared" si="326"/>
        <v>0</v>
      </c>
      <c r="E991" s="403">
        <f t="shared" si="326"/>
        <v>0</v>
      </c>
      <c r="F991" s="403">
        <f t="shared" si="326"/>
        <v>5500</v>
      </c>
      <c r="G991" s="403">
        <f t="shared" si="326"/>
        <v>5626.5</v>
      </c>
      <c r="H991" s="403">
        <f t="shared" si="326"/>
        <v>5755.9094999999998</v>
      </c>
      <c r="I991" s="403">
        <f t="shared" si="326"/>
        <v>5888.295418499999</v>
      </c>
      <c r="J991" s="403">
        <f t="shared" si="326"/>
        <v>6023.7262131254975</v>
      </c>
      <c r="K991" s="403">
        <f t="shared" si="326"/>
        <v>6162.2719160273828</v>
      </c>
      <c r="L991" s="403">
        <f t="shared" si="326"/>
        <v>6304.0041700960128</v>
      </c>
    </row>
    <row r="992" spans="1:12">
      <c r="A992" s="408"/>
      <c r="B992" s="405"/>
      <c r="C992" s="403"/>
      <c r="D992" s="403"/>
      <c r="E992" s="403"/>
      <c r="F992" s="403"/>
      <c r="G992" s="403"/>
      <c r="H992" s="403"/>
      <c r="I992" s="403"/>
      <c r="J992" s="403"/>
      <c r="K992" s="403"/>
      <c r="L992" s="403"/>
    </row>
    <row r="993" spans="1:12" ht="15.5">
      <c r="A993" s="409" t="s">
        <v>112</v>
      </c>
      <c r="B993" s="405"/>
      <c r="C993" s="403">
        <f t="shared" ref="C993:L993" si="327">C966+C985+C991</f>
        <v>0</v>
      </c>
      <c r="D993" s="403">
        <f t="shared" si="327"/>
        <v>0</v>
      </c>
      <c r="E993" s="403">
        <f t="shared" si="327"/>
        <v>0</v>
      </c>
      <c r="F993" s="403">
        <f t="shared" si="327"/>
        <v>5658700</v>
      </c>
      <c r="G993" s="403">
        <f t="shared" ca="1" si="327"/>
        <v>7781459.050187462</v>
      </c>
      <c r="H993" s="403">
        <f t="shared" ca="1" si="327"/>
        <v>9172572.9477156568</v>
      </c>
      <c r="I993" s="403">
        <f t="shared" ca="1" si="327"/>
        <v>9990663.427805094</v>
      </c>
      <c r="J993" s="403">
        <f t="shared" ca="1" si="327"/>
        <v>10914388.725743761</v>
      </c>
      <c r="K993" s="403">
        <f t="shared" ca="1" si="327"/>
        <v>11962454.884369638</v>
      </c>
      <c r="L993" s="403">
        <f t="shared" ca="1" si="327"/>
        <v>13154310.495144472</v>
      </c>
    </row>
    <row r="994" spans="1:12">
      <c r="A994" s="408"/>
      <c r="B994" s="405"/>
      <c r="C994" s="403"/>
      <c r="D994" s="403"/>
      <c r="E994" s="403"/>
      <c r="F994" s="403"/>
      <c r="G994" s="403"/>
      <c r="H994" s="403"/>
      <c r="I994" s="403"/>
      <c r="J994" s="403"/>
      <c r="K994" s="403"/>
      <c r="L994" s="403"/>
    </row>
    <row r="995" spans="1:12" ht="15.5">
      <c r="A995" s="409" t="s">
        <v>372</v>
      </c>
      <c r="B995" s="405"/>
      <c r="C995" s="403">
        <f>C952-C993</f>
        <v>0</v>
      </c>
      <c r="D995" s="403">
        <f t="shared" ref="D995:L995" si="328">D952-D993</f>
        <v>0</v>
      </c>
      <c r="E995" s="403">
        <f t="shared" si="328"/>
        <v>0</v>
      </c>
      <c r="F995" s="403">
        <f t="shared" si="328"/>
        <v>10370300</v>
      </c>
      <c r="G995" s="403">
        <f t="shared" ca="1" si="328"/>
        <v>13679134.575081557</v>
      </c>
      <c r="H995" s="403">
        <f t="shared" ca="1" si="328"/>
        <v>16077472.392948227</v>
      </c>
      <c r="I995" s="403">
        <f t="shared" ca="1" si="328"/>
        <v>17535705.333973475</v>
      </c>
      <c r="J995" s="403">
        <f t="shared" ca="1" si="328"/>
        <v>19182486.241264246</v>
      </c>
      <c r="K995" s="403">
        <f t="shared" ca="1" si="328"/>
        <v>21051297.472745564</v>
      </c>
      <c r="L995" s="403">
        <f t="shared" ca="1" si="328"/>
        <v>23177264.317477033</v>
      </c>
    </row>
    <row r="996" spans="1:12">
      <c r="A996" s="408"/>
      <c r="B996" s="405"/>
      <c r="C996" s="403"/>
      <c r="D996" s="403"/>
      <c r="E996" s="403"/>
      <c r="F996" s="403"/>
      <c r="G996" s="403"/>
      <c r="H996" s="403"/>
      <c r="I996" s="403"/>
      <c r="J996" s="403"/>
      <c r="K996" s="403"/>
      <c r="L996" s="403"/>
    </row>
    <row r="997" spans="1:12">
      <c r="A997" s="408" t="s">
        <v>159</v>
      </c>
      <c r="B997" s="405"/>
      <c r="C997" s="403">
        <v>0</v>
      </c>
      <c r="D997" s="403">
        <v>0</v>
      </c>
      <c r="E997" s="403">
        <v>0</v>
      </c>
      <c r="F997" s="403">
        <v>0</v>
      </c>
      <c r="G997" s="403">
        <v>0</v>
      </c>
      <c r="H997" s="403">
        <v>0</v>
      </c>
      <c r="I997" s="403">
        <v>0</v>
      </c>
      <c r="J997" s="403">
        <v>0</v>
      </c>
      <c r="K997" s="403">
        <v>0</v>
      </c>
      <c r="L997" s="403">
        <v>0</v>
      </c>
    </row>
    <row r="998" spans="1:12">
      <c r="A998" s="408" t="s">
        <v>160</v>
      </c>
      <c r="B998" s="405"/>
      <c r="C998" s="403">
        <v>0</v>
      </c>
      <c r="D998" s="403">
        <v>0</v>
      </c>
      <c r="E998" s="403">
        <v>0</v>
      </c>
      <c r="F998" s="403">
        <v>0</v>
      </c>
      <c r="G998" s="403">
        <v>0</v>
      </c>
      <c r="H998" s="403">
        <v>0</v>
      </c>
      <c r="I998" s="403">
        <v>0</v>
      </c>
      <c r="J998" s="403">
        <v>0</v>
      </c>
      <c r="K998" s="403">
        <v>0</v>
      </c>
      <c r="L998" s="403">
        <v>0</v>
      </c>
    </row>
    <row r="999" spans="1:12">
      <c r="A999" s="408"/>
      <c r="B999" s="405"/>
      <c r="C999" s="403"/>
      <c r="D999" s="403"/>
      <c r="E999" s="403"/>
      <c r="F999" s="403"/>
      <c r="G999" s="403"/>
      <c r="H999" s="403"/>
      <c r="I999" s="403"/>
      <c r="J999" s="403"/>
      <c r="K999" s="403"/>
      <c r="L999" s="403"/>
    </row>
    <row r="1000" spans="1:12" ht="15.5">
      <c r="A1000" s="409" t="s">
        <v>373</v>
      </c>
      <c r="B1000" s="405"/>
      <c r="C1000" s="403">
        <f>C995-C997-C998</f>
        <v>0</v>
      </c>
      <c r="D1000" s="403">
        <f t="shared" ref="D1000:L1000" si="329">D995-D997-D998</f>
        <v>0</v>
      </c>
      <c r="E1000" s="403">
        <f t="shared" si="329"/>
        <v>0</v>
      </c>
      <c r="F1000" s="403">
        <f t="shared" si="329"/>
        <v>10370300</v>
      </c>
      <c r="G1000" s="403">
        <f t="shared" ca="1" si="329"/>
        <v>13679134.575081557</v>
      </c>
      <c r="H1000" s="403">
        <f t="shared" ca="1" si="329"/>
        <v>16077472.392948227</v>
      </c>
      <c r="I1000" s="403">
        <f t="shared" ca="1" si="329"/>
        <v>17535705.333973475</v>
      </c>
      <c r="J1000" s="403">
        <f t="shared" ca="1" si="329"/>
        <v>19182486.241264246</v>
      </c>
      <c r="K1000" s="403">
        <f t="shared" ca="1" si="329"/>
        <v>21051297.472745564</v>
      </c>
      <c r="L1000" s="403">
        <f t="shared" ca="1" si="329"/>
        <v>23177264.317477033</v>
      </c>
    </row>
    <row r="1001" spans="1:12">
      <c r="A1001" s="408"/>
      <c r="B1001" s="405"/>
      <c r="C1001" s="403"/>
      <c r="D1001" s="403"/>
      <c r="E1001" s="403"/>
      <c r="F1001" s="403"/>
      <c r="G1001" s="403"/>
      <c r="H1001" s="403"/>
      <c r="I1001" s="403"/>
      <c r="J1001" s="403"/>
      <c r="K1001" s="403"/>
      <c r="L1001" s="403"/>
    </row>
    <row r="1002" spans="1:12">
      <c r="A1002" s="408" t="s">
        <v>162</v>
      </c>
      <c r="B1002" s="405"/>
      <c r="C1002" s="403">
        <v>0</v>
      </c>
      <c r="D1002" s="403">
        <v>0</v>
      </c>
      <c r="E1002" s="403">
        <v>0</v>
      </c>
      <c r="F1002" s="403">
        <v>0</v>
      </c>
      <c r="G1002" s="403">
        <v>0</v>
      </c>
      <c r="H1002" s="403">
        <v>0</v>
      </c>
      <c r="I1002" s="403">
        <v>0</v>
      </c>
      <c r="J1002" s="403">
        <v>0</v>
      </c>
      <c r="K1002" s="403">
        <v>0</v>
      </c>
      <c r="L1002" s="403">
        <v>0</v>
      </c>
    </row>
    <row r="1003" spans="1:12">
      <c r="A1003" s="408"/>
      <c r="B1003" s="405"/>
      <c r="C1003" s="403"/>
      <c r="D1003" s="403"/>
      <c r="E1003" s="403"/>
      <c r="F1003" s="403"/>
      <c r="G1003" s="403"/>
      <c r="H1003" s="403"/>
      <c r="I1003" s="403"/>
      <c r="J1003" s="403"/>
      <c r="K1003" s="403"/>
      <c r="L1003" s="403"/>
    </row>
    <row r="1004" spans="1:12" ht="15.5">
      <c r="A1004" s="409" t="s">
        <v>374</v>
      </c>
      <c r="B1004" s="405"/>
      <c r="C1004" s="403">
        <f>C1000-C1002</f>
        <v>0</v>
      </c>
      <c r="D1004" s="403">
        <f t="shared" ref="D1004:L1004" si="330">D1000-D1002</f>
        <v>0</v>
      </c>
      <c r="E1004" s="403">
        <f t="shared" si="330"/>
        <v>0</v>
      </c>
      <c r="F1004" s="403">
        <f t="shared" si="330"/>
        <v>10370300</v>
      </c>
      <c r="G1004" s="403">
        <f t="shared" ca="1" si="330"/>
        <v>13679134.575081557</v>
      </c>
      <c r="H1004" s="403">
        <f t="shared" ca="1" si="330"/>
        <v>16077472.392948227</v>
      </c>
      <c r="I1004" s="403">
        <f t="shared" ca="1" si="330"/>
        <v>17535705.333973475</v>
      </c>
      <c r="J1004" s="403">
        <f t="shared" ca="1" si="330"/>
        <v>19182486.241264246</v>
      </c>
      <c r="K1004" s="403">
        <f t="shared" ca="1" si="330"/>
        <v>21051297.472745564</v>
      </c>
      <c r="L1004" s="403">
        <f t="shared" ca="1" si="330"/>
        <v>23177264.317477033</v>
      </c>
    </row>
    <row r="1005" spans="1:12">
      <c r="A1005" s="408"/>
      <c r="B1005" s="405"/>
      <c r="C1005" s="403"/>
      <c r="D1005" s="403"/>
      <c r="E1005" s="403"/>
      <c r="F1005" s="403"/>
      <c r="G1005" s="403"/>
      <c r="H1005" s="403"/>
      <c r="I1005" s="403"/>
      <c r="J1005" s="403"/>
      <c r="K1005" s="403"/>
      <c r="L1005" s="403"/>
    </row>
    <row r="1006" spans="1:12">
      <c r="A1006" s="408" t="s">
        <v>164</v>
      </c>
      <c r="B1006" s="405"/>
      <c r="C1006" s="403">
        <f>C1004*Assumptions!$Y$21</f>
        <v>0</v>
      </c>
      <c r="D1006" s="403">
        <f>D1004*Assumptions!$Y$21</f>
        <v>0</v>
      </c>
      <c r="E1006" s="403">
        <f>E1004*Assumptions!$Y$21</f>
        <v>0</v>
      </c>
      <c r="F1006" s="403">
        <f>F1004*Assumptions!$Y$21</f>
        <v>1555545</v>
      </c>
      <c r="G1006" s="403">
        <f ca="1">G1004*Assumptions!$Y$21</f>
        <v>2051870.1862622334</v>
      </c>
      <c r="H1006" s="403">
        <f ca="1">H1004*Assumptions!$Y$21</f>
        <v>2411620.858942234</v>
      </c>
      <c r="I1006" s="403">
        <f ca="1">I1004*Assumptions!$Y$21</f>
        <v>2630355.800096021</v>
      </c>
      <c r="J1006" s="403">
        <f ca="1">J1004*Assumptions!$Y$21</f>
        <v>2877372.9361896371</v>
      </c>
      <c r="K1006" s="403">
        <f ca="1">K1004*Assumptions!$Y$21</f>
        <v>3157694.6209118343</v>
      </c>
      <c r="L1006" s="403">
        <f ca="1">L1004*Assumptions!$Y$21</f>
        <v>3476589.6476215548</v>
      </c>
    </row>
    <row r="1007" spans="1:12">
      <c r="A1007" s="408"/>
      <c r="B1007" s="405"/>
      <c r="C1007" s="403"/>
      <c r="D1007" s="403"/>
      <c r="E1007" s="403"/>
      <c r="F1007" s="403"/>
      <c r="G1007" s="403"/>
      <c r="H1007" s="403"/>
      <c r="I1007" s="403"/>
      <c r="J1007" s="403"/>
      <c r="K1007" s="403"/>
      <c r="L1007" s="403"/>
    </row>
    <row r="1008" spans="1:12" ht="15.5">
      <c r="A1008" s="409" t="s">
        <v>97</v>
      </c>
      <c r="B1008" s="405"/>
      <c r="C1008" s="403">
        <f>C1004-C1006</f>
        <v>0</v>
      </c>
      <c r="D1008" s="403">
        <f t="shared" ref="D1008:L1008" si="331">D1004-D1006</f>
        <v>0</v>
      </c>
      <c r="E1008" s="403">
        <f t="shared" si="331"/>
        <v>0</v>
      </c>
      <c r="F1008" s="403">
        <f t="shared" si="331"/>
        <v>8814755</v>
      </c>
      <c r="G1008" s="403">
        <f t="shared" ca="1" si="331"/>
        <v>11627264.388819324</v>
      </c>
      <c r="H1008" s="403">
        <f t="shared" ca="1" si="331"/>
        <v>13665851.534005992</v>
      </c>
      <c r="I1008" s="403">
        <f t="shared" ca="1" si="331"/>
        <v>14905349.533877455</v>
      </c>
      <c r="J1008" s="403">
        <f t="shared" ca="1" si="331"/>
        <v>16305113.30507461</v>
      </c>
      <c r="K1008" s="403">
        <f t="shared" ca="1" si="331"/>
        <v>17893602.851833731</v>
      </c>
      <c r="L1008" s="403">
        <f t="shared" ca="1" si="331"/>
        <v>19700674.669855479</v>
      </c>
    </row>
    <row r="1009" spans="1:12">
      <c r="A1009" s="408"/>
      <c r="B1009" s="405"/>
      <c r="C1009" s="403"/>
      <c r="D1009" s="403"/>
      <c r="E1009" s="403"/>
      <c r="F1009" s="403"/>
      <c r="G1009" s="403"/>
      <c r="H1009" s="403"/>
      <c r="I1009" s="403"/>
      <c r="J1009" s="403"/>
      <c r="K1009" s="403"/>
      <c r="L1009" s="403"/>
    </row>
    <row r="1010" spans="1:12" ht="16" thickBot="1">
      <c r="A1010" s="412" t="s">
        <v>165</v>
      </c>
      <c r="B1010" s="406"/>
      <c r="C1010" s="407">
        <f>C1008</f>
        <v>0</v>
      </c>
      <c r="D1010" s="407">
        <f t="shared" ref="D1010:L1010" si="332">C1010+D1008</f>
        <v>0</v>
      </c>
      <c r="E1010" s="407">
        <f t="shared" si="332"/>
        <v>0</v>
      </c>
      <c r="F1010" s="407">
        <f t="shared" si="332"/>
        <v>8814755</v>
      </c>
      <c r="G1010" s="407">
        <f t="shared" ca="1" si="332"/>
        <v>20442019.388819322</v>
      </c>
      <c r="H1010" s="407">
        <f t="shared" ca="1" si="332"/>
        <v>34107870.922825314</v>
      </c>
      <c r="I1010" s="407">
        <f t="shared" ca="1" si="332"/>
        <v>49013220.456702769</v>
      </c>
      <c r="J1010" s="407">
        <f t="shared" ca="1" si="332"/>
        <v>65318333.761777379</v>
      </c>
      <c r="K1010" s="407">
        <f t="shared" ca="1" si="332"/>
        <v>83211936.613611102</v>
      </c>
      <c r="L1010" s="407">
        <f t="shared" ca="1" si="332"/>
        <v>102912611.28346658</v>
      </c>
    </row>
    <row r="1011" spans="1:12" ht="15" thickTop="1">
      <c r="B1011" s="419"/>
      <c r="C1011" s="420"/>
      <c r="D1011" s="420"/>
      <c r="E1011" s="420"/>
      <c r="F1011" s="420"/>
      <c r="G1011" s="420"/>
      <c r="H1011" s="420"/>
      <c r="I1011" s="420"/>
      <c r="J1011" s="420"/>
      <c r="K1011" s="420"/>
      <c r="L1011" s="420"/>
    </row>
    <row r="1012" spans="1:12" ht="15.5">
      <c r="A1012" s="413" t="s">
        <v>383</v>
      </c>
      <c r="B1012" s="405"/>
      <c r="C1012" s="135"/>
      <c r="D1012" s="135"/>
      <c r="E1012" s="135"/>
      <c r="F1012" s="135"/>
      <c r="G1012" s="135"/>
      <c r="H1012" s="135"/>
      <c r="I1012" s="135"/>
      <c r="J1012" s="135"/>
      <c r="K1012" s="135"/>
      <c r="L1012" s="136"/>
    </row>
    <row r="1013" spans="1:12" ht="15.5">
      <c r="A1013" s="414" t="s">
        <v>355</v>
      </c>
      <c r="B1013" s="405"/>
      <c r="C1013" s="48"/>
      <c r="D1013" s="48"/>
      <c r="E1013" s="48"/>
      <c r="F1013" s="48"/>
      <c r="G1013" s="48"/>
      <c r="H1013" s="48"/>
      <c r="I1013" s="48"/>
      <c r="J1013" s="48"/>
      <c r="K1013" s="48"/>
      <c r="L1013" s="48"/>
    </row>
    <row r="1014" spans="1:12">
      <c r="A1014" s="415" t="s">
        <v>289</v>
      </c>
      <c r="B1014" s="405"/>
      <c r="C1014" s="133">
        <f>Revenue!AQ128</f>
        <v>0</v>
      </c>
      <c r="D1014" s="133">
        <f>Revenue!AR128</f>
        <v>0</v>
      </c>
      <c r="E1014" s="133">
        <f>Revenue!AS128</f>
        <v>0</v>
      </c>
      <c r="F1014" s="133">
        <f>Revenue!AT128</f>
        <v>1540</v>
      </c>
      <c r="G1014" s="133">
        <f ca="1">Revenue!AU128</f>
        <v>1630.9371660627094</v>
      </c>
      <c r="H1014" s="133">
        <f ca="1">Revenue!AV128</f>
        <v>1732.2906029975036</v>
      </c>
      <c r="I1014" s="133">
        <f ca="1">Revenue!AW128</f>
        <v>1845.2061152973631</v>
      </c>
      <c r="J1014" s="133">
        <f ca="1">Revenue!AX128</f>
        <v>1972.5332675705677</v>
      </c>
      <c r="K1014" s="133">
        <f ca="1">Revenue!AY128</f>
        <v>2116.2472470159578</v>
      </c>
      <c r="L1014" s="133">
        <f ca="1">Revenue!AZ128</f>
        <v>2278.5381315271084</v>
      </c>
    </row>
    <row r="1015" spans="1:12">
      <c r="A1015" s="415" t="s">
        <v>60</v>
      </c>
      <c r="B1015" s="405"/>
      <c r="C1015" s="403">
        <f>Revenue!AC128</f>
        <v>0</v>
      </c>
      <c r="D1015" s="403">
        <f>Revenue!AD128</f>
        <v>0</v>
      </c>
      <c r="E1015" s="403">
        <f>Revenue!AE128</f>
        <v>0</v>
      </c>
      <c r="F1015" s="403">
        <f>Revenue!AF128</f>
        <v>5000</v>
      </c>
      <c r="G1015" s="403">
        <f>Revenue!AG128</f>
        <v>5104.9999999999991</v>
      </c>
      <c r="H1015" s="403">
        <f>Revenue!AH128</f>
        <v>5212.204999999999</v>
      </c>
      <c r="I1015" s="403">
        <f>Revenue!AI128</f>
        <v>5321.6613049999987</v>
      </c>
      <c r="J1015" s="403">
        <f>Revenue!AJ128</f>
        <v>5433.4161924049986</v>
      </c>
      <c r="K1015" s="403">
        <f>Revenue!AK128</f>
        <v>5547.517932445503</v>
      </c>
      <c r="L1015" s="403">
        <f>Revenue!AL128</f>
        <v>5664.0158090268578</v>
      </c>
    </row>
    <row r="1016" spans="1:12">
      <c r="A1016" s="415" t="s">
        <v>366</v>
      </c>
      <c r="B1016" s="405"/>
      <c r="C1016" s="403">
        <f t="shared" ref="C1016" si="333">C1014*C1015</f>
        <v>0</v>
      </c>
      <c r="D1016" s="403">
        <f t="shared" ref="D1016" si="334">D1014*D1015</f>
        <v>0</v>
      </c>
      <c r="E1016" s="403">
        <f t="shared" ref="E1016" si="335">E1014*E1015</f>
        <v>0</v>
      </c>
      <c r="F1016" s="403">
        <f t="shared" ref="F1016" si="336">F1014*F1015</f>
        <v>7700000</v>
      </c>
      <c r="G1016" s="403">
        <f t="shared" ref="G1016" ca="1" si="337">G1014*G1015</f>
        <v>8325934.2327501299</v>
      </c>
      <c r="H1016" s="403">
        <f t="shared" ref="H1016" ca="1" si="338">H1014*H1015</f>
        <v>9029053.7423966005</v>
      </c>
      <c r="I1016" s="403">
        <f t="shared" ref="I1016" ca="1" si="339">I1014*I1015</f>
        <v>9819561.9835273437</v>
      </c>
      <c r="J1016" s="403">
        <f t="shared" ref="J1016" ca="1" si="340">J1014*J1015</f>
        <v>10717594.196075464</v>
      </c>
      <c r="K1016" s="403">
        <f t="shared" ref="K1016" ca="1" si="341">K1014*K1015</f>
        <v>11739919.552309453</v>
      </c>
      <c r="L1016" s="403">
        <f t="shared" ref="L1016" ca="1" si="342">L1014*L1015</f>
        <v>12905675.998440059</v>
      </c>
    </row>
    <row r="1017" spans="1:12" ht="15.5">
      <c r="A1017" s="416" t="s">
        <v>356</v>
      </c>
      <c r="B1017" s="405"/>
      <c r="C1017" s="48"/>
      <c r="D1017" s="48"/>
      <c r="E1017" s="48"/>
      <c r="F1017" s="48"/>
      <c r="G1017" s="48"/>
      <c r="H1017" s="48"/>
      <c r="I1017" s="48"/>
      <c r="J1017" s="48"/>
      <c r="K1017" s="48"/>
      <c r="L1017" s="48"/>
    </row>
    <row r="1018" spans="1:12">
      <c r="A1018" s="417" t="s">
        <v>358</v>
      </c>
      <c r="B1018" s="405"/>
      <c r="C1018" s="133">
        <f>Revenue!AQ129</f>
        <v>0</v>
      </c>
      <c r="D1018" s="133">
        <f>Revenue!AR129</f>
        <v>0</v>
      </c>
      <c r="E1018" s="133">
        <f>Revenue!AS129</f>
        <v>0</v>
      </c>
      <c r="F1018" s="133">
        <f>Revenue!AT129</f>
        <v>1000</v>
      </c>
      <c r="G1018" s="133">
        <f ca="1">Revenue!AU129</f>
        <v>1099.8406857845168</v>
      </c>
      <c r="H1018" s="133">
        <f ca="1">Revenue!AV129</f>
        <v>1213.3816741506992</v>
      </c>
      <c r="I1018" s="133">
        <f ca="1">Revenue!AW129</f>
        <v>1342.0140654279987</v>
      </c>
      <c r="J1018" s="133">
        <f ca="1">Revenue!AX129</f>
        <v>1488.8352091316251</v>
      </c>
      <c r="K1018" s="133">
        <f ca="1">Revenue!AY129</f>
        <v>1657.6028536185963</v>
      </c>
      <c r="L1018" s="133">
        <f ca="1">Revenue!AZ129</f>
        <v>1849.7295301244494</v>
      </c>
    </row>
    <row r="1019" spans="1:12">
      <c r="A1019" s="417" t="s">
        <v>359</v>
      </c>
      <c r="B1019" s="405"/>
      <c r="C1019" s="403">
        <f>Revenue!AC129</f>
        <v>0</v>
      </c>
      <c r="D1019" s="403">
        <f>Revenue!AD129</f>
        <v>0</v>
      </c>
      <c r="E1019" s="403">
        <f>Revenue!AE129</f>
        <v>0</v>
      </c>
      <c r="F1019" s="403">
        <f>Revenue!AF129</f>
        <v>7000</v>
      </c>
      <c r="G1019" s="403">
        <f>Revenue!AG129</f>
        <v>7146.9999999999991</v>
      </c>
      <c r="H1019" s="403">
        <f>Revenue!AH129</f>
        <v>7297.0869999999986</v>
      </c>
      <c r="I1019" s="403">
        <f>Revenue!AI129</f>
        <v>7450.3258269999978</v>
      </c>
      <c r="J1019" s="403">
        <f>Revenue!AJ129</f>
        <v>7606.7826693669967</v>
      </c>
      <c r="K1019" s="403">
        <f>Revenue!AK129</f>
        <v>7766.5251054237033</v>
      </c>
      <c r="L1019" s="403">
        <f>Revenue!AL129</f>
        <v>7929.6221326376008</v>
      </c>
    </row>
    <row r="1020" spans="1:12">
      <c r="A1020" s="418" t="s">
        <v>366</v>
      </c>
      <c r="B1020" s="405"/>
      <c r="C1020" s="403">
        <f t="shared" ref="C1020" si="343">C1018*C1019</f>
        <v>0</v>
      </c>
      <c r="D1020" s="403">
        <f t="shared" ref="D1020" si="344">D1018*D1019</f>
        <v>0</v>
      </c>
      <c r="E1020" s="403">
        <f t="shared" ref="E1020" si="345">E1018*E1019</f>
        <v>0</v>
      </c>
      <c r="F1020" s="403">
        <f t="shared" ref="F1020" si="346">F1018*F1019</f>
        <v>7000000</v>
      </c>
      <c r="G1020" s="403">
        <f t="shared" ref="G1020" ca="1" si="347">G1018*G1019</f>
        <v>7860561.3813019404</v>
      </c>
      <c r="H1020" s="403">
        <f t="shared" ref="H1020" ca="1" si="348">H1018*H1019</f>
        <v>8854151.6404833011</v>
      </c>
      <c r="I1020" s="403">
        <f t="shared" ref="I1020" ca="1" si="349">I1018*I1019</f>
        <v>9998442.051855484</v>
      </c>
      <c r="J1020" s="403">
        <f t="shared" ref="J1020" ca="1" si="350">J1018*J1019</f>
        <v>11325245.866365833</v>
      </c>
      <c r="K1020" s="403">
        <f t="shared" ref="K1020" ca="1" si="351">K1018*K1019</f>
        <v>12873814.1774508</v>
      </c>
      <c r="L1020" s="403">
        <f t="shared" ref="L1020" ca="1" si="352">L1018*L1019</f>
        <v>14667656.221468184</v>
      </c>
    </row>
    <row r="1021" spans="1:12" ht="15.5">
      <c r="A1021" s="416" t="s">
        <v>357</v>
      </c>
      <c r="B1021" s="405"/>
      <c r="C1021" s="48"/>
      <c r="D1021" s="48"/>
      <c r="E1021" s="48"/>
      <c r="F1021" s="48"/>
      <c r="G1021" s="48"/>
      <c r="H1021" s="48"/>
      <c r="I1021" s="48"/>
      <c r="J1021" s="48"/>
      <c r="K1021" s="48"/>
      <c r="L1021" s="48"/>
    </row>
    <row r="1022" spans="1:12">
      <c r="A1022" s="417" t="s">
        <v>358</v>
      </c>
      <c r="B1022" s="405"/>
      <c r="C1022" s="133">
        <f>Revenue!AQ130</f>
        <v>0</v>
      </c>
      <c r="D1022" s="133">
        <f>Revenue!AR130</f>
        <v>0</v>
      </c>
      <c r="E1022" s="133">
        <f>Revenue!AS130</f>
        <v>0</v>
      </c>
      <c r="F1022" s="133">
        <f>Revenue!AT130</f>
        <v>1270</v>
      </c>
      <c r="G1022" s="133">
        <f ca="1">Revenue!AU130</f>
        <v>1307.9574065467514</v>
      </c>
      <c r="H1022" s="133">
        <f ca="1">Revenue!AV130</f>
        <v>1350.6576091737982</v>
      </c>
      <c r="I1022" s="133">
        <f ca="1">Revenue!AW130</f>
        <v>1400.1393953969475</v>
      </c>
      <c r="J1022" s="133">
        <f ca="1">Revenue!AX130</f>
        <v>1455.5020608705938</v>
      </c>
      <c r="K1022" s="133">
        <f ca="1">Revenue!AY130</f>
        <v>1518.7134461160731</v>
      </c>
      <c r="L1022" s="133">
        <f ca="1">Revenue!AZ130</f>
        <v>1590.2761129102064</v>
      </c>
    </row>
    <row r="1023" spans="1:12">
      <c r="A1023" s="417" t="s">
        <v>359</v>
      </c>
      <c r="B1023" s="405"/>
      <c r="C1023" s="403">
        <f>Revenue!AC130</f>
        <v>0</v>
      </c>
      <c r="D1023" s="403">
        <f>Revenue!AD130</f>
        <v>0</v>
      </c>
      <c r="E1023" s="403">
        <f>Revenue!AE130</f>
        <v>0</v>
      </c>
      <c r="F1023" s="403">
        <f>Revenue!AF130</f>
        <v>5000</v>
      </c>
      <c r="G1023" s="403">
        <f>Revenue!AG130</f>
        <v>5104.9999999999991</v>
      </c>
      <c r="H1023" s="403">
        <f>Revenue!AH130</f>
        <v>5212.204999999999</v>
      </c>
      <c r="I1023" s="403">
        <f>Revenue!AI130</f>
        <v>5321.6613049999987</v>
      </c>
      <c r="J1023" s="403">
        <f>Revenue!AJ130</f>
        <v>5433.4161924049986</v>
      </c>
      <c r="K1023" s="403">
        <f>Revenue!AK130</f>
        <v>5547.517932445503</v>
      </c>
      <c r="L1023" s="403">
        <f>Revenue!AL130</f>
        <v>5664.0158090268578</v>
      </c>
    </row>
    <row r="1024" spans="1:12">
      <c r="A1024" s="418" t="s">
        <v>366</v>
      </c>
      <c r="B1024" s="405"/>
      <c r="C1024" s="403">
        <f t="shared" ref="C1024" si="353">C1022*C1023</f>
        <v>0</v>
      </c>
      <c r="D1024" s="403">
        <f t="shared" ref="D1024" si="354">D1022*D1023</f>
        <v>0</v>
      </c>
      <c r="E1024" s="403">
        <f t="shared" ref="E1024" si="355">E1022*E1023</f>
        <v>0</v>
      </c>
      <c r="F1024" s="403">
        <f t="shared" ref="F1024" si="356">F1022*F1023</f>
        <v>6350000</v>
      </c>
      <c r="G1024" s="403">
        <f t="shared" ref="G1024" ca="1" si="357">G1022*G1023</f>
        <v>6677122.5604211641</v>
      </c>
      <c r="H1024" s="403">
        <f t="shared" ref="H1024" ca="1" si="358">H1022*H1023</f>
        <v>7039904.3438237151</v>
      </c>
      <c r="I1024" s="403">
        <f t="shared" ref="I1024" ca="1" si="359">I1022*I1023</f>
        <v>7451067.6420900291</v>
      </c>
      <c r="J1024" s="403">
        <f t="shared" ref="J1024" ca="1" si="360">J1022*J1023</f>
        <v>7908348.4656131305</v>
      </c>
      <c r="K1024" s="403">
        <f t="shared" ref="K1024" ca="1" si="361">K1022*K1023</f>
        <v>8425090.0765750222</v>
      </c>
      <c r="L1024" s="403">
        <f t="shared" ref="L1024" ca="1" si="362">L1022*L1023</f>
        <v>9007349.04424119</v>
      </c>
    </row>
    <row r="1025" spans="1:12" ht="15.5">
      <c r="A1025" s="416" t="s">
        <v>360</v>
      </c>
      <c r="B1025" s="405"/>
      <c r="C1025" s="48"/>
      <c r="D1025" s="48"/>
      <c r="E1025" s="48"/>
      <c r="F1025" s="48"/>
      <c r="G1025" s="48"/>
      <c r="H1025" s="48"/>
      <c r="I1025" s="48"/>
      <c r="J1025" s="48"/>
      <c r="K1025" s="48"/>
      <c r="L1025" s="48"/>
    </row>
    <row r="1026" spans="1:12">
      <c r="A1026" s="417" t="s">
        <v>358</v>
      </c>
      <c r="B1026" s="405"/>
      <c r="C1026" s="133">
        <f>Revenue!AQ131</f>
        <v>0</v>
      </c>
      <c r="D1026" s="133">
        <f>Revenue!AR131</f>
        <v>0</v>
      </c>
      <c r="E1026" s="133">
        <f>Revenue!AS131</f>
        <v>0</v>
      </c>
      <c r="F1026" s="133">
        <f>Revenue!AT131</f>
        <v>0</v>
      </c>
      <c r="G1026" s="133">
        <f>Revenue!AU131</f>
        <v>635</v>
      </c>
      <c r="H1026" s="133">
        <f ca="1">Revenue!AV131</f>
        <v>668.76073736916339</v>
      </c>
      <c r="I1026" s="133">
        <f ca="1">Revenue!AW131</f>
        <v>706.97379672481713</v>
      </c>
      <c r="J1026" s="133">
        <f ca="1">Revenue!AX131</f>
        <v>749.29391324601818</v>
      </c>
      <c r="K1026" s="133">
        <f ca="1">Revenue!AY131</f>
        <v>797.0129415280694</v>
      </c>
      <c r="L1026" s="133">
        <f ca="1">Revenue!AZ131</f>
        <v>850.83574903443412</v>
      </c>
    </row>
    <row r="1027" spans="1:12">
      <c r="A1027" s="417" t="s">
        <v>359</v>
      </c>
      <c r="B1027" s="405"/>
      <c r="C1027" s="403">
        <f>Revenue!AC131</f>
        <v>0</v>
      </c>
      <c r="D1027" s="403">
        <f>Revenue!AD131</f>
        <v>0</v>
      </c>
      <c r="E1027" s="403">
        <f>Revenue!AE131</f>
        <v>0</v>
      </c>
      <c r="F1027" s="403">
        <f>Revenue!AF131</f>
        <v>0</v>
      </c>
      <c r="G1027" s="403">
        <f>Revenue!AG131</f>
        <v>9500</v>
      </c>
      <c r="H1027" s="403">
        <f>Revenue!AH131</f>
        <v>9699.5</v>
      </c>
      <c r="I1027" s="403">
        <f>Revenue!AI131</f>
        <v>9903.1894999999986</v>
      </c>
      <c r="J1027" s="403">
        <f>Revenue!AJ131</f>
        <v>10111.156479499998</v>
      </c>
      <c r="K1027" s="403">
        <f>Revenue!AK131</f>
        <v>10323.490765569497</v>
      </c>
      <c r="L1027" s="403">
        <f>Revenue!AL131</f>
        <v>10540.284071646456</v>
      </c>
    </row>
    <row r="1028" spans="1:12">
      <c r="A1028" s="418" t="s">
        <v>366</v>
      </c>
      <c r="B1028" s="405"/>
      <c r="C1028" s="403">
        <f t="shared" ref="C1028" si="363">C1026*C1027</f>
        <v>0</v>
      </c>
      <c r="D1028" s="403">
        <f t="shared" ref="D1028" si="364">D1026*D1027</f>
        <v>0</v>
      </c>
      <c r="E1028" s="403">
        <f t="shared" ref="E1028" si="365">E1026*E1027</f>
        <v>0</v>
      </c>
      <c r="F1028" s="403">
        <f t="shared" ref="F1028" si="366">F1026*F1027</f>
        <v>0</v>
      </c>
      <c r="G1028" s="403">
        <f t="shared" ref="G1028" si="367">G1026*G1027</f>
        <v>6032500</v>
      </c>
      <c r="H1028" s="403">
        <f t="shared" ref="H1028" ca="1" si="368">H1026*H1027</f>
        <v>6486644.7721122</v>
      </c>
      <c r="I1028" s="403">
        <f t="shared" ref="I1028" ca="1" si="369">I1026*I1027</f>
        <v>7001295.4805003423</v>
      </c>
      <c r="J1028" s="403">
        <f t="shared" ref="J1028" ca="1" si="370">J1026*J1027</f>
        <v>7576228.0059673861</v>
      </c>
      <c r="K1028" s="403">
        <f t="shared" ref="K1028" ca="1" si="371">K1026*K1027</f>
        <v>8227955.7419044059</v>
      </c>
      <c r="L1028" s="403">
        <f t="shared" ref="L1028" ca="1" si="372">L1026*L1027</f>
        <v>8968050.4931350276</v>
      </c>
    </row>
    <row r="1029" spans="1:12" ht="15.5">
      <c r="A1029" s="416" t="s">
        <v>362</v>
      </c>
      <c r="B1029" s="405"/>
      <c r="C1029" s="48"/>
      <c r="D1029" s="48"/>
      <c r="E1029" s="48"/>
      <c r="F1029" s="48"/>
      <c r="G1029" s="48"/>
      <c r="H1029" s="48"/>
      <c r="I1029" s="48"/>
      <c r="J1029" s="48"/>
      <c r="K1029" s="48"/>
      <c r="L1029" s="48"/>
    </row>
    <row r="1030" spans="1:12">
      <c r="A1030" s="417" t="s">
        <v>358</v>
      </c>
      <c r="B1030" s="405"/>
      <c r="C1030" s="133">
        <f>Revenue!AQ132</f>
        <v>0</v>
      </c>
      <c r="D1030" s="133">
        <f>Revenue!AR132</f>
        <v>0</v>
      </c>
      <c r="E1030" s="133">
        <f>Revenue!AS132</f>
        <v>0</v>
      </c>
      <c r="F1030" s="133">
        <f>Revenue!AT132</f>
        <v>0</v>
      </c>
      <c r="G1030" s="133">
        <f>Revenue!AU132</f>
        <v>0</v>
      </c>
      <c r="H1030" s="133">
        <f>Revenue!AV132</f>
        <v>318</v>
      </c>
      <c r="I1030" s="133">
        <f ca="1">Revenue!AW132</f>
        <v>336.20430285820811</v>
      </c>
      <c r="J1030" s="133">
        <f ca="1">Revenue!AX132</f>
        <v>356.60981687855087</v>
      </c>
      <c r="K1030" s="133">
        <f ca="1">Revenue!AY132</f>
        <v>379.26900680177204</v>
      </c>
      <c r="L1030" s="133">
        <f ca="1">Revenue!AZ132</f>
        <v>404.78135551268605</v>
      </c>
    </row>
    <row r="1031" spans="1:12">
      <c r="A1031" s="417" t="s">
        <v>359</v>
      </c>
      <c r="B1031" s="405"/>
      <c r="C1031" s="403">
        <f>Revenue!AC132</f>
        <v>0</v>
      </c>
      <c r="D1031" s="403">
        <f>Revenue!AD132</f>
        <v>0</v>
      </c>
      <c r="E1031" s="403">
        <f>Revenue!AE132</f>
        <v>0</v>
      </c>
      <c r="F1031" s="403">
        <f>Revenue!AF132</f>
        <v>0</v>
      </c>
      <c r="G1031" s="403">
        <f>Revenue!AG132</f>
        <v>0</v>
      </c>
      <c r="H1031" s="403">
        <f>Revenue!AH132</f>
        <v>10000</v>
      </c>
      <c r="I1031" s="403">
        <f>Revenue!AI132</f>
        <v>10209.999999999998</v>
      </c>
      <c r="J1031" s="403">
        <f>Revenue!AJ132</f>
        <v>10424.409999999998</v>
      </c>
      <c r="K1031" s="403">
        <f>Revenue!AK132</f>
        <v>10643.322609999997</v>
      </c>
      <c r="L1031" s="403">
        <f>Revenue!AL132</f>
        <v>10866.832384809997</v>
      </c>
    </row>
    <row r="1032" spans="1:12">
      <c r="A1032" s="418" t="s">
        <v>366</v>
      </c>
      <c r="B1032" s="405"/>
      <c r="C1032" s="403">
        <f t="shared" ref="C1032" si="373">C1030*C1031</f>
        <v>0</v>
      </c>
      <c r="D1032" s="403">
        <f t="shared" ref="D1032" si="374">D1030*D1031</f>
        <v>0</v>
      </c>
      <c r="E1032" s="403">
        <f t="shared" ref="E1032" si="375">E1030*E1031</f>
        <v>0</v>
      </c>
      <c r="F1032" s="403">
        <f t="shared" ref="F1032" si="376">F1030*F1031</f>
        <v>0</v>
      </c>
      <c r="G1032" s="403">
        <f t="shared" ref="G1032" si="377">G1030*G1031</f>
        <v>0</v>
      </c>
      <c r="H1032" s="403">
        <f t="shared" ref="H1032" si="378">H1030*H1031</f>
        <v>3180000</v>
      </c>
      <c r="I1032" s="403">
        <f t="shared" ref="I1032" ca="1" si="379">I1030*I1031</f>
        <v>3432645.9321823041</v>
      </c>
      <c r="J1032" s="403">
        <f t="shared" ref="J1032" ca="1" si="380">J1030*J1031</f>
        <v>3717446.9411669336</v>
      </c>
      <c r="K1032" s="403">
        <f t="shared" ref="K1032" ca="1" si="381">K1030*K1031</f>
        <v>4036682.3953655432</v>
      </c>
      <c r="L1032" s="403">
        <f t="shared" ref="L1032" ca="1" si="382">L1030*L1031</f>
        <v>4398691.1428525457</v>
      </c>
    </row>
    <row r="1033" spans="1:12" ht="15.5">
      <c r="A1033" s="416" t="s">
        <v>361</v>
      </c>
      <c r="B1033" s="405"/>
      <c r="C1033" s="48"/>
      <c r="D1033" s="48"/>
      <c r="E1033" s="48"/>
      <c r="F1033" s="48"/>
      <c r="G1033" s="48"/>
      <c r="H1033" s="48"/>
      <c r="I1033" s="48"/>
      <c r="J1033" s="48"/>
      <c r="K1033" s="48"/>
      <c r="L1033" s="48"/>
    </row>
    <row r="1034" spans="1:12">
      <c r="A1034" s="417" t="s">
        <v>358</v>
      </c>
      <c r="B1034" s="405"/>
      <c r="C1034" s="133">
        <f>Revenue!AQ133</f>
        <v>0</v>
      </c>
      <c r="D1034" s="133">
        <f>Revenue!AR133</f>
        <v>0</v>
      </c>
      <c r="E1034" s="133">
        <f>Revenue!AS133</f>
        <v>0</v>
      </c>
      <c r="F1034" s="133">
        <f>Revenue!AT133</f>
        <v>1900</v>
      </c>
      <c r="G1034" s="133">
        <f ca="1">Revenue!AU133</f>
        <v>1919.929893196482</v>
      </c>
      <c r="H1034" s="133">
        <f ca="1">Revenue!AV133</f>
        <v>1947.374230862808</v>
      </c>
      <c r="I1034" s="133">
        <f ca="1">Revenue!AW133</f>
        <v>1982.0545295190809</v>
      </c>
      <c r="J1034" s="133">
        <f ca="1">Revenue!AX133</f>
        <v>2024.2539359684793</v>
      </c>
      <c r="K1034" s="133">
        <f ca="1">Revenue!AY133</f>
        <v>2072.9954477943465</v>
      </c>
      <c r="L1034" s="133">
        <f ca="1">Revenue!AZ133</f>
        <v>2131.0059498321266</v>
      </c>
    </row>
    <row r="1035" spans="1:12">
      <c r="A1035" s="417" t="s">
        <v>359</v>
      </c>
      <c r="B1035" s="405"/>
      <c r="C1035" s="403">
        <f>Revenue!AC133</f>
        <v>0</v>
      </c>
      <c r="D1035" s="403">
        <f>Revenue!AD133</f>
        <v>0</v>
      </c>
      <c r="E1035" s="403">
        <f>Revenue!AE133</f>
        <v>0</v>
      </c>
      <c r="F1035" s="403">
        <f>Revenue!AF133</f>
        <v>1900</v>
      </c>
      <c r="G1035" s="403">
        <f>Revenue!AG133</f>
        <v>1939.8999999999999</v>
      </c>
      <c r="H1035" s="403">
        <f>Revenue!AH133</f>
        <v>1980.6378999999997</v>
      </c>
      <c r="I1035" s="403">
        <f>Revenue!AI133</f>
        <v>2022.2312958999996</v>
      </c>
      <c r="J1035" s="403">
        <f>Revenue!AJ133</f>
        <v>2064.6981531138995</v>
      </c>
      <c r="K1035" s="403">
        <f>Revenue!AK133</f>
        <v>2108.0568143292912</v>
      </c>
      <c r="L1035" s="403">
        <f>Revenue!AL133</f>
        <v>2152.3260074302061</v>
      </c>
    </row>
    <row r="1036" spans="1:12">
      <c r="A1036" s="418" t="s">
        <v>366</v>
      </c>
      <c r="B1036" s="405"/>
      <c r="C1036" s="403">
        <f t="shared" ref="C1036" si="383">C1034*C1035</f>
        <v>0</v>
      </c>
      <c r="D1036" s="403">
        <f t="shared" ref="D1036" si="384">D1034*D1035</f>
        <v>0</v>
      </c>
      <c r="E1036" s="403">
        <f t="shared" ref="E1036" si="385">E1034*E1035</f>
        <v>0</v>
      </c>
      <c r="F1036" s="403">
        <f t="shared" ref="F1036" si="386">F1034*F1035</f>
        <v>3610000</v>
      </c>
      <c r="G1036" s="403">
        <f t="shared" ref="G1036" ca="1" si="387">G1034*G1035</f>
        <v>3724471.9998118551</v>
      </c>
      <c r="H1036" s="403">
        <f t="shared" ref="H1036" ca="1" si="388">H1034*H1035</f>
        <v>3857043.2071302268</v>
      </c>
      <c r="I1036" s="403">
        <f t="shared" ref="I1036" ca="1" si="389">I1034*I1035</f>
        <v>4008172.699773835</v>
      </c>
      <c r="J1036" s="403">
        <f t="shared" ref="J1036" ca="1" si="390">J1034*J1035</f>
        <v>4179473.3630276606</v>
      </c>
      <c r="K1036" s="403">
        <f t="shared" ref="K1036" ca="1" si="391">K1034*K1035</f>
        <v>4369992.1797964731</v>
      </c>
      <c r="L1036" s="403">
        <f t="shared" ref="L1036" ca="1" si="392">L1034*L1035</f>
        <v>4586619.527812195</v>
      </c>
    </row>
    <row r="1037" spans="1:12" ht="15.5">
      <c r="A1037" s="416" t="s">
        <v>363</v>
      </c>
      <c r="B1037" s="405"/>
      <c r="C1037" s="48"/>
      <c r="D1037" s="48"/>
      <c r="E1037" s="48"/>
      <c r="F1037" s="48"/>
      <c r="G1037" s="48"/>
      <c r="H1037" s="48"/>
      <c r="I1037" s="48"/>
      <c r="J1037" s="48"/>
      <c r="K1037" s="48"/>
      <c r="L1037" s="48"/>
    </row>
    <row r="1038" spans="1:12">
      <c r="A1038" s="417" t="s">
        <v>358</v>
      </c>
      <c r="B1038" s="405"/>
      <c r="C1038" s="133">
        <f>Revenue!AQ134</f>
        <v>0</v>
      </c>
      <c r="D1038" s="133">
        <f>Revenue!AR134</f>
        <v>0</v>
      </c>
      <c r="E1038" s="133">
        <f>Revenue!AS134</f>
        <v>0</v>
      </c>
      <c r="F1038" s="133">
        <f>Revenue!AT134</f>
        <v>0</v>
      </c>
      <c r="G1038" s="133">
        <f>Revenue!AU134</f>
        <v>400</v>
      </c>
      <c r="H1038" s="133">
        <f ca="1">Revenue!AV134</f>
        <v>745.71777912591051</v>
      </c>
      <c r="I1038" s="133">
        <f ca="1">Revenue!AW134</f>
        <v>1040.9836118097335</v>
      </c>
      <c r="J1038" s="133">
        <f ca="1">Revenue!AX134</f>
        <v>1293.3523657952096</v>
      </c>
      <c r="K1038" s="133">
        <f ca="1">Revenue!AY134</f>
        <v>1508.981012381312</v>
      </c>
      <c r="L1038" s="133">
        <f ca="1">Revenue!AZ134</f>
        <v>1693.8274214360799</v>
      </c>
    </row>
    <row r="1039" spans="1:12">
      <c r="A1039" s="417" t="s">
        <v>359</v>
      </c>
      <c r="B1039" s="405"/>
      <c r="C1039" s="403">
        <f>Revenue!AC134</f>
        <v>0</v>
      </c>
      <c r="D1039" s="403">
        <f>Revenue!AD134</f>
        <v>0</v>
      </c>
      <c r="E1039" s="403">
        <f>Revenue!AE134</f>
        <v>0</v>
      </c>
      <c r="F1039" s="403">
        <f>Revenue!AF134</f>
        <v>0</v>
      </c>
      <c r="G1039" s="403">
        <f>Revenue!AG134</f>
        <v>500</v>
      </c>
      <c r="H1039" s="403">
        <f>Revenue!AH134</f>
        <v>500</v>
      </c>
      <c r="I1039" s="403">
        <f>Revenue!AI134</f>
        <v>500</v>
      </c>
      <c r="J1039" s="403">
        <f>Revenue!AJ134</f>
        <v>500</v>
      </c>
      <c r="K1039" s="403">
        <f>Revenue!AK134</f>
        <v>500</v>
      </c>
      <c r="L1039" s="403">
        <f>Revenue!AL134</f>
        <v>500</v>
      </c>
    </row>
    <row r="1040" spans="1:12">
      <c r="A1040" s="418" t="s">
        <v>366</v>
      </c>
      <c r="B1040" s="405"/>
      <c r="C1040" s="403">
        <f t="shared" ref="C1040" si="393">C1038*C1039</f>
        <v>0</v>
      </c>
      <c r="D1040" s="403">
        <f t="shared" ref="D1040" si="394">D1038*D1039</f>
        <v>0</v>
      </c>
      <c r="E1040" s="403">
        <f t="shared" ref="E1040" si="395">E1038*E1039</f>
        <v>0</v>
      </c>
      <c r="F1040" s="403">
        <f t="shared" ref="F1040" si="396">F1038*F1039</f>
        <v>0</v>
      </c>
      <c r="G1040" s="403">
        <f t="shared" ref="G1040" si="397">G1038*G1039</f>
        <v>200000</v>
      </c>
      <c r="H1040" s="403">
        <f t="shared" ref="H1040" ca="1" si="398">H1038*H1039</f>
        <v>372858.88956295524</v>
      </c>
      <c r="I1040" s="403">
        <f t="shared" ref="I1040" ca="1" si="399">I1038*I1039</f>
        <v>520491.80590486672</v>
      </c>
      <c r="J1040" s="403">
        <f t="shared" ref="J1040" ca="1" si="400">J1038*J1039</f>
        <v>646676.18289760477</v>
      </c>
      <c r="K1040" s="403">
        <f t="shared" ref="K1040" ca="1" si="401">K1038*K1039</f>
        <v>754490.50619065599</v>
      </c>
      <c r="L1040" s="403">
        <f t="shared" ref="L1040" ca="1" si="402">L1038*L1039</f>
        <v>846913.71071804001</v>
      </c>
    </row>
    <row r="1041" spans="1:12" ht="15.5">
      <c r="A1041" s="416" t="s">
        <v>364</v>
      </c>
      <c r="B1041" s="405"/>
      <c r="C1041" s="48"/>
      <c r="D1041" s="48"/>
      <c r="E1041" s="48"/>
      <c r="F1041" s="48"/>
      <c r="G1041" s="48"/>
      <c r="H1041" s="48"/>
      <c r="I1041" s="48"/>
      <c r="J1041" s="48"/>
      <c r="K1041" s="48"/>
      <c r="L1041" s="48"/>
    </row>
    <row r="1042" spans="1:12">
      <c r="A1042" s="417" t="s">
        <v>358</v>
      </c>
      <c r="B1042" s="405"/>
      <c r="C1042" s="133">
        <f>Revenue!AQ135</f>
        <v>0</v>
      </c>
      <c r="D1042" s="133">
        <f>Revenue!AR135</f>
        <v>0</v>
      </c>
      <c r="E1042" s="133">
        <f>Revenue!AS135</f>
        <v>0</v>
      </c>
      <c r="F1042" s="133">
        <f>Revenue!AT135</f>
        <v>0</v>
      </c>
      <c r="G1042" s="133">
        <f>Revenue!AU135</f>
        <v>300</v>
      </c>
      <c r="H1042" s="133">
        <f ca="1">Revenue!AV135</f>
        <v>304.04364062093487</v>
      </c>
      <c r="I1042" s="133">
        <f ca="1">Revenue!AW135</f>
        <v>309.34857657819259</v>
      </c>
      <c r="J1042" s="133">
        <f ca="1">Revenue!AX135</f>
        <v>315.887240579045</v>
      </c>
      <c r="K1042" s="133">
        <f ca="1">Revenue!AY135</f>
        <v>323.75606926128751</v>
      </c>
      <c r="L1042" s="133">
        <f ca="1">Revenue!AZ135</f>
        <v>333.04452035251097</v>
      </c>
    </row>
    <row r="1043" spans="1:12">
      <c r="A1043" s="417" t="s">
        <v>359</v>
      </c>
      <c r="B1043" s="405"/>
      <c r="C1043" s="403">
        <f>Revenue!AC135</f>
        <v>0</v>
      </c>
      <c r="D1043" s="403">
        <f>Revenue!AD135</f>
        <v>0</v>
      </c>
      <c r="E1043" s="403">
        <f>Revenue!AE135</f>
        <v>0</v>
      </c>
      <c r="F1043" s="403">
        <f>Revenue!AF135</f>
        <v>0</v>
      </c>
      <c r="G1043" s="403">
        <f>Revenue!AG135</f>
        <v>500</v>
      </c>
      <c r="H1043" s="403">
        <f>Revenue!AH135</f>
        <v>510.49999999999994</v>
      </c>
      <c r="I1043" s="403">
        <f>Revenue!AI135</f>
        <v>521.2204999999999</v>
      </c>
      <c r="J1043" s="403">
        <f>Revenue!AJ135</f>
        <v>532.16613049999989</v>
      </c>
      <c r="K1043" s="403">
        <f>Revenue!AK135</f>
        <v>543.34161924049988</v>
      </c>
      <c r="L1043" s="403">
        <f>Revenue!AL135</f>
        <v>554.7517932445503</v>
      </c>
    </row>
    <row r="1044" spans="1:12">
      <c r="A1044" s="418" t="s">
        <v>366</v>
      </c>
      <c r="B1044" s="405"/>
      <c r="C1044" s="403">
        <f t="shared" ref="C1044" si="403">C1042*C1043</f>
        <v>0</v>
      </c>
      <c r="D1044" s="403">
        <f t="shared" ref="D1044" si="404">D1042*D1043</f>
        <v>0</v>
      </c>
      <c r="E1044" s="403">
        <f t="shared" ref="E1044" si="405">E1042*E1043</f>
        <v>0</v>
      </c>
      <c r="F1044" s="403">
        <f t="shared" ref="F1044" si="406">F1042*F1043</f>
        <v>0</v>
      </c>
      <c r="G1044" s="403">
        <f t="shared" ref="G1044" si="407">G1042*G1043</f>
        <v>150000</v>
      </c>
      <c r="H1044" s="403">
        <f t="shared" ref="H1044" ca="1" si="408">H1042*H1043</f>
        <v>155214.27853698723</v>
      </c>
      <c r="I1044" s="403">
        <f t="shared" ref="I1044" ca="1" si="409">I1042*I1043</f>
        <v>161238.81975837381</v>
      </c>
      <c r="J1044" s="403">
        <f t="shared" ref="J1044" ca="1" si="410">J1042*J1043</f>
        <v>168104.49049327293</v>
      </c>
      <c r="K1044" s="403">
        <f t="shared" ref="K1044" ca="1" si="411">K1042*K1043</f>
        <v>175910.1469113674</v>
      </c>
      <c r="L1044" s="403">
        <f t="shared" ref="L1044" ca="1" si="412">L1042*L1043</f>
        <v>184757.04489582658</v>
      </c>
    </row>
    <row r="1045" spans="1:12" ht="15.5">
      <c r="A1045" s="416" t="s">
        <v>365</v>
      </c>
      <c r="B1045" s="405"/>
      <c r="C1045" s="48"/>
      <c r="D1045" s="48"/>
      <c r="E1045" s="48"/>
      <c r="F1045" s="48"/>
      <c r="G1045" s="48"/>
      <c r="H1045" s="48"/>
      <c r="I1045" s="48"/>
      <c r="J1045" s="48"/>
      <c r="K1045" s="48"/>
      <c r="L1045" s="48"/>
    </row>
    <row r="1046" spans="1:12">
      <c r="A1046" s="417" t="s">
        <v>358</v>
      </c>
      <c r="B1046" s="405"/>
      <c r="C1046" s="133">
        <f>Revenue!AQ136</f>
        <v>0</v>
      </c>
      <c r="D1046" s="133">
        <f>Revenue!AR136</f>
        <v>0</v>
      </c>
      <c r="E1046" s="133">
        <f>Revenue!AS136</f>
        <v>0</v>
      </c>
      <c r="F1046" s="133">
        <f>Revenue!AT136</f>
        <v>0</v>
      </c>
      <c r="G1046" s="133">
        <f>Revenue!AU136</f>
        <v>1500</v>
      </c>
      <c r="H1046" s="133">
        <f ca="1">Revenue!AV136</f>
        <v>1520.1509502831443</v>
      </c>
      <c r="I1046" s="133">
        <f ca="1">Revenue!AW136</f>
        <v>1545.5062398940536</v>
      </c>
      <c r="J1046" s="133">
        <f ca="1">Revenue!AX136</f>
        <v>1576.9178007190055</v>
      </c>
      <c r="K1046" s="133">
        <f ca="1">Revenue!AY136</f>
        <v>1615.2585027902446</v>
      </c>
      <c r="L1046" s="133">
        <f ca="1">Revenue!AZ136</f>
        <v>1659.37323673486</v>
      </c>
    </row>
    <row r="1047" spans="1:12">
      <c r="A1047" s="417" t="s">
        <v>359</v>
      </c>
      <c r="B1047" s="405"/>
      <c r="C1047" s="403">
        <f>Revenue!AC136</f>
        <v>0</v>
      </c>
      <c r="D1047" s="403">
        <f>Revenue!AD136</f>
        <v>0</v>
      </c>
      <c r="E1047" s="403">
        <f>Revenue!AE136</f>
        <v>0</v>
      </c>
      <c r="F1047" s="403">
        <f>Revenue!AF136</f>
        <v>0</v>
      </c>
      <c r="G1047" s="403">
        <f>Revenue!AG136</f>
        <v>300</v>
      </c>
      <c r="H1047" s="403">
        <f>Revenue!AH136</f>
        <v>306.29999999999995</v>
      </c>
      <c r="I1047" s="403">
        <f>Revenue!AI136</f>
        <v>312.73229999999995</v>
      </c>
      <c r="J1047" s="403">
        <f>Revenue!AJ136</f>
        <v>319.29967829999993</v>
      </c>
      <c r="K1047" s="403">
        <f>Revenue!AK136</f>
        <v>326.00497154429991</v>
      </c>
      <c r="L1047" s="403">
        <f>Revenue!AL136</f>
        <v>332.85107594673019</v>
      </c>
    </row>
    <row r="1048" spans="1:12">
      <c r="A1048" s="417" t="s">
        <v>366</v>
      </c>
      <c r="B1048" s="405"/>
      <c r="C1048" s="403">
        <f t="shared" ref="C1048" si="413">C1046*C1047</f>
        <v>0</v>
      </c>
      <c r="D1048" s="403">
        <f t="shared" ref="D1048" si="414">D1046*D1047</f>
        <v>0</v>
      </c>
      <c r="E1048" s="403">
        <f t="shared" ref="E1048" si="415">E1046*E1047</f>
        <v>0</v>
      </c>
      <c r="F1048" s="403">
        <f t="shared" ref="F1048" si="416">F1046*F1047</f>
        <v>0</v>
      </c>
      <c r="G1048" s="403">
        <f t="shared" ref="G1048" si="417">G1046*G1047</f>
        <v>450000</v>
      </c>
      <c r="H1048" s="403">
        <f t="shared" ref="H1048" ca="1" si="418">H1046*H1047</f>
        <v>465622.23607172701</v>
      </c>
      <c r="I1048" s="403">
        <f t="shared" ref="I1048" ca="1" si="419">I1046*I1047</f>
        <v>483329.72106641904</v>
      </c>
      <c r="J1048" s="403">
        <f t="shared" ref="J1048" ca="1" si="420">J1046*J1047</f>
        <v>503509.34647512186</v>
      </c>
      <c r="K1048" s="403">
        <f t="shared" ref="K1048" ca="1" si="421">K1046*K1047</f>
        <v>526582.30223882222</v>
      </c>
      <c r="L1048" s="403">
        <f t="shared" ref="L1048" ca="1" si="422">L1046*L1047</f>
        <v>552324.16724440642</v>
      </c>
    </row>
    <row r="1049" spans="1:12">
      <c r="A1049" s="418"/>
      <c r="B1049" s="405"/>
      <c r="C1049" s="48"/>
      <c r="D1049" s="48"/>
      <c r="E1049" s="48"/>
      <c r="F1049" s="48"/>
      <c r="G1049" s="48"/>
      <c r="H1049" s="48"/>
      <c r="I1049" s="48"/>
      <c r="J1049" s="48"/>
      <c r="K1049" s="48"/>
      <c r="L1049" s="138"/>
    </row>
    <row r="1050" spans="1:12" ht="15.5">
      <c r="A1050" s="409" t="s">
        <v>367</v>
      </c>
      <c r="B1050" s="405"/>
      <c r="C1050" s="403">
        <f>SUM(C1048,C1044,C1040,C1036,C1032,C1028,C1024,C1020,C1016)</f>
        <v>0</v>
      </c>
      <c r="D1050" s="403">
        <f t="shared" ref="D1050:L1050" si="423">SUM(D1048,D1044,D1040,D1036,D1032,D1028,D1024,D1020,D1016)</f>
        <v>0</v>
      </c>
      <c r="E1050" s="403">
        <f t="shared" si="423"/>
        <v>0</v>
      </c>
      <c r="F1050" s="403">
        <f t="shared" si="423"/>
        <v>24660000</v>
      </c>
      <c r="G1050" s="403">
        <f t="shared" ca="1" si="423"/>
        <v>33420590.174285088</v>
      </c>
      <c r="H1050" s="403">
        <f t="shared" ca="1" si="423"/>
        <v>39440493.110117719</v>
      </c>
      <c r="I1050" s="403">
        <f t="shared" ca="1" si="423"/>
        <v>42876246.136658996</v>
      </c>
      <c r="J1050" s="403">
        <f t="shared" ca="1" si="423"/>
        <v>46742626.858082406</v>
      </c>
      <c r="K1050" s="403">
        <f t="shared" ca="1" si="423"/>
        <v>51130437.078742541</v>
      </c>
      <c r="L1050" s="403">
        <f t="shared" ca="1" si="423"/>
        <v>56118037.350807473</v>
      </c>
    </row>
    <row r="1051" spans="1:12">
      <c r="A1051" s="408"/>
      <c r="B1051" s="405"/>
      <c r="C1051" s="48"/>
      <c r="D1051" s="48"/>
      <c r="E1051" s="48"/>
      <c r="F1051" s="48"/>
      <c r="G1051" s="48"/>
      <c r="H1051" s="48"/>
      <c r="I1051" s="48"/>
      <c r="J1051" s="48"/>
      <c r="K1051" s="48"/>
      <c r="L1051" s="48"/>
    </row>
    <row r="1052" spans="1:12" ht="18.5">
      <c r="A1052" s="411" t="s">
        <v>152</v>
      </c>
      <c r="B1052" s="405"/>
      <c r="C1052" s="48"/>
      <c r="D1052" s="48"/>
      <c r="E1052" s="48"/>
      <c r="F1052" s="48"/>
      <c r="G1052" s="48"/>
      <c r="H1052" s="48"/>
      <c r="I1052" s="48"/>
      <c r="J1052" s="48"/>
      <c r="K1052" s="48"/>
      <c r="L1052" s="48"/>
    </row>
    <row r="1053" spans="1:12" ht="15.5">
      <c r="A1053" s="409" t="s">
        <v>296</v>
      </c>
      <c r="B1053" s="405"/>
      <c r="C1053" s="403">
        <f>Assumptions!$Q$45*(C1016+C1020)</f>
        <v>0</v>
      </c>
      <c r="D1053" s="403">
        <f>Assumptions!$Q$45*(D1016+D1020)</f>
        <v>0</v>
      </c>
      <c r="E1053" s="403">
        <f>Assumptions!$Q$45*(E1016+E1020)</f>
        <v>0</v>
      </c>
      <c r="F1053" s="403">
        <f>Assumptions!$Q$45*(F1016+F1020)</f>
        <v>5145000</v>
      </c>
      <c r="G1053" s="403">
        <f ca="1">Assumptions!$Q$45*(G1016+G1020)</f>
        <v>5665273.4649182241</v>
      </c>
      <c r="H1053" s="403">
        <f ca="1">Assumptions!$Q$45*(H1016+H1020)</f>
        <v>6259121.8840079652</v>
      </c>
      <c r="I1053" s="403">
        <f ca="1">Assumptions!$Q$45*(I1016+I1020)</f>
        <v>6936301.4123839904</v>
      </c>
      <c r="J1053" s="403">
        <f ca="1">Assumptions!$Q$45*(J1016+J1020)</f>
        <v>7714994.0218544537</v>
      </c>
      <c r="K1053" s="403">
        <f ca="1">Assumptions!$Q$45*(K1016+K1020)</f>
        <v>8614806.8054160886</v>
      </c>
      <c r="L1053" s="403">
        <f ca="1">Assumptions!$Q$45*(L1016+L1020)</f>
        <v>9650666.276967885</v>
      </c>
    </row>
    <row r="1054" spans="1:12" ht="15.5">
      <c r="A1054" s="409" t="s">
        <v>297</v>
      </c>
      <c r="B1054" s="405"/>
      <c r="C1054" s="403">
        <f>Assumptions!$Q$47*C1024</f>
        <v>0</v>
      </c>
      <c r="D1054" s="403">
        <f>Assumptions!$Q$47*D1024</f>
        <v>0</v>
      </c>
      <c r="E1054" s="403">
        <f>Assumptions!$Q$47*E1024</f>
        <v>0</v>
      </c>
      <c r="F1054" s="403">
        <f>Assumptions!$Q$47*F1024</f>
        <v>2222500</v>
      </c>
      <c r="G1054" s="403">
        <f ca="1">Assumptions!$Q$47*G1024</f>
        <v>2336992.8961474071</v>
      </c>
      <c r="H1054" s="403">
        <f ca="1">Assumptions!$Q$47*H1024</f>
        <v>2463966.5203383001</v>
      </c>
      <c r="I1054" s="403">
        <f ca="1">Assumptions!$Q$47*I1024</f>
        <v>2607873.6747315102</v>
      </c>
      <c r="J1054" s="403">
        <f ca="1">Assumptions!$Q$47*J1024</f>
        <v>2767921.9629645953</v>
      </c>
      <c r="K1054" s="403">
        <f ca="1">Assumptions!$Q$47*K1024</f>
        <v>2948781.5268012574</v>
      </c>
      <c r="L1054" s="403">
        <f ca="1">Assumptions!$Q$47*L1024</f>
        <v>3152572.1654844163</v>
      </c>
    </row>
    <row r="1055" spans="1:12" ht="15.5">
      <c r="A1055" s="409" t="s">
        <v>298</v>
      </c>
      <c r="B1055" s="405"/>
      <c r="C1055" s="403">
        <f>Assumptions!$Q$48*C1028</f>
        <v>0</v>
      </c>
      <c r="D1055" s="403">
        <f>Assumptions!$Q$48*D1028</f>
        <v>0</v>
      </c>
      <c r="E1055" s="403">
        <f>Assumptions!$Q$48*E1028</f>
        <v>0</v>
      </c>
      <c r="F1055" s="403">
        <f>Assumptions!$Q$48*F1028</f>
        <v>0</v>
      </c>
      <c r="G1055" s="403">
        <f>Assumptions!$Q$48*G1028</f>
        <v>2413000</v>
      </c>
      <c r="H1055" s="403">
        <f ca="1">Assumptions!$Q$48*H1028</f>
        <v>2594657.9088448803</v>
      </c>
      <c r="I1055" s="403">
        <f ca="1">Assumptions!$Q$48*I1028</f>
        <v>2800518.1922001373</v>
      </c>
      <c r="J1055" s="403">
        <f ca="1">Assumptions!$Q$48*J1028</f>
        <v>3030491.2023869548</v>
      </c>
      <c r="K1055" s="403">
        <f ca="1">Assumptions!$Q$48*K1028</f>
        <v>3291182.2967617624</v>
      </c>
      <c r="L1055" s="403">
        <f ca="1">Assumptions!$Q$48*L1028</f>
        <v>3587220.1972540114</v>
      </c>
    </row>
    <row r="1056" spans="1:12" ht="15.5">
      <c r="A1056" s="409" t="s">
        <v>299</v>
      </c>
      <c r="B1056" s="405"/>
      <c r="C1056" s="403">
        <f>Assumptions!$Q$49*C1032</f>
        <v>0</v>
      </c>
      <c r="D1056" s="403">
        <f>Assumptions!$Q$49*D1032</f>
        <v>0</v>
      </c>
      <c r="E1056" s="403">
        <f>Assumptions!$Q$49*E1032</f>
        <v>0</v>
      </c>
      <c r="F1056" s="403">
        <f>Assumptions!$Q$49*F1032</f>
        <v>0</v>
      </c>
      <c r="G1056" s="403">
        <f>Assumptions!$Q$49*G1032</f>
        <v>0</v>
      </c>
      <c r="H1056" s="403">
        <f>Assumptions!$Q$49*H1032</f>
        <v>1272000</v>
      </c>
      <c r="I1056" s="403">
        <f ca="1">Assumptions!$Q$49*I1032</f>
        <v>1373058.3728729216</v>
      </c>
      <c r="J1056" s="403">
        <f ca="1">Assumptions!$Q$49*J1032</f>
        <v>1486978.7764667736</v>
      </c>
      <c r="K1056" s="403">
        <f ca="1">Assumptions!$Q$49*K1032</f>
        <v>1614672.9581462173</v>
      </c>
      <c r="L1056" s="403">
        <f ca="1">Assumptions!$Q$49*L1032</f>
        <v>1759476.4571410185</v>
      </c>
    </row>
    <row r="1057" spans="1:12" ht="15.5">
      <c r="A1057" s="409" t="s">
        <v>368</v>
      </c>
      <c r="B1057" s="405"/>
      <c r="C1057" s="403">
        <f>Assumptions!$Q$50*C1036</f>
        <v>0</v>
      </c>
      <c r="D1057" s="403">
        <f>Assumptions!$Q$50*D1036</f>
        <v>0</v>
      </c>
      <c r="E1057" s="403">
        <f>Assumptions!$Q$50*E1036</f>
        <v>0</v>
      </c>
      <c r="F1057" s="403">
        <f>Assumptions!$Q$50*F1036</f>
        <v>1263500</v>
      </c>
      <c r="G1057" s="403">
        <f ca="1">Assumptions!$Q$50*G1036</f>
        <v>1303565.1999341492</v>
      </c>
      <c r="H1057" s="403">
        <f ca="1">Assumptions!$Q$50*H1036</f>
        <v>1349965.1224955793</v>
      </c>
      <c r="I1057" s="403">
        <f ca="1">Assumptions!$Q$50*I1036</f>
        <v>1402860.4449208421</v>
      </c>
      <c r="J1057" s="403">
        <f ca="1">Assumptions!$Q$50*J1036</f>
        <v>1462815.6770596812</v>
      </c>
      <c r="K1057" s="403">
        <f ca="1">Assumptions!$Q$50*K1036</f>
        <v>1529497.2629287655</v>
      </c>
      <c r="L1057" s="403">
        <f ca="1">Assumptions!$Q$50*L1036</f>
        <v>1605316.8347342683</v>
      </c>
    </row>
    <row r="1058" spans="1:12" ht="15.5">
      <c r="A1058" s="409" t="s">
        <v>369</v>
      </c>
      <c r="B1058" s="405"/>
      <c r="C1058" s="403">
        <f>Assumptions!$Q$51*C1040</f>
        <v>0</v>
      </c>
      <c r="D1058" s="403">
        <f>Assumptions!$Q$51*D1040</f>
        <v>0</v>
      </c>
      <c r="E1058" s="403">
        <f>Assumptions!$Q$51*E1040</f>
        <v>0</v>
      </c>
      <c r="F1058" s="403">
        <f>Assumptions!$Q$51*F1040</f>
        <v>0</v>
      </c>
      <c r="G1058" s="403">
        <f>Assumptions!$Q$51*G1040</f>
        <v>70000</v>
      </c>
      <c r="H1058" s="403">
        <f ca="1">Assumptions!$Q$51*H1040</f>
        <v>130500.61134703433</v>
      </c>
      <c r="I1058" s="403">
        <f ca="1">Assumptions!$Q$51*I1040</f>
        <v>182172.13206670334</v>
      </c>
      <c r="J1058" s="403">
        <f ca="1">Assumptions!$Q$51*J1040</f>
        <v>226336.66401416165</v>
      </c>
      <c r="K1058" s="403">
        <f ca="1">Assumptions!$Q$51*K1040</f>
        <v>264071.67716672958</v>
      </c>
      <c r="L1058" s="403">
        <f ca="1">Assumptions!$Q$51*L1040</f>
        <v>296419.798751314</v>
      </c>
    </row>
    <row r="1059" spans="1:12" ht="15.5">
      <c r="A1059" s="409" t="s">
        <v>370</v>
      </c>
      <c r="B1059" s="405"/>
      <c r="C1059" s="403">
        <f>Assumptions!$Q$52*C1044</f>
        <v>0</v>
      </c>
      <c r="D1059" s="403">
        <f>Assumptions!$Q$52*D1044</f>
        <v>0</v>
      </c>
      <c r="E1059" s="403">
        <f>Assumptions!$Q$52*E1044</f>
        <v>0</v>
      </c>
      <c r="F1059" s="403">
        <f>Assumptions!$Q$52*F1044</f>
        <v>0</v>
      </c>
      <c r="G1059" s="403">
        <f>Assumptions!$Q$52*G1044</f>
        <v>52500</v>
      </c>
      <c r="H1059" s="403">
        <f ca="1">Assumptions!$Q$52*H1044</f>
        <v>54324.997487945526</v>
      </c>
      <c r="I1059" s="403">
        <f ca="1">Assumptions!$Q$52*I1044</f>
        <v>56433.586915430831</v>
      </c>
      <c r="J1059" s="403">
        <f ca="1">Assumptions!$Q$52*J1044</f>
        <v>58836.571672645521</v>
      </c>
      <c r="K1059" s="403">
        <f ca="1">Assumptions!$Q$52*K1044</f>
        <v>61568.551418978583</v>
      </c>
      <c r="L1059" s="403">
        <f ca="1">Assumptions!$Q$52*L1044</f>
        <v>64664.965713539299</v>
      </c>
    </row>
    <row r="1060" spans="1:12" ht="15.5">
      <c r="A1060" s="409" t="s">
        <v>371</v>
      </c>
      <c r="B1060" s="405"/>
      <c r="C1060" s="403">
        <f>Assumptions!$Q$53*C1048</f>
        <v>0</v>
      </c>
      <c r="D1060" s="403">
        <f>Assumptions!$Q$53*D1048</f>
        <v>0</v>
      </c>
      <c r="E1060" s="403">
        <f>Assumptions!$Q$53*E1048</f>
        <v>0</v>
      </c>
      <c r="F1060" s="403">
        <f>Assumptions!$Q$53*F1048</f>
        <v>0</v>
      </c>
      <c r="G1060" s="403">
        <f>Assumptions!$Q$53*G1048</f>
        <v>157500</v>
      </c>
      <c r="H1060" s="403">
        <f ca="1">Assumptions!$Q$53*H1048</f>
        <v>162967.78262510445</v>
      </c>
      <c r="I1060" s="403">
        <f ca="1">Assumptions!$Q$53*I1048</f>
        <v>169165.40237324664</v>
      </c>
      <c r="J1060" s="403">
        <f ca="1">Assumptions!$Q$53*J1048</f>
        <v>176228.27126629264</v>
      </c>
      <c r="K1060" s="403">
        <f ca="1">Assumptions!$Q$53*K1048</f>
        <v>184303.80578358777</v>
      </c>
      <c r="L1060" s="403">
        <f ca="1">Assumptions!$Q$53*L1048</f>
        <v>193313.45853554225</v>
      </c>
    </row>
    <row r="1061" spans="1:12" ht="15.5">
      <c r="A1061" s="409" t="s">
        <v>354</v>
      </c>
      <c r="B1061" s="405"/>
      <c r="C1061" s="403">
        <f t="shared" ref="C1061" si="424">SUM(C1053:C1060)</f>
        <v>0</v>
      </c>
      <c r="D1061" s="403">
        <f t="shared" ref="D1061" si="425">SUM(D1053:D1060)</f>
        <v>0</v>
      </c>
      <c r="E1061" s="403">
        <f t="shared" ref="E1061" si="426">SUM(E1053:E1060)</f>
        <v>0</v>
      </c>
      <c r="F1061" s="403">
        <f t="shared" ref="F1061" si="427">SUM(F1053:F1060)</f>
        <v>8631000</v>
      </c>
      <c r="G1061" s="403">
        <f t="shared" ref="G1061" ca="1" si="428">SUM(G1053:G1060)</f>
        <v>11998831.560999781</v>
      </c>
      <c r="H1061" s="403">
        <f t="shared" ref="H1061" ca="1" si="429">SUM(H1053:H1060)</f>
        <v>14287504.82714681</v>
      </c>
      <c r="I1061" s="403">
        <f t="shared" ref="I1061" ca="1" si="430">SUM(I1053:I1060)</f>
        <v>15528383.218464781</v>
      </c>
      <c r="J1061" s="403">
        <f t="shared" ref="J1061" ca="1" si="431">SUM(J1053:J1060)</f>
        <v>16924603.147685561</v>
      </c>
      <c r="K1061" s="403">
        <f t="shared" ref="K1061" ca="1" si="432">SUM(K1053:K1060)</f>
        <v>18508884.88442339</v>
      </c>
      <c r="L1061" s="403">
        <f t="shared" ref="L1061" ca="1" si="433">SUM(L1053:L1060)</f>
        <v>20309650.15458199</v>
      </c>
    </row>
    <row r="1062" spans="1:12">
      <c r="A1062" s="408"/>
      <c r="B1062" s="405"/>
      <c r="C1062" s="403"/>
      <c r="D1062" s="403"/>
      <c r="E1062" s="403"/>
      <c r="F1062" s="403"/>
      <c r="G1062" s="403"/>
      <c r="H1062" s="403"/>
      <c r="I1062" s="403"/>
      <c r="J1062" s="403"/>
      <c r="K1062" s="403"/>
      <c r="L1062" s="403"/>
    </row>
    <row r="1063" spans="1:12" ht="15.5">
      <c r="A1063" s="409" t="s">
        <v>154</v>
      </c>
      <c r="B1063" s="405"/>
      <c r="C1063" s="403">
        <f>C1050-C1061</f>
        <v>0</v>
      </c>
      <c r="D1063" s="403">
        <f t="shared" ref="D1063:L1063" si="434">D1050-D1061</f>
        <v>0</v>
      </c>
      <c r="E1063" s="403">
        <f t="shared" si="434"/>
        <v>0</v>
      </c>
      <c r="F1063" s="403">
        <f t="shared" si="434"/>
        <v>16029000</v>
      </c>
      <c r="G1063" s="403">
        <f t="shared" ca="1" si="434"/>
        <v>21421758.613285307</v>
      </c>
      <c r="H1063" s="403">
        <f t="shared" ca="1" si="434"/>
        <v>25152988.282970909</v>
      </c>
      <c r="I1063" s="403">
        <f t="shared" ca="1" si="434"/>
        <v>27347862.918194216</v>
      </c>
      <c r="J1063" s="403">
        <f t="shared" ca="1" si="434"/>
        <v>29818023.710396845</v>
      </c>
      <c r="K1063" s="403">
        <f t="shared" ca="1" si="434"/>
        <v>32621552.194319151</v>
      </c>
      <c r="L1063" s="403">
        <f t="shared" ca="1" si="434"/>
        <v>35808387.196225479</v>
      </c>
    </row>
    <row r="1064" spans="1:12">
      <c r="A1064" s="408"/>
      <c r="B1064" s="405"/>
      <c r="C1064" s="403"/>
      <c r="D1064" s="403"/>
      <c r="E1064" s="403"/>
      <c r="F1064" s="403"/>
      <c r="G1064" s="403"/>
      <c r="H1064" s="403"/>
      <c r="I1064" s="403"/>
      <c r="J1064" s="403"/>
      <c r="K1064" s="403"/>
      <c r="L1064" s="403"/>
    </row>
    <row r="1065" spans="1:12" ht="18.5">
      <c r="A1065" s="411" t="s">
        <v>96</v>
      </c>
      <c r="B1065" s="405"/>
      <c r="C1065" s="403"/>
      <c r="D1065" s="403"/>
      <c r="E1065" s="403"/>
      <c r="F1065" s="403"/>
      <c r="G1065" s="403"/>
      <c r="H1065" s="403"/>
      <c r="I1065" s="403"/>
      <c r="J1065" s="403"/>
      <c r="K1065" s="403"/>
      <c r="L1065" s="403"/>
    </row>
    <row r="1066" spans="1:12">
      <c r="A1066" s="408"/>
      <c r="B1066" s="405"/>
      <c r="C1066" s="403"/>
      <c r="D1066" s="403"/>
      <c r="E1066" s="403"/>
      <c r="F1066" s="403"/>
      <c r="G1066" s="403"/>
      <c r="H1066" s="403"/>
      <c r="I1066" s="403"/>
      <c r="J1066" s="403"/>
      <c r="K1066" s="403"/>
      <c r="L1066" s="403"/>
    </row>
    <row r="1067" spans="1:12" ht="15.5">
      <c r="A1067" s="409" t="s">
        <v>28</v>
      </c>
      <c r="B1067" s="405"/>
      <c r="C1067" s="403"/>
      <c r="D1067" s="403"/>
      <c r="E1067" s="403"/>
      <c r="F1067" s="403"/>
      <c r="G1067" s="403"/>
      <c r="H1067" s="403"/>
      <c r="I1067" s="403"/>
      <c r="J1067" s="403"/>
      <c r="K1067" s="403"/>
      <c r="L1067" s="403"/>
    </row>
    <row r="1068" spans="1:12" ht="15.5">
      <c r="A1068" s="409"/>
      <c r="B1068" s="405"/>
      <c r="C1068" s="403"/>
      <c r="D1068" s="403"/>
      <c r="E1068" s="403"/>
      <c r="F1068" s="403"/>
      <c r="G1068" s="403"/>
      <c r="H1068" s="403"/>
      <c r="I1068" s="403"/>
      <c r="J1068" s="403"/>
      <c r="K1068" s="403"/>
      <c r="L1068" s="403"/>
    </row>
    <row r="1069" spans="1:12">
      <c r="A1069" s="408" t="s">
        <v>37</v>
      </c>
      <c r="B1069" s="405"/>
      <c r="C1069" s="403">
        <f>IF(C$5 = Assumptions!$O$45, Assumptions!$AX15, 0)</f>
        <v>0</v>
      </c>
      <c r="D1069" s="403">
        <f>IF(D$5 = Assumptions!$O$45, Assumptions!$AX15, 0)</f>
        <v>0</v>
      </c>
      <c r="E1069" s="403">
        <f>IF(E$5 = Assumptions!$O$45, Assumptions!$AX15, 0)</f>
        <v>0</v>
      </c>
      <c r="F1069" s="403">
        <f>IF(F$5 = Assumptions!$O$45, Assumptions!$AX15, 0)</f>
        <v>5000</v>
      </c>
      <c r="G1069" s="403">
        <f>IF(G$5 = Assumptions!$O$45, Assumptions!$AX15, 0)</f>
        <v>0</v>
      </c>
      <c r="H1069" s="403">
        <f>IF(H$5 = Assumptions!$O$45, Assumptions!$AX15, 0)</f>
        <v>0</v>
      </c>
      <c r="I1069" s="403">
        <f>IF(I$5 = Assumptions!$O$45, Assumptions!$AX15, 0)</f>
        <v>0</v>
      </c>
      <c r="J1069" s="403">
        <f>IF(J$5 = Assumptions!$O$45, Assumptions!$AX15, 0)</f>
        <v>0</v>
      </c>
      <c r="K1069" s="403">
        <f>IF(K$5 = Assumptions!$O$45, Assumptions!$AX15, 0)</f>
        <v>0</v>
      </c>
      <c r="L1069" s="403">
        <f>IF(L$5 = Assumptions!$O$45, Assumptions!$AX15, 0)</f>
        <v>0</v>
      </c>
    </row>
    <row r="1070" spans="1:12">
      <c r="A1070" s="408" t="s">
        <v>309</v>
      </c>
      <c r="B1070" s="405"/>
      <c r="C1070" s="403">
        <f>IF(C$5 = Assumptions!$O$45, Assumptions!$AX16, 0)</f>
        <v>0</v>
      </c>
      <c r="D1070" s="403">
        <f>IF(D$5 = Assumptions!$O$45, Assumptions!$AX16, 0)</f>
        <v>0</v>
      </c>
      <c r="E1070" s="403">
        <f>IF(E$5 = Assumptions!$O$45, Assumptions!$AX16, 0)</f>
        <v>0</v>
      </c>
      <c r="F1070" s="403">
        <f>IF(F$5 = Assumptions!$O$45, Assumptions!$AX16, 0)</f>
        <v>15000</v>
      </c>
      <c r="G1070" s="403">
        <f>IF(G$5 = Assumptions!$O$45, Assumptions!$AX16, 0)</f>
        <v>0</v>
      </c>
      <c r="H1070" s="403">
        <f>IF(H$5 = Assumptions!$O$45, Assumptions!$AX16, 0)</f>
        <v>0</v>
      </c>
      <c r="I1070" s="403">
        <f>IF(I$5 = Assumptions!$O$45, Assumptions!$AX16, 0)</f>
        <v>0</v>
      </c>
      <c r="J1070" s="403">
        <f>IF(J$5 = Assumptions!$O$45, Assumptions!$AX16, 0)</f>
        <v>0</v>
      </c>
      <c r="K1070" s="403">
        <f>IF(K$5 = Assumptions!$O$45, Assumptions!$AX16, 0)</f>
        <v>0</v>
      </c>
      <c r="L1070" s="403">
        <f>IF(L$5 = Assumptions!$O$45, Assumptions!$AX16, 0)</f>
        <v>0</v>
      </c>
    </row>
    <row r="1071" spans="1:12">
      <c r="A1071" s="408" t="s">
        <v>40</v>
      </c>
      <c r="B1071" s="405"/>
      <c r="C1071" s="403">
        <f>IF(C$5 = Assumptions!$O$45, Assumptions!$AX17, 0)</f>
        <v>0</v>
      </c>
      <c r="D1071" s="403">
        <f>IF(D$5 = Assumptions!$O$45, Assumptions!$AX17, 0)</f>
        <v>0</v>
      </c>
      <c r="E1071" s="403">
        <f>IF(E$5 = Assumptions!$O$45, Assumptions!$AX17, 0)</f>
        <v>0</v>
      </c>
      <c r="F1071" s="403">
        <f>IF(F$5 = Assumptions!$O$45, Assumptions!$AX17, 0)</f>
        <v>1000</v>
      </c>
      <c r="G1071" s="403">
        <f>IF(G$5 = Assumptions!$O$45, Assumptions!$AX17, 0)</f>
        <v>0</v>
      </c>
      <c r="H1071" s="403">
        <f>IF(H$5 = Assumptions!$O$45, Assumptions!$AX17, 0)</f>
        <v>0</v>
      </c>
      <c r="I1071" s="403">
        <f>IF(I$5 = Assumptions!$O$45, Assumptions!$AX17, 0)</f>
        <v>0</v>
      </c>
      <c r="J1071" s="403">
        <f>IF(J$5 = Assumptions!$O$45, Assumptions!$AX17, 0)</f>
        <v>0</v>
      </c>
      <c r="K1071" s="403">
        <f>IF(K$5 = Assumptions!$O$45, Assumptions!$AX17, 0)</f>
        <v>0</v>
      </c>
      <c r="L1071" s="403">
        <f>IF(L$5 = Assumptions!$O$45, Assumptions!$AX17, 0)</f>
        <v>0</v>
      </c>
    </row>
    <row r="1072" spans="1:12">
      <c r="A1072" s="408" t="s">
        <v>41</v>
      </c>
      <c r="B1072" s="405"/>
      <c r="C1072" s="403">
        <f>IF(C$5 = Assumptions!$O$45, Assumptions!$AX18, 0)</f>
        <v>0</v>
      </c>
      <c r="D1072" s="403">
        <f>IF(D$5 = Assumptions!$O$45, Assumptions!$AX18, 0)</f>
        <v>0</v>
      </c>
      <c r="E1072" s="403">
        <f>IF(E$5 = Assumptions!$O$45, Assumptions!$AX18, 0)</f>
        <v>0</v>
      </c>
      <c r="F1072" s="403">
        <f>IF(F$5 = Assumptions!$O$45, Assumptions!$AX18, 0)</f>
        <v>5000</v>
      </c>
      <c r="G1072" s="403">
        <f>IF(G$5 = Assumptions!$O$45, Assumptions!$AX18, 0)</f>
        <v>0</v>
      </c>
      <c r="H1072" s="403">
        <f>IF(H$5 = Assumptions!$O$45, Assumptions!$AX18, 0)</f>
        <v>0</v>
      </c>
      <c r="I1072" s="403">
        <f>IF(I$5 = Assumptions!$O$45, Assumptions!$AX18, 0)</f>
        <v>0</v>
      </c>
      <c r="J1072" s="403">
        <f>IF(J$5 = Assumptions!$O$45, Assumptions!$AX18, 0)</f>
        <v>0</v>
      </c>
      <c r="K1072" s="403">
        <f>IF(K$5 = Assumptions!$O$45, Assumptions!$AX18, 0)</f>
        <v>0</v>
      </c>
      <c r="L1072" s="403">
        <f>IF(L$5 = Assumptions!$O$45, Assumptions!$AX18, 0)</f>
        <v>0</v>
      </c>
    </row>
    <row r="1073" spans="1:12">
      <c r="A1073" s="408" t="s">
        <v>43</v>
      </c>
      <c r="B1073" s="405"/>
      <c r="C1073" s="403">
        <f>IF(C$5 = Assumptions!$O$45, Assumptions!$AX19, 0)</f>
        <v>0</v>
      </c>
      <c r="D1073" s="403">
        <f>IF(D$5 = Assumptions!$O$45, Assumptions!$AX19, 0)</f>
        <v>0</v>
      </c>
      <c r="E1073" s="403">
        <f>IF(E$5 = Assumptions!$O$45, Assumptions!$AX19, 0)</f>
        <v>0</v>
      </c>
      <c r="F1073" s="403">
        <f>IF(F$5 = Assumptions!$O$45, Assumptions!$AX19, 0)</f>
        <v>1000</v>
      </c>
      <c r="G1073" s="403">
        <f>IF(G$5 = Assumptions!$O$45, Assumptions!$AX19, 0)</f>
        <v>0</v>
      </c>
      <c r="H1073" s="403">
        <f>IF(H$5 = Assumptions!$O$45, Assumptions!$AX19, 0)</f>
        <v>0</v>
      </c>
      <c r="I1073" s="403">
        <f>IF(I$5 = Assumptions!$O$45, Assumptions!$AX19, 0)</f>
        <v>0</v>
      </c>
      <c r="J1073" s="403">
        <f>IF(J$5 = Assumptions!$O$45, Assumptions!$AX19, 0)</f>
        <v>0</v>
      </c>
      <c r="K1073" s="403">
        <f>IF(K$5 = Assumptions!$O$45, Assumptions!$AX19, 0)</f>
        <v>0</v>
      </c>
      <c r="L1073" s="403">
        <f>IF(L$5 = Assumptions!$O$45, Assumptions!$AX19, 0)</f>
        <v>0</v>
      </c>
    </row>
    <row r="1074" spans="1:12">
      <c r="A1074" s="408" t="s">
        <v>45</v>
      </c>
      <c r="B1074" s="405"/>
      <c r="C1074" s="403">
        <f>IF(C$5 = Assumptions!$O$45, Assumptions!$AX20, 0)</f>
        <v>0</v>
      </c>
      <c r="D1074" s="403">
        <f>IF(D$5 = Assumptions!$O$45, Assumptions!$AX20, 0)</f>
        <v>0</v>
      </c>
      <c r="E1074" s="403">
        <f>IF(E$5 = Assumptions!$O$45, Assumptions!$AX20, 0)</f>
        <v>0</v>
      </c>
      <c r="F1074" s="403">
        <f>IF(F$5 = Assumptions!$O$45, Assumptions!$AX20, 0)</f>
        <v>3000</v>
      </c>
      <c r="G1074" s="403">
        <f>IF(G$5 = Assumptions!$O$45, Assumptions!$AX20, 0)</f>
        <v>0</v>
      </c>
      <c r="H1074" s="403">
        <f>IF(H$5 = Assumptions!$O$45, Assumptions!$AX20, 0)</f>
        <v>0</v>
      </c>
      <c r="I1074" s="403">
        <f>IF(I$5 = Assumptions!$O$45, Assumptions!$AX20, 0)</f>
        <v>0</v>
      </c>
      <c r="J1074" s="403">
        <f>IF(J$5 = Assumptions!$O$45, Assumptions!$AX20, 0)</f>
        <v>0</v>
      </c>
      <c r="K1074" s="403">
        <f>IF(K$5 = Assumptions!$O$45, Assumptions!$AX20, 0)</f>
        <v>0</v>
      </c>
      <c r="L1074" s="403">
        <f>IF(L$5 = Assumptions!$O$45, Assumptions!$AX20, 0)</f>
        <v>0</v>
      </c>
    </row>
    <row r="1075" spans="1:12">
      <c r="A1075" s="408" t="s">
        <v>35</v>
      </c>
      <c r="B1075" s="405"/>
      <c r="C1075" s="403">
        <f>IF(C$5 = Assumptions!$O$45, Assumptions!$AX21, 0)</f>
        <v>0</v>
      </c>
      <c r="D1075" s="403">
        <f>IF(D$5 = Assumptions!$O$45, Assumptions!$AX21, 0)</f>
        <v>0</v>
      </c>
      <c r="E1075" s="403">
        <f>IF(E$5 = Assumptions!$O$45, Assumptions!$AX21, 0)</f>
        <v>0</v>
      </c>
      <c r="F1075" s="403">
        <f>IF(F$5 = Assumptions!$O$45, Assumptions!$AX21, 0)</f>
        <v>5000</v>
      </c>
      <c r="G1075" s="403">
        <f>IF(G$5 = Assumptions!$O$45, Assumptions!$AX21, 0)</f>
        <v>0</v>
      </c>
      <c r="H1075" s="403">
        <f>IF(H$5 = Assumptions!$O$45, Assumptions!$AX21, 0)</f>
        <v>0</v>
      </c>
      <c r="I1075" s="403">
        <f>IF(I$5 = Assumptions!$O$45, Assumptions!$AX21, 0)</f>
        <v>0</v>
      </c>
      <c r="J1075" s="403">
        <f>IF(J$5 = Assumptions!$O$45, Assumptions!$AX21, 0)</f>
        <v>0</v>
      </c>
      <c r="K1075" s="403">
        <f>IF(K$5 = Assumptions!$O$45, Assumptions!$AX21, 0)</f>
        <v>0</v>
      </c>
      <c r="L1075" s="403">
        <f>IF(L$5 = Assumptions!$O$45, Assumptions!$AX21, 0)</f>
        <v>0</v>
      </c>
    </row>
    <row r="1076" spans="1:12">
      <c r="A1076" s="408"/>
      <c r="B1076" s="405"/>
      <c r="C1076" s="403"/>
      <c r="D1076" s="403"/>
      <c r="E1076" s="403"/>
      <c r="F1076" s="403"/>
      <c r="G1076" s="403"/>
      <c r="H1076" s="403"/>
      <c r="I1076" s="403"/>
      <c r="J1076" s="403"/>
      <c r="K1076" s="403"/>
      <c r="L1076" s="403"/>
    </row>
    <row r="1077" spans="1:12" ht="15.5">
      <c r="A1077" s="409" t="s">
        <v>155</v>
      </c>
      <c r="B1077" s="405"/>
      <c r="C1077" s="403">
        <f t="shared" ref="C1077:L1077" si="435">SUM(C1069:C1075)</f>
        <v>0</v>
      </c>
      <c r="D1077" s="403">
        <f t="shared" si="435"/>
        <v>0</v>
      </c>
      <c r="E1077" s="403">
        <f t="shared" si="435"/>
        <v>0</v>
      </c>
      <c r="F1077" s="403">
        <f t="shared" si="435"/>
        <v>35000</v>
      </c>
      <c r="G1077" s="403">
        <f t="shared" si="435"/>
        <v>0</v>
      </c>
      <c r="H1077" s="403">
        <f t="shared" si="435"/>
        <v>0</v>
      </c>
      <c r="I1077" s="403">
        <f t="shared" si="435"/>
        <v>0</v>
      </c>
      <c r="J1077" s="403">
        <f t="shared" si="435"/>
        <v>0</v>
      </c>
      <c r="K1077" s="403">
        <f t="shared" si="435"/>
        <v>0</v>
      </c>
      <c r="L1077" s="403">
        <f t="shared" si="435"/>
        <v>0</v>
      </c>
    </row>
    <row r="1078" spans="1:12">
      <c r="A1078" s="408"/>
      <c r="B1078" s="405"/>
      <c r="C1078" s="403"/>
      <c r="D1078" s="403"/>
      <c r="E1078" s="403"/>
      <c r="F1078" s="403"/>
      <c r="G1078" s="403"/>
      <c r="H1078" s="403"/>
      <c r="I1078" s="403"/>
      <c r="J1078" s="403"/>
      <c r="K1078" s="403"/>
      <c r="L1078" s="403"/>
    </row>
    <row r="1079" spans="1:12" ht="15.5">
      <c r="A1079" s="409" t="s">
        <v>13</v>
      </c>
      <c r="B1079" s="405"/>
      <c r="C1079" s="403"/>
      <c r="D1079" s="403"/>
      <c r="E1079" s="403"/>
      <c r="F1079" s="403"/>
      <c r="G1079" s="403"/>
      <c r="H1079" s="403"/>
      <c r="I1079" s="403"/>
      <c r="J1079" s="403"/>
      <c r="K1079" s="403"/>
      <c r="L1079" s="403"/>
    </row>
    <row r="1080" spans="1:12">
      <c r="A1080" s="408"/>
      <c r="B1080" s="405"/>
      <c r="C1080" s="403"/>
      <c r="D1080" s="403"/>
      <c r="E1080" s="403"/>
      <c r="F1080" s="403"/>
      <c r="G1080" s="403"/>
      <c r="H1080" s="403"/>
      <c r="I1080" s="403"/>
      <c r="J1080" s="403"/>
      <c r="K1080" s="403"/>
      <c r="L1080" s="403"/>
    </row>
    <row r="1081" spans="1:12">
      <c r="A1081" s="408" t="s">
        <v>14</v>
      </c>
      <c r="B1081" s="405"/>
      <c r="C1081" s="403">
        <f>IF(C$5 &gt;= Assumptions!$O$45, Assumptions!AL15, 0)</f>
        <v>0</v>
      </c>
      <c r="D1081" s="403">
        <f>IF(D$5&gt;Assumptions!$O$45,C1081*(1+Revenue!AC123),IF(D$5=Assumptions!$O$45, Assumptions!$AL15, 0))</f>
        <v>0</v>
      </c>
      <c r="E1081" s="403">
        <f>IF(E$5&gt;Assumptions!$O$45,D1081*(1+Revenue!AD123),IF(E$5=Assumptions!$O$45, Assumptions!$AL15, 0))</f>
        <v>0</v>
      </c>
      <c r="F1081" s="403">
        <f>IF(F$5&gt;Assumptions!$O$45,E1081*(1+Revenue!AE123),IF(F$5=Assumptions!$O$45, Assumptions!$AL15, 0))</f>
        <v>0</v>
      </c>
      <c r="G1081" s="403">
        <f>IF(G$5&gt;Assumptions!$O$45,F1081*(1+Revenue!AF123),IF(G$5=Assumptions!$O$45, Assumptions!$AL15, 0))</f>
        <v>0</v>
      </c>
      <c r="H1081" s="403">
        <f>IF(H$5&gt;Assumptions!$O$45,G1081*(1+Revenue!AG123),IF(H$5=Assumptions!$O$45, Assumptions!$AL15, 0))</f>
        <v>0</v>
      </c>
      <c r="I1081" s="403">
        <f>IF(I$5&gt;Assumptions!$O$45,H1081*(1+Revenue!AH123),IF(I$5=Assumptions!$O$45, Assumptions!$AL15, 0))</f>
        <v>0</v>
      </c>
      <c r="J1081" s="403">
        <f>IF(J$5&gt;Assumptions!$O$45,I1081*(1+Revenue!AI123),IF(J$5=Assumptions!$O$45, Assumptions!$AL15, 0))</f>
        <v>0</v>
      </c>
      <c r="K1081" s="403">
        <f>IF(K$5&gt;Assumptions!$O$45,J1081*(1+Revenue!AJ123),IF(K$5=Assumptions!$O$45, Assumptions!$AL15, 0))</f>
        <v>0</v>
      </c>
      <c r="L1081" s="403">
        <f>IF(L$5&gt;Assumptions!$O$45,K1081*(1+Revenue!AK123),IF(L$5=Assumptions!$O$45, Assumptions!$AL15, 0))</f>
        <v>0</v>
      </c>
    </row>
    <row r="1082" spans="1:12">
      <c r="A1082" s="408" t="s">
        <v>15</v>
      </c>
      <c r="B1082" s="405"/>
      <c r="C1082" s="403">
        <f>IF(C$5 &gt;= Assumptions!$O$45, Assumptions!AL16, 0)</f>
        <v>0</v>
      </c>
      <c r="D1082" s="403">
        <f>IF(D$5&gt;Assumptions!$O$45,C1082*(1+Revenue!AC123),IF(D$5=Assumptions!$O$45, Assumptions!$AL16, 0))</f>
        <v>0</v>
      </c>
      <c r="E1082" s="403">
        <f>IF(E$5&gt;Assumptions!$O$45,D1082*(1+Revenue!AD123),IF(E$5=Assumptions!$O$45, Assumptions!$AL16, 0))</f>
        <v>0</v>
      </c>
      <c r="F1082" s="403">
        <f>IF(F$5&gt;Assumptions!$O$45,E1082*(1+Revenue!AE123),IF(F$5=Assumptions!$O$45, Assumptions!$AL16, 0))</f>
        <v>0</v>
      </c>
      <c r="G1082" s="403">
        <f>IF(G$5&gt;Assumptions!$O$45,F1082*(1+Revenue!AF123),IF(G$5=Assumptions!$O$45, Assumptions!$AL16, 0))</f>
        <v>0</v>
      </c>
      <c r="H1082" s="403">
        <f>IF(H$5&gt;Assumptions!$O$45,G1082*(1+Revenue!AG123),IF(H$5=Assumptions!$O$45, Assumptions!$AL16, 0))</f>
        <v>0</v>
      </c>
      <c r="I1082" s="403">
        <f>IF(I$5&gt;Assumptions!$O$45,H1082*(1+Revenue!AH123),IF(I$5=Assumptions!$O$45, Assumptions!$AL16, 0))</f>
        <v>0</v>
      </c>
      <c r="J1082" s="403">
        <f>IF(J$5&gt;Assumptions!$O$45,I1082*(1+Revenue!AI123),IF(J$5=Assumptions!$O$45, Assumptions!$AL16, 0))</f>
        <v>0</v>
      </c>
      <c r="K1082" s="403">
        <f>IF(K$5&gt;Assumptions!$O$45,J1082*(1+Revenue!AJ123),IF(K$5=Assumptions!$O$45, Assumptions!$AL16, 0))</f>
        <v>0</v>
      </c>
      <c r="L1082" s="403">
        <f>IF(L$5&gt;Assumptions!$O$45,K1082*(1+Revenue!AK123),IF(L$5=Assumptions!$O$45, Assumptions!$AL16, 0))</f>
        <v>0</v>
      </c>
    </row>
    <row r="1083" spans="1:12">
      <c r="A1083" s="408" t="s">
        <v>17</v>
      </c>
      <c r="B1083" s="405"/>
      <c r="C1083" s="403">
        <f>IF(C$5 &gt;= Assumptions!$O$45, Assumptions!AL17, 0)</f>
        <v>0</v>
      </c>
      <c r="D1083" s="403">
        <f>IF(D$5&gt;Assumptions!$O$45,C1083*(1+Revenue!AC123),IF(D$5=Assumptions!$O$45, Assumptions!$AL17, 0))</f>
        <v>0</v>
      </c>
      <c r="E1083" s="403">
        <f>IF(E$5&gt;Assumptions!$O$45,D1083*(1+Revenue!AD123),IF(E$5=Assumptions!$O$45, Assumptions!$AL17, 0))</f>
        <v>0</v>
      </c>
      <c r="F1083" s="403">
        <f>IF(F$5&gt;Assumptions!$O$45,E1083*(1+Revenue!AE123),IF(F$5=Assumptions!$O$45, Assumptions!$AL17, 0))</f>
        <v>0</v>
      </c>
      <c r="G1083" s="403">
        <f>IF(G$5&gt;Assumptions!$O$45,F1083*(1+Revenue!AF123),IF(G$5=Assumptions!$O$45, Assumptions!$AL17, 0))</f>
        <v>0</v>
      </c>
      <c r="H1083" s="403">
        <f>IF(H$5&gt;Assumptions!$O$45,G1083*(1+Revenue!AG123),IF(H$5=Assumptions!$O$45, Assumptions!$AL17, 0))</f>
        <v>0</v>
      </c>
      <c r="I1083" s="403">
        <f>IF(I$5&gt;Assumptions!$O$45,H1083*(1+Revenue!AH123),IF(I$5=Assumptions!$O$45, Assumptions!$AL17, 0))</f>
        <v>0</v>
      </c>
      <c r="J1083" s="403">
        <f>IF(J$5&gt;Assumptions!$O$45,I1083*(1+Revenue!AI123),IF(J$5=Assumptions!$O$45, Assumptions!$AL17, 0))</f>
        <v>0</v>
      </c>
      <c r="K1083" s="403">
        <f>IF(K$5&gt;Assumptions!$O$45,J1083*(1+Revenue!AJ123),IF(K$5=Assumptions!$O$45, Assumptions!$AL17, 0))</f>
        <v>0</v>
      </c>
      <c r="L1083" s="403">
        <f>IF(L$5&gt;Assumptions!$O$45,K1083*(1+Revenue!AK123),IF(L$5=Assumptions!$O$45, Assumptions!$AL17, 0))</f>
        <v>0</v>
      </c>
    </row>
    <row r="1084" spans="1:12">
      <c r="A1084" s="408" t="s">
        <v>19</v>
      </c>
      <c r="B1084" s="405"/>
      <c r="C1084" s="403">
        <f>IF(C$5 &gt;= Assumptions!$O$45, Assumptions!$AL$18 * (Revenue!AQ128+Revenue!AQ129+Revenue!AQ130+Revenue!AQ131), 0)</f>
        <v>0</v>
      </c>
      <c r="D1084" s="403">
        <f>IF(D$5&gt;Assumptions!$O$45, Assumptions!$AL$18*(Revenue!AR128+Revenue!AR129+Revenue!AR130+Revenue!AR131)*(1+Revenue!AC123), IF(D$5=Assumptions!$O$45, Assumptions!$AL$18 * (Revenue!AR128+Revenue!AR129+Revenue!AR130+Revenue!AR131), 0))</f>
        <v>0</v>
      </c>
      <c r="E1084" s="403">
        <f>IF(E$5&gt;Assumptions!$O$45, Assumptions!$AL$18*(Revenue!AS128+Revenue!AS129+Revenue!AS130+Revenue!AS131)*(1+Revenue!AD123), IF(E$5=Assumptions!$O$45, Assumptions!$AL$18 * (Revenue!AS128+Revenue!AS129+Revenue!AS130+Revenue!AS131), 0))</f>
        <v>0</v>
      </c>
      <c r="F1084" s="403">
        <f>IF(F$5&gt;Assumptions!$O$45, Assumptions!$AL$18*(Revenue!AT128+Revenue!AT129+Revenue!AT130+Revenue!AT131)*(1+Revenue!AE123), IF(F$5=Assumptions!$O$45, Assumptions!$AL$18 * (Revenue!AT128+Revenue!AT129+Revenue!AT130+Revenue!AT131), 0))</f>
        <v>171450</v>
      </c>
      <c r="G1084" s="403">
        <f ca="1">IF(G$5&gt;Assumptions!$O$45, Assumptions!$AL$18*(Revenue!AU128+Revenue!AU129+Revenue!AU130+Revenue!AU131)*(1+Revenue!AF123), IF(G$5=Assumptions!$O$45, Assumptions!$AL$18 * (Revenue!AU128+Revenue!AU129+Revenue!AU130+Revenue!AU131), 0))</f>
        <v>214734.76644691126</v>
      </c>
      <c r="H1084" s="403">
        <f ca="1">IF(H$5&gt;Assumptions!$O$45, Assumptions!$AL$18*(Revenue!AV128+Revenue!AV129+Revenue!AV130+Revenue!AV131)*(1+Revenue!AG123), IF(H$5=Assumptions!$O$45, Assumptions!$AL$18 * (Revenue!AV128+Revenue!AV129+Revenue!AV130+Revenue!AV131), 0))</f>
        <v>228121.08870549052</v>
      </c>
      <c r="I1084" s="403">
        <f ca="1">IF(I$5&gt;Assumptions!$O$45, Assumptions!$AL$18*(Revenue!AW128+Revenue!AW129+Revenue!AW130+Revenue!AW131)*(1+Revenue!AH123), IF(I$5=Assumptions!$O$45, Assumptions!$AL$18 * (Revenue!AW128+Revenue!AW129+Revenue!AW130+Revenue!AW131), 0))</f>
        <v>243248.14681546125</v>
      </c>
      <c r="J1084" s="403">
        <f ca="1">IF(J$5&gt;Assumptions!$O$45, Assumptions!$AL$18*(Revenue!AX128+Revenue!AX129+Revenue!AX130+Revenue!AX131)*(1+Revenue!AI123), IF(J$5=Assumptions!$O$45, Assumptions!$AL$18 * (Revenue!AX128+Revenue!AX129+Revenue!AX130+Revenue!AX131), 0))</f>
        <v>260331.92569286996</v>
      </c>
      <c r="K1084" s="403">
        <f ca="1">IF(K$5&gt;Assumptions!$O$45, Assumptions!$AL$18*(Revenue!AY128+Revenue!AY129+Revenue!AY130+Revenue!AY131)*(1+Revenue!AJ123), IF(K$5=Assumptions!$O$45, Assumptions!$AL$18 * (Revenue!AY128+Revenue!AY129+Revenue!AY130+Revenue!AY131), 0))</f>
        <v>279785.59175396472</v>
      </c>
      <c r="L1084" s="403">
        <f ca="1">IF(L$5&gt;Assumptions!$O$45, Assumptions!$AL$18*(Revenue!AZ128+Revenue!AZ129+Revenue!AZ130+Revenue!AZ131)*(1+Revenue!AK123), IF(L$5=Assumptions!$O$45, Assumptions!$AL$18 * (Revenue!AZ128+Revenue!AZ129+Revenue!AZ130+Revenue!AZ131), 0))</f>
        <v>301830.14221162733</v>
      </c>
    </row>
    <row r="1085" spans="1:12">
      <c r="A1085" s="408" t="s">
        <v>20</v>
      </c>
      <c r="B1085" s="405"/>
      <c r="C1085" s="403">
        <f>IF(C$5 &gt;= Assumptions!$O$45, Assumptions!$AL$19*C1050, 0)</f>
        <v>0</v>
      </c>
      <c r="D1085" s="403">
        <f>IF(D$5 &gt; Assumptions!$O$45, Assumptions!$AL$19*D1050*(1 + Revenue!AC123), IF(D$5 = Assumptions!$O$45, Assumptions!$AL$19*D1050, 0))</f>
        <v>0</v>
      </c>
      <c r="E1085" s="403">
        <f>IF(E$5 &gt; Assumptions!$O$45, Assumptions!$AL$19*E1050*(1 + Revenue!AD123), IF(E$5 = Assumptions!$O$45, Assumptions!$AL$19*E1050, 0))</f>
        <v>0</v>
      </c>
      <c r="F1085" s="403">
        <f>IF(F$5 &gt; Assumptions!$O$45, Assumptions!$AL$19*F1050*(1 + Revenue!AE123), IF(F$5 = Assumptions!$O$45, Assumptions!$AL$19*F1050, 0))</f>
        <v>5425200</v>
      </c>
      <c r="G1085" s="403">
        <f ca="1">IF(G$5 &gt; Assumptions!$O$45, Assumptions!$AL$19*G1050*(1 + Revenue!AF123), IF(G$5 = Assumptions!$O$45, Assumptions!$AL$19*G1050, 0))</f>
        <v>7506932.9649479166</v>
      </c>
      <c r="H1085" s="403">
        <f ca="1">IF(H$5 &gt; Assumptions!$O$45, Assumptions!$AL$19*H1050*(1 + Revenue!AG123), IF(H$5 = Assumptions!$O$45, Assumptions!$AL$19*H1050, 0))</f>
        <v>8859123.5623946413</v>
      </c>
      <c r="I1085" s="403">
        <f ca="1">IF(I$5 &gt; Assumptions!$O$45, Assumptions!$AL$19*I1050*(1 + Revenue!AH123), IF(I$5 = Assumptions!$O$45, Assumptions!$AL$19*I1050, 0))</f>
        <v>9630862.4072163422</v>
      </c>
      <c r="J1085" s="403">
        <f ca="1">IF(J$5 &gt; Assumptions!$O$45, Assumptions!$AL$19*J1050*(1 + Revenue!AI123), IF(J$5 = Assumptions!$O$45, Assumptions!$AL$19*J1050, 0))</f>
        <v>10499328.844862469</v>
      </c>
      <c r="K1085" s="403">
        <f ca="1">IF(K$5 &gt; Assumptions!$O$45, Assumptions!$AL$19*K1050*(1 + Revenue!AJ123), IF(K$5 = Assumptions!$O$45, Assumptions!$AL$19*K1050, 0))</f>
        <v>11484918.776627148</v>
      </c>
      <c r="L1085" s="403">
        <f ca="1">IF(L$5 &gt; Assumptions!$O$45, Assumptions!$AL$19*L1050*(1 + Revenue!AK123), IF(L$5 = Assumptions!$O$45, Assumptions!$AL$19*L1050, 0))</f>
        <v>12605233.549738374</v>
      </c>
    </row>
    <row r="1086" spans="1:12">
      <c r="A1086" s="408" t="s">
        <v>22</v>
      </c>
      <c r="B1086" s="405"/>
      <c r="C1086" s="403">
        <f>IF(C$5 &gt;= Assumptions!$O$45, Assumptions!$AL20, 0)</f>
        <v>0</v>
      </c>
      <c r="D1086" s="403">
        <f>IF(D$5 &gt; Assumptions!$O$45, C1086*(1+Revenue!AC123), IF(D$5 = Assumptions!$O$45, Assumptions!$AL20, 0))</f>
        <v>0</v>
      </c>
      <c r="E1086" s="403">
        <f>IF(E$5 &gt; Assumptions!$O$45, D1086*(1+Revenue!AD123), IF(E$5 = Assumptions!$O$45, Assumptions!$AL20, 0))</f>
        <v>0</v>
      </c>
      <c r="F1086" s="403">
        <f>IF(F$5 &gt; Assumptions!$O$45, E1086*(1+Revenue!AE123), IF(F$5 = Assumptions!$O$45, Assumptions!$AL20, 0))</f>
        <v>0</v>
      </c>
      <c r="G1086" s="403">
        <f>IF(G$5 &gt; Assumptions!$O$45, F1086*(1+Revenue!AF123), IF(G$5 = Assumptions!$O$45, Assumptions!$AL20, 0))</f>
        <v>0</v>
      </c>
      <c r="H1086" s="403">
        <f>IF(H$5 &gt; Assumptions!$O$45, G1086*(1+Revenue!AG123), IF(H$5 = Assumptions!$O$45, Assumptions!$AL20, 0))</f>
        <v>0</v>
      </c>
      <c r="I1086" s="403">
        <f>IF(I$5 &gt; Assumptions!$O$45, H1086*(1+Revenue!AH123), IF(I$5 = Assumptions!$O$45, Assumptions!$AL20, 0))</f>
        <v>0</v>
      </c>
      <c r="J1086" s="403">
        <f>IF(J$5 &gt; Assumptions!$O$45, I1086*(1+Revenue!AI123), IF(J$5 = Assumptions!$O$45, Assumptions!$AL20, 0))</f>
        <v>0</v>
      </c>
      <c r="K1086" s="403">
        <f>IF(K$5 &gt; Assumptions!$O$45, J1086*(1+Revenue!AJ123), IF(K$5 = Assumptions!$O$45, Assumptions!$AL20, 0))</f>
        <v>0</v>
      </c>
      <c r="L1086" s="403">
        <f>IF(L$5 &gt; Assumptions!$O$45, K1086*(1+Revenue!AK123), IF(L$5 = Assumptions!$O$45, Assumptions!$AL20, 0))</f>
        <v>0</v>
      </c>
    </row>
    <row r="1087" spans="1:12">
      <c r="A1087" s="408" t="s">
        <v>25</v>
      </c>
      <c r="B1087" s="405"/>
      <c r="C1087" s="403">
        <f>IF(C$5 &gt;= Assumptions!$O$45, Assumptions!$AL21, 0)</f>
        <v>0</v>
      </c>
      <c r="D1087" s="403">
        <f>IF(D$5 &gt; Assumptions!$O$45, Income!C1087*(1+Revenue!AC123), IF(D$5 = Assumptions!$O$45, Assumptions!$AL21, 0))</f>
        <v>0</v>
      </c>
      <c r="E1087" s="403">
        <f>IF(E$5 &gt; Assumptions!$O$45, Income!D1087*(1+Revenue!AD123), IF(E$5 = Assumptions!$O$45, Assumptions!$AL21, 0))</f>
        <v>0</v>
      </c>
      <c r="F1087" s="403">
        <f>IF(F$5 &gt; Assumptions!$O$45, Income!E1087*(1+Revenue!AE123), IF(F$5 = Assumptions!$O$45, Assumptions!$AL21, 0))</f>
        <v>1000</v>
      </c>
      <c r="G1087" s="403">
        <f>IF(G$5 &gt; Assumptions!$O$45, Income!F1087*(1+Revenue!AF123), IF(G$5 = Assumptions!$O$45, Assumptions!$AL21, 0))</f>
        <v>1020.9999999999999</v>
      </c>
      <c r="H1087" s="403">
        <f>IF(H$5 &gt; Assumptions!$O$45, Income!G1087*(1+Revenue!AG123), IF(H$5 = Assumptions!$O$45, Assumptions!$AL21, 0))</f>
        <v>1042.4409999999998</v>
      </c>
      <c r="I1087" s="403">
        <f>IF(I$5 &gt; Assumptions!$O$45, Income!H1087*(1+Revenue!AH123), IF(I$5 = Assumptions!$O$45, Assumptions!$AL21, 0))</f>
        <v>1064.3322609999998</v>
      </c>
      <c r="J1087" s="403">
        <f>IF(J$5 &gt; Assumptions!$O$45, Income!I1087*(1+Revenue!AI123), IF(J$5 = Assumptions!$O$45, Assumptions!$AL21, 0))</f>
        <v>1086.6832384809998</v>
      </c>
      <c r="K1087" s="403">
        <f>IF(K$5 &gt; Assumptions!$O$45, Income!J1087*(1+Revenue!AJ123), IF(K$5 = Assumptions!$O$45, Assumptions!$AL21, 0))</f>
        <v>1109.5035864891006</v>
      </c>
      <c r="L1087" s="403">
        <f>IF(L$5 &gt; Assumptions!$O$45, Income!K1087*(1+Revenue!AK123), IF(L$5 = Assumptions!$O$45, Assumptions!$AL21, 0))</f>
        <v>1132.8031618053717</v>
      </c>
    </row>
    <row r="1088" spans="1:12">
      <c r="A1088" s="408" t="s">
        <v>27</v>
      </c>
      <c r="B1088" s="405"/>
      <c r="C1088" s="403">
        <f>IF(C$5 &gt;= Assumptions!$O$45, Assumptions!AL22, 0)</f>
        <v>0</v>
      </c>
      <c r="D1088" s="403">
        <f>IF(D$5 &gt; Assumptions!$O$45, Income!C1088*(1+Revenue!AC123), IF(D$5 = Assumptions!$O$45, Assumptions!$AL22, 0))</f>
        <v>0</v>
      </c>
      <c r="E1088" s="403">
        <f>IF(E$5 &gt; Assumptions!$O$45, Income!D1088*(1+Revenue!AD123), IF(E$5 = Assumptions!$O$45, Assumptions!$AL22, 0))</f>
        <v>0</v>
      </c>
      <c r="F1088" s="403">
        <f>IF(F$5 &gt; Assumptions!$O$45, Income!E1088*(1+Revenue!AE123), IF(F$5 = Assumptions!$O$45, Assumptions!$AL22, 0))</f>
        <v>1000</v>
      </c>
      <c r="G1088" s="403">
        <f>IF(G$5 &gt; Assumptions!$O$45, Income!F1088*(1+Revenue!AF123), IF(G$5 = Assumptions!$O$45, Assumptions!$AL22, 0))</f>
        <v>1020.9999999999999</v>
      </c>
      <c r="H1088" s="403">
        <f>IF(H$5 &gt; Assumptions!$O$45, Income!G1088*(1+Revenue!AG123), IF(H$5 = Assumptions!$O$45, Assumptions!$AL22, 0))</f>
        <v>1042.4409999999998</v>
      </c>
      <c r="I1088" s="403">
        <f>IF(I$5 &gt; Assumptions!$O$45, Income!H1088*(1+Revenue!AH123), IF(I$5 = Assumptions!$O$45, Assumptions!$AL22, 0))</f>
        <v>1064.3322609999998</v>
      </c>
      <c r="J1088" s="403">
        <f>IF(J$5 &gt; Assumptions!$O$45, Income!I1088*(1+Revenue!AI123), IF(J$5 = Assumptions!$O$45, Assumptions!$AL22, 0))</f>
        <v>1086.6832384809998</v>
      </c>
      <c r="K1088" s="403">
        <f>IF(K$5 &gt; Assumptions!$O$45, Income!J1088*(1+Revenue!AJ123), IF(K$5 = Assumptions!$O$45, Assumptions!$AL22, 0))</f>
        <v>1109.5035864891006</v>
      </c>
      <c r="L1088" s="403">
        <f>IF(L$5 &gt; Assumptions!$O$45, Income!K1088*(1+Revenue!AK123), IF(L$5 = Assumptions!$O$45, Assumptions!$AL22, 0))</f>
        <v>1132.8031618053717</v>
      </c>
    </row>
    <row r="1089" spans="1:12">
      <c r="A1089" s="408" t="s">
        <v>278</v>
      </c>
      <c r="B1089" s="405"/>
      <c r="C1089" s="403">
        <f>IF(C$5 &gt;= Assumptions!$O$45, Assumptions!$AL$23 + (Revenue!AQ130+Revenue!AQ131+Revenue!AQ132)*Assumptions!$AL$24, 0)</f>
        <v>0</v>
      </c>
      <c r="D1089" s="403">
        <f>IF(D$5&gt;Assumptions!$O$45,(Assumptions!$AL$23+(Revenue!AR130+Revenue!AR131+Revenue!AR132)*Assumptions!$AL$24)*(1+Revenue!AC123),IF(D$5=Assumptions!$O$45,Assumptions!$AL$23+(Revenue!AR130+Revenue!AR131+Revenue!AR132)*Assumptions!$AL$24,0))</f>
        <v>0</v>
      </c>
      <c r="E1089" s="403">
        <f>IF(E$5&gt;Assumptions!$O$45,(Assumptions!$AL$23+(Revenue!AS130+Revenue!AS131+Revenue!AS132)*Assumptions!$AL$24)*(1+Revenue!AD123),IF(E$5=Assumptions!$O$45,Assumptions!$AL$23+(Revenue!AS130+Revenue!AS131+Revenue!AS132)*Assumptions!$AL$24,0))</f>
        <v>0</v>
      </c>
      <c r="F1089" s="403">
        <f>IF(F$5&gt;Assumptions!$O$45,(Assumptions!$AL$23+(Revenue!AT130+Revenue!AT131+Revenue!AT132)*Assumptions!$AL$24)*(1+Revenue!AE123),IF(F$5=Assumptions!$O$45,Assumptions!$AL$23+(Revenue!AT130+Revenue!AT131+Revenue!AT132)*Assumptions!$AL$24,0))</f>
        <v>12350</v>
      </c>
      <c r="G1089" s="403">
        <f ca="1">IF(G$5&gt;Assumptions!$O$45,(Assumptions!$AL$23+(Revenue!AU130+Revenue!AU131+Revenue!AU132)*Assumptions!$AL$24)*(1+Revenue!AF123),IF(G$5=Assumptions!$O$45,Assumptions!$AL$23+(Revenue!AU130+Revenue!AU131+Revenue!AU132)*Assumptions!$AL$24,0))</f>
        <v>16044.797560421164</v>
      </c>
      <c r="H1089" s="403">
        <f ca="1">IF(H$5&gt;Assumptions!$O$45,(Assumptions!$AL$23+(Revenue!AV130+Revenue!AV131+Revenue!AV132)*Assumptions!$AL$24)*(1+Revenue!AG123),IF(H$5=Assumptions!$O$45,Assumptions!$AL$23+(Revenue!AV130+Revenue!AV131+Revenue!AV132)*Assumptions!$AL$24,0))</f>
        <v>18058.520659101814</v>
      </c>
      <c r="I1089" s="403">
        <f ca="1">IF(I$5&gt;Assumptions!$O$45,(Assumptions!$AL$23+(Revenue!AW130+Revenue!AW131+Revenue!AW132)*Assumptions!$AL$24)*(1+Revenue!AH123),IF(I$5=Assumptions!$O$45,Assumptions!$AL$23+(Revenue!AW130+Revenue!AW131+Revenue!AW132)*Assumptions!$AL$24,0))</f>
        <v>18599.135811872755</v>
      </c>
      <c r="J1089" s="403">
        <f ca="1">IF(J$5&gt;Assumptions!$O$45,(Assumptions!$AL$23+(Revenue!AX130+Revenue!AX131+Revenue!AX132)*Assumptions!$AL$24)*(1+Revenue!AI123),IF(J$5=Assumptions!$O$45,Assumptions!$AL$23+(Revenue!AX130+Revenue!AX131+Revenue!AX132)*Assumptions!$AL$24,0))</f>
        <v>19201.976563030305</v>
      </c>
      <c r="K1089" s="403">
        <f ca="1">IF(K$5&gt;Assumptions!$O$45,(Assumptions!$AL$23+(Revenue!AY130+Revenue!AY131+Revenue!AY132)*Assumptions!$AL$24)*(1+Revenue!AJ123),IF(K$5=Assumptions!$O$45,Assumptions!$AL$23+(Revenue!AY130+Revenue!AY131+Revenue!AY132)*Assumptions!$AL$24,0))</f>
        <v>19883.951488646391</v>
      </c>
      <c r="L1089" s="403">
        <f ca="1">IF(L$5&gt;Assumptions!$O$45,(Assumptions!$AL$23+(Revenue!AZ130+Revenue!AZ131+Revenue!AZ132)*Assumptions!$AL$24)*(1+Revenue!AK123),IF(L$5=Assumptions!$O$45,Assumptions!$AL$23+(Revenue!AZ130+Revenue!AZ131+Revenue!AZ132)*Assumptions!$AL$24,0))</f>
        <v>20654.284875119651</v>
      </c>
    </row>
    <row r="1090" spans="1:12">
      <c r="A1090" s="408" t="s">
        <v>29</v>
      </c>
      <c r="B1090" s="405"/>
      <c r="C1090" s="403">
        <f>IF(C$5 &gt;= Assumptions!$N$45, Assumptions!AL25, 0)</f>
        <v>0</v>
      </c>
      <c r="D1090" s="403">
        <f>IF(D$5&gt;Assumptions!$O$45,C1090*(1+Revenue!AC123)*(1+Assumptions!$O$10),IF(D$5=Assumptions!$O$45,Assumptions!$AL25,0))</f>
        <v>0</v>
      </c>
      <c r="E1090" s="403">
        <f>IF(E$5&gt;Assumptions!$O$45,D1090*(1+Revenue!AD123)*(1+Assumptions!$O$10),IF(E$5=Assumptions!$O$45,Assumptions!$AL25,0))</f>
        <v>0</v>
      </c>
      <c r="F1090" s="403">
        <f>IF(F$5&gt;Assumptions!$O$45,E1090*(1+Revenue!AE123)*(1+Assumptions!$O$10),IF(F$5=Assumptions!$O$45,Assumptions!$AL25,0))</f>
        <v>0</v>
      </c>
      <c r="G1090" s="403">
        <f>IF(G$5&gt;Assumptions!$O$45,F1090*(1+Revenue!AF123)*(1+Assumptions!$O$10),IF(G$5=Assumptions!$O$45,Assumptions!$AL25,0))</f>
        <v>0</v>
      </c>
      <c r="H1090" s="403">
        <f>IF(H$5&gt;Assumptions!$O$45,G1090*(1+Revenue!AG123)*(1+Assumptions!$O$10),IF(H$5=Assumptions!$O$45,Assumptions!$AL25,0))</f>
        <v>0</v>
      </c>
      <c r="I1090" s="403">
        <f>IF(I$5&gt;Assumptions!$O$45,H1090*(1+Revenue!AH123)*(1+Assumptions!$O$10),IF(I$5=Assumptions!$O$45,Assumptions!$AL25,0))</f>
        <v>0</v>
      </c>
      <c r="J1090" s="403">
        <f>IF(J$5&gt;Assumptions!$O$45,I1090*(1+Revenue!AI123)*(1+Assumptions!$O$10),IF(J$5=Assumptions!$O$45,Assumptions!$AL25,0))</f>
        <v>0</v>
      </c>
      <c r="K1090" s="403">
        <f>IF(K$5&gt;Assumptions!$O$45,J1090*(1+Revenue!AJ123)*(1+Assumptions!$O$10),IF(K$5=Assumptions!$O$45,Assumptions!$AL25,0))</f>
        <v>0</v>
      </c>
      <c r="L1090" s="403">
        <f>IF(L$5&gt;Assumptions!$O$45,K1090*(1+Revenue!AK123)*(1+Assumptions!$O$10),IF(L$5=Assumptions!$O$45,Assumptions!$AL25,0))</f>
        <v>0</v>
      </c>
    </row>
    <row r="1091" spans="1:12">
      <c r="A1091" s="408" t="s">
        <v>279</v>
      </c>
      <c r="B1091" s="405"/>
      <c r="C1091" s="403">
        <f>IF(C$5 &gt;= Assumptions!$O$45, Assumptions!AL26, 0)</f>
        <v>0</v>
      </c>
      <c r="D1091" s="403">
        <f>IF(D$5 &gt; Assumptions!$O$45, C1091*(1+Revenue!AC123)*(1+Assumptions!$J$11), IF(D$5 = Assumptions!$O$45, Assumptions!$AL26, 0))</f>
        <v>0</v>
      </c>
      <c r="E1091" s="403">
        <f>IF(E$5 &gt; Assumptions!$O$45, D1091*(1+Revenue!AD123)*(1+Assumptions!$J$11), IF(E$5 = Assumptions!$O$45, Assumptions!$AL26, 0))</f>
        <v>0</v>
      </c>
      <c r="F1091" s="403">
        <f>IF(F$5 &gt; Assumptions!$O$45, E1091*(1+Revenue!AE123)*(1+Assumptions!$J$11), IF(F$5 = Assumptions!$O$45, Assumptions!$AL26, 0))</f>
        <v>0</v>
      </c>
      <c r="G1091" s="403">
        <f>IF(G$5 &gt; Assumptions!$O$45, F1091*(1+Revenue!AF123)*(1+Assumptions!$J$11), IF(G$5 = Assumptions!$O$45, Assumptions!$AL26, 0))</f>
        <v>0</v>
      </c>
      <c r="H1091" s="403">
        <f>IF(H$5 &gt; Assumptions!$O$45, G1091*(1+Revenue!AG123)*(1+Assumptions!$J$11), IF(H$5 = Assumptions!$O$45, Assumptions!$AL26, 0))</f>
        <v>0</v>
      </c>
      <c r="I1091" s="403">
        <f>IF(I$5 &gt; Assumptions!$O$45, H1091*(1+Revenue!AH123)*(1+Assumptions!$J$11), IF(I$5 = Assumptions!$O$45, Assumptions!$AL26, 0))</f>
        <v>0</v>
      </c>
      <c r="J1091" s="403">
        <f>IF(J$5 &gt; Assumptions!$O$45, I1091*(1+Revenue!AI123)*(1+Assumptions!$J$11), IF(J$5 = Assumptions!$O$45, Assumptions!$AL26, 0))</f>
        <v>0</v>
      </c>
      <c r="K1091" s="403">
        <f>IF(K$5 &gt; Assumptions!$O$45, J1091*(1+Revenue!AJ123)*(1+Assumptions!$J$11), IF(K$5 = Assumptions!$O$45, Assumptions!$AL26, 0))</f>
        <v>0</v>
      </c>
      <c r="L1091" s="403">
        <f>IF(L$5 &gt; Assumptions!$O$45, K1091*(1+Revenue!AK123)*(1+Assumptions!$J$11), IF(L$5 = Assumptions!$O$45, Assumptions!$AL26, 0))</f>
        <v>0</v>
      </c>
    </row>
    <row r="1092" spans="1:12">
      <c r="A1092" s="408" t="s">
        <v>31</v>
      </c>
      <c r="B1092" s="405"/>
      <c r="C1092" s="403">
        <f>IF(C$5 &gt;= Assumptions!$O$45, Assumptions!AL27, 0)</f>
        <v>0</v>
      </c>
      <c r="D1092" s="403">
        <f>IF(D$5 &gt; Assumptions!$O$45, C1092*(1+Revenue!AC123), IF(D$5 = Assumptions!$O$45, Assumptions!$AL27, 0))</f>
        <v>0</v>
      </c>
      <c r="E1092" s="403">
        <f>IF(E$5 &gt; Assumptions!$O$45, D1092*(1+Revenue!AD123), IF(E$5 = Assumptions!$O$45, Assumptions!$AL27, 0))</f>
        <v>0</v>
      </c>
      <c r="F1092" s="403">
        <f>IF(F$5 &gt; Assumptions!$O$45, E1092*(1+Revenue!AE123), IF(F$5 = Assumptions!$O$45, Assumptions!$AL27, 0))</f>
        <v>1200</v>
      </c>
      <c r="G1092" s="403">
        <f>IF(G$5 &gt; Assumptions!$O$45, F1092*(1+Revenue!AF123), IF(G$5 = Assumptions!$O$45, Assumptions!$AL27, 0))</f>
        <v>1225.1999999999998</v>
      </c>
      <c r="H1092" s="403">
        <f>IF(H$5 &gt; Assumptions!$O$45, G1092*(1+Revenue!AG123), IF(H$5 = Assumptions!$O$45, Assumptions!$AL27, 0))</f>
        <v>1250.9291999999998</v>
      </c>
      <c r="I1092" s="403">
        <f>IF(I$5 &gt; Assumptions!$O$45, H1092*(1+Revenue!AH123), IF(I$5 = Assumptions!$O$45, Assumptions!$AL27, 0))</f>
        <v>1277.1987131999997</v>
      </c>
      <c r="J1092" s="403">
        <f>IF(J$5 &gt; Assumptions!$O$45, I1092*(1+Revenue!AI123), IF(J$5 = Assumptions!$O$45, Assumptions!$AL27, 0))</f>
        <v>1304.0198861771996</v>
      </c>
      <c r="K1092" s="403">
        <f>IF(K$5 &gt; Assumptions!$O$45, J1092*(1+Revenue!AJ123), IF(K$5 = Assumptions!$O$45, Assumptions!$AL27, 0))</f>
        <v>1331.4043037869208</v>
      </c>
      <c r="L1092" s="403">
        <f>IF(L$5 &gt; Assumptions!$O$45, K1092*(1+Revenue!AK123), IF(L$5 = Assumptions!$O$45, Assumptions!$AL27, 0))</f>
        <v>1359.363794166446</v>
      </c>
    </row>
    <row r="1093" spans="1:12">
      <c r="A1093" s="408" t="s">
        <v>33</v>
      </c>
      <c r="B1093" s="405"/>
      <c r="C1093" s="403">
        <f>IF(C$5 &gt;= Assumptions!$O$45, Assumptions!AL28, 0)</f>
        <v>0</v>
      </c>
      <c r="D1093" s="403">
        <f>IF(D$5 &gt; Assumptions!$L$45, C1093*(1+Revenue!AC123), IF(D$5 = Assumptions!$O$45, Assumptions!$AL28, 0))</f>
        <v>0</v>
      </c>
      <c r="E1093" s="403">
        <f>IF(E$5 &gt; Assumptions!$L$45, D1093*(1+Revenue!AD123), IF(E$5 = Assumptions!$O$45, Assumptions!$AL28, 0))</f>
        <v>0</v>
      </c>
      <c r="F1093" s="403">
        <f>IF(F$5 &gt; Assumptions!$L$45, E1093*(1+Revenue!AE123), IF(F$5 = Assumptions!$O$45, Assumptions!$AL28, 0))</f>
        <v>1000</v>
      </c>
      <c r="G1093" s="403">
        <f>IF(G$5 &gt; Assumptions!$L$45, F1093*(1+Revenue!AF123), IF(G$5 = Assumptions!$O$45, Assumptions!$AL28, 0))</f>
        <v>1020.9999999999999</v>
      </c>
      <c r="H1093" s="403">
        <f>IF(H$5 &gt; Assumptions!$L$45, G1093*(1+Revenue!AG123), IF(H$5 = Assumptions!$O$45, Assumptions!$AL28, 0))</f>
        <v>1042.4409999999998</v>
      </c>
      <c r="I1093" s="403">
        <f>IF(I$5 &gt; Assumptions!$L$45, H1093*(1+Revenue!AH123), IF(I$5 = Assumptions!$O$45, Assumptions!$AL28, 0))</f>
        <v>1064.3322609999998</v>
      </c>
      <c r="J1093" s="403">
        <f>IF(J$5 &gt; Assumptions!$L$45, I1093*(1+Revenue!AI123), IF(J$5 = Assumptions!$O$45, Assumptions!$AL28, 0))</f>
        <v>1086.6832384809998</v>
      </c>
      <c r="K1093" s="403">
        <f>IF(K$5 &gt; Assumptions!$L$45, J1093*(1+Revenue!AJ123), IF(K$5 = Assumptions!$O$45, Assumptions!$AL28, 0))</f>
        <v>1109.5035864891006</v>
      </c>
      <c r="L1093" s="403">
        <f>IF(L$5 &gt; Assumptions!$L$45, K1093*(1+Revenue!AK123), IF(L$5 = Assumptions!$O$45, Assumptions!$AL28, 0))</f>
        <v>1132.8031618053717</v>
      </c>
    </row>
    <row r="1094" spans="1:12">
      <c r="A1094" s="408" t="s">
        <v>35</v>
      </c>
      <c r="B1094" s="405"/>
      <c r="C1094" s="403">
        <f>IF(C$5 &gt;= Assumptions!$O$45, Assumptions!AL140, 0)</f>
        <v>0</v>
      </c>
      <c r="D1094" s="403">
        <f>IF(D$5 &gt; Assumptions!$O$45, C1094*(1+Revenue!AC123), IF(D$5 = Assumptions!$O$45, Assumptions!$AL29, 0))</f>
        <v>0</v>
      </c>
      <c r="E1094" s="403">
        <f>IF(E$5 &gt; Assumptions!$O$45, D1094*(1+Revenue!AD123), IF(E$5 = Assumptions!$O$45, Assumptions!$AL29, 0))</f>
        <v>0</v>
      </c>
      <c r="F1094" s="403">
        <f>IF(F$5 &gt; Assumptions!$O$45, E1094*(1+Revenue!AE123), IF(F$5 = Assumptions!$O$45, Assumptions!$AL29, 0))</f>
        <v>5000</v>
      </c>
      <c r="G1094" s="403">
        <f>IF(G$5 &gt; Assumptions!$O$45, F1094*(1+Revenue!AF123), IF(G$5 = Assumptions!$O$45, Assumptions!$AL29, 0))</f>
        <v>5104.9999999999991</v>
      </c>
      <c r="H1094" s="403">
        <f>IF(H$5 &gt; Assumptions!$O$45, G1094*(1+Revenue!AG123), IF(H$5 = Assumptions!$O$45, Assumptions!$AL29, 0))</f>
        <v>5212.204999999999</v>
      </c>
      <c r="I1094" s="403">
        <f>IF(I$5 &gt; Assumptions!$O$45, H1094*(1+Revenue!AH123), IF(I$5 = Assumptions!$O$45, Assumptions!$AL29, 0))</f>
        <v>5321.6613049999987</v>
      </c>
      <c r="J1094" s="403">
        <f>IF(J$5 &gt; Assumptions!$O$45, I1094*(1+Revenue!AI123), IF(J$5 = Assumptions!$O$45, Assumptions!$AL29, 0))</f>
        <v>5433.4161924049986</v>
      </c>
      <c r="K1094" s="403">
        <f>IF(K$5 &gt; Assumptions!$O$45, J1094*(1+Revenue!AJ123), IF(K$5 = Assumptions!$O$45, Assumptions!$AL29, 0))</f>
        <v>5547.517932445503</v>
      </c>
      <c r="L1094" s="403">
        <f>IF(L$5 &gt; Assumptions!$O$45, K1094*(1+Revenue!AK123), IF(L$5 = Assumptions!$O$45, Assumptions!$AL29, 0))</f>
        <v>5664.0158090268578</v>
      </c>
    </row>
    <row r="1095" spans="1:12">
      <c r="A1095" s="408"/>
      <c r="B1095" s="405"/>
      <c r="C1095" s="403"/>
      <c r="D1095" s="403"/>
      <c r="E1095" s="403"/>
      <c r="F1095" s="403"/>
      <c r="G1095" s="403"/>
      <c r="H1095" s="403"/>
      <c r="I1095" s="403"/>
      <c r="J1095" s="403"/>
      <c r="K1095" s="403"/>
      <c r="L1095" s="403"/>
    </row>
    <row r="1096" spans="1:12" ht="15.5">
      <c r="A1096" s="409" t="s">
        <v>156</v>
      </c>
      <c r="B1096" s="405"/>
      <c r="C1096" s="403">
        <f t="shared" ref="C1096:L1096" si="436">SUM(C1081:C1094)</f>
        <v>0</v>
      </c>
      <c r="D1096" s="403">
        <f t="shared" si="436"/>
        <v>0</v>
      </c>
      <c r="E1096" s="403">
        <f t="shared" si="436"/>
        <v>0</v>
      </c>
      <c r="F1096" s="403">
        <f t="shared" si="436"/>
        <v>5618200</v>
      </c>
      <c r="G1096" s="403">
        <f t="shared" ca="1" si="436"/>
        <v>7747105.7289552484</v>
      </c>
      <c r="H1096" s="403">
        <f t="shared" ca="1" si="436"/>
        <v>9114893.6289592329</v>
      </c>
      <c r="I1096" s="403">
        <f t="shared" ca="1" si="436"/>
        <v>9902501.5466448758</v>
      </c>
      <c r="J1096" s="403">
        <f t="shared" ca="1" si="436"/>
        <v>10788860.232912391</v>
      </c>
      <c r="K1096" s="403">
        <f t="shared" ca="1" si="436"/>
        <v>11794795.75286546</v>
      </c>
      <c r="L1096" s="403">
        <f t="shared" ca="1" si="436"/>
        <v>12938139.76591373</v>
      </c>
    </row>
    <row r="1097" spans="1:12" ht="15.5">
      <c r="A1097" s="409"/>
      <c r="B1097" s="405"/>
      <c r="C1097" s="403"/>
      <c r="D1097" s="403"/>
      <c r="E1097" s="403"/>
      <c r="F1097" s="403"/>
      <c r="G1097" s="403"/>
      <c r="H1097" s="403"/>
      <c r="I1097" s="403"/>
      <c r="J1097" s="403"/>
      <c r="K1097" s="403"/>
      <c r="L1097" s="403"/>
    </row>
    <row r="1098" spans="1:12" ht="15.5">
      <c r="A1098" s="409" t="s">
        <v>36</v>
      </c>
      <c r="B1098" s="405"/>
      <c r="C1098" s="403"/>
      <c r="D1098" s="403"/>
      <c r="E1098" s="403"/>
      <c r="F1098" s="403"/>
      <c r="G1098" s="403"/>
      <c r="H1098" s="403"/>
      <c r="I1098" s="403"/>
      <c r="J1098" s="403"/>
      <c r="K1098" s="403"/>
      <c r="L1098" s="403"/>
    </row>
    <row r="1099" spans="1:12">
      <c r="A1099" s="408" t="s">
        <v>38</v>
      </c>
      <c r="B1099" s="405"/>
      <c r="C1099" s="403">
        <f>IF(C$5 &gt;= Assumptions!$O$45, Assumptions!$AX22, 0)</f>
        <v>0</v>
      </c>
      <c r="D1099" s="403">
        <f>IF(D$5 &gt; Assumptions!$O$45, C1099*(1+Revenue!AC123), IF(D$5 = Assumptions!$O$45, Assumptions!$AX22, 0))</f>
        <v>0</v>
      </c>
      <c r="E1099" s="403">
        <f>IF(E$5 &gt; Assumptions!$O$45, D1099*(1+Revenue!AD123), IF(E$5 = Assumptions!$O$45, Assumptions!$AX22, 0))</f>
        <v>0</v>
      </c>
      <c r="F1099" s="403">
        <f>IF(F$5 &gt; Assumptions!$O$45, E1099*(1+Revenue!AE123), IF(F$5 = Assumptions!$O$45, Assumptions!$AX22, 0))</f>
        <v>5000</v>
      </c>
      <c r="G1099" s="403">
        <f>IF(G$5 &gt; Assumptions!$O$45, F1099*(1+Revenue!AF123), IF(G$5 = Assumptions!$O$45, Assumptions!$AX22, 0))</f>
        <v>5104.9999999999991</v>
      </c>
      <c r="H1099" s="403">
        <f>IF(H$5 &gt; Assumptions!$O$45, G1099*(1+Revenue!AG123), IF(H$5 = Assumptions!$O$45, Assumptions!$AX22, 0))</f>
        <v>5212.204999999999</v>
      </c>
      <c r="I1099" s="403">
        <f>IF(I$5 &gt; Assumptions!$O$45, H1099*(1+Revenue!AH123), IF(I$5 = Assumptions!$O$45, Assumptions!$AX22, 0))</f>
        <v>5321.6613049999987</v>
      </c>
      <c r="J1099" s="403">
        <f>IF(J$5 &gt; Assumptions!$O$45, I1099*(1+Revenue!AI123), IF(J$5 = Assumptions!$O$45, Assumptions!$AX22, 0))</f>
        <v>5433.4161924049986</v>
      </c>
      <c r="K1099" s="403">
        <f>IF(K$5 &gt; Assumptions!$O$45, J1099*(1+Revenue!AJ123), IF(K$5 = Assumptions!$O$45, Assumptions!$AX22, 0))</f>
        <v>5547.517932445503</v>
      </c>
      <c r="L1099" s="403">
        <f>IF(L$5 &gt; Assumptions!$O$45, K1099*(1+Revenue!AK123), IF(L$5 = Assumptions!$O$45, Assumptions!$AX22, 0))</f>
        <v>5664.0158090268578</v>
      </c>
    </row>
    <row r="1100" spans="1:12">
      <c r="A1100" s="408" t="s">
        <v>39</v>
      </c>
      <c r="B1100" s="405"/>
      <c r="C1100" s="403">
        <f>IF(C$5 &gt;= Assumptions!$O$45, Assumptions!$AX23, 0)</f>
        <v>0</v>
      </c>
      <c r="D1100" s="403">
        <f>IF(D$5 &gt; Assumptions!$O$45, C1100*(1+Revenue!AC123), IF(D$5 = Assumptions!$O$45, Assumptions!$AX23, 0))</f>
        <v>0</v>
      </c>
      <c r="E1100" s="403">
        <f>IF(E$5 &gt; Assumptions!$O$45, D1100*(1+Revenue!AD123), IF(E$5 = Assumptions!$O$45, Assumptions!$AX23, 0))</f>
        <v>0</v>
      </c>
      <c r="F1100" s="403">
        <f>IF(F$5 &gt; Assumptions!$O$45, E1100*(1+Revenue!AE123), IF(F$5 = Assumptions!$O$45, Assumptions!$AX23, 0))</f>
        <v>500</v>
      </c>
      <c r="G1100" s="403">
        <f>IF(G$5 &gt; Assumptions!$O$45, F1100*(1+Revenue!AF123), IF(G$5 = Assumptions!$O$45, Assumptions!$AX23, 0))</f>
        <v>510.49999999999994</v>
      </c>
      <c r="H1100" s="403">
        <f>IF(H$5 &gt; Assumptions!$O$45, G1100*(1+Revenue!AG123), IF(H$5 = Assumptions!$O$45, Assumptions!$AX23, 0))</f>
        <v>521.2204999999999</v>
      </c>
      <c r="I1100" s="403">
        <f>IF(I$5 &gt; Assumptions!$O$45, H1100*(1+Revenue!AH123), IF(I$5 = Assumptions!$O$45, Assumptions!$AX23, 0))</f>
        <v>532.16613049999989</v>
      </c>
      <c r="J1100" s="403">
        <f>IF(J$5 &gt; Assumptions!$O$45, I1100*(1+Revenue!AI123), IF(J$5 = Assumptions!$O$45, Assumptions!$AX23, 0))</f>
        <v>543.34161924049988</v>
      </c>
      <c r="K1100" s="403">
        <f>IF(K$5 &gt; Assumptions!$O$45, J1100*(1+Revenue!AJ123), IF(K$5 = Assumptions!$O$45, Assumptions!$AX23, 0))</f>
        <v>554.7517932445503</v>
      </c>
      <c r="L1100" s="403">
        <f>IF(L$5 &gt; Assumptions!$O$45, K1100*(1+Revenue!AK123), IF(L$5 = Assumptions!$O$45, Assumptions!$AX23, 0))</f>
        <v>566.40158090268585</v>
      </c>
    </row>
    <row r="1101" spans="1:12">
      <c r="A1101" s="408"/>
      <c r="B1101" s="405"/>
      <c r="C1101" s="403"/>
      <c r="D1101" s="403"/>
      <c r="E1101" s="403"/>
      <c r="F1101" s="403"/>
      <c r="G1101" s="403"/>
      <c r="H1101" s="403"/>
      <c r="I1101" s="403"/>
      <c r="J1101" s="403"/>
      <c r="K1101" s="403"/>
      <c r="L1101" s="403"/>
    </row>
    <row r="1102" spans="1:12" ht="15.5">
      <c r="A1102" s="409" t="s">
        <v>157</v>
      </c>
      <c r="B1102" s="405"/>
      <c r="C1102" s="403">
        <f t="shared" ref="C1102:L1102" si="437">SUM(C1099:C1100)</f>
        <v>0</v>
      </c>
      <c r="D1102" s="403">
        <f t="shared" si="437"/>
        <v>0</v>
      </c>
      <c r="E1102" s="403">
        <f t="shared" si="437"/>
        <v>0</v>
      </c>
      <c r="F1102" s="403">
        <f t="shared" si="437"/>
        <v>5500</v>
      </c>
      <c r="G1102" s="403">
        <f t="shared" si="437"/>
        <v>5615.4999999999991</v>
      </c>
      <c r="H1102" s="403">
        <f t="shared" si="437"/>
        <v>5733.4254999999994</v>
      </c>
      <c r="I1102" s="403">
        <f t="shared" si="437"/>
        <v>5853.8274354999985</v>
      </c>
      <c r="J1102" s="403">
        <f t="shared" si="437"/>
        <v>5976.7578116454988</v>
      </c>
      <c r="K1102" s="403">
        <f t="shared" si="437"/>
        <v>6102.2697256900537</v>
      </c>
      <c r="L1102" s="403">
        <f t="shared" si="437"/>
        <v>6230.4173899295438</v>
      </c>
    </row>
    <row r="1103" spans="1:12">
      <c r="A1103" s="408"/>
      <c r="B1103" s="405"/>
      <c r="C1103" s="403"/>
      <c r="D1103" s="403"/>
      <c r="E1103" s="403"/>
      <c r="F1103" s="403"/>
      <c r="G1103" s="403"/>
      <c r="H1103" s="403"/>
      <c r="I1103" s="403"/>
      <c r="J1103" s="403"/>
      <c r="K1103" s="403"/>
      <c r="L1103" s="403"/>
    </row>
    <row r="1104" spans="1:12" ht="15.5">
      <c r="A1104" s="409" t="s">
        <v>112</v>
      </c>
      <c r="B1104" s="405"/>
      <c r="C1104" s="403">
        <f t="shared" ref="C1104:L1104" si="438">C1077+C1096+C1102</f>
        <v>0</v>
      </c>
      <c r="D1104" s="403">
        <f t="shared" si="438"/>
        <v>0</v>
      </c>
      <c r="E1104" s="403">
        <f t="shared" si="438"/>
        <v>0</v>
      </c>
      <c r="F1104" s="403">
        <f t="shared" si="438"/>
        <v>5658700</v>
      </c>
      <c r="G1104" s="403">
        <f t="shared" ca="1" si="438"/>
        <v>7752721.2289552484</v>
      </c>
      <c r="H1104" s="403">
        <f t="shared" ca="1" si="438"/>
        <v>9120627.0544592328</v>
      </c>
      <c r="I1104" s="403">
        <f t="shared" ca="1" si="438"/>
        <v>9908355.3740803767</v>
      </c>
      <c r="J1104" s="403">
        <f t="shared" ca="1" si="438"/>
        <v>10794836.990724036</v>
      </c>
      <c r="K1104" s="403">
        <f t="shared" ca="1" si="438"/>
        <v>11800898.022591149</v>
      </c>
      <c r="L1104" s="403">
        <f t="shared" ca="1" si="438"/>
        <v>12944370.18330366</v>
      </c>
    </row>
    <row r="1105" spans="1:12">
      <c r="A1105" s="408"/>
      <c r="B1105" s="405"/>
      <c r="C1105" s="403"/>
      <c r="D1105" s="403"/>
      <c r="E1105" s="403"/>
      <c r="F1105" s="403"/>
      <c r="G1105" s="403"/>
      <c r="H1105" s="403"/>
      <c r="I1105" s="403"/>
      <c r="J1105" s="403"/>
      <c r="K1105" s="403"/>
      <c r="L1105" s="403"/>
    </row>
    <row r="1106" spans="1:12" ht="15.5">
      <c r="A1106" s="409" t="s">
        <v>372</v>
      </c>
      <c r="B1106" s="405"/>
      <c r="C1106" s="403">
        <f>C1063-C1104</f>
        <v>0</v>
      </c>
      <c r="D1106" s="403">
        <f t="shared" ref="D1106:L1106" si="439">D1063-D1104</f>
        <v>0</v>
      </c>
      <c r="E1106" s="403">
        <f t="shared" si="439"/>
        <v>0</v>
      </c>
      <c r="F1106" s="403">
        <f t="shared" si="439"/>
        <v>10370300</v>
      </c>
      <c r="G1106" s="403">
        <f t="shared" ca="1" si="439"/>
        <v>13669037.384330058</v>
      </c>
      <c r="H1106" s="403">
        <f t="shared" ca="1" si="439"/>
        <v>16032361.228511676</v>
      </c>
      <c r="I1106" s="403">
        <f t="shared" ca="1" si="439"/>
        <v>17439507.544113837</v>
      </c>
      <c r="J1106" s="403">
        <f t="shared" ca="1" si="439"/>
        <v>19023186.719672807</v>
      </c>
      <c r="K1106" s="403">
        <f t="shared" ca="1" si="439"/>
        <v>20820654.171728</v>
      </c>
      <c r="L1106" s="403">
        <f t="shared" ca="1" si="439"/>
        <v>22864017.012921818</v>
      </c>
    </row>
    <row r="1107" spans="1:12">
      <c r="A1107" s="408"/>
      <c r="B1107" s="405"/>
      <c r="C1107" s="403"/>
      <c r="D1107" s="403"/>
      <c r="E1107" s="403"/>
      <c r="F1107" s="403"/>
      <c r="G1107" s="403"/>
      <c r="H1107" s="403"/>
      <c r="I1107" s="403"/>
      <c r="J1107" s="403"/>
      <c r="K1107" s="403"/>
      <c r="L1107" s="403"/>
    </row>
    <row r="1108" spans="1:12">
      <c r="A1108" s="408" t="s">
        <v>159</v>
      </c>
      <c r="B1108" s="405"/>
      <c r="C1108" s="403">
        <v>0</v>
      </c>
      <c r="D1108" s="403">
        <v>0</v>
      </c>
      <c r="E1108" s="403">
        <v>0</v>
      </c>
      <c r="F1108" s="403">
        <v>0</v>
      </c>
      <c r="G1108" s="403">
        <v>0</v>
      </c>
      <c r="H1108" s="403">
        <v>0</v>
      </c>
      <c r="I1108" s="403">
        <v>0</v>
      </c>
      <c r="J1108" s="403">
        <v>0</v>
      </c>
      <c r="K1108" s="403">
        <v>0</v>
      </c>
      <c r="L1108" s="403">
        <v>0</v>
      </c>
    </row>
    <row r="1109" spans="1:12">
      <c r="A1109" s="408" t="s">
        <v>160</v>
      </c>
      <c r="B1109" s="405"/>
      <c r="C1109" s="403">
        <v>0</v>
      </c>
      <c r="D1109" s="403">
        <v>0</v>
      </c>
      <c r="E1109" s="403">
        <v>0</v>
      </c>
      <c r="F1109" s="403">
        <v>0</v>
      </c>
      <c r="G1109" s="403">
        <v>0</v>
      </c>
      <c r="H1109" s="403">
        <v>0</v>
      </c>
      <c r="I1109" s="403">
        <v>0</v>
      </c>
      <c r="J1109" s="403">
        <v>0</v>
      </c>
      <c r="K1109" s="403">
        <v>0</v>
      </c>
      <c r="L1109" s="403">
        <v>0</v>
      </c>
    </row>
    <row r="1110" spans="1:12">
      <c r="A1110" s="408"/>
      <c r="B1110" s="405"/>
      <c r="C1110" s="403"/>
      <c r="D1110" s="403"/>
      <c r="E1110" s="403"/>
      <c r="F1110" s="403"/>
      <c r="G1110" s="403"/>
      <c r="H1110" s="403"/>
      <c r="I1110" s="403"/>
      <c r="J1110" s="403"/>
      <c r="K1110" s="403"/>
      <c r="L1110" s="403"/>
    </row>
    <row r="1111" spans="1:12" ht="15.5">
      <c r="A1111" s="409" t="s">
        <v>373</v>
      </c>
      <c r="B1111" s="405"/>
      <c r="C1111" s="403">
        <f>C1106-C1108-C1109</f>
        <v>0</v>
      </c>
      <c r="D1111" s="403">
        <f t="shared" ref="D1111:L1111" si="440">D1106-D1108-D1109</f>
        <v>0</v>
      </c>
      <c r="E1111" s="403">
        <f t="shared" si="440"/>
        <v>0</v>
      </c>
      <c r="F1111" s="403">
        <f t="shared" si="440"/>
        <v>10370300</v>
      </c>
      <c r="G1111" s="403">
        <f t="shared" ca="1" si="440"/>
        <v>13669037.384330058</v>
      </c>
      <c r="H1111" s="403">
        <f t="shared" ca="1" si="440"/>
        <v>16032361.228511676</v>
      </c>
      <c r="I1111" s="403">
        <f t="shared" ca="1" si="440"/>
        <v>17439507.544113837</v>
      </c>
      <c r="J1111" s="403">
        <f t="shared" ca="1" si="440"/>
        <v>19023186.719672807</v>
      </c>
      <c r="K1111" s="403">
        <f t="shared" ca="1" si="440"/>
        <v>20820654.171728</v>
      </c>
      <c r="L1111" s="403">
        <f t="shared" ca="1" si="440"/>
        <v>22864017.012921818</v>
      </c>
    </row>
    <row r="1112" spans="1:12">
      <c r="A1112" s="408"/>
      <c r="B1112" s="405"/>
      <c r="C1112" s="403"/>
      <c r="D1112" s="403"/>
      <c r="E1112" s="403"/>
      <c r="F1112" s="403"/>
      <c r="G1112" s="403"/>
      <c r="H1112" s="403"/>
      <c r="I1112" s="403"/>
      <c r="J1112" s="403"/>
      <c r="K1112" s="403"/>
      <c r="L1112" s="403"/>
    </row>
    <row r="1113" spans="1:12">
      <c r="A1113" s="408" t="s">
        <v>162</v>
      </c>
      <c r="B1113" s="405"/>
      <c r="C1113" s="403">
        <v>0</v>
      </c>
      <c r="D1113" s="403">
        <v>0</v>
      </c>
      <c r="E1113" s="403">
        <v>0</v>
      </c>
      <c r="F1113" s="403">
        <v>0</v>
      </c>
      <c r="G1113" s="403">
        <v>0</v>
      </c>
      <c r="H1113" s="403">
        <v>0</v>
      </c>
      <c r="I1113" s="403">
        <v>0</v>
      </c>
      <c r="J1113" s="403">
        <v>0</v>
      </c>
      <c r="K1113" s="403">
        <v>0</v>
      </c>
      <c r="L1113" s="403">
        <v>0</v>
      </c>
    </row>
    <row r="1114" spans="1:12">
      <c r="A1114" s="408"/>
      <c r="B1114" s="405"/>
      <c r="C1114" s="403"/>
      <c r="D1114" s="403"/>
      <c r="E1114" s="403"/>
      <c r="F1114" s="403"/>
      <c r="G1114" s="403"/>
      <c r="H1114" s="403"/>
      <c r="I1114" s="403"/>
      <c r="J1114" s="403"/>
      <c r="K1114" s="403"/>
      <c r="L1114" s="403"/>
    </row>
    <row r="1115" spans="1:12" ht="15.5">
      <c r="A1115" s="409" t="s">
        <v>374</v>
      </c>
      <c r="B1115" s="405"/>
      <c r="C1115" s="403">
        <f>C1111-C1113</f>
        <v>0</v>
      </c>
      <c r="D1115" s="403">
        <f t="shared" ref="D1115:L1115" si="441">D1111-D1113</f>
        <v>0</v>
      </c>
      <c r="E1115" s="403">
        <f t="shared" si="441"/>
        <v>0</v>
      </c>
      <c r="F1115" s="403">
        <f t="shared" si="441"/>
        <v>10370300</v>
      </c>
      <c r="G1115" s="403">
        <f t="shared" ca="1" si="441"/>
        <v>13669037.384330058</v>
      </c>
      <c r="H1115" s="403">
        <f t="shared" ca="1" si="441"/>
        <v>16032361.228511676</v>
      </c>
      <c r="I1115" s="403">
        <f t="shared" ca="1" si="441"/>
        <v>17439507.544113837</v>
      </c>
      <c r="J1115" s="403">
        <f t="shared" ca="1" si="441"/>
        <v>19023186.719672807</v>
      </c>
      <c r="K1115" s="403">
        <f t="shared" ca="1" si="441"/>
        <v>20820654.171728</v>
      </c>
      <c r="L1115" s="403">
        <f t="shared" ca="1" si="441"/>
        <v>22864017.012921818</v>
      </c>
    </row>
    <row r="1116" spans="1:12">
      <c r="A1116" s="408"/>
      <c r="B1116" s="405"/>
      <c r="C1116" s="403"/>
      <c r="D1116" s="403"/>
      <c r="E1116" s="403"/>
      <c r="F1116" s="403"/>
      <c r="G1116" s="403"/>
      <c r="H1116" s="403"/>
      <c r="I1116" s="403"/>
      <c r="J1116" s="403"/>
      <c r="K1116" s="403"/>
      <c r="L1116" s="403"/>
    </row>
    <row r="1117" spans="1:12">
      <c r="A1117" s="408" t="s">
        <v>164</v>
      </c>
      <c r="B1117" s="405"/>
      <c r="C1117" s="403">
        <f>C1115*Assumptions!$Y$22</f>
        <v>0</v>
      </c>
      <c r="D1117" s="403">
        <f>D1115*Assumptions!$Y$22</f>
        <v>0</v>
      </c>
      <c r="E1117" s="403">
        <f>E1115*Assumptions!$Y$22</f>
        <v>0</v>
      </c>
      <c r="F1117" s="403">
        <f>F1115*Assumptions!$Y$22</f>
        <v>2385169</v>
      </c>
      <c r="G1117" s="403">
        <f ca="1">G1115*Assumptions!$Y$22</f>
        <v>3143878.5983959134</v>
      </c>
      <c r="H1117" s="403">
        <f ca="1">H1115*Assumptions!$Y$22</f>
        <v>3687443.0825576857</v>
      </c>
      <c r="I1117" s="403">
        <f ca="1">I1115*Assumptions!$Y$22</f>
        <v>4011086.7351461826</v>
      </c>
      <c r="J1117" s="403">
        <f ca="1">J1115*Assumptions!$Y$22</f>
        <v>4375332.9455247456</v>
      </c>
      <c r="K1117" s="403">
        <f ca="1">K1115*Assumptions!$Y$22</f>
        <v>4788750.4594974406</v>
      </c>
      <c r="L1117" s="403">
        <f ca="1">L1115*Assumptions!$Y$22</f>
        <v>5258723.9129720181</v>
      </c>
    </row>
    <row r="1118" spans="1:12">
      <c r="A1118" s="408"/>
      <c r="B1118" s="405"/>
      <c r="C1118" s="403"/>
      <c r="D1118" s="403"/>
      <c r="E1118" s="403"/>
      <c r="F1118" s="403"/>
      <c r="G1118" s="403"/>
      <c r="H1118" s="403"/>
      <c r="I1118" s="403"/>
      <c r="J1118" s="403"/>
      <c r="K1118" s="403"/>
      <c r="L1118" s="403"/>
    </row>
    <row r="1119" spans="1:12" ht="15.5">
      <c r="A1119" s="409" t="s">
        <v>97</v>
      </c>
      <c r="B1119" s="405"/>
      <c r="C1119" s="403">
        <f>C1115-C1117</f>
        <v>0</v>
      </c>
      <c r="D1119" s="403">
        <f t="shared" ref="D1119:L1119" si="442">D1115-D1117</f>
        <v>0</v>
      </c>
      <c r="E1119" s="403">
        <f t="shared" si="442"/>
        <v>0</v>
      </c>
      <c r="F1119" s="403">
        <f t="shared" si="442"/>
        <v>7985131</v>
      </c>
      <c r="G1119" s="403">
        <f t="shared" ca="1" si="442"/>
        <v>10525158.785934145</v>
      </c>
      <c r="H1119" s="403">
        <f t="shared" ca="1" si="442"/>
        <v>12344918.145953991</v>
      </c>
      <c r="I1119" s="403">
        <f t="shared" ca="1" si="442"/>
        <v>13428420.808967654</v>
      </c>
      <c r="J1119" s="403">
        <f t="shared" ca="1" si="442"/>
        <v>14647853.774148062</v>
      </c>
      <c r="K1119" s="403">
        <f t="shared" ca="1" si="442"/>
        <v>16031903.712230559</v>
      </c>
      <c r="L1119" s="403">
        <f t="shared" ca="1" si="442"/>
        <v>17605293.099949799</v>
      </c>
    </row>
    <row r="1120" spans="1:12">
      <c r="A1120" s="408"/>
      <c r="B1120" s="405"/>
      <c r="C1120" s="403"/>
      <c r="D1120" s="403"/>
      <c r="E1120" s="403"/>
      <c r="F1120" s="403"/>
      <c r="G1120" s="403"/>
      <c r="H1120" s="403"/>
      <c r="I1120" s="403"/>
      <c r="J1120" s="403"/>
      <c r="K1120" s="403"/>
      <c r="L1120" s="403"/>
    </row>
    <row r="1121" spans="1:12" ht="16" thickBot="1">
      <c r="A1121" s="412" t="s">
        <v>165</v>
      </c>
      <c r="B1121" s="406"/>
      <c r="C1121" s="407">
        <f>C1119</f>
        <v>0</v>
      </c>
      <c r="D1121" s="407">
        <f t="shared" ref="D1121:L1121" si="443">C1121+D1119</f>
        <v>0</v>
      </c>
      <c r="E1121" s="407">
        <f t="shared" si="443"/>
        <v>0</v>
      </c>
      <c r="F1121" s="407">
        <f t="shared" si="443"/>
        <v>7985131</v>
      </c>
      <c r="G1121" s="407">
        <f t="shared" ca="1" si="443"/>
        <v>18510289.785934143</v>
      </c>
      <c r="H1121" s="407">
        <f t="shared" ca="1" si="443"/>
        <v>30855207.931888133</v>
      </c>
      <c r="I1121" s="407">
        <f t="shared" ca="1" si="443"/>
        <v>44283628.740855783</v>
      </c>
      <c r="J1121" s="407">
        <f t="shared" ca="1" si="443"/>
        <v>58931482.515003845</v>
      </c>
      <c r="K1121" s="407">
        <f t="shared" ca="1" si="443"/>
        <v>74963386.227234408</v>
      </c>
      <c r="L1121" s="407">
        <f t="shared" ca="1" si="443"/>
        <v>92568679.3271842</v>
      </c>
    </row>
    <row r="1122" spans="1:12" ht="15" thickTop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7143F-F3C4-43FD-8FB4-835264EA08CE}">
  <dimension ref="A1:O190"/>
  <sheetViews>
    <sheetView topLeftCell="B1" zoomScale="51" workbookViewId="0">
      <selection activeCell="E35" sqref="E35"/>
    </sheetView>
  </sheetViews>
  <sheetFormatPr defaultRowHeight="14.5"/>
  <cols>
    <col min="3" max="3" width="63.90625" customWidth="1"/>
    <col min="4" max="4" width="9.08984375" customWidth="1"/>
    <col min="5" max="5" width="22.453125" customWidth="1"/>
    <col min="6" max="6" width="22.1796875" customWidth="1"/>
    <col min="7" max="7" width="22.453125" customWidth="1"/>
    <col min="8" max="8" width="21.26953125" customWidth="1"/>
    <col min="9" max="9" width="20.7265625" customWidth="1"/>
    <col min="10" max="10" width="24.08984375" customWidth="1"/>
    <col min="11" max="11" width="23.08984375" customWidth="1"/>
    <col min="12" max="12" width="23.1796875" customWidth="1"/>
    <col min="13" max="13" width="23.26953125" customWidth="1"/>
    <col min="14" max="14" width="25" customWidth="1"/>
  </cols>
  <sheetData>
    <row r="1" spans="1:14">
      <c r="A1" s="596"/>
      <c r="B1" s="598"/>
      <c r="C1" s="593"/>
      <c r="D1" s="593"/>
      <c r="E1" s="593"/>
      <c r="F1" s="578"/>
      <c r="G1" s="5"/>
    </row>
    <row r="2" spans="1:14">
      <c r="A2" s="596"/>
      <c r="B2" s="598"/>
      <c r="C2" s="593"/>
      <c r="D2" s="593"/>
      <c r="E2" s="593"/>
      <c r="F2" s="579"/>
      <c r="G2" s="5"/>
    </row>
    <row r="3" spans="1:14">
      <c r="A3" s="596"/>
      <c r="B3" s="598"/>
      <c r="C3" s="593"/>
      <c r="D3" s="593"/>
      <c r="E3" s="593"/>
      <c r="F3" s="580"/>
      <c r="G3" s="5"/>
    </row>
    <row r="4" spans="1:14">
      <c r="A4" s="592"/>
      <c r="B4" s="600"/>
      <c r="C4" s="593"/>
      <c r="D4" s="593"/>
      <c r="E4" s="593"/>
      <c r="F4" s="581"/>
      <c r="G4" s="5"/>
    </row>
    <row r="5" spans="1:14" ht="15" thickBot="1"/>
    <row r="6" spans="1:14" ht="19" thickBot="1">
      <c r="C6" s="126" t="s">
        <v>190</v>
      </c>
      <c r="D6" s="25"/>
      <c r="E6" s="26" t="s">
        <v>139</v>
      </c>
      <c r="F6" s="26" t="s">
        <v>140</v>
      </c>
      <c r="G6" s="26" t="s">
        <v>141</v>
      </c>
      <c r="H6" s="26" t="s">
        <v>142</v>
      </c>
      <c r="I6" s="26" t="s">
        <v>143</v>
      </c>
      <c r="J6" s="26" t="s">
        <v>144</v>
      </c>
      <c r="K6" s="26" t="s">
        <v>145</v>
      </c>
      <c r="L6" s="26" t="s">
        <v>146</v>
      </c>
      <c r="M6" s="26" t="s">
        <v>147</v>
      </c>
      <c r="N6" s="27" t="s">
        <v>148</v>
      </c>
    </row>
    <row r="7" spans="1:14" ht="18.5">
      <c r="C7" s="491"/>
      <c r="D7" s="128"/>
      <c r="E7" s="129"/>
      <c r="F7" s="129"/>
      <c r="G7" s="129"/>
      <c r="H7" s="129"/>
      <c r="I7" s="129"/>
      <c r="J7" s="129"/>
      <c r="K7" s="129"/>
      <c r="L7" s="129"/>
      <c r="M7" s="129"/>
      <c r="N7" s="130"/>
    </row>
    <row r="8" spans="1:14" ht="15.5">
      <c r="C8" s="409" t="s">
        <v>97</v>
      </c>
      <c r="D8" s="132"/>
      <c r="E8" s="403">
        <f>Income!R141</f>
        <v>6719927.8953289147</v>
      </c>
      <c r="F8" s="403">
        <f>Income!S141</f>
        <v>9103209.1234457139</v>
      </c>
      <c r="G8" s="403">
        <f ca="1">Income!T141</f>
        <v>10813320.505918337</v>
      </c>
      <c r="H8" s="403">
        <f ca="1">Income!U141</f>
        <v>84384045.137481093</v>
      </c>
      <c r="I8" s="403">
        <f ca="1">Income!V141</f>
        <v>107472343.03902452</v>
      </c>
      <c r="J8" s="403">
        <f ca="1">Income!W141</f>
        <v>126197001.53519148</v>
      </c>
      <c r="K8" s="403">
        <f ca="1">Income!X141</f>
        <v>139381293.73701146</v>
      </c>
      <c r="L8" s="403">
        <f ca="1">Income!Y141</f>
        <v>154412909.90079659</v>
      </c>
      <c r="M8" s="403">
        <f ca="1">Income!Z141</f>
        <v>171605827.28277084</v>
      </c>
      <c r="N8" s="403">
        <f ca="1">Income!AA141</f>
        <v>188063930.64311573</v>
      </c>
    </row>
    <row r="9" spans="1:14" ht="15.5">
      <c r="C9" s="409" t="s">
        <v>399</v>
      </c>
      <c r="D9" s="132"/>
      <c r="E9" s="403">
        <f>SUM(Income!R130,Income!R131)</f>
        <v>19951.582477468037</v>
      </c>
      <c r="F9" s="403">
        <f>SUM(Income!S130,Income!S131)</f>
        <v>19951.582477468037</v>
      </c>
      <c r="G9" s="403">
        <f>SUM(Income!T130,Income!T131)</f>
        <v>19951.582477468037</v>
      </c>
      <c r="H9" s="403">
        <f>SUM(Income!U130,Income!U131)</f>
        <v>19951.582477468037</v>
      </c>
      <c r="I9" s="403">
        <f>SUM(Income!V130,Income!V131)</f>
        <v>19951.582477468037</v>
      </c>
      <c r="J9" s="403">
        <f>SUM(Income!W130,Income!W131)</f>
        <v>19951.582477468037</v>
      </c>
      <c r="K9" s="403">
        <f>SUM(Income!X130,Income!X131)</f>
        <v>19951.582477468037</v>
      </c>
      <c r="L9" s="403">
        <f>SUM(Income!Y130,Income!Y131)</f>
        <v>19951.582477468037</v>
      </c>
      <c r="M9" s="403">
        <f>SUM(Income!Z130,Income!Z131)</f>
        <v>19951.582477468037</v>
      </c>
      <c r="N9" s="403">
        <f>SUM(Income!AA130,Income!AA131)</f>
        <v>19951.582477468037</v>
      </c>
    </row>
    <row r="10" spans="1:14" ht="15.5">
      <c r="C10" s="409" t="s">
        <v>400</v>
      </c>
      <c r="D10" s="132"/>
      <c r="E10" s="403">
        <f>Balance!G11</f>
        <v>3204109.5890410957</v>
      </c>
      <c r="F10" s="403">
        <f>Balance!H11-Balance!G11</f>
        <v>1283068.9863013704</v>
      </c>
      <c r="G10" s="403">
        <f ca="1">Balance!I11-Balance!H11</f>
        <v>868140.63207499869</v>
      </c>
      <c r="H10" s="403">
        <f ca="1">Balance!J11-Balance!I11</f>
        <v>33136464.166926607</v>
      </c>
      <c r="I10" s="403">
        <f ca="1">Balance!K11-Balance!J11</f>
        <v>12023287.945541173</v>
      </c>
      <c r="J10" s="403">
        <f ca="1">Balance!L11-Balance!K11</f>
        <v>8997674.7887221947</v>
      </c>
      <c r="K10" s="403">
        <f ca="1">Balance!M11-Balance!L11</f>
        <v>6160917.0034203529</v>
      </c>
      <c r="L10" s="403">
        <f ca="1">Balance!N11-Balance!M11</f>
        <v>7025628.1672798097</v>
      </c>
      <c r="M10" s="403">
        <f ca="1">Balance!O11-Balance!N11</f>
        <v>8036183.9052583575</v>
      </c>
      <c r="N10" s="403">
        <f ca="1">Balance!P11-Balance!O11</f>
        <v>7757014.9123817533</v>
      </c>
    </row>
    <row r="11" spans="1:14" ht="15.5">
      <c r="C11" s="409" t="s">
        <v>401</v>
      </c>
      <c r="D11" s="132"/>
      <c r="E11" s="403">
        <f>Balance!G12-0</f>
        <v>15558848.2498428</v>
      </c>
      <c r="F11" s="403">
        <f>Balance!H12-Balance!G12</f>
        <v>6604442.4124921411</v>
      </c>
      <c r="G11" s="403">
        <f ca="1">Balance!I12-Balance!H12</f>
        <v>1275863.1578188427</v>
      </c>
      <c r="H11" s="403">
        <f ca="1">Balance!J12-Balance!I12</f>
        <v>150910066.86761561</v>
      </c>
      <c r="I11" s="403">
        <f ca="1">Balance!K12-Balance!J12</f>
        <v>61500871.630842268</v>
      </c>
      <c r="J11" s="403">
        <f ca="1">Balance!L12-Balance!K12</f>
        <v>14402347.689716548</v>
      </c>
      <c r="K11" s="403">
        <f ca="1">Balance!M12-Balance!L12</f>
        <v>16230558.298476934</v>
      </c>
      <c r="L11" s="403">
        <f ca="1">Balance!N12-Balance!M12</f>
        <v>18312079.223870575</v>
      </c>
      <c r="M11" s="403">
        <f ca="1">Balance!O12-Balance!N12</f>
        <v>20650155.656397283</v>
      </c>
      <c r="N11" s="403">
        <f ca="1">Balance!P12-Balance!O12</f>
        <v>23320233.451177359</v>
      </c>
    </row>
    <row r="12" spans="1:14" ht="15.5">
      <c r="C12" s="492" t="s">
        <v>191</v>
      </c>
      <c r="D12" s="132"/>
      <c r="E12" s="403"/>
      <c r="F12" s="403"/>
      <c r="G12" s="403"/>
      <c r="H12" s="403"/>
      <c r="I12" s="403"/>
      <c r="J12" s="403"/>
      <c r="K12" s="403"/>
      <c r="L12" s="403"/>
      <c r="M12" s="403"/>
      <c r="N12" s="457"/>
    </row>
    <row r="13" spans="1:14" ht="15.5">
      <c r="C13" s="492" t="s">
        <v>192</v>
      </c>
      <c r="D13" s="132"/>
      <c r="E13" s="403">
        <f>Balance!G24</f>
        <v>775273.9726027397</v>
      </c>
      <c r="F13" s="403">
        <f>Balance!H24-Balance!G24</f>
        <v>91655.842465753434</v>
      </c>
      <c r="G13" s="403">
        <f ca="1">Balance!I24-Balance!H24</f>
        <v>105270.84801977209</v>
      </c>
      <c r="H13" s="403">
        <f ca="1">Balance!J24-Balance!I24</f>
        <v>8011653.666794383</v>
      </c>
      <c r="I13" s="403">
        <f ca="1">Balance!K24-Balance!J24</f>
        <v>968701.71010017954</v>
      </c>
      <c r="J13" s="403">
        <f ca="1">Balance!L24-Balance!K24</f>
        <v>1109479.5407029558</v>
      </c>
      <c r="K13" s="403">
        <f ca="1">Balance!M24-Balance!L24</f>
        <v>1275184.095000824</v>
      </c>
      <c r="L13" s="403">
        <f ca="1">Balance!N24-Balance!M24</f>
        <v>1471345.5532122739</v>
      </c>
      <c r="M13" s="403">
        <f ca="1">Balance!O24-Balance!N24</f>
        <v>1701437.5285842698</v>
      </c>
      <c r="N13" s="403">
        <f ca="1">Balance!P24-Balance!O24</f>
        <v>1971749.4624560848</v>
      </c>
    </row>
    <row r="14" spans="1:14" ht="15.5">
      <c r="C14" s="409"/>
      <c r="D14" s="132"/>
      <c r="E14" s="48"/>
      <c r="F14" s="48"/>
      <c r="G14" s="48"/>
      <c r="H14" s="48"/>
      <c r="I14" s="48"/>
      <c r="J14" s="48"/>
      <c r="K14" s="48"/>
      <c r="L14" s="48"/>
      <c r="M14" s="48"/>
      <c r="N14" s="49"/>
    </row>
    <row r="15" spans="1:14" ht="15.5">
      <c r="C15" s="492" t="s">
        <v>193</v>
      </c>
      <c r="D15" s="132"/>
      <c r="E15" s="133"/>
      <c r="F15" s="133"/>
      <c r="G15" s="133"/>
      <c r="H15" s="133"/>
      <c r="I15" s="133"/>
      <c r="J15" s="133"/>
      <c r="K15" s="133"/>
      <c r="L15" s="133"/>
      <c r="M15" s="133"/>
      <c r="N15" s="133"/>
    </row>
    <row r="16" spans="1:14" ht="15.5">
      <c r="C16" s="409" t="s">
        <v>403</v>
      </c>
      <c r="D16" s="132"/>
      <c r="E16" s="403">
        <f>E8+E9-E11+E13-E10</f>
        <v>-11247804.388474774</v>
      </c>
      <c r="F16" s="403">
        <f t="shared" ref="F16:N16" si="0">F8+F9-F11+F13-F10</f>
        <v>1327305.1495954231</v>
      </c>
      <c r="G16" s="403">
        <f t="shared" ca="1" si="0"/>
        <v>8794539.1465217341</v>
      </c>
      <c r="H16" s="403">
        <f t="shared" ca="1" si="0"/>
        <v>-91630880.64778927</v>
      </c>
      <c r="I16" s="403">
        <f t="shared" ca="1" si="0"/>
        <v>34936836.755218722</v>
      </c>
      <c r="J16" s="403">
        <f t="shared" ca="1" si="0"/>
        <v>103926410.17993316</v>
      </c>
      <c r="K16" s="403">
        <f t="shared" ca="1" si="0"/>
        <v>118284954.11259247</v>
      </c>
      <c r="L16" s="403">
        <f t="shared" ca="1" si="0"/>
        <v>130566499.64533597</v>
      </c>
      <c r="M16" s="403">
        <f t="shared" ca="1" si="0"/>
        <v>144640876.83217695</v>
      </c>
      <c r="N16" s="403">
        <f t="shared" ca="1" si="0"/>
        <v>158978383.32449019</v>
      </c>
    </row>
    <row r="17" spans="3:14">
      <c r="C17" s="408"/>
      <c r="D17" s="132"/>
      <c r="E17" s="48"/>
      <c r="F17" s="48"/>
      <c r="G17" s="48"/>
      <c r="H17" s="48"/>
      <c r="I17" s="48"/>
      <c r="J17" s="48"/>
      <c r="K17" s="48"/>
      <c r="L17" s="48"/>
      <c r="M17" s="48"/>
      <c r="N17" s="49"/>
    </row>
    <row r="18" spans="3:14" ht="15.5">
      <c r="C18" s="493"/>
      <c r="D18" s="132"/>
      <c r="E18" s="135"/>
      <c r="F18" s="135"/>
      <c r="G18" s="135"/>
      <c r="H18" s="135"/>
      <c r="I18" s="135"/>
      <c r="J18" s="135"/>
      <c r="K18" s="135"/>
      <c r="L18" s="135"/>
      <c r="M18" s="135"/>
      <c r="N18" s="136"/>
    </row>
    <row r="19" spans="3:14" ht="15.5">
      <c r="C19" s="494" t="s">
        <v>194</v>
      </c>
      <c r="D19" s="132"/>
      <c r="E19" s="403">
        <f>'Depreciation Schedule'!G9</f>
        <v>199515.82477468037</v>
      </c>
      <c r="F19" s="403">
        <v>0</v>
      </c>
      <c r="G19" s="403">
        <v>0</v>
      </c>
      <c r="H19" s="403">
        <v>0</v>
      </c>
      <c r="I19" s="403">
        <v>0</v>
      </c>
      <c r="J19" s="403">
        <v>0</v>
      </c>
      <c r="K19" s="403">
        <v>0</v>
      </c>
      <c r="L19" s="403">
        <v>0</v>
      </c>
      <c r="M19" s="403">
        <v>0</v>
      </c>
      <c r="N19" s="403">
        <v>0</v>
      </c>
    </row>
    <row r="20" spans="3:14" ht="15.5">
      <c r="C20" s="494" t="s">
        <v>195</v>
      </c>
      <c r="D20" s="132"/>
      <c r="E20" s="48"/>
      <c r="F20" s="48"/>
      <c r="G20" s="48"/>
      <c r="H20" s="48"/>
      <c r="I20" s="48"/>
      <c r="J20" s="48"/>
      <c r="K20" s="48"/>
      <c r="L20" s="48"/>
      <c r="M20" s="48"/>
      <c r="N20" s="49"/>
    </row>
    <row r="21" spans="3:14" ht="15.5">
      <c r="C21" s="494" t="s">
        <v>196</v>
      </c>
      <c r="D21" s="132"/>
      <c r="E21" s="403">
        <f>E19+E20</f>
        <v>199515.82477468037</v>
      </c>
      <c r="F21" s="403">
        <f t="shared" ref="F21:N21" si="1">F19+F20</f>
        <v>0</v>
      </c>
      <c r="G21" s="403">
        <f t="shared" si="1"/>
        <v>0</v>
      </c>
      <c r="H21" s="403">
        <f t="shared" si="1"/>
        <v>0</v>
      </c>
      <c r="I21" s="403">
        <f t="shared" si="1"/>
        <v>0</v>
      </c>
      <c r="J21" s="403">
        <f t="shared" si="1"/>
        <v>0</v>
      </c>
      <c r="K21" s="403">
        <f t="shared" si="1"/>
        <v>0</v>
      </c>
      <c r="L21" s="403">
        <f t="shared" si="1"/>
        <v>0</v>
      </c>
      <c r="M21" s="403">
        <f t="shared" si="1"/>
        <v>0</v>
      </c>
      <c r="N21" s="403">
        <f t="shared" si="1"/>
        <v>0</v>
      </c>
    </row>
    <row r="22" spans="3:14" ht="15.5">
      <c r="C22" s="494"/>
      <c r="D22" s="132"/>
      <c r="E22" s="137"/>
      <c r="F22" s="135"/>
      <c r="G22" s="135"/>
      <c r="H22" s="135"/>
      <c r="I22" s="135"/>
      <c r="J22" s="135"/>
      <c r="K22" s="135"/>
      <c r="L22" s="135"/>
      <c r="M22" s="135"/>
      <c r="N22" s="135"/>
    </row>
    <row r="23" spans="3:14" ht="15.5">
      <c r="C23" s="494" t="s">
        <v>197</v>
      </c>
      <c r="D23" s="132"/>
      <c r="E23" s="403">
        <f>'Loan Repayment Schedule'!H13</f>
        <v>1083115.8247746804</v>
      </c>
      <c r="F23" s="403">
        <v>0</v>
      </c>
      <c r="G23" s="403">
        <v>0</v>
      </c>
      <c r="H23" s="403">
        <v>0</v>
      </c>
      <c r="I23" s="403">
        <v>0</v>
      </c>
      <c r="J23" s="403">
        <v>0</v>
      </c>
      <c r="K23" s="403">
        <v>0</v>
      </c>
      <c r="L23" s="403">
        <v>0</v>
      </c>
      <c r="M23" s="403">
        <v>0</v>
      </c>
      <c r="N23" s="403">
        <v>0</v>
      </c>
    </row>
    <row r="24" spans="3:14" ht="15.5">
      <c r="C24" s="494" t="s">
        <v>198</v>
      </c>
      <c r="D24" s="132"/>
      <c r="E24" s="403">
        <f>-'Loan Repayment Schedule'!H25</f>
        <v>-50611.909920330327</v>
      </c>
      <c r="F24" s="403">
        <f>-'Loan Repayment Schedule'!I25</f>
        <v>-58748.003090612889</v>
      </c>
      <c r="G24" s="403">
        <f>-'Loan Repayment Schedule'!J25</f>
        <v>-68192.009994633598</v>
      </c>
      <c r="H24" s="403">
        <f>-'Loan Repayment Schedule'!K25</f>
        <v>-79154.183673882813</v>
      </c>
      <c r="I24" s="403">
        <f>-'Loan Repayment Schedule'!L25</f>
        <v>-91878.576296135507</v>
      </c>
      <c r="J24" s="403">
        <f>-'Loan Repayment Schedule'!M25</f>
        <v>-106648.47251769651</v>
      </c>
      <c r="K24" s="403">
        <f>-'Loan Repayment Schedule'!N25</f>
        <v>-123792.69628317331</v>
      </c>
      <c r="L24" s="403">
        <f>-'Loan Repayment Schedule'!O25</f>
        <v>-143692.93147180454</v>
      </c>
      <c r="M24" s="403">
        <f>-'Loan Repayment Schedule'!P25</f>
        <v>-166792.21937075836</v>
      </c>
      <c r="N24" s="403">
        <f>-'Loan Repayment Schedule'!Q25</f>
        <v>-193604.82215565321</v>
      </c>
    </row>
    <row r="25" spans="3:14" ht="15.5">
      <c r="C25" s="494" t="s">
        <v>199</v>
      </c>
      <c r="D25" s="132"/>
      <c r="E25" s="403"/>
      <c r="F25" s="403"/>
      <c r="G25" s="403"/>
      <c r="H25" s="403"/>
      <c r="I25" s="403"/>
      <c r="J25" s="403"/>
      <c r="K25" s="403"/>
      <c r="L25" s="403"/>
      <c r="M25" s="403"/>
      <c r="N25" s="457"/>
    </row>
    <row r="26" spans="3:14" ht="15.5">
      <c r="C26" s="495" t="s">
        <v>200</v>
      </c>
      <c r="D26" s="132"/>
      <c r="E26" s="403">
        <v>50000</v>
      </c>
      <c r="F26" s="403">
        <v>0</v>
      </c>
      <c r="G26" s="403">
        <v>0</v>
      </c>
      <c r="H26" s="403">
        <v>0</v>
      </c>
      <c r="I26" s="403">
        <v>0</v>
      </c>
      <c r="J26" s="403">
        <v>0</v>
      </c>
      <c r="K26" s="403">
        <v>0</v>
      </c>
      <c r="L26" s="403">
        <v>0</v>
      </c>
      <c r="M26" s="403">
        <v>0</v>
      </c>
      <c r="N26" s="403">
        <v>0</v>
      </c>
    </row>
    <row r="27" spans="3:14" ht="15.5">
      <c r="C27" s="495" t="s">
        <v>201</v>
      </c>
      <c r="D27" s="132"/>
      <c r="E27" s="403">
        <v>0</v>
      </c>
      <c r="F27" s="403">
        <v>0</v>
      </c>
      <c r="G27" s="403">
        <v>0</v>
      </c>
      <c r="H27" s="403">
        <v>0</v>
      </c>
      <c r="I27" s="403">
        <v>0</v>
      </c>
      <c r="J27" s="403">
        <v>0</v>
      </c>
      <c r="K27" s="403">
        <v>0</v>
      </c>
      <c r="L27" s="403">
        <v>0</v>
      </c>
      <c r="M27" s="403">
        <v>0</v>
      </c>
      <c r="N27" s="403">
        <v>0</v>
      </c>
    </row>
    <row r="28" spans="3:14" ht="15.5">
      <c r="C28" s="494" t="s">
        <v>202</v>
      </c>
      <c r="D28" s="132"/>
      <c r="E28" s="403"/>
      <c r="F28" s="403"/>
      <c r="G28" s="403"/>
      <c r="H28" s="403"/>
      <c r="I28" s="403"/>
      <c r="J28" s="403"/>
      <c r="K28" s="403"/>
      <c r="L28" s="403"/>
      <c r="M28" s="403"/>
      <c r="N28" s="403"/>
    </row>
    <row r="29" spans="3:14" ht="15.5">
      <c r="C29" s="494" t="s">
        <v>203</v>
      </c>
      <c r="D29" s="132"/>
      <c r="E29" s="403">
        <f>SUM(E23:E28)</f>
        <v>1082503.91485435</v>
      </c>
      <c r="F29" s="403">
        <f t="shared" ref="F29:N29" si="2">SUM(F23:F28)</f>
        <v>-58748.003090612889</v>
      </c>
      <c r="G29" s="403">
        <f t="shared" si="2"/>
        <v>-68192.009994633598</v>
      </c>
      <c r="H29" s="403">
        <f t="shared" si="2"/>
        <v>-79154.183673882813</v>
      </c>
      <c r="I29" s="403">
        <f t="shared" si="2"/>
        <v>-91878.576296135507</v>
      </c>
      <c r="J29" s="403">
        <f t="shared" si="2"/>
        <v>-106648.47251769651</v>
      </c>
      <c r="K29" s="403">
        <f t="shared" si="2"/>
        <v>-123792.69628317331</v>
      </c>
      <c r="L29" s="403">
        <f t="shared" si="2"/>
        <v>-143692.93147180454</v>
      </c>
      <c r="M29" s="403">
        <f t="shared" si="2"/>
        <v>-166792.21937075836</v>
      </c>
      <c r="N29" s="403">
        <f t="shared" si="2"/>
        <v>-193604.82215565321</v>
      </c>
    </row>
    <row r="30" spans="3:14" ht="15.5">
      <c r="C30" s="494"/>
      <c r="D30" s="132"/>
      <c r="E30" s="135"/>
      <c r="F30" s="135"/>
      <c r="G30" s="135"/>
      <c r="H30" s="135"/>
      <c r="I30" s="135"/>
      <c r="J30" s="135"/>
      <c r="K30" s="135"/>
      <c r="L30" s="135"/>
      <c r="M30" s="135"/>
      <c r="N30" s="136"/>
    </row>
    <row r="31" spans="3:14" ht="15.5">
      <c r="C31" s="494" t="s">
        <v>204</v>
      </c>
      <c r="D31" s="132"/>
      <c r="E31" s="403">
        <f>E16-E21+E29</f>
        <v>-10364816.298395105</v>
      </c>
      <c r="F31" s="403">
        <f t="shared" ref="F31:N31" si="3">F16-F21+F29</f>
        <v>1268557.1465048103</v>
      </c>
      <c r="G31" s="403">
        <f t="shared" ca="1" si="3"/>
        <v>8726347.1365271006</v>
      </c>
      <c r="H31" s="403">
        <f t="shared" ca="1" si="3"/>
        <v>-91710034.831463158</v>
      </c>
      <c r="I31" s="403">
        <f t="shared" ca="1" si="3"/>
        <v>34844958.178922586</v>
      </c>
      <c r="J31" s="403">
        <f t="shared" ca="1" si="3"/>
        <v>103819761.70741546</v>
      </c>
      <c r="K31" s="403">
        <f t="shared" ca="1" si="3"/>
        <v>118161161.4163093</v>
      </c>
      <c r="L31" s="403">
        <f t="shared" ca="1" si="3"/>
        <v>130422806.71386416</v>
      </c>
      <c r="M31" s="403">
        <f t="shared" ca="1" si="3"/>
        <v>144474084.6128062</v>
      </c>
      <c r="N31" s="403">
        <f t="shared" ca="1" si="3"/>
        <v>158784778.50233454</v>
      </c>
    </row>
    <row r="32" spans="3:14" ht="15.5">
      <c r="C32" s="496"/>
      <c r="D32" s="132"/>
      <c r="E32" s="48"/>
      <c r="F32" s="48"/>
      <c r="G32" s="48"/>
      <c r="H32" s="48"/>
      <c r="I32" s="48"/>
      <c r="J32" s="48"/>
      <c r="K32" s="48"/>
      <c r="L32" s="48"/>
      <c r="M32" s="48"/>
      <c r="N32" s="49"/>
    </row>
    <row r="33" spans="2:15" ht="15.5">
      <c r="C33" s="497" t="s">
        <v>205</v>
      </c>
      <c r="D33" s="132"/>
      <c r="E33" s="403">
        <v>0</v>
      </c>
      <c r="F33" s="403">
        <f>E35</f>
        <v>-10364816.298395105</v>
      </c>
      <c r="G33" s="403">
        <f t="shared" ref="G33:N33" si="4">F35</f>
        <v>-9096259.1518902946</v>
      </c>
      <c r="H33" s="403">
        <f t="shared" ca="1" si="4"/>
        <v>-369912.01536319405</v>
      </c>
      <c r="I33" s="403">
        <f t="shared" ca="1" si="4"/>
        <v>-92079946.846826345</v>
      </c>
      <c r="J33" s="403">
        <f t="shared" ca="1" si="4"/>
        <v>-57234988.667903759</v>
      </c>
      <c r="K33" s="403">
        <f t="shared" ca="1" si="4"/>
        <v>46584773.039511703</v>
      </c>
      <c r="L33" s="403">
        <f t="shared" ca="1" si="4"/>
        <v>164745934.45582101</v>
      </c>
      <c r="M33" s="403">
        <f t="shared" ca="1" si="4"/>
        <v>295168741.16968518</v>
      </c>
      <c r="N33" s="403">
        <f t="shared" ca="1" si="4"/>
        <v>439642825.78249139</v>
      </c>
    </row>
    <row r="34" spans="2:15" ht="15.5">
      <c r="C34" s="497"/>
      <c r="D34" s="132"/>
      <c r="E34" s="137"/>
      <c r="F34" s="135"/>
      <c r="G34" s="135"/>
      <c r="H34" s="135"/>
      <c r="I34" s="135"/>
      <c r="J34" s="135"/>
      <c r="K34" s="135"/>
      <c r="L34" s="135"/>
      <c r="M34" s="135"/>
      <c r="N34" s="135"/>
    </row>
    <row r="35" spans="2:15" ht="15.5">
      <c r="C35" s="497" t="s">
        <v>130</v>
      </c>
      <c r="D35" s="489"/>
      <c r="E35" s="490">
        <f>E31-E33</f>
        <v>-10364816.298395105</v>
      </c>
      <c r="F35" s="490">
        <f>F31+F33</f>
        <v>-9096259.1518902946</v>
      </c>
      <c r="G35" s="490">
        <f t="shared" ref="G35:N35" ca="1" si="5">G31+G33</f>
        <v>-369912.01536319405</v>
      </c>
      <c r="H35" s="490">
        <f t="shared" ca="1" si="5"/>
        <v>-92079946.846826345</v>
      </c>
      <c r="I35" s="490">
        <f t="shared" ca="1" si="5"/>
        <v>-57234988.667903759</v>
      </c>
      <c r="J35" s="490">
        <f t="shared" ca="1" si="5"/>
        <v>46584773.039511703</v>
      </c>
      <c r="K35" s="490">
        <f t="shared" ca="1" si="5"/>
        <v>164745934.45582101</v>
      </c>
      <c r="L35" s="490">
        <f t="shared" ca="1" si="5"/>
        <v>295168741.16968518</v>
      </c>
      <c r="M35" s="490">
        <f t="shared" ca="1" si="5"/>
        <v>439642825.78249139</v>
      </c>
      <c r="N35" s="490">
        <f t="shared" ca="1" si="5"/>
        <v>598427604.28482592</v>
      </c>
    </row>
    <row r="36" spans="2:15" ht="15.5">
      <c r="B36" s="467"/>
      <c r="C36" s="468"/>
      <c r="D36" s="467"/>
      <c r="E36" s="485"/>
      <c r="F36" s="485"/>
      <c r="G36" s="485"/>
      <c r="H36" s="485"/>
      <c r="I36" s="485"/>
      <c r="J36" s="485"/>
      <c r="K36" s="485"/>
      <c r="L36" s="485"/>
      <c r="M36" s="485"/>
      <c r="N36" s="485"/>
    </row>
    <row r="37" spans="2:15" ht="15.5">
      <c r="C37" s="468"/>
      <c r="D37" s="467"/>
      <c r="E37" s="485"/>
      <c r="F37" s="485"/>
      <c r="G37" s="485"/>
      <c r="H37" s="485"/>
      <c r="I37" s="485"/>
      <c r="J37" s="485"/>
      <c r="K37" s="485"/>
      <c r="L37" s="485"/>
      <c r="M37" s="485"/>
      <c r="N37" s="485"/>
    </row>
    <row r="38" spans="2:15" ht="15.5">
      <c r="C38" s="468"/>
      <c r="D38" s="467"/>
      <c r="E38" s="467"/>
      <c r="F38" s="467"/>
      <c r="G38" s="467"/>
      <c r="H38" s="467"/>
      <c r="I38" s="467"/>
      <c r="J38" s="467"/>
      <c r="K38" s="467"/>
      <c r="L38" s="467"/>
      <c r="M38" s="467"/>
      <c r="N38" s="467"/>
    </row>
    <row r="39" spans="2:15">
      <c r="C39" s="467"/>
      <c r="D39" s="467"/>
      <c r="E39" s="479"/>
      <c r="F39" s="479"/>
      <c r="G39" s="479"/>
      <c r="H39" s="479"/>
      <c r="I39" s="479"/>
      <c r="J39" s="479"/>
      <c r="K39" s="479"/>
      <c r="L39" s="479"/>
      <c r="M39" s="479"/>
      <c r="N39" s="479"/>
    </row>
    <row r="40" spans="2:15">
      <c r="C40" s="467"/>
      <c r="D40" s="467"/>
      <c r="E40" s="486"/>
      <c r="F40" s="485"/>
      <c r="G40" s="485"/>
      <c r="H40" s="485"/>
      <c r="I40" s="485"/>
      <c r="J40" s="485"/>
      <c r="K40" s="485"/>
      <c r="L40" s="485"/>
      <c r="M40" s="485"/>
      <c r="N40" s="485"/>
    </row>
    <row r="41" spans="2:15">
      <c r="B41" s="467"/>
      <c r="C41" s="467"/>
      <c r="D41" s="467"/>
      <c r="E41" s="467"/>
      <c r="F41" s="467"/>
      <c r="G41" s="467"/>
      <c r="H41" s="467"/>
      <c r="I41" s="467"/>
      <c r="J41" s="467"/>
      <c r="K41" s="467"/>
      <c r="L41" s="467"/>
      <c r="M41" s="467"/>
      <c r="N41" s="467"/>
      <c r="O41" s="467"/>
    </row>
    <row r="42" spans="2:15" ht="15.5">
      <c r="C42" s="468"/>
      <c r="D42" s="467"/>
      <c r="E42" s="485"/>
      <c r="F42" s="485"/>
      <c r="G42" s="485"/>
      <c r="H42" s="485"/>
      <c r="I42" s="485"/>
      <c r="J42" s="485"/>
      <c r="K42" s="485"/>
      <c r="L42" s="485"/>
      <c r="M42" s="485"/>
      <c r="N42" s="485"/>
      <c r="O42" s="467"/>
    </row>
    <row r="43" spans="2:15" ht="15.5">
      <c r="C43" s="468"/>
      <c r="D43" s="467"/>
      <c r="E43" s="485"/>
      <c r="F43" s="485"/>
      <c r="G43" s="485"/>
      <c r="H43" s="485"/>
      <c r="I43" s="485"/>
      <c r="J43" s="485"/>
      <c r="K43" s="485"/>
      <c r="L43" s="485"/>
      <c r="M43" s="485"/>
      <c r="N43" s="485"/>
      <c r="O43" s="467"/>
    </row>
    <row r="44" spans="2:15" ht="15.5">
      <c r="C44" s="468"/>
      <c r="D44" s="467"/>
      <c r="E44" s="467"/>
      <c r="F44" s="467"/>
      <c r="G44" s="467"/>
      <c r="H44" s="467"/>
      <c r="I44" s="467"/>
      <c r="J44" s="467"/>
      <c r="K44" s="467"/>
      <c r="L44" s="467"/>
      <c r="M44" s="467"/>
      <c r="N44" s="467"/>
    </row>
    <row r="45" spans="2:15">
      <c r="C45" s="467"/>
      <c r="D45" s="467"/>
      <c r="E45" s="479"/>
      <c r="F45" s="479"/>
      <c r="G45" s="479"/>
      <c r="H45" s="479"/>
      <c r="I45" s="479"/>
      <c r="J45" s="479"/>
      <c r="K45" s="479"/>
      <c r="L45" s="479"/>
      <c r="M45" s="479"/>
      <c r="N45" s="479"/>
    </row>
    <row r="46" spans="2:15">
      <c r="C46" s="467"/>
      <c r="D46" s="467"/>
      <c r="E46" s="486"/>
      <c r="F46" s="485"/>
      <c r="G46" s="485"/>
      <c r="H46" s="485"/>
      <c r="I46" s="485"/>
      <c r="J46" s="485"/>
      <c r="K46" s="485"/>
      <c r="L46" s="485"/>
      <c r="M46" s="485"/>
      <c r="N46" s="485"/>
    </row>
    <row r="47" spans="2:15">
      <c r="C47" s="467"/>
      <c r="D47" s="467"/>
      <c r="E47" s="467"/>
      <c r="F47" s="467"/>
      <c r="G47" s="467"/>
      <c r="H47" s="467"/>
      <c r="I47" s="467"/>
      <c r="J47" s="467"/>
      <c r="K47" s="467"/>
      <c r="L47" s="467"/>
      <c r="M47" s="467"/>
      <c r="N47" s="467"/>
    </row>
    <row r="48" spans="2:15" ht="15.5">
      <c r="C48" s="468"/>
      <c r="D48" s="467"/>
      <c r="E48" s="485"/>
      <c r="F48" s="485"/>
      <c r="G48" s="485"/>
      <c r="H48" s="485"/>
      <c r="I48" s="485"/>
      <c r="J48" s="485"/>
      <c r="K48" s="485"/>
      <c r="L48" s="485"/>
      <c r="M48" s="485"/>
      <c r="N48" s="485"/>
    </row>
    <row r="49" spans="3:14" ht="15.5">
      <c r="C49" s="468"/>
      <c r="D49" s="467"/>
      <c r="E49" s="485"/>
      <c r="F49" s="485"/>
      <c r="G49" s="485"/>
      <c r="H49" s="485"/>
      <c r="I49" s="485"/>
      <c r="J49" s="485"/>
      <c r="K49" s="485"/>
      <c r="L49" s="485"/>
      <c r="M49" s="485"/>
      <c r="N49" s="485"/>
    </row>
    <row r="50" spans="3:14" ht="15.5">
      <c r="C50" s="468"/>
      <c r="D50" s="467"/>
      <c r="E50" s="467"/>
      <c r="F50" s="467"/>
      <c r="G50" s="467"/>
      <c r="H50" s="467"/>
      <c r="I50" s="467"/>
      <c r="J50" s="467"/>
      <c r="K50" s="467"/>
      <c r="L50" s="467"/>
      <c r="M50" s="467"/>
      <c r="N50" s="467"/>
    </row>
    <row r="51" spans="3:14">
      <c r="C51" s="467"/>
      <c r="D51" s="467"/>
      <c r="E51" s="479"/>
      <c r="F51" s="479"/>
      <c r="G51" s="479"/>
      <c r="H51" s="479"/>
      <c r="I51" s="479"/>
      <c r="J51" s="479"/>
      <c r="K51" s="479"/>
      <c r="L51" s="479"/>
      <c r="M51" s="479"/>
      <c r="N51" s="479"/>
    </row>
    <row r="52" spans="3:14">
      <c r="C52" s="467"/>
      <c r="D52" s="467"/>
      <c r="E52" s="486"/>
      <c r="F52" s="485"/>
      <c r="G52" s="485"/>
      <c r="H52" s="485"/>
      <c r="I52" s="485"/>
      <c r="J52" s="485"/>
      <c r="K52" s="485"/>
      <c r="L52" s="485"/>
      <c r="M52" s="485"/>
      <c r="N52" s="485"/>
    </row>
    <row r="53" spans="3:14">
      <c r="C53" s="467"/>
      <c r="D53" s="467"/>
      <c r="E53" s="467"/>
      <c r="F53" s="467"/>
      <c r="G53" s="467"/>
      <c r="H53" s="467"/>
      <c r="I53" s="467"/>
      <c r="J53" s="467"/>
      <c r="K53" s="467"/>
      <c r="L53" s="467"/>
      <c r="M53" s="467"/>
      <c r="N53" s="467"/>
    </row>
    <row r="54" spans="3:14" ht="15.5">
      <c r="C54" s="468"/>
      <c r="D54" s="467"/>
      <c r="E54" s="485"/>
      <c r="F54" s="485"/>
      <c r="G54" s="485"/>
      <c r="H54" s="485"/>
      <c r="I54" s="485"/>
      <c r="J54" s="485"/>
      <c r="K54" s="485"/>
      <c r="L54" s="485"/>
      <c r="M54" s="485"/>
      <c r="N54" s="485"/>
    </row>
    <row r="55" spans="3:14" ht="15.5">
      <c r="C55" s="468"/>
      <c r="D55" s="467"/>
      <c r="E55" s="485"/>
      <c r="F55" s="485"/>
      <c r="G55" s="485"/>
      <c r="H55" s="485"/>
      <c r="I55" s="485"/>
      <c r="J55" s="485"/>
      <c r="K55" s="485"/>
      <c r="L55" s="485"/>
      <c r="M55" s="485"/>
      <c r="N55" s="485"/>
    </row>
    <row r="56" spans="3:14" ht="15.5">
      <c r="C56" s="468"/>
      <c r="D56" s="467"/>
      <c r="E56" s="467"/>
      <c r="F56" s="467"/>
      <c r="G56" s="467"/>
      <c r="H56" s="467"/>
      <c r="I56" s="467"/>
      <c r="J56" s="467"/>
      <c r="K56" s="467"/>
      <c r="L56" s="467"/>
      <c r="M56" s="467"/>
      <c r="N56" s="467"/>
    </row>
    <row r="57" spans="3:14">
      <c r="C57" s="467"/>
      <c r="D57" s="467"/>
      <c r="E57" s="479"/>
      <c r="F57" s="479"/>
      <c r="G57" s="479"/>
      <c r="H57" s="479"/>
      <c r="I57" s="479"/>
      <c r="J57" s="479"/>
      <c r="K57" s="479"/>
      <c r="L57" s="479"/>
      <c r="M57" s="479"/>
      <c r="N57" s="479"/>
    </row>
    <row r="58" spans="3:14">
      <c r="C58" s="467"/>
      <c r="D58" s="467"/>
      <c r="E58" s="486"/>
      <c r="F58" s="485"/>
      <c r="G58" s="485"/>
      <c r="H58" s="485"/>
      <c r="I58" s="485"/>
      <c r="J58" s="485"/>
      <c r="K58" s="485"/>
      <c r="L58" s="485"/>
      <c r="M58" s="485"/>
      <c r="N58" s="485"/>
    </row>
    <row r="59" spans="3:14">
      <c r="C59" s="467"/>
      <c r="D59" s="467"/>
      <c r="E59" s="467"/>
      <c r="F59" s="467"/>
      <c r="G59" s="467"/>
      <c r="H59" s="467"/>
      <c r="I59" s="467"/>
      <c r="J59" s="467"/>
      <c r="K59" s="467"/>
      <c r="L59" s="467"/>
      <c r="M59" s="467"/>
      <c r="N59" s="467"/>
    </row>
    <row r="60" spans="3:14" ht="15.5">
      <c r="C60" s="468"/>
      <c r="D60" s="467"/>
      <c r="E60" s="485"/>
      <c r="F60" s="485"/>
      <c r="G60" s="485"/>
      <c r="H60" s="485"/>
      <c r="I60" s="485"/>
      <c r="J60" s="485"/>
      <c r="K60" s="485"/>
      <c r="L60" s="485"/>
      <c r="M60" s="485"/>
      <c r="N60" s="485"/>
    </row>
    <row r="61" spans="3:14" ht="15.5">
      <c r="C61" s="468"/>
      <c r="D61" s="467"/>
      <c r="E61" s="485"/>
      <c r="F61" s="485"/>
      <c r="G61" s="485"/>
      <c r="H61" s="485"/>
      <c r="I61" s="485"/>
      <c r="J61" s="485"/>
      <c r="K61" s="485"/>
      <c r="L61" s="485"/>
      <c r="M61" s="485"/>
      <c r="N61" s="485"/>
    </row>
    <row r="62" spans="3:14" ht="15.5">
      <c r="C62" s="468"/>
      <c r="D62" s="467"/>
      <c r="E62" s="467"/>
      <c r="F62" s="467"/>
      <c r="G62" s="467"/>
      <c r="H62" s="467"/>
      <c r="I62" s="467"/>
      <c r="J62" s="467"/>
      <c r="K62" s="467"/>
      <c r="L62" s="467"/>
      <c r="M62" s="467"/>
      <c r="N62" s="467"/>
    </row>
    <row r="63" spans="3:14">
      <c r="C63" s="467"/>
      <c r="D63" s="467"/>
      <c r="E63" s="479"/>
      <c r="F63" s="479"/>
      <c r="G63" s="479"/>
      <c r="H63" s="479"/>
      <c r="I63" s="479"/>
      <c r="J63" s="479"/>
      <c r="K63" s="479"/>
      <c r="L63" s="479"/>
      <c r="M63" s="479"/>
      <c r="N63" s="479"/>
    </row>
    <row r="64" spans="3:14">
      <c r="C64" s="467"/>
      <c r="D64" s="467"/>
      <c r="E64" s="486"/>
      <c r="F64" s="485"/>
      <c r="G64" s="485"/>
      <c r="H64" s="485"/>
      <c r="I64" s="485"/>
      <c r="J64" s="485"/>
      <c r="K64" s="485"/>
      <c r="L64" s="485"/>
      <c r="M64" s="485"/>
      <c r="N64" s="485"/>
    </row>
    <row r="65" spans="3:14">
      <c r="C65" s="467"/>
      <c r="D65" s="467"/>
      <c r="E65" s="467"/>
      <c r="F65" s="467"/>
      <c r="G65" s="467"/>
      <c r="H65" s="467"/>
      <c r="I65" s="467"/>
      <c r="J65" s="467"/>
      <c r="K65" s="467"/>
      <c r="L65" s="467"/>
      <c r="M65" s="467"/>
      <c r="N65" s="467"/>
    </row>
    <row r="66" spans="3:14" ht="15.5">
      <c r="C66" s="468"/>
      <c r="D66" s="467"/>
      <c r="E66" s="485"/>
      <c r="F66" s="485"/>
      <c r="G66" s="485"/>
      <c r="H66" s="485"/>
      <c r="I66" s="485"/>
      <c r="J66" s="485"/>
      <c r="K66" s="485"/>
      <c r="L66" s="485"/>
      <c r="M66" s="485"/>
      <c r="N66" s="485"/>
    </row>
    <row r="67" spans="3:14">
      <c r="C67" s="467"/>
      <c r="D67" s="467"/>
      <c r="E67" s="467"/>
      <c r="F67" s="467"/>
      <c r="G67" s="467"/>
      <c r="H67" s="467"/>
      <c r="I67" s="467"/>
      <c r="J67" s="467"/>
      <c r="K67" s="467"/>
      <c r="L67" s="467"/>
      <c r="M67" s="467"/>
      <c r="N67" s="467"/>
    </row>
    <row r="68" spans="3:14" ht="15.5">
      <c r="C68" s="468"/>
      <c r="D68" s="467"/>
      <c r="E68" s="467"/>
      <c r="F68" s="467"/>
      <c r="G68" s="467"/>
      <c r="H68" s="467"/>
      <c r="I68" s="467"/>
      <c r="J68" s="467"/>
      <c r="K68" s="467"/>
      <c r="L68" s="467"/>
      <c r="M68" s="467"/>
      <c r="N68" s="467"/>
    </row>
    <row r="69" spans="3:14" ht="15.5">
      <c r="C69" s="468"/>
      <c r="D69" s="467"/>
      <c r="E69" s="467"/>
      <c r="F69" s="467"/>
      <c r="G69" s="467"/>
      <c r="H69" s="467"/>
      <c r="I69" s="467"/>
      <c r="J69" s="467"/>
      <c r="K69" s="467"/>
      <c r="L69" s="467"/>
      <c r="M69" s="467"/>
      <c r="N69" s="467"/>
    </row>
    <row r="70" spans="3:14" ht="15.5">
      <c r="C70" s="468"/>
      <c r="D70" s="467"/>
      <c r="E70" s="485"/>
      <c r="F70" s="485"/>
      <c r="G70" s="485"/>
      <c r="H70" s="485"/>
      <c r="I70" s="485"/>
      <c r="J70" s="485"/>
      <c r="K70" s="485"/>
      <c r="L70" s="485"/>
      <c r="M70" s="485"/>
      <c r="N70" s="485"/>
    </row>
    <row r="71" spans="3:14">
      <c r="C71" s="467"/>
      <c r="D71" s="467"/>
      <c r="E71" s="467"/>
      <c r="F71" s="467"/>
      <c r="G71" s="467"/>
      <c r="H71" s="467"/>
      <c r="I71" s="467"/>
      <c r="J71" s="467"/>
      <c r="K71" s="467"/>
      <c r="L71" s="467"/>
      <c r="M71" s="467"/>
      <c r="N71" s="467"/>
    </row>
    <row r="72" spans="3:14" ht="18.5">
      <c r="C72" s="488"/>
      <c r="D72" s="467"/>
      <c r="E72" s="485"/>
      <c r="F72" s="485"/>
      <c r="G72" s="485"/>
      <c r="H72" s="485"/>
      <c r="I72" s="485"/>
      <c r="J72" s="485"/>
      <c r="K72" s="485"/>
      <c r="L72" s="485"/>
      <c r="M72" s="485"/>
      <c r="N72" s="485"/>
    </row>
    <row r="73" spans="3:14">
      <c r="C73" s="467"/>
      <c r="D73" s="467"/>
      <c r="E73" s="467"/>
      <c r="F73" s="467"/>
      <c r="G73" s="467"/>
      <c r="H73" s="467"/>
      <c r="I73" s="467"/>
      <c r="J73" s="467"/>
      <c r="K73" s="467"/>
      <c r="L73" s="467"/>
      <c r="M73" s="467"/>
      <c r="N73" s="467"/>
    </row>
    <row r="74" spans="3:14">
      <c r="C74" s="467"/>
      <c r="D74" s="467"/>
      <c r="E74" s="467"/>
      <c r="F74" s="467"/>
      <c r="G74" s="467"/>
      <c r="H74" s="467"/>
      <c r="I74" s="467"/>
      <c r="J74" s="467"/>
      <c r="K74" s="467"/>
      <c r="L74" s="467"/>
      <c r="M74" s="467"/>
      <c r="N74" s="467"/>
    </row>
    <row r="75" spans="3:14">
      <c r="C75" s="467"/>
      <c r="D75" s="467"/>
      <c r="E75" s="467"/>
      <c r="F75" s="467"/>
      <c r="G75" s="467"/>
      <c r="H75" s="467"/>
      <c r="I75" s="467"/>
      <c r="J75" s="467"/>
      <c r="K75" s="467"/>
      <c r="L75" s="467"/>
      <c r="M75" s="467"/>
      <c r="N75" s="467"/>
    </row>
    <row r="76" spans="3:14">
      <c r="C76" s="467"/>
      <c r="D76" s="467"/>
      <c r="E76" s="467"/>
      <c r="F76" s="467"/>
      <c r="G76" s="467"/>
      <c r="H76" s="467"/>
      <c r="I76" s="467"/>
      <c r="J76" s="467"/>
      <c r="K76" s="467"/>
      <c r="L76" s="467"/>
      <c r="M76" s="467"/>
      <c r="N76" s="467"/>
    </row>
    <row r="77" spans="3:14">
      <c r="C77" s="467"/>
      <c r="D77" s="467"/>
      <c r="E77" s="467"/>
      <c r="F77" s="467"/>
      <c r="G77" s="467"/>
      <c r="H77" s="467"/>
      <c r="I77" s="467"/>
      <c r="J77" s="467"/>
      <c r="K77" s="467"/>
      <c r="L77" s="467"/>
      <c r="M77" s="467"/>
      <c r="N77" s="467"/>
    </row>
    <row r="78" spans="3:14" ht="18.5">
      <c r="C78" s="488"/>
      <c r="D78" s="467"/>
      <c r="E78" s="467"/>
      <c r="F78" s="467"/>
      <c r="G78" s="467"/>
      <c r="H78" s="467"/>
      <c r="I78" s="467"/>
      <c r="J78" s="467"/>
      <c r="K78" s="467"/>
      <c r="L78" s="467"/>
      <c r="M78" s="467"/>
      <c r="N78" s="467"/>
    </row>
    <row r="79" spans="3:14" ht="15.5">
      <c r="C79" s="468"/>
      <c r="D79" s="467"/>
      <c r="E79" s="485"/>
      <c r="F79" s="485"/>
      <c r="G79" s="485"/>
      <c r="H79" s="485"/>
      <c r="I79" s="485"/>
      <c r="J79" s="485"/>
      <c r="K79" s="485"/>
      <c r="L79" s="485"/>
      <c r="M79" s="485"/>
      <c r="N79" s="485"/>
    </row>
    <row r="80" spans="3:14" ht="15.5">
      <c r="C80" s="468"/>
      <c r="D80" s="467"/>
      <c r="E80" s="485"/>
      <c r="F80" s="485"/>
      <c r="G80" s="485"/>
      <c r="H80" s="485"/>
      <c r="I80" s="485"/>
      <c r="J80" s="485"/>
      <c r="K80" s="485"/>
      <c r="L80" s="485"/>
      <c r="M80" s="485"/>
      <c r="N80" s="485"/>
    </row>
    <row r="81" spans="3:14" ht="15.5">
      <c r="C81" s="468"/>
      <c r="D81" s="467"/>
      <c r="E81" s="485"/>
      <c r="F81" s="485"/>
      <c r="G81" s="485"/>
      <c r="H81" s="485"/>
      <c r="I81" s="485"/>
      <c r="J81" s="485"/>
      <c r="K81" s="485"/>
      <c r="L81" s="485"/>
      <c r="M81" s="485"/>
      <c r="N81" s="485"/>
    </row>
    <row r="82" spans="3:14" ht="15.5">
      <c r="C82" s="468"/>
      <c r="D82" s="467"/>
      <c r="E82" s="485"/>
      <c r="F82" s="485"/>
      <c r="G82" s="485"/>
      <c r="H82" s="485"/>
      <c r="I82" s="485"/>
      <c r="J82" s="485"/>
      <c r="K82" s="485"/>
      <c r="L82" s="485"/>
      <c r="M82" s="485"/>
      <c r="N82" s="485"/>
    </row>
    <row r="83" spans="3:14" ht="15.5">
      <c r="C83" s="468"/>
      <c r="D83" s="467"/>
      <c r="E83" s="485"/>
      <c r="F83" s="485"/>
      <c r="G83" s="485"/>
      <c r="H83" s="485"/>
      <c r="I83" s="485"/>
      <c r="J83" s="485"/>
      <c r="K83" s="485"/>
      <c r="L83" s="485"/>
      <c r="M83" s="485"/>
      <c r="N83" s="485"/>
    </row>
    <row r="84" spans="3:14" ht="15.5">
      <c r="C84" s="468"/>
      <c r="D84" s="467"/>
      <c r="E84" s="485"/>
      <c r="F84" s="485"/>
      <c r="G84" s="485"/>
      <c r="H84" s="485"/>
      <c r="I84" s="485"/>
      <c r="J84" s="485"/>
      <c r="K84" s="485"/>
      <c r="L84" s="485"/>
      <c r="M84" s="485"/>
      <c r="N84" s="485"/>
    </row>
    <row r="85" spans="3:14" ht="15.5">
      <c r="C85" s="468"/>
      <c r="D85" s="467"/>
      <c r="E85" s="485"/>
      <c r="F85" s="485"/>
      <c r="G85" s="485"/>
      <c r="H85" s="485"/>
      <c r="I85" s="485"/>
      <c r="J85" s="485"/>
      <c r="K85" s="485"/>
      <c r="L85" s="485"/>
      <c r="M85" s="485"/>
      <c r="N85" s="485"/>
    </row>
    <row r="86" spans="3:14" ht="15.5">
      <c r="C86" s="468"/>
      <c r="D86" s="467"/>
      <c r="E86" s="485"/>
      <c r="F86" s="485"/>
      <c r="G86" s="485"/>
      <c r="H86" s="485"/>
      <c r="I86" s="485"/>
      <c r="J86" s="485"/>
      <c r="K86" s="485"/>
      <c r="L86" s="485"/>
      <c r="M86" s="485"/>
      <c r="N86" s="485"/>
    </row>
    <row r="87" spans="3:14" ht="15.5">
      <c r="C87" s="468"/>
      <c r="D87" s="467"/>
      <c r="E87" s="485"/>
      <c r="F87" s="485"/>
      <c r="G87" s="485"/>
      <c r="H87" s="485"/>
      <c r="I87" s="485"/>
      <c r="J87" s="485"/>
      <c r="K87" s="485"/>
      <c r="L87" s="485"/>
      <c r="M87" s="485"/>
      <c r="N87" s="485"/>
    </row>
    <row r="88" spans="3:14" ht="15.5">
      <c r="C88" s="468"/>
      <c r="D88" s="467"/>
      <c r="E88" s="485"/>
      <c r="F88" s="485"/>
      <c r="G88" s="485"/>
      <c r="H88" s="485"/>
      <c r="I88" s="485"/>
      <c r="J88" s="485"/>
      <c r="K88" s="485"/>
      <c r="L88" s="485"/>
      <c r="M88" s="485"/>
      <c r="N88" s="485"/>
    </row>
    <row r="89" spans="3:14" ht="15.5">
      <c r="C89" s="468"/>
      <c r="D89" s="467"/>
      <c r="E89" s="485"/>
      <c r="F89" s="485"/>
      <c r="G89" s="485"/>
      <c r="H89" s="485"/>
      <c r="I89" s="485"/>
      <c r="J89" s="485"/>
      <c r="K89" s="485"/>
      <c r="L89" s="485"/>
      <c r="M89" s="485"/>
      <c r="N89" s="485"/>
    </row>
    <row r="90" spans="3:14">
      <c r="C90" s="467"/>
      <c r="D90" s="467"/>
      <c r="E90" s="467"/>
      <c r="F90" s="467"/>
      <c r="G90" s="467"/>
      <c r="H90" s="467"/>
      <c r="I90" s="467"/>
      <c r="J90" s="467"/>
      <c r="K90" s="467"/>
      <c r="L90" s="467"/>
      <c r="M90" s="467"/>
      <c r="N90" s="467"/>
    </row>
    <row r="91" spans="3:14" ht="18.5">
      <c r="C91" s="488"/>
      <c r="D91" s="467"/>
      <c r="E91" s="485"/>
      <c r="F91" s="485"/>
      <c r="G91" s="485"/>
      <c r="H91" s="485"/>
      <c r="I91" s="485"/>
      <c r="J91" s="485"/>
      <c r="K91" s="485"/>
      <c r="L91" s="485"/>
      <c r="M91" s="485"/>
      <c r="N91" s="485"/>
    </row>
    <row r="92" spans="3:14">
      <c r="C92" s="467"/>
      <c r="D92" s="467"/>
      <c r="E92" s="467"/>
      <c r="F92" s="467"/>
      <c r="G92" s="467"/>
      <c r="H92" s="467"/>
      <c r="I92" s="467"/>
      <c r="J92" s="467"/>
      <c r="K92" s="467"/>
      <c r="L92" s="467"/>
      <c r="M92" s="467"/>
      <c r="N92" s="467"/>
    </row>
    <row r="93" spans="3:14" ht="18.5">
      <c r="C93" s="488"/>
      <c r="D93" s="467"/>
      <c r="E93" s="467"/>
      <c r="F93" s="467"/>
      <c r="G93" s="467"/>
      <c r="H93" s="467"/>
      <c r="I93" s="467"/>
      <c r="J93" s="467"/>
      <c r="K93" s="467"/>
      <c r="L93" s="467"/>
      <c r="M93" s="467"/>
      <c r="N93" s="467"/>
    </row>
    <row r="94" spans="3:14">
      <c r="C94" s="467"/>
      <c r="D94" s="467"/>
      <c r="E94" s="467"/>
      <c r="F94" s="467"/>
      <c r="G94" s="467"/>
      <c r="H94" s="467"/>
      <c r="I94" s="467"/>
      <c r="J94" s="467"/>
      <c r="K94" s="467"/>
      <c r="L94" s="467"/>
      <c r="M94" s="467"/>
      <c r="N94" s="467"/>
    </row>
    <row r="95" spans="3:14" ht="15.5">
      <c r="C95" s="468"/>
      <c r="D95" s="467"/>
      <c r="E95" s="467"/>
      <c r="F95" s="467"/>
      <c r="G95" s="467"/>
      <c r="H95" s="467"/>
      <c r="I95" s="467"/>
      <c r="J95" s="467"/>
      <c r="K95" s="467"/>
      <c r="L95" s="467"/>
      <c r="M95" s="467"/>
      <c r="N95" s="467"/>
    </row>
    <row r="96" spans="3:14" ht="15.5">
      <c r="C96" s="468"/>
      <c r="D96" s="467"/>
      <c r="E96" s="467"/>
      <c r="F96" s="467"/>
      <c r="G96" s="467"/>
      <c r="H96" s="467"/>
      <c r="I96" s="467"/>
      <c r="J96" s="467"/>
      <c r="K96" s="467"/>
      <c r="L96" s="467"/>
      <c r="M96" s="467"/>
      <c r="N96" s="467"/>
    </row>
    <row r="97" spans="3:14">
      <c r="C97" s="467"/>
      <c r="D97" s="467"/>
      <c r="E97" s="485"/>
      <c r="F97" s="485"/>
      <c r="G97" s="485"/>
      <c r="H97" s="485"/>
      <c r="I97" s="485"/>
      <c r="J97" s="485"/>
      <c r="K97" s="485"/>
      <c r="L97" s="485"/>
      <c r="M97" s="485"/>
      <c r="N97" s="485"/>
    </row>
    <row r="98" spans="3:14">
      <c r="C98" s="467"/>
      <c r="D98" s="467"/>
      <c r="E98" s="485"/>
      <c r="F98" s="485"/>
      <c r="G98" s="485"/>
      <c r="H98" s="485"/>
      <c r="I98" s="485"/>
      <c r="J98" s="485"/>
      <c r="K98" s="485"/>
      <c r="L98" s="485"/>
      <c r="M98" s="485"/>
      <c r="N98" s="485"/>
    </row>
    <row r="99" spans="3:14">
      <c r="C99" s="467"/>
      <c r="D99" s="467"/>
      <c r="E99" s="485"/>
      <c r="F99" s="485"/>
      <c r="G99" s="485"/>
      <c r="H99" s="485"/>
      <c r="I99" s="485"/>
      <c r="J99" s="485"/>
      <c r="K99" s="485"/>
      <c r="L99" s="485"/>
      <c r="M99" s="485"/>
      <c r="N99" s="485"/>
    </row>
    <row r="100" spans="3:14">
      <c r="C100" s="467"/>
      <c r="D100" s="467"/>
      <c r="E100" s="485"/>
      <c r="F100" s="485"/>
      <c r="G100" s="485"/>
      <c r="H100" s="485"/>
      <c r="I100" s="485"/>
      <c r="J100" s="485"/>
      <c r="K100" s="485"/>
      <c r="L100" s="485"/>
      <c r="M100" s="485"/>
      <c r="N100" s="485"/>
    </row>
    <row r="101" spans="3:14">
      <c r="C101" s="467"/>
      <c r="D101" s="467"/>
      <c r="E101" s="485"/>
      <c r="F101" s="485"/>
      <c r="G101" s="485"/>
      <c r="H101" s="485"/>
      <c r="I101" s="485"/>
      <c r="J101" s="485"/>
      <c r="K101" s="485"/>
      <c r="L101" s="485"/>
      <c r="M101" s="485"/>
      <c r="N101" s="485"/>
    </row>
    <row r="102" spans="3:14">
      <c r="C102" s="467"/>
      <c r="D102" s="467"/>
      <c r="E102" s="485"/>
      <c r="F102" s="485"/>
      <c r="G102" s="485"/>
      <c r="H102" s="485"/>
      <c r="I102" s="485"/>
      <c r="J102" s="485"/>
      <c r="K102" s="485"/>
      <c r="L102" s="485"/>
      <c r="M102" s="485"/>
      <c r="N102" s="485"/>
    </row>
    <row r="103" spans="3:14">
      <c r="C103" s="467"/>
      <c r="D103" s="467"/>
      <c r="E103" s="485"/>
      <c r="F103" s="485"/>
      <c r="G103" s="485"/>
      <c r="H103" s="485"/>
      <c r="I103" s="485"/>
      <c r="J103" s="485"/>
      <c r="K103" s="485"/>
      <c r="L103" s="485"/>
      <c r="M103" s="485"/>
      <c r="N103" s="485"/>
    </row>
    <row r="104" spans="3:14">
      <c r="C104" s="467"/>
      <c r="D104" s="467"/>
      <c r="E104" s="467"/>
      <c r="F104" s="467"/>
      <c r="G104" s="467"/>
      <c r="H104" s="467"/>
      <c r="I104" s="467"/>
      <c r="J104" s="467"/>
      <c r="K104" s="467"/>
      <c r="L104" s="467"/>
      <c r="M104" s="467"/>
      <c r="N104" s="467"/>
    </row>
    <row r="105" spans="3:14" ht="15.5">
      <c r="C105" s="468"/>
      <c r="D105" s="467"/>
      <c r="E105" s="485"/>
      <c r="F105" s="485"/>
      <c r="G105" s="485"/>
      <c r="H105" s="485"/>
      <c r="I105" s="485"/>
      <c r="J105" s="485"/>
      <c r="K105" s="485"/>
      <c r="L105" s="485"/>
      <c r="M105" s="485"/>
      <c r="N105" s="485"/>
    </row>
    <row r="106" spans="3:14">
      <c r="C106" s="467"/>
      <c r="D106" s="467"/>
      <c r="E106" s="467"/>
      <c r="F106" s="467"/>
      <c r="G106" s="467"/>
      <c r="H106" s="467"/>
      <c r="I106" s="467"/>
      <c r="J106" s="467"/>
      <c r="K106" s="467"/>
      <c r="L106" s="467"/>
      <c r="M106" s="467"/>
      <c r="N106" s="467"/>
    </row>
    <row r="107" spans="3:14" ht="15.5">
      <c r="C107" s="468"/>
      <c r="D107" s="467"/>
      <c r="E107" s="467"/>
      <c r="F107" s="467"/>
      <c r="G107" s="467"/>
      <c r="H107" s="467"/>
      <c r="I107" s="467"/>
      <c r="J107" s="467"/>
      <c r="K107" s="467"/>
      <c r="L107" s="467"/>
      <c r="M107" s="467"/>
      <c r="N107" s="467"/>
    </row>
    <row r="108" spans="3:14">
      <c r="C108" s="467"/>
      <c r="D108" s="467"/>
      <c r="E108" s="467"/>
      <c r="F108" s="467"/>
      <c r="G108" s="467"/>
      <c r="H108" s="467"/>
      <c r="I108" s="467"/>
      <c r="J108" s="467"/>
      <c r="K108" s="467"/>
      <c r="L108" s="467"/>
      <c r="M108" s="467"/>
      <c r="N108" s="467"/>
    </row>
    <row r="109" spans="3:14">
      <c r="C109" s="467"/>
      <c r="D109" s="467"/>
      <c r="E109" s="485"/>
      <c r="F109" s="485"/>
      <c r="G109" s="485"/>
      <c r="H109" s="485"/>
      <c r="I109" s="485"/>
      <c r="J109" s="485"/>
      <c r="K109" s="485"/>
      <c r="L109" s="485"/>
      <c r="M109" s="485"/>
      <c r="N109" s="485"/>
    </row>
    <row r="110" spans="3:14">
      <c r="C110" s="467"/>
      <c r="D110" s="467"/>
      <c r="E110" s="485"/>
      <c r="F110" s="485"/>
      <c r="G110" s="485"/>
      <c r="H110" s="485"/>
      <c r="I110" s="485"/>
      <c r="J110" s="485"/>
      <c r="K110" s="485"/>
      <c r="L110" s="485"/>
      <c r="M110" s="485"/>
      <c r="N110" s="485"/>
    </row>
    <row r="111" spans="3:14">
      <c r="C111" s="467"/>
      <c r="D111" s="467"/>
      <c r="E111" s="485"/>
      <c r="F111" s="485"/>
      <c r="G111" s="485"/>
      <c r="H111" s="485"/>
      <c r="I111" s="485"/>
      <c r="J111" s="485"/>
      <c r="K111" s="485"/>
      <c r="L111" s="485"/>
      <c r="M111" s="485"/>
      <c r="N111" s="485"/>
    </row>
    <row r="112" spans="3:14">
      <c r="C112" s="467"/>
      <c r="D112" s="467"/>
      <c r="E112" s="485"/>
      <c r="F112" s="485"/>
      <c r="G112" s="485"/>
      <c r="H112" s="485"/>
      <c r="I112" s="485"/>
      <c r="J112" s="485"/>
      <c r="K112" s="485"/>
      <c r="L112" s="485"/>
      <c r="M112" s="485"/>
      <c r="N112" s="485"/>
    </row>
    <row r="113" spans="3:14">
      <c r="C113" s="467"/>
      <c r="D113" s="467"/>
      <c r="E113" s="485"/>
      <c r="F113" s="485"/>
      <c r="G113" s="485"/>
      <c r="H113" s="485"/>
      <c r="I113" s="485"/>
      <c r="J113" s="485"/>
      <c r="K113" s="485"/>
      <c r="L113" s="485"/>
      <c r="M113" s="485"/>
      <c r="N113" s="485"/>
    </row>
    <row r="114" spans="3:14">
      <c r="C114" s="467"/>
      <c r="D114" s="467"/>
      <c r="E114" s="485"/>
      <c r="F114" s="485"/>
      <c r="G114" s="485"/>
      <c r="H114" s="485"/>
      <c r="I114" s="485"/>
      <c r="J114" s="485"/>
      <c r="K114" s="485"/>
      <c r="L114" s="485"/>
      <c r="M114" s="485"/>
      <c r="N114" s="485"/>
    </row>
    <row r="115" spans="3:14">
      <c r="C115" s="467"/>
      <c r="D115" s="467"/>
      <c r="E115" s="485"/>
      <c r="F115" s="485"/>
      <c r="G115" s="485"/>
      <c r="H115" s="485"/>
      <c r="I115" s="485"/>
      <c r="J115" s="485"/>
      <c r="K115" s="485"/>
      <c r="L115" s="485"/>
      <c r="M115" s="485"/>
      <c r="N115" s="485"/>
    </row>
    <row r="116" spans="3:14">
      <c r="C116" s="467"/>
      <c r="D116" s="467"/>
      <c r="E116" s="485"/>
      <c r="F116" s="485"/>
      <c r="G116" s="485"/>
      <c r="H116" s="485"/>
      <c r="I116" s="485"/>
      <c r="J116" s="485"/>
      <c r="K116" s="485"/>
      <c r="L116" s="485"/>
      <c r="M116" s="485"/>
      <c r="N116" s="485"/>
    </row>
    <row r="117" spans="3:14">
      <c r="C117" s="467"/>
      <c r="D117" s="467"/>
      <c r="E117" s="485"/>
      <c r="F117" s="485"/>
      <c r="G117" s="485"/>
      <c r="H117" s="485"/>
      <c r="I117" s="485"/>
      <c r="J117" s="485"/>
      <c r="K117" s="485"/>
      <c r="L117" s="485"/>
      <c r="M117" s="485"/>
      <c r="N117" s="485"/>
    </row>
    <row r="118" spans="3:14">
      <c r="C118" s="467"/>
      <c r="D118" s="467"/>
      <c r="E118" s="485"/>
      <c r="F118" s="485"/>
      <c r="G118" s="485"/>
      <c r="H118" s="485"/>
      <c r="I118" s="485"/>
      <c r="J118" s="485"/>
      <c r="K118" s="485"/>
      <c r="L118" s="485"/>
      <c r="M118" s="485"/>
      <c r="N118" s="485"/>
    </row>
    <row r="119" spans="3:14">
      <c r="C119" s="467"/>
      <c r="D119" s="467"/>
      <c r="E119" s="485"/>
      <c r="F119" s="485"/>
      <c r="G119" s="485"/>
      <c r="H119" s="485"/>
      <c r="I119" s="485"/>
      <c r="J119" s="485"/>
      <c r="K119" s="485"/>
      <c r="L119" s="485"/>
      <c r="M119" s="485"/>
      <c r="N119" s="485"/>
    </row>
    <row r="120" spans="3:14">
      <c r="C120" s="467"/>
      <c r="D120" s="467"/>
      <c r="E120" s="485"/>
      <c r="F120" s="485"/>
      <c r="G120" s="485"/>
      <c r="H120" s="485"/>
      <c r="I120" s="485"/>
      <c r="J120" s="485"/>
      <c r="K120" s="485"/>
      <c r="L120" s="485"/>
      <c r="M120" s="485"/>
      <c r="N120" s="485"/>
    </row>
    <row r="121" spans="3:14">
      <c r="C121" s="467"/>
      <c r="D121" s="467"/>
      <c r="E121" s="485"/>
      <c r="F121" s="485"/>
      <c r="G121" s="485"/>
      <c r="H121" s="485"/>
      <c r="I121" s="485"/>
      <c r="J121" s="485"/>
      <c r="K121" s="485"/>
      <c r="L121" s="485"/>
      <c r="M121" s="485"/>
      <c r="N121" s="485"/>
    </row>
    <row r="122" spans="3:14">
      <c r="C122" s="467"/>
      <c r="D122" s="467"/>
      <c r="E122" s="485"/>
      <c r="F122" s="485"/>
      <c r="G122" s="485"/>
      <c r="H122" s="485"/>
      <c r="I122" s="485"/>
      <c r="J122" s="485"/>
      <c r="K122" s="485"/>
      <c r="L122" s="485"/>
      <c r="M122" s="485"/>
      <c r="N122" s="485"/>
    </row>
    <row r="123" spans="3:14">
      <c r="C123" s="467"/>
      <c r="D123" s="467"/>
      <c r="E123" s="467"/>
      <c r="F123" s="467"/>
      <c r="G123" s="467"/>
      <c r="H123" s="467"/>
      <c r="I123" s="467"/>
      <c r="J123" s="467"/>
      <c r="K123" s="467"/>
      <c r="L123" s="467"/>
      <c r="M123" s="467"/>
      <c r="N123" s="467"/>
    </row>
    <row r="124" spans="3:14" ht="15.5">
      <c r="C124" s="468"/>
      <c r="D124" s="467"/>
      <c r="E124" s="485"/>
      <c r="F124" s="485"/>
      <c r="G124" s="485"/>
      <c r="H124" s="485"/>
      <c r="I124" s="485"/>
      <c r="J124" s="485"/>
      <c r="K124" s="485"/>
      <c r="L124" s="485"/>
      <c r="M124" s="485"/>
      <c r="N124" s="485"/>
    </row>
    <row r="125" spans="3:14" ht="15.5">
      <c r="C125" s="468"/>
      <c r="D125" s="467"/>
      <c r="E125" s="467"/>
      <c r="F125" s="467"/>
      <c r="G125" s="467"/>
      <c r="H125" s="467"/>
      <c r="I125" s="467"/>
      <c r="J125" s="467"/>
      <c r="K125" s="467"/>
      <c r="L125" s="467"/>
      <c r="M125" s="467"/>
      <c r="N125" s="467"/>
    </row>
    <row r="126" spans="3:14" ht="15.5">
      <c r="C126" s="468"/>
      <c r="D126" s="467"/>
      <c r="E126" s="467"/>
      <c r="F126" s="467"/>
      <c r="G126" s="467"/>
      <c r="H126" s="467"/>
      <c r="I126" s="467"/>
      <c r="J126" s="467"/>
      <c r="K126" s="467"/>
      <c r="L126" s="467"/>
      <c r="M126" s="467"/>
      <c r="N126" s="467"/>
    </row>
    <row r="127" spans="3:14">
      <c r="C127" s="467"/>
      <c r="D127" s="467"/>
      <c r="E127" s="485"/>
      <c r="F127" s="485"/>
      <c r="G127" s="485"/>
      <c r="H127" s="485"/>
      <c r="I127" s="485"/>
      <c r="J127" s="485"/>
      <c r="K127" s="485"/>
      <c r="L127" s="485"/>
      <c r="M127" s="485"/>
      <c r="N127" s="485"/>
    </row>
    <row r="128" spans="3:14">
      <c r="C128" s="467"/>
      <c r="D128" s="467"/>
      <c r="E128" s="485"/>
      <c r="F128" s="485"/>
      <c r="G128" s="485"/>
      <c r="H128" s="485"/>
      <c r="I128" s="485"/>
      <c r="J128" s="485"/>
      <c r="K128" s="485"/>
      <c r="L128" s="485"/>
      <c r="M128" s="485"/>
      <c r="N128" s="485"/>
    </row>
    <row r="129" spans="3:14">
      <c r="C129" s="467"/>
      <c r="D129" s="467"/>
      <c r="E129" s="467"/>
      <c r="F129" s="467"/>
      <c r="G129" s="467"/>
      <c r="H129" s="467"/>
      <c r="I129" s="467"/>
      <c r="J129" s="467"/>
      <c r="K129" s="467"/>
      <c r="L129" s="467"/>
      <c r="M129" s="467"/>
      <c r="N129" s="467"/>
    </row>
    <row r="130" spans="3:14" ht="15.5">
      <c r="C130" s="468"/>
      <c r="D130" s="467"/>
      <c r="E130" s="485"/>
      <c r="F130" s="485"/>
      <c r="G130" s="485"/>
      <c r="H130" s="485"/>
      <c r="I130" s="485"/>
      <c r="J130" s="485"/>
      <c r="K130" s="485"/>
      <c r="L130" s="485"/>
      <c r="M130" s="485"/>
      <c r="N130" s="485"/>
    </row>
    <row r="131" spans="3:14">
      <c r="C131" s="467"/>
      <c r="D131" s="467"/>
      <c r="E131" s="467"/>
      <c r="F131" s="467"/>
      <c r="G131" s="467"/>
      <c r="H131" s="467"/>
      <c r="I131" s="467"/>
      <c r="J131" s="467"/>
      <c r="K131" s="467"/>
      <c r="L131" s="467"/>
      <c r="M131" s="467"/>
      <c r="N131" s="467"/>
    </row>
    <row r="132" spans="3:14" ht="15.5">
      <c r="C132" s="468"/>
      <c r="D132" s="467"/>
      <c r="E132" s="485"/>
      <c r="F132" s="485"/>
      <c r="G132" s="485"/>
      <c r="H132" s="485"/>
      <c r="I132" s="485"/>
      <c r="J132" s="485"/>
      <c r="K132" s="485"/>
      <c r="L132" s="485"/>
      <c r="M132" s="485"/>
      <c r="N132" s="485"/>
    </row>
    <row r="133" spans="3:14">
      <c r="C133" s="467"/>
      <c r="D133" s="467"/>
      <c r="E133" s="467"/>
      <c r="F133" s="467"/>
      <c r="G133" s="467"/>
      <c r="H133" s="467"/>
      <c r="I133" s="467"/>
      <c r="J133" s="467"/>
      <c r="K133" s="467"/>
      <c r="L133" s="467"/>
      <c r="M133" s="467"/>
      <c r="N133" s="467"/>
    </row>
    <row r="134" spans="3:14" ht="15.5">
      <c r="C134" s="468"/>
      <c r="D134" s="467"/>
      <c r="E134" s="485"/>
      <c r="F134" s="485"/>
      <c r="G134" s="485"/>
      <c r="H134" s="485"/>
      <c r="I134" s="485"/>
      <c r="J134" s="485"/>
      <c r="K134" s="485"/>
      <c r="L134" s="485"/>
      <c r="M134" s="485"/>
      <c r="N134" s="485"/>
    </row>
    <row r="135" spans="3:14">
      <c r="C135" s="467"/>
      <c r="D135" s="467"/>
      <c r="E135" s="467"/>
      <c r="F135" s="467"/>
      <c r="G135" s="467"/>
      <c r="H135" s="467"/>
      <c r="I135" s="467"/>
      <c r="J135" s="467"/>
      <c r="K135" s="467"/>
      <c r="L135" s="467"/>
      <c r="M135" s="467"/>
      <c r="N135" s="467"/>
    </row>
    <row r="136" spans="3:14">
      <c r="C136" s="467"/>
      <c r="D136" s="467"/>
      <c r="E136" s="467"/>
      <c r="F136" s="467"/>
      <c r="G136" s="467"/>
      <c r="H136" s="467"/>
      <c r="I136" s="467"/>
      <c r="J136" s="467"/>
      <c r="K136" s="467"/>
      <c r="L136" s="467"/>
      <c r="M136" s="467"/>
      <c r="N136" s="467"/>
    </row>
    <row r="137" spans="3:14">
      <c r="C137" s="467"/>
      <c r="D137" s="467"/>
      <c r="E137" s="467"/>
      <c r="F137" s="467"/>
      <c r="G137" s="467"/>
      <c r="H137" s="467"/>
      <c r="I137" s="467"/>
      <c r="J137" s="467"/>
      <c r="K137" s="467"/>
      <c r="L137" s="467"/>
      <c r="M137" s="467"/>
      <c r="N137" s="467"/>
    </row>
    <row r="138" spans="3:14">
      <c r="C138" s="467"/>
      <c r="D138" s="467"/>
      <c r="E138" s="467"/>
      <c r="F138" s="467"/>
      <c r="G138" s="467"/>
      <c r="H138" s="467"/>
      <c r="I138" s="467"/>
      <c r="J138" s="467"/>
      <c r="K138" s="467"/>
      <c r="L138" s="467"/>
      <c r="M138" s="467"/>
      <c r="N138" s="467"/>
    </row>
    <row r="139" spans="3:14" ht="15.5">
      <c r="C139" s="468"/>
      <c r="D139" s="467"/>
      <c r="E139" s="485"/>
      <c r="F139" s="485"/>
      <c r="G139" s="485"/>
      <c r="H139" s="485"/>
      <c r="I139" s="485"/>
      <c r="J139" s="485"/>
      <c r="K139" s="485"/>
      <c r="L139" s="485"/>
      <c r="M139" s="485"/>
      <c r="N139" s="485"/>
    </row>
    <row r="140" spans="3:14">
      <c r="C140" s="484"/>
      <c r="D140" s="467"/>
      <c r="E140" s="467"/>
      <c r="F140" s="467"/>
      <c r="G140" s="467"/>
      <c r="H140" s="467"/>
      <c r="I140" s="467"/>
      <c r="J140" s="467"/>
      <c r="K140" s="467"/>
      <c r="L140" s="467"/>
      <c r="M140" s="467"/>
      <c r="N140" s="467"/>
    </row>
    <row r="141" spans="3:14">
      <c r="C141" s="467"/>
      <c r="D141" s="467"/>
      <c r="E141" s="485"/>
      <c r="F141" s="485"/>
      <c r="G141" s="485"/>
      <c r="H141" s="485"/>
      <c r="I141" s="485"/>
      <c r="J141" s="485"/>
      <c r="K141" s="485"/>
      <c r="L141" s="485"/>
      <c r="M141" s="485"/>
      <c r="N141" s="485"/>
    </row>
    <row r="142" spans="3:14">
      <c r="C142" s="467"/>
      <c r="D142" s="467"/>
      <c r="E142" s="421"/>
      <c r="F142" s="467"/>
      <c r="G142" s="467"/>
      <c r="H142" s="467"/>
      <c r="I142" s="467"/>
      <c r="J142" s="467"/>
      <c r="K142" s="467"/>
      <c r="L142" s="467"/>
      <c r="M142" s="467"/>
      <c r="N142" s="467"/>
    </row>
    <row r="143" spans="3:14" ht="15.5">
      <c r="C143" s="468"/>
      <c r="D143" s="467"/>
      <c r="E143" s="485"/>
      <c r="F143" s="485"/>
      <c r="G143" s="485"/>
      <c r="H143" s="485"/>
      <c r="I143" s="485"/>
      <c r="J143" s="485"/>
      <c r="K143" s="485"/>
      <c r="L143" s="485"/>
      <c r="M143" s="485"/>
      <c r="N143" s="485"/>
    </row>
    <row r="144" spans="3:14">
      <c r="C144" s="484"/>
      <c r="D144" s="467"/>
      <c r="E144" s="467"/>
      <c r="F144" s="467"/>
      <c r="G144" s="467"/>
      <c r="H144" s="467"/>
      <c r="I144" s="467"/>
      <c r="J144" s="467"/>
      <c r="K144" s="467"/>
      <c r="L144" s="467"/>
      <c r="M144" s="467"/>
      <c r="N144" s="467"/>
    </row>
    <row r="145" spans="3:14">
      <c r="C145" s="467"/>
      <c r="D145" s="467"/>
      <c r="E145" s="485"/>
      <c r="F145" s="485"/>
      <c r="G145" s="485"/>
      <c r="H145" s="485"/>
      <c r="I145" s="485"/>
      <c r="J145" s="485"/>
      <c r="K145" s="485"/>
      <c r="L145" s="485"/>
      <c r="M145" s="485"/>
      <c r="N145" s="485"/>
    </row>
    <row r="146" spans="3:14">
      <c r="C146" s="467"/>
      <c r="D146" s="467"/>
      <c r="E146" s="467"/>
      <c r="F146" s="467"/>
      <c r="G146" s="467"/>
      <c r="H146" s="467"/>
      <c r="I146" s="467"/>
      <c r="J146" s="467"/>
      <c r="K146" s="467"/>
      <c r="L146" s="467"/>
      <c r="M146" s="467"/>
      <c r="N146" s="467"/>
    </row>
    <row r="147" spans="3:14" ht="15.5">
      <c r="C147" s="468"/>
      <c r="D147" s="467"/>
      <c r="E147" s="485"/>
      <c r="F147" s="485"/>
      <c r="G147" s="485"/>
      <c r="H147" s="485"/>
      <c r="I147" s="485"/>
      <c r="J147" s="485"/>
      <c r="K147" s="485"/>
      <c r="L147" s="485"/>
      <c r="M147" s="485"/>
      <c r="N147" s="485"/>
    </row>
    <row r="148" spans="3:14">
      <c r="C148" s="484"/>
      <c r="D148" s="467"/>
      <c r="E148" s="467"/>
      <c r="F148" s="467"/>
      <c r="G148" s="467"/>
      <c r="H148" s="467"/>
      <c r="I148" s="467"/>
      <c r="J148" s="467"/>
      <c r="K148" s="467"/>
      <c r="L148" s="467"/>
      <c r="M148" s="467"/>
      <c r="N148" s="467"/>
    </row>
    <row r="149" spans="3:14" ht="15.5">
      <c r="C149" s="468"/>
      <c r="D149" s="467"/>
      <c r="E149" s="485"/>
      <c r="F149" s="485"/>
      <c r="G149" s="485"/>
      <c r="H149" s="485"/>
      <c r="I149" s="485"/>
      <c r="J149" s="485"/>
      <c r="K149" s="485"/>
      <c r="L149" s="485"/>
      <c r="M149" s="485"/>
      <c r="N149" s="485"/>
    </row>
    <row r="150" spans="3:14">
      <c r="C150" s="467"/>
      <c r="D150" s="467"/>
      <c r="E150" s="467"/>
      <c r="F150" s="467"/>
      <c r="H150" s="467"/>
      <c r="I150" s="467"/>
      <c r="J150" s="467"/>
      <c r="K150" s="467"/>
      <c r="L150" s="467"/>
      <c r="M150" s="467"/>
      <c r="N150" s="467"/>
    </row>
    <row r="151" spans="3:14">
      <c r="D151" s="467"/>
      <c r="E151" s="467"/>
      <c r="F151" s="467"/>
      <c r="H151" s="467"/>
      <c r="I151" s="467"/>
      <c r="J151" s="467"/>
      <c r="K151" s="467"/>
      <c r="L151" s="467"/>
      <c r="M151" s="467"/>
      <c r="N151" s="467"/>
    </row>
    <row r="152" spans="3:14">
      <c r="D152" s="467"/>
      <c r="E152" s="467"/>
      <c r="F152" s="467"/>
      <c r="H152" s="467"/>
      <c r="I152" s="467"/>
      <c r="J152" s="467"/>
      <c r="L152" s="467"/>
      <c r="M152" s="467"/>
      <c r="N152" s="467"/>
    </row>
    <row r="153" spans="3:14">
      <c r="D153" s="467"/>
      <c r="E153" s="467"/>
      <c r="H153" s="467"/>
      <c r="I153" s="467"/>
      <c r="J153" s="467"/>
      <c r="L153" s="467"/>
      <c r="M153" s="467"/>
    </row>
    <row r="154" spans="3:14">
      <c r="D154" s="467"/>
      <c r="E154" s="467"/>
      <c r="H154" s="467"/>
      <c r="I154" s="467"/>
      <c r="J154" s="467"/>
      <c r="L154" s="467"/>
      <c r="M154" s="467"/>
    </row>
    <row r="155" spans="3:14">
      <c r="D155" s="467"/>
      <c r="E155" s="467"/>
      <c r="H155" s="467"/>
      <c r="I155" s="467"/>
      <c r="L155" s="467"/>
      <c r="M155" s="467"/>
    </row>
    <row r="156" spans="3:14">
      <c r="D156" s="467"/>
      <c r="E156" s="467"/>
      <c r="H156" s="467"/>
      <c r="I156" s="467"/>
      <c r="L156" s="467"/>
    </row>
    <row r="157" spans="3:14">
      <c r="L157" s="467"/>
    </row>
    <row r="158" spans="3:14">
      <c r="L158" s="467"/>
    </row>
    <row r="159" spans="3:14">
      <c r="L159" s="467"/>
    </row>
    <row r="160" spans="3:14">
      <c r="L160" s="467"/>
    </row>
    <row r="161" spans="12:12">
      <c r="L161" s="467"/>
    </row>
    <row r="162" spans="12:12">
      <c r="L162" s="467"/>
    </row>
    <row r="163" spans="12:12">
      <c r="L163" s="467"/>
    </row>
    <row r="164" spans="12:12">
      <c r="L164" s="467"/>
    </row>
    <row r="165" spans="12:12">
      <c r="L165" s="467"/>
    </row>
    <row r="166" spans="12:12">
      <c r="L166" s="467"/>
    </row>
    <row r="167" spans="12:12">
      <c r="L167" s="467"/>
    </row>
    <row r="168" spans="12:12">
      <c r="L168" s="467"/>
    </row>
    <row r="169" spans="12:12">
      <c r="L169" s="467"/>
    </row>
    <row r="170" spans="12:12">
      <c r="L170" s="467"/>
    </row>
    <row r="171" spans="12:12">
      <c r="L171" s="467"/>
    </row>
    <row r="172" spans="12:12">
      <c r="L172" s="467"/>
    </row>
    <row r="173" spans="12:12">
      <c r="L173" s="467"/>
    </row>
    <row r="174" spans="12:12">
      <c r="L174" s="467"/>
    </row>
    <row r="175" spans="12:12">
      <c r="L175" s="467"/>
    </row>
    <row r="176" spans="12:12">
      <c r="L176" s="467"/>
    </row>
    <row r="177" spans="12:12">
      <c r="L177" s="467"/>
    </row>
    <row r="178" spans="12:12">
      <c r="L178" s="467"/>
    </row>
    <row r="179" spans="12:12">
      <c r="L179" s="467"/>
    </row>
    <row r="180" spans="12:12">
      <c r="L180" s="467"/>
    </row>
    <row r="181" spans="12:12">
      <c r="L181" s="467"/>
    </row>
    <row r="182" spans="12:12">
      <c r="L182" s="467"/>
    </row>
    <row r="183" spans="12:12">
      <c r="L183" s="467"/>
    </row>
    <row r="184" spans="12:12">
      <c r="L184" s="467"/>
    </row>
    <row r="185" spans="12:12">
      <c r="L185" s="467"/>
    </row>
    <row r="186" spans="12:12">
      <c r="L186" s="467"/>
    </row>
    <row r="187" spans="12:12">
      <c r="L187" s="467"/>
    </row>
    <row r="188" spans="12:12">
      <c r="L188" s="467"/>
    </row>
    <row r="189" spans="12:12">
      <c r="L189" s="467"/>
    </row>
    <row r="190" spans="12:12">
      <c r="L190" s="46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0777E-B48A-4205-9D9A-19EF3817BCCB}">
  <dimension ref="C7:P43"/>
  <sheetViews>
    <sheetView topLeftCell="A2" zoomScale="51" workbookViewId="0">
      <selection activeCell="M17" sqref="M17"/>
    </sheetView>
  </sheetViews>
  <sheetFormatPr defaultRowHeight="14.5"/>
  <cols>
    <col min="7" max="7" width="21.453125" customWidth="1"/>
    <col min="8" max="8" width="20.1796875" customWidth="1"/>
    <col min="9" max="10" width="20.54296875" customWidth="1"/>
    <col min="11" max="11" width="20.6328125" customWidth="1"/>
    <col min="12" max="12" width="20.08984375" customWidth="1"/>
    <col min="13" max="13" width="19.6328125" customWidth="1"/>
    <col min="14" max="14" width="19.7265625" customWidth="1"/>
    <col min="15" max="15" width="20.90625" customWidth="1"/>
    <col min="16" max="16" width="20.1796875" customWidth="1"/>
  </cols>
  <sheetData>
    <row r="7" spans="3:16" ht="15" thickBot="1"/>
    <row r="8" spans="3:16" ht="15.5" thickTop="1" thickBot="1">
      <c r="C8" s="498" t="s">
        <v>81</v>
      </c>
      <c r="D8" s="499"/>
      <c r="E8" s="500"/>
      <c r="F8" s="500"/>
      <c r="G8" s="501" t="s">
        <v>139</v>
      </c>
      <c r="H8" s="501" t="s">
        <v>140</v>
      </c>
      <c r="I8" s="501" t="s">
        <v>141</v>
      </c>
      <c r="J8" s="501" t="s">
        <v>142</v>
      </c>
      <c r="K8" s="501" t="s">
        <v>143</v>
      </c>
      <c r="L8" s="501" t="s">
        <v>144</v>
      </c>
      <c r="M8" s="501" t="s">
        <v>145</v>
      </c>
      <c r="N8" s="501" t="s">
        <v>146</v>
      </c>
      <c r="O8" s="501" t="s">
        <v>147</v>
      </c>
      <c r="P8" s="502" t="s">
        <v>148</v>
      </c>
    </row>
    <row r="9" spans="3:16">
      <c r="C9" s="142" t="s">
        <v>167</v>
      </c>
      <c r="D9" s="143"/>
      <c r="E9" s="143"/>
      <c r="F9" s="144"/>
      <c r="G9" s="145"/>
      <c r="H9" s="146"/>
      <c r="I9" s="146"/>
      <c r="J9" s="146"/>
      <c r="K9" s="146"/>
      <c r="L9" s="146"/>
      <c r="M9" s="146"/>
      <c r="N9" s="146"/>
      <c r="O9" s="146"/>
      <c r="P9" s="147"/>
    </row>
    <row r="10" spans="3:16">
      <c r="C10" s="148"/>
      <c r="D10" s="148" t="s">
        <v>168</v>
      </c>
      <c r="E10" s="148"/>
      <c r="F10" s="149"/>
      <c r="G10" s="150">
        <f>'Cash flow'!E35</f>
        <v>-10364816.298395105</v>
      </c>
      <c r="H10" s="150">
        <f>'Cash flow'!F35</f>
        <v>-9096259.1518902946</v>
      </c>
      <c r="I10" s="150">
        <f ca="1">'Cash flow'!G35</f>
        <v>-369912.01536319405</v>
      </c>
      <c r="J10" s="150">
        <f ca="1">'Cash flow'!H35</f>
        <v>-92079946.846826345</v>
      </c>
      <c r="K10" s="150">
        <f ca="1">'Cash flow'!I35</f>
        <v>-57234988.667903759</v>
      </c>
      <c r="L10" s="150">
        <f ca="1">'Cash flow'!J35</f>
        <v>46584773.039511703</v>
      </c>
      <c r="M10" s="150">
        <f ca="1">'Cash flow'!K35</f>
        <v>164745934.45582101</v>
      </c>
      <c r="N10" s="150">
        <f ca="1">'Cash flow'!L35</f>
        <v>295168741.16968518</v>
      </c>
      <c r="O10" s="150">
        <f ca="1">'Cash flow'!M35</f>
        <v>439642825.78249139</v>
      </c>
      <c r="P10" s="150">
        <f ca="1">'Cash flow'!N35</f>
        <v>598427604.28482592</v>
      </c>
    </row>
    <row r="11" spans="3:16">
      <c r="C11" s="148"/>
      <c r="D11" s="148" t="s">
        <v>169</v>
      </c>
      <c r="E11" s="148"/>
      <c r="F11" s="149"/>
      <c r="G11" s="150">
        <f>Income!R68*Assumptions!$G$31/365</f>
        <v>3204109.5890410957</v>
      </c>
      <c r="H11" s="150">
        <f>Income!S68*Assumptions!$G$31/365</f>
        <v>4487178.5753424661</v>
      </c>
      <c r="I11" s="150">
        <f ca="1">Income!T68*Assumptions!$G$31/365</f>
        <v>5355319.2074174648</v>
      </c>
      <c r="J11" s="150">
        <f ca="1">Income!U68*Assumptions!$G$31/365</f>
        <v>38491783.374344073</v>
      </c>
      <c r="K11" s="150">
        <f ca="1">Income!V68*Assumptions!$G$31/365</f>
        <v>50515071.319885246</v>
      </c>
      <c r="L11" s="150">
        <f ca="1">Income!W68*Assumptions!$G$31/365</f>
        <v>59512746.108607441</v>
      </c>
      <c r="M11" s="150">
        <f ca="1">Income!X68*Assumptions!$G$31/365</f>
        <v>65673663.112027794</v>
      </c>
      <c r="N11" s="150">
        <f ca="1">Income!Y68*Assumptions!$G$31/365</f>
        <v>72699291.279307604</v>
      </c>
      <c r="O11" s="150">
        <f ca="1">Income!Z68*Assumptions!$G$31/365</f>
        <v>80735475.184565961</v>
      </c>
      <c r="P11" s="150">
        <f ca="1">Income!AA68*Assumptions!$G$31/365</f>
        <v>88492490.096947715</v>
      </c>
    </row>
    <row r="12" spans="3:16">
      <c r="C12" s="148"/>
      <c r="D12" s="148" t="s">
        <v>63</v>
      </c>
      <c r="E12" s="148"/>
      <c r="F12" s="149"/>
      <c r="G12" s="150">
        <f>('Bill of materials'!$F$23/Assumptions!$D$32)*Income!R15 + 'Bill of materials'!$C$75*Income!R19 + 'Bill of materials'!$C$39*Income!R25 +'Bill of materials'!$C$52*Income!R31</f>
        <v>15558848.2498428</v>
      </c>
      <c r="H12" s="150">
        <f>('Bill of materials'!$F$23/Assumptions!$D$32)*Income!S15 + 'Bill of materials'!$C$75*Income!S19 + 'Bill of materials'!$C$39*Income!S25 +'Bill of materials'!$C$52*Income!S31</f>
        <v>22163290.662334941</v>
      </c>
      <c r="I12" s="150">
        <f ca="1">('Bill of materials'!$F$23/Assumptions!$D$32)*Income!T15 + 'Bill of materials'!$C$75*Income!T19 + 'Bill of materials'!$C$39*Income!T25 +'Bill of materials'!$C$52*Income!T31</f>
        <v>23439153.820153784</v>
      </c>
      <c r="J12" s="150">
        <f ca="1">('Bill of materials'!$F$23/Assumptions!$D$32)*Income!U15 + 'Bill of materials'!$C$75*Income!U19 + 'Bill of materials'!$C$39*Income!U25 +'Bill of materials'!$C$52*Income!U31</f>
        <v>174349220.68776938</v>
      </c>
      <c r="K12" s="150">
        <f ca="1">('Bill of materials'!$F$23/Assumptions!$D$32)*Income!V15 + 'Bill of materials'!$C$75*Income!V19 + 'Bill of materials'!$C$39*Income!V25 +'Bill of materials'!$C$52*Income!V31</f>
        <v>235850092.31861165</v>
      </c>
      <c r="L12" s="150">
        <f ca="1">('Bill of materials'!$F$23/Assumptions!$D$32)*Income!W15 + 'Bill of materials'!$C$75*Income!W19 + 'Bill of materials'!$C$39*Income!W25 +'Bill of materials'!$C$52*Income!W31</f>
        <v>250252440.0083282</v>
      </c>
      <c r="M12" s="150">
        <f ca="1">('Bill of materials'!$F$23/Assumptions!$D$32)*Income!X15 + 'Bill of materials'!$C$75*Income!X19 + 'Bill of materials'!$C$39*Income!X25 +'Bill of materials'!$C$52*Income!X31</f>
        <v>266482998.30680513</v>
      </c>
      <c r="N12" s="150">
        <f ca="1">('Bill of materials'!$F$23/Assumptions!$D$32)*Income!Y15 + 'Bill of materials'!$C$75*Income!Y19 + 'Bill of materials'!$C$39*Income!Y25 +'Bill of materials'!$C$52*Income!Y31</f>
        <v>284795077.53067571</v>
      </c>
      <c r="O12" s="150">
        <f ca="1">('Bill of materials'!$F$23/Assumptions!$D$32)*Income!Z15 + 'Bill of materials'!$C$75*Income!Z19 + 'Bill of materials'!$C$39*Income!Z25 +'Bill of materials'!$C$52*Income!Z31</f>
        <v>305445233.18707299</v>
      </c>
      <c r="P12" s="150">
        <f ca="1">('Bill of materials'!$F$23/Assumptions!$D$32)*Income!AA15 + 'Bill of materials'!$C$75*Income!AA19 + 'Bill of materials'!$C$39*Income!AA25 +'Bill of materials'!$C$52*Income!AA31</f>
        <v>328765466.63825035</v>
      </c>
    </row>
    <row r="13" spans="3:16">
      <c r="C13" s="148"/>
      <c r="D13" s="148" t="s">
        <v>170</v>
      </c>
      <c r="E13" s="148"/>
      <c r="F13" s="149"/>
      <c r="G13" s="150">
        <v>0</v>
      </c>
      <c r="H13" s="151">
        <v>0</v>
      </c>
      <c r="I13" s="151">
        <v>0</v>
      </c>
      <c r="J13" s="151">
        <v>0</v>
      </c>
      <c r="K13" s="151">
        <v>0</v>
      </c>
      <c r="L13" s="151">
        <v>0</v>
      </c>
      <c r="M13" s="151">
        <v>0</v>
      </c>
      <c r="N13" s="151">
        <v>0</v>
      </c>
      <c r="O13" s="151">
        <v>0</v>
      </c>
      <c r="P13" s="152">
        <v>0</v>
      </c>
    </row>
    <row r="14" spans="3:16">
      <c r="C14" s="153" t="s">
        <v>171</v>
      </c>
      <c r="D14" s="154"/>
      <c r="E14" s="154"/>
      <c r="F14" s="149"/>
      <c r="G14" s="150">
        <f>SUM(G10:G13)</f>
        <v>8398141.5404887907</v>
      </c>
      <c r="H14" s="150">
        <f t="shared" ref="H14:P14" si="0">SUM(H10:H13)</f>
        <v>17554210.085787114</v>
      </c>
      <c r="I14" s="150">
        <f t="shared" ca="1" si="0"/>
        <v>28424561.012208056</v>
      </c>
      <c r="J14" s="150">
        <f t="shared" ca="1" si="0"/>
        <v>120761057.21528712</v>
      </c>
      <c r="K14" s="150">
        <f t="shared" ca="1" si="0"/>
        <v>229130174.97059315</v>
      </c>
      <c r="L14" s="150">
        <f t="shared" ca="1" si="0"/>
        <v>356349959.15644735</v>
      </c>
      <c r="M14" s="150">
        <f t="shared" ca="1" si="0"/>
        <v>496902595.87465394</v>
      </c>
      <c r="N14" s="150">
        <f t="shared" ca="1" si="0"/>
        <v>652663109.9796685</v>
      </c>
      <c r="O14" s="150">
        <f t="shared" ca="1" si="0"/>
        <v>825823534.15413034</v>
      </c>
      <c r="P14" s="150">
        <f t="shared" ca="1" si="0"/>
        <v>1015685561.0200239</v>
      </c>
    </row>
    <row r="15" spans="3:16">
      <c r="C15" s="148"/>
      <c r="D15" s="154"/>
      <c r="E15" s="154"/>
      <c r="F15" s="149"/>
      <c r="G15" s="150"/>
      <c r="H15" s="151"/>
      <c r="I15" s="151"/>
      <c r="J15" s="151"/>
      <c r="K15" s="151"/>
      <c r="L15" s="151"/>
      <c r="M15" s="151"/>
      <c r="N15" s="151"/>
      <c r="O15" s="151"/>
      <c r="P15" s="152"/>
    </row>
    <row r="16" spans="3:16">
      <c r="C16" s="148"/>
      <c r="D16" s="154"/>
      <c r="E16" s="154"/>
      <c r="F16" s="149"/>
      <c r="G16" s="150"/>
      <c r="H16" s="151"/>
      <c r="I16" s="151"/>
      <c r="J16" s="151"/>
      <c r="K16" s="151"/>
      <c r="L16" s="151"/>
      <c r="M16" s="151"/>
      <c r="N16" s="151"/>
      <c r="O16" s="151"/>
      <c r="P16" s="152"/>
    </row>
    <row r="17" spans="3:16">
      <c r="C17" s="148"/>
      <c r="D17" s="154" t="s">
        <v>172</v>
      </c>
      <c r="E17" s="154"/>
      <c r="F17" s="149"/>
      <c r="G17" s="150">
        <f>'Depreciation Schedule'!G12</f>
        <v>179564.24229721233</v>
      </c>
      <c r="H17" s="150">
        <f>'Depreciation Schedule'!H12</f>
        <v>159612.65981974429</v>
      </c>
      <c r="I17" s="150">
        <f>'Depreciation Schedule'!I12</f>
        <v>139661.07734227626</v>
      </c>
      <c r="J17" s="150">
        <f>'Depreciation Schedule'!J12</f>
        <v>119709.49486480822</v>
      </c>
      <c r="K17" s="150">
        <f>'Depreciation Schedule'!K12</f>
        <v>99757.912387340184</v>
      </c>
      <c r="L17" s="150">
        <f>'Depreciation Schedule'!L12</f>
        <v>79806.329909872147</v>
      </c>
      <c r="M17" s="150">
        <f>'Depreciation Schedule'!M12</f>
        <v>59854.74743240411</v>
      </c>
      <c r="N17" s="150">
        <f>'Depreciation Schedule'!N12</f>
        <v>39903.164954936074</v>
      </c>
      <c r="O17" s="150">
        <f>'Depreciation Schedule'!O12</f>
        <v>19951.582477468037</v>
      </c>
      <c r="P17" s="150">
        <f>'Depreciation Schedule'!P12</f>
        <v>0</v>
      </c>
    </row>
    <row r="18" spans="3:16">
      <c r="C18" s="148"/>
      <c r="D18" s="154" t="s">
        <v>173</v>
      </c>
      <c r="E18" s="154"/>
      <c r="F18" s="149"/>
      <c r="G18" s="150">
        <v>0</v>
      </c>
      <c r="H18" s="151">
        <v>0</v>
      </c>
      <c r="I18" s="151">
        <v>0</v>
      </c>
      <c r="J18" s="151">
        <v>0</v>
      </c>
      <c r="K18" s="151">
        <v>0</v>
      </c>
      <c r="L18" s="151">
        <v>0</v>
      </c>
      <c r="M18" s="151">
        <v>0</v>
      </c>
      <c r="N18" s="151">
        <v>0</v>
      </c>
      <c r="O18" s="151">
        <v>0</v>
      </c>
      <c r="P18" s="152">
        <v>0</v>
      </c>
    </row>
    <row r="19" spans="3:16">
      <c r="C19" s="153" t="s">
        <v>174</v>
      </c>
      <c r="D19" s="48"/>
      <c r="E19" s="155"/>
      <c r="F19" s="149"/>
      <c r="G19" s="150">
        <f>G17+G18</f>
        <v>179564.24229721233</v>
      </c>
      <c r="H19" s="151">
        <f t="shared" ref="H19:P19" si="1">H17+H18</f>
        <v>159612.65981974429</v>
      </c>
      <c r="I19" s="151">
        <f t="shared" si="1"/>
        <v>139661.07734227626</v>
      </c>
      <c r="J19" s="151">
        <f t="shared" si="1"/>
        <v>119709.49486480822</v>
      </c>
      <c r="K19" s="151">
        <f t="shared" si="1"/>
        <v>99757.912387340184</v>
      </c>
      <c r="L19" s="151">
        <f t="shared" si="1"/>
        <v>79806.329909872147</v>
      </c>
      <c r="M19" s="151">
        <f t="shared" si="1"/>
        <v>59854.74743240411</v>
      </c>
      <c r="N19" s="151">
        <f t="shared" si="1"/>
        <v>39903.164954936074</v>
      </c>
      <c r="O19" s="151">
        <f t="shared" si="1"/>
        <v>19951.582477468037</v>
      </c>
      <c r="P19" s="152">
        <f t="shared" si="1"/>
        <v>0</v>
      </c>
    </row>
    <row r="20" spans="3:16">
      <c r="C20" s="153"/>
      <c r="D20" s="154"/>
      <c r="E20" s="155"/>
      <c r="F20" s="149"/>
      <c r="G20" s="150"/>
      <c r="H20" s="151"/>
      <c r="I20" s="151"/>
      <c r="J20" s="151"/>
      <c r="K20" s="151"/>
      <c r="L20" s="151"/>
      <c r="M20" s="151"/>
      <c r="N20" s="151"/>
      <c r="O20" s="151"/>
      <c r="P20" s="152"/>
    </row>
    <row r="21" spans="3:16">
      <c r="C21" s="153"/>
      <c r="D21" s="153" t="s">
        <v>175</v>
      </c>
      <c r="E21" s="155"/>
      <c r="F21" s="149"/>
      <c r="G21" s="150">
        <f>G19+G14</f>
        <v>8577705.7827860024</v>
      </c>
      <c r="H21" s="151">
        <f t="shared" ref="H21:P21" si="2">H19+H14</f>
        <v>17713822.745606858</v>
      </c>
      <c r="I21" s="151">
        <f t="shared" ca="1" si="2"/>
        <v>28564222.089550331</v>
      </c>
      <c r="J21" s="151">
        <f t="shared" ca="1" si="2"/>
        <v>120880766.71015193</v>
      </c>
      <c r="K21" s="151">
        <f t="shared" ca="1" si="2"/>
        <v>229229932.8829805</v>
      </c>
      <c r="L21" s="151">
        <f t="shared" ca="1" si="2"/>
        <v>356429765.48635721</v>
      </c>
      <c r="M21" s="151">
        <f t="shared" ca="1" si="2"/>
        <v>496962450.62208635</v>
      </c>
      <c r="N21" s="151">
        <f t="shared" ca="1" si="2"/>
        <v>652703013.1446234</v>
      </c>
      <c r="O21" s="151">
        <f t="shared" ca="1" si="2"/>
        <v>825843485.73660779</v>
      </c>
      <c r="P21" s="152">
        <f t="shared" ca="1" si="2"/>
        <v>1015685561.0200239</v>
      </c>
    </row>
    <row r="22" spans="3:16">
      <c r="C22" s="153"/>
      <c r="D22" s="154"/>
      <c r="E22" s="155"/>
      <c r="F22" s="149"/>
      <c r="G22" s="132"/>
      <c r="H22" s="48"/>
      <c r="I22" s="48"/>
      <c r="J22" s="48"/>
      <c r="K22" s="48"/>
      <c r="L22" s="48"/>
      <c r="M22" s="48"/>
      <c r="N22" s="48"/>
      <c r="O22" s="48"/>
      <c r="P22" s="49"/>
    </row>
    <row r="23" spans="3:16">
      <c r="C23" s="155" t="s">
        <v>176</v>
      </c>
      <c r="D23" s="154"/>
      <c r="E23" s="154"/>
      <c r="F23" s="149"/>
      <c r="G23" s="132"/>
      <c r="H23" s="48"/>
      <c r="I23" s="48"/>
      <c r="J23" s="48"/>
      <c r="K23" s="48"/>
      <c r="L23" s="48"/>
      <c r="M23" s="48"/>
      <c r="N23" s="48"/>
      <c r="O23" s="48"/>
      <c r="P23" s="49"/>
    </row>
    <row r="24" spans="3:16">
      <c r="C24" s="155"/>
      <c r="D24" s="154" t="s">
        <v>177</v>
      </c>
      <c r="E24" s="154"/>
      <c r="F24" s="149"/>
      <c r="G24" s="150">
        <f>Income!R73*Assumptions!$G$32/365</f>
        <v>775273.9726027397</v>
      </c>
      <c r="H24" s="150">
        <f>Income!S73*Assumptions!$G$32/365</f>
        <v>866929.81506849313</v>
      </c>
      <c r="I24" s="150">
        <f ca="1">Income!T73*Assumptions!$G$32/365</f>
        <v>972200.66308826522</v>
      </c>
      <c r="J24" s="150">
        <f ca="1">Income!U73*Assumptions!$G$32/365</f>
        <v>8983854.3298826478</v>
      </c>
      <c r="K24" s="150">
        <f ca="1">Income!V73*Assumptions!$G$32/365</f>
        <v>9952556.0399828274</v>
      </c>
      <c r="L24" s="150">
        <f ca="1">Income!W73*Assumptions!$G$32/365</f>
        <v>11062035.580685783</v>
      </c>
      <c r="M24" s="150">
        <f ca="1">Income!X73*Assumptions!$G$32/365</f>
        <v>12337219.675686607</v>
      </c>
      <c r="N24" s="150">
        <f ca="1">Income!Y73*Assumptions!$G$32/365</f>
        <v>13808565.228898881</v>
      </c>
      <c r="O24" s="150">
        <f ca="1">Income!Z73*Assumptions!$G$32/365</f>
        <v>15510002.757483151</v>
      </c>
      <c r="P24" s="150">
        <f ca="1">Income!AA73*Assumptions!$G$32/365</f>
        <v>17481752.219939236</v>
      </c>
    </row>
    <row r="25" spans="3:16">
      <c r="C25" s="155"/>
      <c r="D25" s="154" t="s">
        <v>178</v>
      </c>
      <c r="E25" s="154"/>
      <c r="F25" s="149"/>
      <c r="G25" s="150">
        <v>0</v>
      </c>
      <c r="H25" s="151">
        <v>0</v>
      </c>
      <c r="I25" s="151">
        <v>0</v>
      </c>
      <c r="J25" s="151">
        <v>0</v>
      </c>
      <c r="K25" s="151">
        <v>0</v>
      </c>
      <c r="L25" s="151">
        <v>0</v>
      </c>
      <c r="M25" s="151">
        <v>0</v>
      </c>
      <c r="N25" s="151">
        <v>0</v>
      </c>
      <c r="O25" s="151">
        <v>0</v>
      </c>
      <c r="P25" s="152">
        <v>0</v>
      </c>
    </row>
    <row r="26" spans="3:16">
      <c r="C26" s="155"/>
      <c r="D26" s="154" t="s">
        <v>179</v>
      </c>
      <c r="E26" s="154"/>
      <c r="F26" s="149"/>
      <c r="G26" s="150">
        <v>0</v>
      </c>
      <c r="H26" s="151">
        <v>0</v>
      </c>
      <c r="I26" s="151">
        <v>0</v>
      </c>
      <c r="J26" s="151">
        <v>0</v>
      </c>
      <c r="K26" s="151">
        <v>0</v>
      </c>
      <c r="L26" s="151">
        <v>0</v>
      </c>
      <c r="M26" s="151">
        <v>0</v>
      </c>
      <c r="N26" s="151">
        <v>0</v>
      </c>
      <c r="O26" s="151">
        <v>0</v>
      </c>
      <c r="P26" s="152">
        <v>0</v>
      </c>
    </row>
    <row r="27" spans="3:16">
      <c r="C27" s="155"/>
      <c r="D27" s="153" t="s">
        <v>133</v>
      </c>
      <c r="E27" s="154"/>
      <c r="F27" s="149"/>
      <c r="G27" s="150">
        <f>SUM(G24:G26)</f>
        <v>775273.9726027397</v>
      </c>
      <c r="H27" s="151">
        <f t="shared" ref="H27:P27" si="3">SUM(H24:H26)</f>
        <v>866929.81506849313</v>
      </c>
      <c r="I27" s="151">
        <f t="shared" ca="1" si="3"/>
        <v>972200.66308826522</v>
      </c>
      <c r="J27" s="151">
        <f t="shared" ca="1" si="3"/>
        <v>8983854.3298826478</v>
      </c>
      <c r="K27" s="151">
        <f t="shared" ca="1" si="3"/>
        <v>9952556.0399828274</v>
      </c>
      <c r="L27" s="151">
        <f t="shared" ca="1" si="3"/>
        <v>11062035.580685783</v>
      </c>
      <c r="M27" s="151">
        <f t="shared" ca="1" si="3"/>
        <v>12337219.675686607</v>
      </c>
      <c r="N27" s="151">
        <f t="shared" ca="1" si="3"/>
        <v>13808565.228898881</v>
      </c>
      <c r="O27" s="151">
        <f t="shared" ca="1" si="3"/>
        <v>15510002.757483151</v>
      </c>
      <c r="P27" s="152">
        <f t="shared" ca="1" si="3"/>
        <v>17481752.219939236</v>
      </c>
    </row>
    <row r="28" spans="3:16">
      <c r="C28" s="155"/>
      <c r="D28" s="154"/>
      <c r="E28" s="154"/>
      <c r="F28" s="149"/>
      <c r="G28" s="150"/>
      <c r="H28" s="151"/>
      <c r="I28" s="151"/>
      <c r="J28" s="151"/>
      <c r="K28" s="151"/>
      <c r="L28" s="151"/>
      <c r="M28" s="151"/>
      <c r="N28" s="151"/>
      <c r="O28" s="151"/>
      <c r="P28" s="152"/>
    </row>
    <row r="29" spans="3:16">
      <c r="C29" s="154"/>
      <c r="D29" s="148" t="s">
        <v>180</v>
      </c>
      <c r="E29" s="154"/>
      <c r="F29" s="149"/>
      <c r="G29" s="150">
        <f>'Loan Repayment Schedule'!H26</f>
        <v>1032503.9148543502</v>
      </c>
      <c r="H29" s="150">
        <f>'Loan Repayment Schedule'!I26</f>
        <v>973755.91176373721</v>
      </c>
      <c r="I29" s="150">
        <f>'Loan Repayment Schedule'!J26</f>
        <v>905563.9017691036</v>
      </c>
      <c r="J29" s="150">
        <f>'Loan Repayment Schedule'!K26</f>
        <v>826409.71809522074</v>
      </c>
      <c r="K29" s="150">
        <f>'Loan Repayment Schedule'!L26</f>
        <v>734531.14179908519</v>
      </c>
      <c r="L29" s="150">
        <f>'Loan Repayment Schedule'!M26</f>
        <v>627882.66928138863</v>
      </c>
      <c r="M29" s="150">
        <f>'Loan Repayment Schedule'!N26</f>
        <v>504089.97299821535</v>
      </c>
      <c r="N29" s="150">
        <f>'Loan Repayment Schedule'!O26</f>
        <v>360397.04152641085</v>
      </c>
      <c r="O29" s="150">
        <f>'Loan Repayment Schedule'!P26</f>
        <v>193604.82215565248</v>
      </c>
      <c r="P29" s="150">
        <f>'Loan Repayment Schedule'!Q26</f>
        <v>-7.2759576141834259E-10</v>
      </c>
    </row>
    <row r="30" spans="3:16">
      <c r="C30" s="154"/>
      <c r="D30" s="156" t="s">
        <v>181</v>
      </c>
      <c r="E30" s="156"/>
      <c r="F30" s="149"/>
      <c r="G30" s="150">
        <f>G29</f>
        <v>1032503.9148543502</v>
      </c>
      <c r="H30" s="151">
        <f t="shared" ref="H30:P30" si="4">H29</f>
        <v>973755.91176373721</v>
      </c>
      <c r="I30" s="151">
        <f t="shared" si="4"/>
        <v>905563.9017691036</v>
      </c>
      <c r="J30" s="151">
        <f t="shared" si="4"/>
        <v>826409.71809522074</v>
      </c>
      <c r="K30" s="151">
        <f t="shared" si="4"/>
        <v>734531.14179908519</v>
      </c>
      <c r="L30" s="151">
        <f t="shared" si="4"/>
        <v>627882.66928138863</v>
      </c>
      <c r="M30" s="151">
        <f t="shared" si="4"/>
        <v>504089.97299821535</v>
      </c>
      <c r="N30" s="151">
        <f t="shared" si="4"/>
        <v>360397.04152641085</v>
      </c>
      <c r="O30" s="151">
        <f t="shared" si="4"/>
        <v>193604.82215565248</v>
      </c>
      <c r="P30" s="152">
        <f t="shared" si="4"/>
        <v>-7.2759576141834259E-10</v>
      </c>
    </row>
    <row r="31" spans="3:16">
      <c r="C31" s="154"/>
      <c r="D31" s="156"/>
      <c r="E31" s="156"/>
      <c r="F31" s="149"/>
      <c r="G31" s="150"/>
      <c r="H31" s="151"/>
      <c r="I31" s="151"/>
      <c r="J31" s="151"/>
      <c r="K31" s="151"/>
      <c r="L31" s="151"/>
      <c r="M31" s="151"/>
      <c r="N31" s="151"/>
      <c r="O31" s="151"/>
      <c r="P31" s="152"/>
    </row>
    <row r="32" spans="3:16">
      <c r="C32" s="154"/>
      <c r="D32" s="156" t="s">
        <v>182</v>
      </c>
      <c r="E32" s="156"/>
      <c r="F32" s="149"/>
      <c r="G32" s="150">
        <f>G30+G27</f>
        <v>1807777.88745709</v>
      </c>
      <c r="H32" s="151">
        <f t="shared" ref="H32:P32" si="5">H30+H27</f>
        <v>1840685.7268322303</v>
      </c>
      <c r="I32" s="151">
        <f t="shared" ca="1" si="5"/>
        <v>1877764.5648573688</v>
      </c>
      <c r="J32" s="151">
        <f t="shared" ca="1" si="5"/>
        <v>9810264.0479778685</v>
      </c>
      <c r="K32" s="151">
        <f t="shared" ca="1" si="5"/>
        <v>10687087.181781912</v>
      </c>
      <c r="L32" s="151">
        <f t="shared" ca="1" si="5"/>
        <v>11689918.249967173</v>
      </c>
      <c r="M32" s="151">
        <f t="shared" ca="1" si="5"/>
        <v>12841309.648684822</v>
      </c>
      <c r="N32" s="151">
        <f t="shared" ca="1" si="5"/>
        <v>14168962.270425292</v>
      </c>
      <c r="O32" s="151">
        <f t="shared" ca="1" si="5"/>
        <v>15703607.579638803</v>
      </c>
      <c r="P32" s="152">
        <f t="shared" ca="1" si="5"/>
        <v>17481752.219939236</v>
      </c>
    </row>
    <row r="33" spans="3:16">
      <c r="C33" s="157"/>
      <c r="D33" s="154"/>
      <c r="E33" s="154"/>
      <c r="F33" s="149"/>
      <c r="G33" s="150"/>
      <c r="H33" s="151"/>
      <c r="I33" s="151"/>
      <c r="J33" s="151"/>
      <c r="K33" s="151"/>
      <c r="L33" s="151"/>
      <c r="M33" s="151"/>
      <c r="N33" s="151"/>
      <c r="O33" s="151"/>
      <c r="P33" s="152"/>
    </row>
    <row r="34" spans="3:16">
      <c r="C34" s="155" t="s">
        <v>183</v>
      </c>
      <c r="D34" s="154"/>
      <c r="E34" s="154"/>
      <c r="F34" s="149"/>
      <c r="G34" s="150"/>
      <c r="H34" s="151"/>
      <c r="I34" s="151"/>
      <c r="J34" s="151"/>
      <c r="K34" s="151"/>
      <c r="L34" s="151"/>
      <c r="M34" s="151"/>
      <c r="N34" s="151"/>
      <c r="O34" s="151"/>
      <c r="P34" s="152"/>
    </row>
    <row r="35" spans="3:16">
      <c r="C35" s="155"/>
      <c r="D35" s="154" t="s">
        <v>184</v>
      </c>
      <c r="E35" s="154"/>
      <c r="F35" s="149"/>
      <c r="G35" s="150">
        <v>50000</v>
      </c>
      <c r="H35" s="151">
        <f>G35</f>
        <v>50000</v>
      </c>
      <c r="I35" s="151">
        <f t="shared" ref="I35:P35" si="6">H35</f>
        <v>50000</v>
      </c>
      <c r="J35" s="151">
        <f t="shared" si="6"/>
        <v>50000</v>
      </c>
      <c r="K35" s="151">
        <f t="shared" si="6"/>
        <v>50000</v>
      </c>
      <c r="L35" s="151">
        <f t="shared" si="6"/>
        <v>50000</v>
      </c>
      <c r="M35" s="151">
        <f t="shared" si="6"/>
        <v>50000</v>
      </c>
      <c r="N35" s="151">
        <f>M35</f>
        <v>50000</v>
      </c>
      <c r="O35" s="151">
        <f t="shared" si="6"/>
        <v>50000</v>
      </c>
      <c r="P35" s="152">
        <f t="shared" si="6"/>
        <v>50000</v>
      </c>
    </row>
    <row r="36" spans="3:16">
      <c r="C36" s="155"/>
      <c r="D36" s="154" t="s">
        <v>185</v>
      </c>
      <c r="E36" s="154"/>
      <c r="F36" s="149"/>
      <c r="G36" s="150">
        <v>0</v>
      </c>
      <c r="H36" s="151">
        <v>0</v>
      </c>
      <c r="I36" s="151">
        <v>0</v>
      </c>
      <c r="J36" s="151">
        <v>0</v>
      </c>
      <c r="K36" s="151">
        <v>0</v>
      </c>
      <c r="L36" s="151">
        <v>0</v>
      </c>
      <c r="M36" s="151">
        <v>0</v>
      </c>
      <c r="N36" s="151">
        <v>0</v>
      </c>
      <c r="O36" s="151">
        <v>0</v>
      </c>
      <c r="P36" s="152">
        <v>0</v>
      </c>
    </row>
    <row r="37" spans="3:16">
      <c r="C37" s="155"/>
      <c r="D37" s="154" t="s">
        <v>186</v>
      </c>
      <c r="E37" s="154"/>
      <c r="F37" s="149"/>
      <c r="G37" s="150">
        <f>Income!R143</f>
        <v>6719927.8953289147</v>
      </c>
      <c r="H37" s="150">
        <f>Income!S143</f>
        <v>15823137.018774629</v>
      </c>
      <c r="I37" s="150">
        <f ca="1">Income!T143</f>
        <v>26636457.524692968</v>
      </c>
      <c r="J37" s="150">
        <f ca="1">Income!U143</f>
        <v>111020502.66217406</v>
      </c>
      <c r="K37" s="150">
        <f ca="1">Income!V143</f>
        <v>218492845.70119858</v>
      </c>
      <c r="L37" s="150">
        <f ca="1">Income!W143</f>
        <v>344689847.23639005</v>
      </c>
      <c r="M37" s="150">
        <f ca="1">Income!X143</f>
        <v>484071140.97340155</v>
      </c>
      <c r="N37" s="150">
        <f ca="1">Income!Y143</f>
        <v>638484050.8741982</v>
      </c>
      <c r="O37" s="150">
        <f ca="1">Income!Z143</f>
        <v>810089878.15696907</v>
      </c>
      <c r="P37" s="150">
        <f ca="1">Income!AA143</f>
        <v>998153808.80008483</v>
      </c>
    </row>
    <row r="38" spans="3:16">
      <c r="C38" s="156" t="s">
        <v>187</v>
      </c>
      <c r="D38" s="154"/>
      <c r="E38" s="154"/>
      <c r="F38" s="149"/>
      <c r="G38" s="150">
        <f>SUM(G35:G37)</f>
        <v>6769927.8953289147</v>
      </c>
      <c r="H38" s="151">
        <f>SUM(H35:H37)</f>
        <v>15873137.018774629</v>
      </c>
      <c r="I38" s="151">
        <f t="shared" ref="I38:P38" ca="1" si="7">SUM(I35:I37)</f>
        <v>26686457.524692968</v>
      </c>
      <c r="J38" s="151">
        <f t="shared" ca="1" si="7"/>
        <v>111070502.66217406</v>
      </c>
      <c r="K38" s="151">
        <f t="shared" ca="1" si="7"/>
        <v>218542845.70119858</v>
      </c>
      <c r="L38" s="151">
        <f t="shared" ca="1" si="7"/>
        <v>344739847.23639005</v>
      </c>
      <c r="M38" s="151">
        <f t="shared" ca="1" si="7"/>
        <v>484121140.97340155</v>
      </c>
      <c r="N38" s="151">
        <f t="shared" ca="1" si="7"/>
        <v>638534050.8741982</v>
      </c>
      <c r="O38" s="151">
        <f t="shared" ca="1" si="7"/>
        <v>810139878.15696907</v>
      </c>
      <c r="P38" s="151">
        <f t="shared" ca="1" si="7"/>
        <v>998203808.80008483</v>
      </c>
    </row>
    <row r="39" spans="3:16">
      <c r="C39" s="154"/>
      <c r="D39" s="154"/>
      <c r="E39" s="154"/>
      <c r="F39" s="149"/>
      <c r="G39" s="150"/>
      <c r="H39" s="151"/>
      <c r="I39" s="151"/>
      <c r="J39" s="151"/>
      <c r="K39" s="151"/>
      <c r="L39" s="151"/>
      <c r="M39" s="151"/>
      <c r="N39" s="151"/>
      <c r="O39" s="151"/>
      <c r="P39" s="152"/>
    </row>
    <row r="40" spans="3:16">
      <c r="C40" s="156" t="s">
        <v>188</v>
      </c>
      <c r="D40" s="153"/>
      <c r="E40" s="153"/>
      <c r="F40" s="158"/>
      <c r="G40" s="150">
        <f>G38+G32</f>
        <v>8577705.7827860042</v>
      </c>
      <c r="H40" s="151">
        <f t="shared" ref="H40:N40" si="8">H38+H32</f>
        <v>17713822.745606858</v>
      </c>
      <c r="I40" s="151">
        <f t="shared" ca="1" si="8"/>
        <v>28564222.089550335</v>
      </c>
      <c r="J40" s="151">
        <f t="shared" ca="1" si="8"/>
        <v>120880766.71015193</v>
      </c>
      <c r="K40" s="151">
        <f t="shared" ca="1" si="8"/>
        <v>229229932.8829805</v>
      </c>
      <c r="L40" s="151">
        <f t="shared" ca="1" si="8"/>
        <v>356429765.48635721</v>
      </c>
      <c r="M40" s="151">
        <f ca="1">M38+M32</f>
        <v>496962450.62208635</v>
      </c>
      <c r="N40" s="151">
        <f t="shared" ca="1" si="8"/>
        <v>652703013.14462352</v>
      </c>
      <c r="O40" s="151">
        <f ca="1">O38+O32</f>
        <v>825843485.73660791</v>
      </c>
      <c r="P40" s="152">
        <f ca="1">P38+P32</f>
        <v>1015685561.0200241</v>
      </c>
    </row>
    <row r="41" spans="3:16">
      <c r="C41" s="156"/>
      <c r="D41" s="154"/>
      <c r="E41" s="154"/>
      <c r="F41" s="149"/>
      <c r="G41" s="150"/>
      <c r="H41" s="151"/>
      <c r="I41" s="151"/>
      <c r="J41" s="151"/>
      <c r="K41" s="151"/>
      <c r="L41" s="151"/>
      <c r="M41" s="151"/>
      <c r="N41" s="151"/>
      <c r="O41" s="151"/>
      <c r="P41" s="152"/>
    </row>
    <row r="42" spans="3:16" ht="15" thickBot="1">
      <c r="C42" s="159" t="s">
        <v>189</v>
      </c>
      <c r="D42" s="159"/>
      <c r="E42" s="160"/>
      <c r="F42" s="161"/>
      <c r="G42" s="162" t="str">
        <f>IF(ROUNDUP(G21, 0) = ROUNDUP(G40, 0), "OK", "Error")</f>
        <v>OK</v>
      </c>
      <c r="H42" s="163" t="str">
        <f t="shared" ref="H42:P42" si="9">IF(ROUNDUP(H21, 0) = ROUNDUP(H40, 0), "OK", "Error")</f>
        <v>OK</v>
      </c>
      <c r="I42" s="163" t="str">
        <f t="shared" ca="1" si="9"/>
        <v>OK</v>
      </c>
      <c r="J42" s="163" t="str">
        <f t="shared" ca="1" si="9"/>
        <v>OK</v>
      </c>
      <c r="K42" s="163" t="str">
        <f t="shared" ca="1" si="9"/>
        <v>OK</v>
      </c>
      <c r="L42" s="163" t="str">
        <f t="shared" ca="1" si="9"/>
        <v>OK</v>
      </c>
      <c r="M42" s="163" t="str">
        <f t="shared" ca="1" si="9"/>
        <v>OK</v>
      </c>
      <c r="N42" s="163" t="str">
        <f t="shared" ca="1" si="9"/>
        <v>OK</v>
      </c>
      <c r="O42" s="163" t="str">
        <f t="shared" ca="1" si="9"/>
        <v>OK</v>
      </c>
      <c r="P42" s="164" t="str">
        <f t="shared" ca="1" si="9"/>
        <v>OK</v>
      </c>
    </row>
    <row r="43" spans="3:16">
      <c r="G43" s="200"/>
      <c r="H43" s="200"/>
      <c r="I43" s="200"/>
      <c r="J43" s="200"/>
      <c r="K43" s="200"/>
      <c r="L43" s="200"/>
      <c r="M43" s="200"/>
      <c r="N43" s="200"/>
      <c r="O43" s="200"/>
      <c r="P43" s="200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EFFB-8255-4695-BA3A-03F2456A7561}">
  <dimension ref="B1:P21"/>
  <sheetViews>
    <sheetView zoomScale="64" workbookViewId="0">
      <selection activeCell="R11" sqref="R11"/>
    </sheetView>
  </sheetViews>
  <sheetFormatPr defaultRowHeight="14.5"/>
  <cols>
    <col min="5" max="5" width="17.81640625" customWidth="1"/>
    <col min="6" max="6" width="17.54296875" customWidth="1"/>
    <col min="7" max="7" width="17.36328125" customWidth="1"/>
    <col min="8" max="8" width="18.36328125" customWidth="1"/>
    <col min="9" max="9" width="18.54296875" customWidth="1"/>
    <col min="10" max="10" width="19.1796875" customWidth="1"/>
    <col min="11" max="12" width="18.90625" customWidth="1"/>
    <col min="13" max="14" width="19.26953125" customWidth="1"/>
    <col min="15" max="15" width="18.453125" customWidth="1"/>
    <col min="16" max="16" width="14.54296875" customWidth="1"/>
  </cols>
  <sheetData>
    <row r="1" spans="2:16">
      <c r="K1" s="174" t="s">
        <v>206</v>
      </c>
      <c r="L1" s="175">
        <v>0.15</v>
      </c>
    </row>
    <row r="2" spans="2:16">
      <c r="K2" s="176" t="s">
        <v>207</v>
      </c>
      <c r="L2" s="177">
        <v>0.03</v>
      </c>
    </row>
    <row r="3" spans="2:16" ht="15" thickBot="1">
      <c r="F3" t="s">
        <v>248</v>
      </c>
      <c r="K3" s="178" t="s">
        <v>208</v>
      </c>
      <c r="L3" s="179" t="s">
        <v>339</v>
      </c>
    </row>
    <row r="4" spans="2:16" ht="15" thickBot="1">
      <c r="F4">
        <v>0</v>
      </c>
      <c r="G4">
        <v>1</v>
      </c>
      <c r="H4">
        <v>2</v>
      </c>
      <c r="I4">
        <v>3</v>
      </c>
      <c r="J4">
        <v>4</v>
      </c>
      <c r="K4">
        <v>5</v>
      </c>
      <c r="L4">
        <v>6</v>
      </c>
      <c r="M4">
        <v>7</v>
      </c>
      <c r="N4">
        <v>8</v>
      </c>
      <c r="O4">
        <v>9</v>
      </c>
      <c r="P4">
        <v>10</v>
      </c>
    </row>
    <row r="5" spans="2:16">
      <c r="B5" s="181" t="s">
        <v>210</v>
      </c>
      <c r="C5" s="167"/>
      <c r="D5" s="167"/>
      <c r="E5" s="182"/>
      <c r="F5" s="183">
        <f>Income!Q141</f>
        <v>0</v>
      </c>
      <c r="G5" s="183">
        <f>Income!R141</f>
        <v>6719927.8953289147</v>
      </c>
      <c r="H5" s="183">
        <f>Income!S141</f>
        <v>9103209.1234457139</v>
      </c>
      <c r="I5" s="183">
        <f ca="1">Income!T141</f>
        <v>10813320.505918337</v>
      </c>
      <c r="J5" s="183">
        <f ca="1">Income!U141</f>
        <v>84384045.137481093</v>
      </c>
      <c r="K5" s="183">
        <f ca="1">Income!V141</f>
        <v>107472343.03902452</v>
      </c>
      <c r="L5" s="183">
        <f ca="1">Income!W141</f>
        <v>126197001.53519148</v>
      </c>
      <c r="M5" s="183">
        <f ca="1">Income!X141</f>
        <v>139381293.73701146</v>
      </c>
      <c r="N5" s="183">
        <f ca="1">Income!Y141</f>
        <v>154412909.90079659</v>
      </c>
      <c r="O5" s="183">
        <f ca="1">Income!Z141</f>
        <v>171605827.28277084</v>
      </c>
      <c r="P5" s="183">
        <f ca="1">Income!AA141</f>
        <v>188063930.64311573</v>
      </c>
    </row>
    <row r="6" spans="2:16">
      <c r="B6" s="184" t="s">
        <v>126</v>
      </c>
      <c r="C6" s="168"/>
      <c r="D6" s="168"/>
      <c r="E6" s="185"/>
      <c r="F6" s="186">
        <f>'Depreciation Schedule'!F10</f>
        <v>0</v>
      </c>
      <c r="G6" s="186">
        <f>'Depreciation Schedule'!G10</f>
        <v>19951.582477468037</v>
      </c>
      <c r="H6" s="186">
        <f>'Depreciation Schedule'!H10</f>
        <v>19951.582477468037</v>
      </c>
      <c r="I6" s="186">
        <f>'Depreciation Schedule'!I10</f>
        <v>19951.582477468037</v>
      </c>
      <c r="J6" s="186">
        <f>'Depreciation Schedule'!J10</f>
        <v>19951.582477468037</v>
      </c>
      <c r="K6" s="186">
        <f>'Depreciation Schedule'!K10</f>
        <v>19951.582477468037</v>
      </c>
      <c r="L6" s="186">
        <f>'Depreciation Schedule'!L10</f>
        <v>19951.582477468037</v>
      </c>
      <c r="M6" s="186">
        <f>'Depreciation Schedule'!M10</f>
        <v>19951.582477468037</v>
      </c>
      <c r="N6" s="186">
        <f>'Depreciation Schedule'!N10</f>
        <v>19951.582477468037</v>
      </c>
      <c r="O6" s="186">
        <f>'Depreciation Schedule'!O10</f>
        <v>19951.582477468037</v>
      </c>
      <c r="P6" s="186">
        <f>'Depreciation Schedule'!P10</f>
        <v>19951.582477468037</v>
      </c>
    </row>
    <row r="7" spans="2:16">
      <c r="B7" s="184" t="s">
        <v>211</v>
      </c>
      <c r="C7" s="168"/>
      <c r="D7" s="168"/>
      <c r="E7" s="189"/>
      <c r="F7" s="190">
        <f xml:space="preserve"> SUM(Balance!G11:'Balance'!G13)-Balance!G27</f>
        <v>17987683.866281155</v>
      </c>
      <c r="G7" s="190">
        <f>SUM(Balance!H11:H13)-Balance!H27-SUM(Balance!G11:G13)+Balance!G27</f>
        <v>7795855.5563277565</v>
      </c>
      <c r="H7" s="190">
        <f ca="1">SUM(Balance!I11:I13)-Balance!I27-SUM(Balance!H11:H13)+Balance!H27</f>
        <v>2038732.9418740706</v>
      </c>
      <c r="I7" s="190">
        <f ca="1">SUM(Balance!J11:J13)-Balance!J27-SUM(Balance!I11:I13)+Balance!I27</f>
        <v>176034877.36774781</v>
      </c>
      <c r="J7" s="190">
        <f ca="1">SUM(Balance!K11:K13)-Balance!K27-SUM(Balance!J11:J13)+Balance!J27</f>
        <v>72555457.866283208</v>
      </c>
      <c r="K7" s="190">
        <f ca="1">SUM(Balance!L11:L13)-Balance!L27-SUM(Balance!K11:K13)+Balance!K27</f>
        <v>22290542.937735766</v>
      </c>
      <c r="L7" s="190">
        <f ca="1">SUM(Balance!M11:M13)-Balance!M27-SUM(Balance!L11:L13)+Balance!L27</f>
        <v>21116291.206896473</v>
      </c>
      <c r="M7" s="190">
        <f ca="1">SUM(Balance!N11:N13)-Balance!N27-SUM(Balance!M11:M13)+Balance!M27</f>
        <v>23866361.837938137</v>
      </c>
      <c r="N7" s="190">
        <f ca="1">SUM(Balance!O11:O13)-Balance!O27-SUM(Balance!N11:N13)+Balance!N27</f>
        <v>26984902.033071399</v>
      </c>
      <c r="O7" s="190">
        <f ca="1">SUM(Balance!P11:P13)-Balance!P27-SUM(Balance!O11:O13)+Balance!O27</f>
        <v>29105498.901103046</v>
      </c>
      <c r="P7" s="190"/>
    </row>
    <row r="8" spans="2:16">
      <c r="B8" s="184" t="s">
        <v>212</v>
      </c>
      <c r="C8" s="168"/>
      <c r="D8" s="168"/>
      <c r="E8" s="191"/>
      <c r="F8" s="192">
        <f>'Depreciation Schedule'!G9</f>
        <v>199515.82477468037</v>
      </c>
      <c r="G8" s="187">
        <v>0</v>
      </c>
      <c r="H8" s="187">
        <v>0</v>
      </c>
      <c r="I8" s="187">
        <v>0</v>
      </c>
      <c r="J8" s="187">
        <v>0</v>
      </c>
      <c r="K8" s="187">
        <v>0</v>
      </c>
      <c r="L8" s="187">
        <v>0</v>
      </c>
      <c r="M8" s="187">
        <v>0</v>
      </c>
      <c r="N8" s="187">
        <v>0</v>
      </c>
      <c r="O8" s="187">
        <v>0</v>
      </c>
      <c r="P8" s="188">
        <v>0</v>
      </c>
    </row>
    <row r="9" spans="2:16">
      <c r="B9" s="184" t="s">
        <v>213</v>
      </c>
      <c r="C9" s="168"/>
      <c r="D9" s="168"/>
      <c r="E9" s="191"/>
      <c r="F9" s="193">
        <f>'Loan Repayment Schedule'!G34</f>
        <v>1083115.8247746804</v>
      </c>
      <c r="G9" s="193">
        <f>'Loan Repayment Schedule'!H32</f>
        <v>50611.909920330327</v>
      </c>
      <c r="H9" s="193">
        <f>'Loan Repayment Schedule'!I32</f>
        <v>58748.003090612889</v>
      </c>
      <c r="I9" s="193">
        <f>'Loan Repayment Schedule'!J32</f>
        <v>68192.009994633598</v>
      </c>
      <c r="J9" s="193">
        <f>'Loan Repayment Schedule'!K32</f>
        <v>79154.183673882813</v>
      </c>
      <c r="K9" s="193">
        <f>'Loan Repayment Schedule'!L32</f>
        <v>91878.576296135507</v>
      </c>
      <c r="L9" s="193">
        <f>'Loan Repayment Schedule'!M32</f>
        <v>106648.47251769651</v>
      </c>
      <c r="M9" s="193">
        <f>'Loan Repayment Schedule'!N32</f>
        <v>123792.69628317331</v>
      </c>
      <c r="N9" s="193">
        <f>'Loan Repayment Schedule'!O32</f>
        <v>143692.93147180454</v>
      </c>
      <c r="O9" s="193">
        <f>'Loan Repayment Schedule'!P32</f>
        <v>166792.21937075836</v>
      </c>
      <c r="P9" s="193">
        <f>'Loan Repayment Schedule'!Q32</f>
        <v>193604.82215565321</v>
      </c>
    </row>
    <row r="10" spans="2:16">
      <c r="B10" s="184"/>
      <c r="C10" s="168"/>
      <c r="D10" s="168"/>
      <c r="E10" s="191"/>
      <c r="F10" s="193"/>
      <c r="G10" s="195"/>
      <c r="H10" s="195"/>
      <c r="I10" s="195"/>
      <c r="J10" s="195"/>
      <c r="K10" s="195"/>
      <c r="L10" s="195"/>
      <c r="M10" s="195"/>
      <c r="N10" s="195"/>
      <c r="O10" s="195"/>
      <c r="P10" s="196"/>
    </row>
    <row r="11" spans="2:16">
      <c r="B11" s="184" t="s">
        <v>214</v>
      </c>
      <c r="C11" s="197"/>
      <c r="D11" s="197"/>
      <c r="E11" s="198"/>
      <c r="F11" s="199">
        <f>G5+G6-F7-F8+F9</f>
        <v>-10364204.388474774</v>
      </c>
      <c r="G11" s="199">
        <f t="shared" ref="G11:P11" si="0">H5+H6-G7-G8+G9</f>
        <v>1377917.0595157549</v>
      </c>
      <c r="H11" s="199">
        <f t="shared" ca="1" si="0"/>
        <v>8853287.1496123467</v>
      </c>
      <c r="I11" s="199">
        <f t="shared" ca="1" si="0"/>
        <v>-91562688.637794614</v>
      </c>
      <c r="J11" s="199">
        <f t="shared" ca="1" si="0"/>
        <v>35015990.938892655</v>
      </c>
      <c r="K11" s="199">
        <f t="shared" ca="1" si="0"/>
        <v>104018288.75622931</v>
      </c>
      <c r="L11" s="199">
        <f t="shared" ca="1" si="0"/>
        <v>118391602.58511017</v>
      </c>
      <c r="M11" s="199">
        <f t="shared" ca="1" si="0"/>
        <v>130690292.34161912</v>
      </c>
      <c r="N11" s="199">
        <f t="shared" ca="1" si="0"/>
        <v>144784569.76364872</v>
      </c>
      <c r="O11" s="199">
        <f t="shared" ca="1" si="0"/>
        <v>159145175.54386091</v>
      </c>
      <c r="P11" s="199">
        <f t="shared" si="0"/>
        <v>193604.82215565321</v>
      </c>
    </row>
    <row r="12" spans="2:16">
      <c r="B12" s="184" t="s">
        <v>215</v>
      </c>
      <c r="C12" s="168"/>
      <c r="D12" s="168"/>
      <c r="E12" s="191"/>
      <c r="F12" s="193"/>
      <c r="G12" s="195"/>
      <c r="H12" s="195"/>
      <c r="I12" s="195"/>
      <c r="J12" s="195"/>
      <c r="K12" s="195"/>
      <c r="L12" s="195"/>
      <c r="M12" s="195"/>
      <c r="N12" s="195"/>
      <c r="O12" s="195"/>
      <c r="P12" s="196">
        <f>(P11*(1+L2))/(L1-L2)</f>
        <v>1661774.7235026902</v>
      </c>
    </row>
    <row r="13" spans="2:16">
      <c r="B13" s="184"/>
      <c r="C13" s="168"/>
      <c r="D13" s="168"/>
      <c r="E13" s="189"/>
      <c r="F13" s="201"/>
      <c r="G13" s="202"/>
      <c r="H13" s="202"/>
      <c r="I13" s="202"/>
      <c r="J13" s="202"/>
      <c r="K13" s="202"/>
      <c r="L13" s="202"/>
      <c r="M13" s="202"/>
      <c r="N13" s="202"/>
      <c r="O13" s="202"/>
      <c r="P13" s="196"/>
    </row>
    <row r="14" spans="2:16">
      <c r="B14" s="203" t="s">
        <v>216</v>
      </c>
      <c r="C14" s="204"/>
      <c r="D14" s="204"/>
      <c r="E14" s="205"/>
      <c r="F14" s="206">
        <f t="shared" ref="F14:P14" si="1">F11+F12</f>
        <v>-10364204.388474774</v>
      </c>
      <c r="G14" s="207">
        <f t="shared" si="1"/>
        <v>1377917.0595157549</v>
      </c>
      <c r="H14" s="207">
        <f t="shared" ca="1" si="1"/>
        <v>8853287.1496123467</v>
      </c>
      <c r="I14" s="207">
        <f t="shared" ca="1" si="1"/>
        <v>-91562688.637794614</v>
      </c>
      <c r="J14" s="207">
        <f t="shared" ca="1" si="1"/>
        <v>35015990.938892655</v>
      </c>
      <c r="K14" s="207">
        <f t="shared" ca="1" si="1"/>
        <v>104018288.75622931</v>
      </c>
      <c r="L14" s="207">
        <f t="shared" ca="1" si="1"/>
        <v>118391602.58511017</v>
      </c>
      <c r="M14" s="207">
        <f t="shared" ca="1" si="1"/>
        <v>130690292.34161912</v>
      </c>
      <c r="N14" s="207">
        <f t="shared" ca="1" si="1"/>
        <v>144784569.76364872</v>
      </c>
      <c r="O14" s="207">
        <f t="shared" ca="1" si="1"/>
        <v>159145175.54386091</v>
      </c>
      <c r="P14" s="208">
        <f t="shared" si="1"/>
        <v>1855379.5456583435</v>
      </c>
    </row>
    <row r="15" spans="2:16">
      <c r="B15" s="184"/>
      <c r="C15" s="168"/>
      <c r="D15" s="168"/>
      <c r="E15" s="191"/>
      <c r="F15" s="193"/>
      <c r="G15" s="195"/>
      <c r="H15" s="195"/>
      <c r="I15" s="195"/>
      <c r="J15" s="195"/>
      <c r="K15" s="195"/>
      <c r="L15" s="195"/>
      <c r="M15" s="195"/>
      <c r="N15" s="195"/>
      <c r="O15" s="195"/>
      <c r="P15" s="196"/>
    </row>
    <row r="16" spans="2:16">
      <c r="B16" s="209" t="s">
        <v>217</v>
      </c>
      <c r="C16" s="168"/>
      <c r="D16" s="168"/>
      <c r="E16" s="191"/>
      <c r="F16" s="199">
        <f>F14/((1+($L$1))^F4)</f>
        <v>-10364204.388474774</v>
      </c>
      <c r="G16" s="199">
        <f t="shared" ref="G16:P16" si="2">G14/((1+($L$1))^G4)</f>
        <v>1198188.7474050045</v>
      </c>
      <c r="H16" s="199">
        <f t="shared" ca="1" si="2"/>
        <v>6694357.0129393935</v>
      </c>
      <c r="I16" s="199">
        <f t="shared" ca="1" si="2"/>
        <v>-60203954.06446594</v>
      </c>
      <c r="J16" s="199">
        <f t="shared" ca="1" si="2"/>
        <v>20020506.466968123</v>
      </c>
      <c r="K16" s="199">
        <f t="shared" ca="1" si="2"/>
        <v>51715473.215136901</v>
      </c>
      <c r="L16" s="199">
        <f t="shared" ca="1" si="2"/>
        <v>51183956.921737097</v>
      </c>
      <c r="M16" s="199">
        <f t="shared" ca="1" si="2"/>
        <v>49131321.649591915</v>
      </c>
      <c r="N16" s="199">
        <f t="shared" ca="1" si="2"/>
        <v>47330332.681290962</v>
      </c>
      <c r="O16" s="199">
        <f t="shared" ca="1" si="2"/>
        <v>45238991.464650311</v>
      </c>
      <c r="P16" s="199">
        <f t="shared" si="2"/>
        <v>458621.44773807866</v>
      </c>
    </row>
    <row r="17" spans="2:16" ht="15" thickBot="1">
      <c r="B17" s="210"/>
      <c r="C17" s="211"/>
      <c r="D17" s="211"/>
      <c r="E17" s="212"/>
      <c r="F17" s="193"/>
      <c r="G17" s="194"/>
      <c r="H17" s="194"/>
      <c r="I17" s="194"/>
      <c r="J17" s="194"/>
      <c r="K17" s="194"/>
      <c r="L17" s="194"/>
      <c r="M17" s="194"/>
      <c r="N17" s="194"/>
      <c r="O17" s="194"/>
      <c r="P17" s="169"/>
    </row>
    <row r="18" spans="2:16" ht="15" thickBot="1">
      <c r="B18" s="213" t="s">
        <v>218</v>
      </c>
      <c r="C18" s="214"/>
      <c r="D18" s="214"/>
      <c r="E18" s="215">
        <f ca="1">SUM(F16:P16)</f>
        <v>202403591.15451705</v>
      </c>
      <c r="F18" s="216"/>
      <c r="G18" s="217"/>
      <c r="H18" s="217"/>
      <c r="I18" s="217"/>
      <c r="J18" s="218"/>
      <c r="K18" s="218"/>
      <c r="L18" s="218"/>
      <c r="M18" s="218"/>
      <c r="N18" s="218"/>
      <c r="O18" s="218"/>
      <c r="P18" s="169"/>
    </row>
    <row r="19" spans="2:16" ht="15" thickBot="1">
      <c r="B19" s="219"/>
      <c r="C19" s="220"/>
      <c r="D19" s="220"/>
      <c r="E19" s="221"/>
      <c r="F19" s="222"/>
      <c r="G19" s="223"/>
      <c r="H19" s="223"/>
      <c r="I19" s="223"/>
      <c r="J19" s="223"/>
      <c r="K19" s="223"/>
      <c r="L19" s="223"/>
      <c r="M19" s="223"/>
      <c r="N19" s="168"/>
      <c r="O19" s="168"/>
      <c r="P19" s="169"/>
    </row>
    <row r="20" spans="2:16" ht="15" thickBot="1">
      <c r="B20" s="224" t="s">
        <v>219</v>
      </c>
      <c r="C20" s="225"/>
      <c r="D20" s="225"/>
      <c r="E20" s="339">
        <f ca="1">IF(ISERROR(IRR(F14:P14)),0,IF(IRR(F14:P14)&lt;0,0,IRR(F14:P14)))</f>
        <v>0.66214781130713862</v>
      </c>
      <c r="F20" s="226"/>
      <c r="G20" s="355"/>
      <c r="H20" s="227"/>
      <c r="I20" s="227"/>
      <c r="J20" s="223"/>
      <c r="K20" s="223"/>
      <c r="L20" s="223"/>
      <c r="M20" s="223"/>
      <c r="N20" s="223"/>
      <c r="O20" s="223"/>
      <c r="P20" s="169"/>
    </row>
    <row r="21" spans="2:16" ht="15" thickBot="1">
      <c r="B21" s="228"/>
      <c r="C21" s="229"/>
      <c r="D21" s="229"/>
      <c r="E21" s="230"/>
      <c r="F21" s="231"/>
      <c r="G21" s="232"/>
      <c r="H21" s="232"/>
      <c r="I21" s="232"/>
      <c r="J21" s="172"/>
      <c r="K21" s="172"/>
      <c r="L21" s="172"/>
      <c r="M21" s="172"/>
      <c r="N21" s="172"/>
      <c r="O21" s="172"/>
      <c r="P21" s="17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8E1A-D50E-4E3E-BF01-9CAA2BA238CE}">
  <dimension ref="A1:M17"/>
  <sheetViews>
    <sheetView workbookViewId="0">
      <selection activeCell="E8" sqref="E8"/>
    </sheetView>
  </sheetViews>
  <sheetFormatPr defaultRowHeight="14.5"/>
  <cols>
    <col min="3" max="3" width="33.08984375" customWidth="1"/>
    <col min="4" max="4" width="9.08984375" hidden="1" customWidth="1"/>
    <col min="5" max="10" width="10.6328125" customWidth="1"/>
    <col min="12" max="12" width="10.90625" bestFit="1" customWidth="1"/>
  </cols>
  <sheetData>
    <row r="1" spans="1:13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3">
      <c r="A2" s="1" t="s">
        <v>3</v>
      </c>
      <c r="B2" s="2" t="str">
        <f>'Table of Contents'!B2</f>
        <v>Krishnamurthy Bindumadhavan, Sri Krishna P</v>
      </c>
      <c r="C2" s="3"/>
      <c r="D2" s="3"/>
      <c r="E2" s="6" t="s">
        <v>4</v>
      </c>
      <c r="F2" s="5" t="s">
        <v>5</v>
      </c>
    </row>
    <row r="3" spans="1:13">
      <c r="A3" s="1" t="s">
        <v>6</v>
      </c>
      <c r="B3" s="2" t="s">
        <v>71</v>
      </c>
      <c r="C3" s="3"/>
      <c r="D3" s="3"/>
      <c r="E3" s="7" t="s">
        <v>8</v>
      </c>
      <c r="F3" s="5" t="s">
        <v>9</v>
      </c>
    </row>
    <row r="4" spans="1:13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3" ht="0.75" customHeight="1">
      <c r="G5" s="53"/>
    </row>
    <row r="6" spans="1:13" ht="15" thickBot="1"/>
    <row r="7" spans="1:13" ht="16" thickBot="1">
      <c r="C7" s="455" t="s">
        <v>93</v>
      </c>
      <c r="D7" s="456"/>
      <c r="E7" s="54">
        <v>2015</v>
      </c>
      <c r="F7" s="54">
        <v>2016</v>
      </c>
      <c r="G7" s="54">
        <v>2017</v>
      </c>
      <c r="H7" s="54">
        <v>2018</v>
      </c>
      <c r="I7" s="54">
        <v>2019</v>
      </c>
      <c r="J7" s="55" t="s">
        <v>94</v>
      </c>
    </row>
    <row r="8" spans="1:13" ht="15.5">
      <c r="C8" s="56" t="s">
        <v>95</v>
      </c>
      <c r="D8" s="57"/>
      <c r="E8" s="58">
        <f>'[2]Revenue Analysis'!D13</f>
        <v>95000</v>
      </c>
      <c r="F8" s="58">
        <f>'[2]Revenue Analysis'!E13</f>
        <v>100000</v>
      </c>
      <c r="G8" s="58">
        <f>'[2]Revenue Analysis'!F13</f>
        <v>105000</v>
      </c>
      <c r="H8" s="58">
        <f>'[2]Revenue Analysis'!G13</f>
        <v>105000</v>
      </c>
      <c r="I8" s="58">
        <f>'[2]Revenue Analysis'!H13</f>
        <v>105000</v>
      </c>
      <c r="J8" s="59">
        <f>+(I8/E8)^(1/4)-1</f>
        <v>2.5336513577710162E-2</v>
      </c>
      <c r="L8" s="53">
        <f>SUM(E8:I8)</f>
        <v>510000</v>
      </c>
    </row>
    <row r="9" spans="1:13" ht="15.5">
      <c r="C9" s="60" t="s">
        <v>96</v>
      </c>
      <c r="D9" s="61"/>
      <c r="E9" s="62">
        <f>'[2]Expense Analysis'!D14</f>
        <v>88695.62966398921</v>
      </c>
      <c r="F9" s="62">
        <f>'[2]Expense Analysis'!E14</f>
        <v>91148.092493528457</v>
      </c>
      <c r="G9" s="62">
        <f>'[2]Expense Analysis'!F14</f>
        <v>93700.472442696511</v>
      </c>
      <c r="H9" s="62">
        <f>'[2]Expense Analysis'!G14</f>
        <v>96356.840289111249</v>
      </c>
      <c r="I9" s="62">
        <f>'[2]Expense Analysis'!H14</f>
        <v>99121.432660151506</v>
      </c>
      <c r="J9" s="63">
        <f>+(I9/E9)^(1/4)-1</f>
        <v>2.8173336892006517E-2</v>
      </c>
      <c r="L9" s="53">
        <f>SUM(E9:I9)</f>
        <v>469022.46754947695</v>
      </c>
    </row>
    <row r="10" spans="1:13" ht="15.5">
      <c r="C10" s="64" t="s">
        <v>97</v>
      </c>
      <c r="D10" s="65"/>
      <c r="E10" s="66">
        <f>E8-E9</f>
        <v>6304.3703360107902</v>
      </c>
      <c r="F10" s="67">
        <f>F8-F9</f>
        <v>8851.9075064715435</v>
      </c>
      <c r="G10" s="67">
        <f>G8-G9</f>
        <v>11299.527557303489</v>
      </c>
      <c r="H10" s="67">
        <f>H8-H9</f>
        <v>8643.1597108887509</v>
      </c>
      <c r="I10" s="67">
        <f>I8-I9</f>
        <v>5878.5673398484942</v>
      </c>
      <c r="J10" s="63"/>
      <c r="L10" s="53">
        <f>SUM(E10:I10)</f>
        <v>40977.532450523067</v>
      </c>
      <c r="M10" s="68">
        <f>L10/L8</f>
        <v>8.0348102844162883E-2</v>
      </c>
    </row>
    <row r="11" spans="1:13" ht="15" thickBot="1">
      <c r="C11" s="69" t="s">
        <v>98</v>
      </c>
      <c r="D11" s="70"/>
      <c r="E11" s="71">
        <f>E10/E8</f>
        <v>6.6361793010639894E-2</v>
      </c>
      <c r="F11" s="72">
        <f>F10/F8</f>
        <v>8.851907506471543E-2</v>
      </c>
      <c r="G11" s="72">
        <f>G10/G8</f>
        <v>0.10761454816479513</v>
      </c>
      <c r="H11" s="72">
        <f>H10/H8</f>
        <v>8.2315806770369052E-2</v>
      </c>
      <c r="I11" s="72">
        <f>I10/I8</f>
        <v>5.5986355617604705E-2</v>
      </c>
      <c r="J11" s="73"/>
    </row>
    <row r="12" spans="1:13">
      <c r="C12" s="74" t="s">
        <v>99</v>
      </c>
    </row>
    <row r="13" spans="1:13">
      <c r="C13" t="s">
        <v>100</v>
      </c>
    </row>
    <row r="14" spans="1:13">
      <c r="D14" s="75" t="s">
        <v>101</v>
      </c>
      <c r="E14" s="75">
        <v>2009</v>
      </c>
      <c r="F14" s="75">
        <v>2010</v>
      </c>
      <c r="G14" s="75">
        <v>2011</v>
      </c>
      <c r="H14" s="75">
        <v>2012</v>
      </c>
      <c r="I14" s="75">
        <v>2013</v>
      </c>
    </row>
    <row r="15" spans="1:13">
      <c r="C15" t="s">
        <v>95</v>
      </c>
      <c r="D15" s="76">
        <f>[3]Revenue!D10/1000</f>
        <v>262.52703015867206</v>
      </c>
      <c r="E15" s="53">
        <f>ROUND(E8/1000, 0)</f>
        <v>95</v>
      </c>
      <c r="F15" s="53">
        <f t="shared" ref="F15:I16" si="0">ROUND(F8/1000, 0)</f>
        <v>100</v>
      </c>
      <c r="G15" s="53">
        <f t="shared" si="0"/>
        <v>105</v>
      </c>
      <c r="H15" s="53">
        <f t="shared" si="0"/>
        <v>105</v>
      </c>
      <c r="I15" s="53">
        <f t="shared" si="0"/>
        <v>105</v>
      </c>
    </row>
    <row r="16" spans="1:13">
      <c r="C16" t="s">
        <v>96</v>
      </c>
      <c r="D16" s="76">
        <f>[3]Revenue!D6/1000</f>
        <v>25.421749999999999</v>
      </c>
      <c r="E16" s="53">
        <f>ROUND(E9/1000, 0)</f>
        <v>89</v>
      </c>
      <c r="F16" s="53">
        <f t="shared" si="0"/>
        <v>91</v>
      </c>
      <c r="G16" s="53">
        <f t="shared" si="0"/>
        <v>94</v>
      </c>
      <c r="H16" s="53">
        <f t="shared" si="0"/>
        <v>96</v>
      </c>
      <c r="I16" s="53">
        <f>ROUND(I9/1000, 0)</f>
        <v>99</v>
      </c>
    </row>
    <row r="17" spans="3:9">
      <c r="C17" t="str">
        <f>C11</f>
        <v>Profit Margin</v>
      </c>
      <c r="D17" s="76">
        <f t="shared" ref="D17:I17" si="1">D15-D16</f>
        <v>237.10528015867206</v>
      </c>
      <c r="E17" s="53">
        <f t="shared" si="1"/>
        <v>6</v>
      </c>
      <c r="F17" s="53">
        <f t="shared" si="1"/>
        <v>9</v>
      </c>
      <c r="G17" s="53">
        <f t="shared" si="1"/>
        <v>11</v>
      </c>
      <c r="H17" s="53">
        <f t="shared" si="1"/>
        <v>9</v>
      </c>
      <c r="I17" s="53">
        <f t="shared" si="1"/>
        <v>6</v>
      </c>
    </row>
  </sheetData>
  <mergeCells count="1">
    <mergeCell ref="C7:D7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5D36-0EF3-4410-88F7-0F77EE901821}">
  <dimension ref="A1:P48"/>
  <sheetViews>
    <sheetView workbookViewId="0">
      <selection activeCell="B4" sqref="B4"/>
    </sheetView>
  </sheetViews>
  <sheetFormatPr defaultRowHeight="14.5"/>
  <cols>
    <col min="2" max="2" width="18.6328125" bestFit="1" customWidth="1"/>
    <col min="3" max="3" width="31.54296875" bestFit="1" customWidth="1"/>
    <col min="4" max="9" width="10.6328125" customWidth="1"/>
    <col min="10" max="10" width="13.08984375" bestFit="1" customWidth="1"/>
    <col min="11" max="11" width="29.453125" bestFit="1" customWidth="1"/>
    <col min="12" max="14" width="10.36328125" hidden="1" customWidth="1"/>
    <col min="15" max="15" width="0" hidden="1" customWidth="1"/>
    <col min="16" max="16" width="9.36328125" hidden="1" customWidth="1"/>
    <col min="17" max="17" width="26.6328125" bestFit="1" customWidth="1"/>
    <col min="18" max="22" width="12.6328125" customWidth="1"/>
  </cols>
  <sheetData>
    <row r="1" spans="1:14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4">
      <c r="A2" s="1" t="s">
        <v>3</v>
      </c>
      <c r="B2" s="2" t="str">
        <f>'Table of Contents'!B2</f>
        <v>Krishnamurthy Bindumadhavan, Sri Krishna P</v>
      </c>
      <c r="C2" s="3"/>
      <c r="D2" s="3"/>
      <c r="E2" s="6" t="s">
        <v>4</v>
      </c>
      <c r="F2" s="5" t="s">
        <v>5</v>
      </c>
    </row>
    <row r="3" spans="1:14">
      <c r="A3" s="1" t="s">
        <v>6</v>
      </c>
      <c r="B3" s="2" t="s">
        <v>76</v>
      </c>
      <c r="C3" s="3"/>
      <c r="D3" s="3"/>
      <c r="E3" s="7" t="s">
        <v>8</v>
      </c>
      <c r="F3" s="5" t="s">
        <v>9</v>
      </c>
    </row>
    <row r="4" spans="1:14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4" ht="15" thickBot="1">
      <c r="L5" t="s">
        <v>102</v>
      </c>
    </row>
    <row r="6" spans="1:14" ht="20.25" customHeight="1" thickBot="1">
      <c r="F6" s="77"/>
      <c r="L6" s="78" t="s">
        <v>103</v>
      </c>
      <c r="M6" s="78" t="s">
        <v>104</v>
      </c>
      <c r="N6" s="78" t="s">
        <v>105</v>
      </c>
    </row>
    <row r="7" spans="1:14" ht="16.5" thickTop="1" thickBot="1">
      <c r="C7" s="79" t="s">
        <v>96</v>
      </c>
      <c r="D7" s="54">
        <v>2015</v>
      </c>
      <c r="E7" s="54">
        <v>2016</v>
      </c>
      <c r="F7" s="54">
        <v>2017</v>
      </c>
      <c r="G7" s="54">
        <v>2018</v>
      </c>
      <c r="H7" s="54">
        <v>2019</v>
      </c>
      <c r="I7" s="55" t="s">
        <v>94</v>
      </c>
      <c r="L7" s="80">
        <v>62750</v>
      </c>
      <c r="M7" s="80">
        <f>T7/1000</f>
        <v>0</v>
      </c>
      <c r="N7" s="80">
        <f>U7/1000</f>
        <v>0</v>
      </c>
    </row>
    <row r="8" spans="1:14" ht="15.5">
      <c r="C8" s="81" t="s">
        <v>106</v>
      </c>
      <c r="D8" s="82">
        <f>SUM('[2]Income Statement'!$C92:$N93)</f>
        <v>41250.812206287032</v>
      </c>
      <c r="E8" s="82">
        <f>SUM('[2]Income Statement'!$O92:$Z93)</f>
        <v>42931.433942265678</v>
      </c>
      <c r="F8" s="82">
        <f>SUM('[2]Income Statement'!$AA92:$AL93)</f>
        <v>44680.526800832646</v>
      </c>
      <c r="G8" s="82">
        <f>SUM('[2]Income Statement'!$AM92:$AX93)</f>
        <v>46500.880401167618</v>
      </c>
      <c r="H8" s="82">
        <f>SUM('[2]Income Statement'!$AY92:$BJ93)</f>
        <v>48395.398015839855</v>
      </c>
      <c r="I8" s="83">
        <f>+(H8/D8)^(1/4)-1</f>
        <v>4.0741542919790596E-2</v>
      </c>
      <c r="J8" s="84">
        <f t="shared" ref="J8:J14" si="0">H8/E8 - 1</f>
        <v>0.12727187451791466</v>
      </c>
      <c r="L8" s="80">
        <f>54000+5482+9926</f>
        <v>69408</v>
      </c>
      <c r="M8" s="80">
        <f>104626+16595+5615+10588</f>
        <v>137424</v>
      </c>
      <c r="N8" s="80">
        <f>60751+ 48908 +8919.55</f>
        <v>118578.55</v>
      </c>
    </row>
    <row r="9" spans="1:14" ht="15.5">
      <c r="C9" s="85" t="s">
        <v>107</v>
      </c>
      <c r="D9" s="82">
        <f>SUM('[2]Income Statement'!$C77:$N77)</f>
        <v>1000.0000000000001</v>
      </c>
      <c r="E9" s="82">
        <f>SUM('[2]Income Statement'!$O77:$Z77)</f>
        <v>1000.0000000000001</v>
      </c>
      <c r="F9" s="82">
        <f>SUM('[2]Income Statement'!$AA77:$AL77)</f>
        <v>1000.0000000000001</v>
      </c>
      <c r="G9" s="82">
        <f>SUM('[2]Income Statement'!$AM77:$AX77)</f>
        <v>1000.0000000000001</v>
      </c>
      <c r="H9" s="82">
        <f>SUM('[2]Income Statement'!$AY77:$BJ77)</f>
        <v>1000.0000000000001</v>
      </c>
      <c r="I9" s="83">
        <f t="shared" ref="I9:I14" si="1">+(H9/D9)^(1/4)-1</f>
        <v>0</v>
      </c>
      <c r="J9" s="84">
        <f t="shared" si="0"/>
        <v>0</v>
      </c>
      <c r="L9" s="80">
        <v>0</v>
      </c>
      <c r="M9" s="80">
        <v>26038</v>
      </c>
      <c r="N9" s="80">
        <f>U9/1000</f>
        <v>0</v>
      </c>
    </row>
    <row r="10" spans="1:14" ht="15.5">
      <c r="C10" s="85" t="s">
        <v>108</v>
      </c>
      <c r="D10" s="82">
        <f>SUM('[2]Income Statement'!$C68:$N68)</f>
        <v>16999.999999999996</v>
      </c>
      <c r="E10" s="82">
        <f>SUM('[2]Income Statement'!$O68:$Z68)</f>
        <v>16999.999999999996</v>
      </c>
      <c r="F10" s="82">
        <f>SUM('[2]Income Statement'!$AA68:$AL68)</f>
        <v>16999.999999999996</v>
      </c>
      <c r="G10" s="82">
        <f>SUM('[2]Income Statement'!$AM68:$AX68)</f>
        <v>16999.999999999996</v>
      </c>
      <c r="H10" s="82">
        <f>SUM('[2]Income Statement'!$AY68:$BJ68)</f>
        <v>16999.999999999996</v>
      </c>
      <c r="I10" s="83">
        <f t="shared" si="1"/>
        <v>0</v>
      </c>
      <c r="J10" s="84">
        <f t="shared" si="0"/>
        <v>0</v>
      </c>
      <c r="L10" s="80"/>
      <c r="M10" s="80"/>
      <c r="N10" s="80"/>
    </row>
    <row r="11" spans="1:14" ht="15.5">
      <c r="C11" s="85" t="s">
        <v>109</v>
      </c>
      <c r="D11" s="82">
        <f>SUM('[2]Income Statement'!$C69:$N69)</f>
        <v>9000</v>
      </c>
      <c r="E11" s="82">
        <f>SUM('[2]Income Statement'!$O69:$Z69)</f>
        <v>9000</v>
      </c>
      <c r="F11" s="82">
        <f>SUM('[2]Income Statement'!$AA69:$AL69)</f>
        <v>9000</v>
      </c>
      <c r="G11" s="82">
        <f>SUM('[2]Income Statement'!$AM69:$AX69)</f>
        <v>9000</v>
      </c>
      <c r="H11" s="82">
        <f>SUM('[2]Income Statement'!$AY69:$BJ69)</f>
        <v>9000</v>
      </c>
      <c r="I11" s="83">
        <f t="shared" si="1"/>
        <v>0</v>
      </c>
      <c r="J11" s="84">
        <f t="shared" si="0"/>
        <v>0</v>
      </c>
      <c r="L11" s="80"/>
      <c r="M11" s="80"/>
      <c r="N11" s="80"/>
    </row>
    <row r="12" spans="1:14" ht="15.5">
      <c r="C12" s="85" t="s">
        <v>110</v>
      </c>
      <c r="D12" s="82">
        <f>SUM('[2]Income Statement'!$C84:$N84)</f>
        <v>600</v>
      </c>
      <c r="E12" s="82">
        <f>SUM('[2]Income Statement'!$O84:$Z84)</f>
        <v>600</v>
      </c>
      <c r="F12" s="82">
        <f>SUM('[2]Income Statement'!$AA84:$AL84)</f>
        <v>600</v>
      </c>
      <c r="G12" s="82">
        <f>SUM('[2]Income Statement'!$AM84:$AX84)</f>
        <v>600</v>
      </c>
      <c r="H12" s="82">
        <f>SUM('[2]Income Statement'!$AY84:$BJ84)</f>
        <v>600</v>
      </c>
      <c r="I12" s="83">
        <f t="shared" si="1"/>
        <v>0</v>
      </c>
      <c r="J12" s="84">
        <f t="shared" si="0"/>
        <v>0</v>
      </c>
      <c r="L12" s="80">
        <v>0</v>
      </c>
      <c r="M12" s="80">
        <f>T12/1000</f>
        <v>0</v>
      </c>
      <c r="N12" s="80">
        <f>U12/1000</f>
        <v>0</v>
      </c>
    </row>
    <row r="13" spans="1:14" ht="15.5">
      <c r="C13" s="85" t="s">
        <v>111</v>
      </c>
      <c r="D13" s="82">
        <f>SUM('[2]Income Statement'!$C94:$N105) + SUM('[2]Income Statement'!$C113:$N113)</f>
        <v>19844.817457702189</v>
      </c>
      <c r="E13" s="82">
        <f>SUM('[2]Income Statement'!$O94:$Z105) + SUM('[2]Income Statement'!$O113:$Z113)</f>
        <v>20616.658551262775</v>
      </c>
      <c r="F13" s="82">
        <f>SUM('[2]Income Statement'!$AA94:$AL105) + SUM('[2]Income Statement'!$AA113:$AL113)</f>
        <v>21419.945641863877</v>
      </c>
      <c r="G13" s="82">
        <f>SUM('[2]Income Statement'!$AM94:$AX105)+SUM('[2]Income Statement'!$AM113:$AX113)</f>
        <v>22255.959887943634</v>
      </c>
      <c r="H13" s="82">
        <f>SUM('[2]Income Statement'!$AY94:$BJ105) + SUM('[2]Income Statement'!$AY113:$BJ113)</f>
        <v>23126.034644311661</v>
      </c>
      <c r="I13" s="83">
        <f t="shared" si="1"/>
        <v>3.8995139443309457E-2</v>
      </c>
      <c r="J13" s="84">
        <f t="shared" si="0"/>
        <v>0.12171594571493682</v>
      </c>
      <c r="L13" s="80"/>
      <c r="M13" s="80"/>
      <c r="N13" s="80"/>
    </row>
    <row r="14" spans="1:14" ht="16" thickBot="1">
      <c r="C14" s="86" t="s">
        <v>112</v>
      </c>
      <c r="D14" s="87">
        <f>SUM(D8:D13)</f>
        <v>88695.62966398921</v>
      </c>
      <c r="E14" s="88">
        <f>SUM(E8:E13)</f>
        <v>91148.092493528457</v>
      </c>
      <c r="F14" s="88">
        <f>SUM(F8:F13)</f>
        <v>93700.472442696511</v>
      </c>
      <c r="G14" s="88">
        <f>SUM(G8:G13)</f>
        <v>96356.840289111249</v>
      </c>
      <c r="H14" s="88">
        <f>SUM(H8:H13)</f>
        <v>99121.432660151506</v>
      </c>
      <c r="I14" s="89">
        <f t="shared" si="1"/>
        <v>2.8173336892006517E-2</v>
      </c>
      <c r="J14" s="84">
        <f t="shared" si="0"/>
        <v>8.7476763895954823E-2</v>
      </c>
      <c r="L14" s="80">
        <v>7000</v>
      </c>
      <c r="M14" s="80">
        <f>T14/1000</f>
        <v>0</v>
      </c>
      <c r="N14" s="80">
        <f>U14/1000</f>
        <v>0</v>
      </c>
    </row>
    <row r="15" spans="1:14" ht="15.5">
      <c r="C15" s="74" t="s">
        <v>99</v>
      </c>
      <c r="K15">
        <f>H14/E14</f>
        <v>1.0874767638959548</v>
      </c>
      <c r="L15" s="80">
        <f>400+5428</f>
        <v>5828</v>
      </c>
      <c r="M15" s="80">
        <f>T15/1000</f>
        <v>0</v>
      </c>
      <c r="N15" s="80">
        <f>12267</f>
        <v>12267</v>
      </c>
    </row>
    <row r="16" spans="1:14" ht="15.5">
      <c r="H16" s="90">
        <f>H14/D14 - 1</f>
        <v>0.11754584792575429</v>
      </c>
      <c r="J16" s="91">
        <f>SUM(H9:H13)/SUM(E9:E13)</f>
        <v>1.0520437576648116</v>
      </c>
      <c r="L16" s="80">
        <v>0</v>
      </c>
      <c r="M16" s="80">
        <v>73993</v>
      </c>
      <c r="N16" s="80">
        <v>23321</v>
      </c>
    </row>
    <row r="17" spans="3:14" ht="16" thickBot="1">
      <c r="C17" t="s">
        <v>113</v>
      </c>
      <c r="L17" s="80">
        <v>0</v>
      </c>
      <c r="M17" s="80">
        <v>15205</v>
      </c>
      <c r="N17" s="80">
        <v>16626</v>
      </c>
    </row>
    <row r="18" spans="3:14" ht="16" thickBot="1">
      <c r="C18" s="54" t="str">
        <f t="shared" ref="C18:H18" si="2">C7</f>
        <v>Expenses</v>
      </c>
      <c r="D18" s="54">
        <f t="shared" si="2"/>
        <v>2015</v>
      </c>
      <c r="E18" s="54">
        <f t="shared" si="2"/>
        <v>2016</v>
      </c>
      <c r="F18" s="54">
        <f t="shared" si="2"/>
        <v>2017</v>
      </c>
      <c r="G18" s="54">
        <f t="shared" si="2"/>
        <v>2018</v>
      </c>
      <c r="H18" s="54">
        <f t="shared" si="2"/>
        <v>2019</v>
      </c>
      <c r="J18" s="92">
        <f>H8/E8</f>
        <v>1.1272718745179147</v>
      </c>
      <c r="L18" s="80">
        <v>5197</v>
      </c>
      <c r="M18" s="80">
        <v>9358</v>
      </c>
      <c r="N18" s="80">
        <v>2279</v>
      </c>
    </row>
    <row r="19" spans="3:14" ht="15.5">
      <c r="C19" t="str">
        <f t="shared" ref="C19:C25" si="3">C8</f>
        <v>Salaries and Wages</v>
      </c>
      <c r="D19" s="93">
        <f>D8/D$14</f>
        <v>0.46508280467211149</v>
      </c>
      <c r="E19" s="93">
        <f t="shared" ref="E19:G20" si="4">E8/E$14</f>
        <v>0.47100748647388119</v>
      </c>
      <c r="F19" s="93">
        <f t="shared" si="4"/>
        <v>0.47684419977879494</v>
      </c>
      <c r="G19" s="93">
        <f t="shared" si="4"/>
        <v>0.48259034087922892</v>
      </c>
      <c r="H19" s="93">
        <f>H8/H$14</f>
        <v>0.48824352833729395</v>
      </c>
      <c r="L19" s="80"/>
      <c r="M19" s="80"/>
      <c r="N19" s="80">
        <v>477</v>
      </c>
    </row>
    <row r="20" spans="3:14" ht="15.5">
      <c r="C20" t="str">
        <f t="shared" si="3"/>
        <v>Professional Services</v>
      </c>
      <c r="D20" s="93">
        <f>D9/D$14</f>
        <v>1.1274512665261615E-2</v>
      </c>
      <c r="E20" s="93">
        <f t="shared" si="4"/>
        <v>1.0971156637984503E-2</v>
      </c>
      <c r="F20" s="93">
        <f t="shared" si="4"/>
        <v>1.0672304780656901E-2</v>
      </c>
      <c r="G20" s="93">
        <f t="shared" si="4"/>
        <v>1.0378090408522918E-2</v>
      </c>
      <c r="H20" s="93">
        <f>H9/H$14</f>
        <v>1.0088635456154146E-2</v>
      </c>
      <c r="L20" s="80">
        <f>110+5142+11874</f>
        <v>17126</v>
      </c>
      <c r="M20" s="80"/>
      <c r="N20" s="80">
        <v>4144</v>
      </c>
    </row>
    <row r="21" spans="3:14" ht="15.5">
      <c r="C21" t="str">
        <f t="shared" si="3"/>
        <v>Other Cash Expenses</v>
      </c>
      <c r="D21" s="93">
        <f t="shared" ref="D21:H25" si="5">D10/D$14</f>
        <v>0.19166671530944737</v>
      </c>
      <c r="E21" s="93">
        <f t="shared" si="5"/>
        <v>0.18650966284573647</v>
      </c>
      <c r="F21" s="93">
        <f t="shared" si="5"/>
        <v>0.18142918127116725</v>
      </c>
      <c r="G21" s="93">
        <f t="shared" si="5"/>
        <v>0.17642753694488955</v>
      </c>
      <c r="H21" s="93">
        <f t="shared" si="5"/>
        <v>0.17150680275462044</v>
      </c>
      <c r="L21" s="80"/>
      <c r="M21" s="80"/>
      <c r="N21" s="80"/>
    </row>
    <row r="22" spans="3:14" ht="15.5">
      <c r="C22" t="str">
        <f t="shared" si="3"/>
        <v>Travel</v>
      </c>
      <c r="D22" s="93">
        <f t="shared" si="5"/>
        <v>0.10147061398735452</v>
      </c>
      <c r="E22" s="93">
        <f t="shared" si="5"/>
        <v>9.8740409741860505E-2</v>
      </c>
      <c r="F22" s="93">
        <f t="shared" si="5"/>
        <v>9.6050743025912086E-2</v>
      </c>
      <c r="G22" s="93">
        <f t="shared" si="5"/>
        <v>9.3402813676706248E-2</v>
      </c>
      <c r="H22" s="93">
        <f t="shared" si="5"/>
        <v>9.0797719105387309E-2</v>
      </c>
      <c r="L22" s="80"/>
      <c r="M22" s="80"/>
      <c r="N22" s="80"/>
    </row>
    <row r="23" spans="3:14" ht="15.5">
      <c r="C23" t="str">
        <f t="shared" si="3"/>
        <v>Other Direct Costs</v>
      </c>
      <c r="D23" s="93">
        <f t="shared" si="5"/>
        <v>6.764707599156968E-3</v>
      </c>
      <c r="E23" s="93">
        <f t="shared" si="5"/>
        <v>6.582693982790701E-3</v>
      </c>
      <c r="F23" s="93">
        <f t="shared" si="5"/>
        <v>6.4033828683941396E-3</v>
      </c>
      <c r="G23" s="93">
        <f t="shared" si="5"/>
        <v>6.22685424511375E-3</v>
      </c>
      <c r="H23" s="93">
        <f t="shared" si="5"/>
        <v>6.0531812736924874E-3</v>
      </c>
      <c r="L23" s="80">
        <v>74060</v>
      </c>
      <c r="M23" s="80">
        <v>51912</v>
      </c>
      <c r="N23" s="80">
        <v>41573</v>
      </c>
    </row>
    <row r="24" spans="3:14">
      <c r="C24" t="str">
        <f t="shared" si="3"/>
        <v>Miscellaneous</v>
      </c>
      <c r="D24" s="93">
        <f t="shared" si="5"/>
        <v>0.22374064576666811</v>
      </c>
      <c r="E24" s="93">
        <f t="shared" si="5"/>
        <v>0.22618859031774652</v>
      </c>
      <c r="F24" s="93">
        <f t="shared" si="5"/>
        <v>0.22860018827507475</v>
      </c>
      <c r="G24" s="93">
        <f t="shared" si="5"/>
        <v>0.2309743638455386</v>
      </c>
      <c r="H24" s="93">
        <f t="shared" si="5"/>
        <v>0.23331013307285176</v>
      </c>
    </row>
    <row r="25" spans="3:14" ht="15.5">
      <c r="C25" t="str">
        <f t="shared" si="3"/>
        <v>Total Expenses</v>
      </c>
      <c r="D25" s="93">
        <f t="shared" si="5"/>
        <v>1</v>
      </c>
      <c r="E25" s="93">
        <f t="shared" si="5"/>
        <v>1</v>
      </c>
      <c r="F25" s="93">
        <f t="shared" si="5"/>
        <v>1</v>
      </c>
      <c r="G25" s="93">
        <f t="shared" si="5"/>
        <v>1</v>
      </c>
      <c r="H25" s="93">
        <f t="shared" si="5"/>
        <v>1</v>
      </c>
      <c r="L25" s="80"/>
      <c r="M25" s="80"/>
      <c r="N25" s="80"/>
    </row>
    <row r="26" spans="3:14" ht="15.5">
      <c r="L26" s="80"/>
      <c r="M26" s="80"/>
      <c r="N26" s="80"/>
    </row>
    <row r="27" spans="3:14" ht="15.5">
      <c r="L27" s="80"/>
      <c r="M27" s="80"/>
      <c r="N27" s="80"/>
    </row>
    <row r="28" spans="3:14" ht="15.5">
      <c r="C28" t="s">
        <v>114</v>
      </c>
      <c r="D28" s="94">
        <f t="shared" ref="D28:D35" si="6">H7</f>
        <v>2019</v>
      </c>
      <c r="L28" s="80"/>
      <c r="M28" s="80"/>
      <c r="N28" s="80"/>
    </row>
    <row r="29" spans="3:14" ht="15.5">
      <c r="C29" t="str">
        <f t="shared" ref="C29:C35" si="7">C8</f>
        <v>Salaries and Wages</v>
      </c>
      <c r="D29" s="95">
        <f t="shared" si="6"/>
        <v>48395.398015839855</v>
      </c>
      <c r="L29" s="80">
        <f>2572+336+53+63</f>
        <v>3024</v>
      </c>
      <c r="M29" s="80">
        <f>74+180+63</f>
        <v>317</v>
      </c>
      <c r="N29" s="96">
        <f>58+785</f>
        <v>843</v>
      </c>
    </row>
    <row r="30" spans="3:14" ht="15.5">
      <c r="C30" t="str">
        <f t="shared" si="7"/>
        <v>Professional Services</v>
      </c>
      <c r="D30" s="95">
        <f t="shared" si="6"/>
        <v>1000.0000000000001</v>
      </c>
      <c r="L30" s="96">
        <v>0</v>
      </c>
      <c r="M30" s="96">
        <f>T30/1000</f>
        <v>0</v>
      </c>
      <c r="N30" s="96">
        <v>275915</v>
      </c>
    </row>
    <row r="31" spans="3:14" ht="15.5">
      <c r="C31" t="str">
        <f t="shared" si="7"/>
        <v>Other Cash Expenses</v>
      </c>
      <c r="D31" s="95">
        <f t="shared" si="6"/>
        <v>16999.999999999996</v>
      </c>
      <c r="L31" s="80"/>
      <c r="M31" s="80"/>
      <c r="N31" s="80"/>
    </row>
    <row r="32" spans="3:14" ht="15.5">
      <c r="C32" t="str">
        <f t="shared" si="7"/>
        <v>Travel</v>
      </c>
      <c r="D32" s="95">
        <f t="shared" si="6"/>
        <v>9000</v>
      </c>
      <c r="L32" s="80"/>
      <c r="M32" s="80"/>
      <c r="N32" s="80"/>
    </row>
    <row r="33" spans="3:16" ht="16" thickBot="1">
      <c r="C33" t="str">
        <f t="shared" si="7"/>
        <v>Other Direct Costs</v>
      </c>
      <c r="D33" s="95">
        <f t="shared" si="6"/>
        <v>600</v>
      </c>
      <c r="L33" s="97">
        <f>SUM(L7:L30)</f>
        <v>244393</v>
      </c>
      <c r="M33" s="97">
        <f>SUM(M7:M30)</f>
        <v>314247</v>
      </c>
      <c r="N33" s="97">
        <f>SUM(N7:N30)</f>
        <v>496023.55</v>
      </c>
      <c r="P33" s="53">
        <f>M33-M9</f>
        <v>288209</v>
      </c>
    </row>
    <row r="34" spans="3:16">
      <c r="C34" t="str">
        <f t="shared" si="7"/>
        <v>Miscellaneous</v>
      </c>
      <c r="D34" s="95">
        <f t="shared" si="6"/>
        <v>23126.034644311661</v>
      </c>
    </row>
    <row r="35" spans="3:16">
      <c r="C35" t="str">
        <f t="shared" si="7"/>
        <v>Total Expenses</v>
      </c>
      <c r="D35" s="95">
        <f t="shared" si="6"/>
        <v>99121.432660151506</v>
      </c>
    </row>
    <row r="36" spans="3:16">
      <c r="D36" s="95"/>
    </row>
    <row r="37" spans="3:16">
      <c r="D37" s="95"/>
    </row>
    <row r="38" spans="3:16">
      <c r="D38" s="95"/>
    </row>
    <row r="39" spans="3:16">
      <c r="D39" s="95"/>
    </row>
    <row r="40" spans="3:16">
      <c r="D40" s="95"/>
    </row>
    <row r="41" spans="3:16">
      <c r="D41" s="95"/>
    </row>
    <row r="42" spans="3:16">
      <c r="D42" s="95"/>
    </row>
    <row r="43" spans="3:16">
      <c r="D43" s="95"/>
    </row>
    <row r="44" spans="3:16">
      <c r="D44" s="95"/>
    </row>
    <row r="45" spans="3:16">
      <c r="D45" s="95"/>
    </row>
    <row r="46" spans="3:16">
      <c r="D46" s="95"/>
    </row>
    <row r="47" spans="3:16">
      <c r="D47" s="95"/>
    </row>
    <row r="48" spans="3:16">
      <c r="D48" s="9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0EB0C-2A8D-498F-8D21-C5A6847375DC}">
  <dimension ref="A1:K25"/>
  <sheetViews>
    <sheetView workbookViewId="0">
      <selection activeCell="B4" sqref="B4"/>
    </sheetView>
  </sheetViews>
  <sheetFormatPr defaultRowHeight="14.5"/>
  <cols>
    <col min="3" max="3" width="28" customWidth="1"/>
    <col min="4" max="9" width="12.6328125" customWidth="1"/>
  </cols>
  <sheetData>
    <row r="1" spans="1:11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1">
      <c r="A2" s="1" t="s">
        <v>3</v>
      </c>
      <c r="B2" s="2" t="str">
        <f>'Table of Contents'!B2</f>
        <v>Krishnamurthy Bindumadhavan, Sri Krishna P</v>
      </c>
      <c r="C2" s="3"/>
      <c r="D2" s="3"/>
      <c r="E2" s="6" t="s">
        <v>4</v>
      </c>
      <c r="F2" s="5" t="s">
        <v>5</v>
      </c>
    </row>
    <row r="3" spans="1:11">
      <c r="A3" s="1" t="s">
        <v>6</v>
      </c>
      <c r="B3" s="2" t="s">
        <v>74</v>
      </c>
      <c r="C3" s="3"/>
      <c r="D3" s="3"/>
      <c r="E3" s="7" t="s">
        <v>8</v>
      </c>
      <c r="F3" s="5" t="s">
        <v>9</v>
      </c>
    </row>
    <row r="4" spans="1:11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6" spans="1:11" ht="15" thickBot="1"/>
    <row r="7" spans="1:11" ht="16" thickBot="1">
      <c r="C7" s="98" t="s">
        <v>115</v>
      </c>
      <c r="D7" s="54">
        <v>2015</v>
      </c>
      <c r="E7" s="54">
        <v>2016</v>
      </c>
      <c r="F7" s="54">
        <v>2017</v>
      </c>
      <c r="G7" s="54">
        <v>2018</v>
      </c>
      <c r="H7" s="54">
        <v>2019</v>
      </c>
      <c r="I7" s="55" t="s">
        <v>94</v>
      </c>
    </row>
    <row r="8" spans="1:11" ht="15.5">
      <c r="C8" s="99" t="s">
        <v>116</v>
      </c>
      <c r="D8" s="82">
        <f>SUM('[2]Income Statement'!$C17:$N17)</f>
        <v>73000</v>
      </c>
      <c r="E8" s="82">
        <f>SUM('[2]Income Statement'!$O17:$Z17)</f>
        <v>78000</v>
      </c>
      <c r="F8" s="82">
        <f>SUM('[2]Income Statement'!$AA17:$AL17)</f>
        <v>83000</v>
      </c>
      <c r="G8" s="82">
        <f>SUM('[2]Income Statement'!$AM17:$AX17)</f>
        <v>83000</v>
      </c>
      <c r="H8" s="82">
        <f>SUM('[2]Income Statement'!$AY17:$BJ17)</f>
        <v>83000</v>
      </c>
      <c r="I8" s="100">
        <f>+(H8/D8)^(1/4)-1</f>
        <v>3.2615900302333412E-2</v>
      </c>
    </row>
    <row r="9" spans="1:11" ht="15.5">
      <c r="C9" s="99" t="s">
        <v>117</v>
      </c>
      <c r="D9" s="82">
        <f>SUM('[2]Income Statement'!$C23:$N23)</f>
        <v>8000.0000000000009</v>
      </c>
      <c r="E9" s="82">
        <f>SUM('[2]Income Statement'!$O23:$Z23)</f>
        <v>8000.0000000000009</v>
      </c>
      <c r="F9" s="82">
        <f>SUM('[2]Income Statement'!$AA23:$AL23)</f>
        <v>8000.0000000000009</v>
      </c>
      <c r="G9" s="82">
        <f>SUM('[2]Income Statement'!$AM23:$AX23)</f>
        <v>8000.0000000000009</v>
      </c>
      <c r="H9" s="82">
        <f>SUM('[2]Income Statement'!$AY23:$BJ23)</f>
        <v>8000.0000000000009</v>
      </c>
      <c r="I9" s="100">
        <f>+(H9/D9)^(1/4)-1</f>
        <v>0</v>
      </c>
    </row>
    <row r="10" spans="1:11" ht="15.5">
      <c r="C10" s="101" t="s">
        <v>118</v>
      </c>
      <c r="D10" s="82">
        <f>SUM('[2]Income Statement'!$C29:$N29)</f>
        <v>5000</v>
      </c>
      <c r="E10" s="82">
        <f>SUM('[2]Income Statement'!$O29:$Z29)</f>
        <v>5000</v>
      </c>
      <c r="F10" s="82">
        <f>SUM('[2]Income Statement'!$AA29:$AL29)</f>
        <v>5000</v>
      </c>
      <c r="G10" s="82">
        <f>SUM('[2]Income Statement'!$AM29:$AX29)</f>
        <v>5000</v>
      </c>
      <c r="H10" s="82">
        <f>SUM('[2]Income Statement'!$AY29:$BJ29)</f>
        <v>5000</v>
      </c>
      <c r="I10" s="100">
        <f>+(H10/D10)^(1/4)-1</f>
        <v>0</v>
      </c>
    </row>
    <row r="11" spans="1:11" ht="15.5">
      <c r="C11" s="101" t="s">
        <v>119</v>
      </c>
      <c r="D11" s="82">
        <f>SUM('[2]Income Statement'!$C35:$N35)</f>
        <v>9000</v>
      </c>
      <c r="E11" s="82">
        <f>SUM('[2]Income Statement'!$O35:$Z35)</f>
        <v>9000</v>
      </c>
      <c r="F11" s="82">
        <f>SUM('[2]Income Statement'!$AA35:$AL35)</f>
        <v>9000</v>
      </c>
      <c r="G11" s="82">
        <f>SUM('[2]Income Statement'!$AM35:$AX35)</f>
        <v>9000</v>
      </c>
      <c r="H11" s="82">
        <f>SUM('[2]Income Statement'!$AY35:$BJ35)</f>
        <v>9000</v>
      </c>
      <c r="I11" s="100">
        <f>+(H11/D11)^(1/4)-1</f>
        <v>0</v>
      </c>
    </row>
    <row r="12" spans="1:11" ht="15.5">
      <c r="C12" s="101" t="str">
        <f>'[2]Income Statement'!B37</f>
        <v>Other Revenue</v>
      </c>
      <c r="D12" s="82">
        <f>SUM('[2]Income Statement'!$C40:$N40)</f>
        <v>0</v>
      </c>
      <c r="E12" s="82">
        <f>SUM('[2]Income Statement'!$O40:$Z40)</f>
        <v>0</v>
      </c>
      <c r="F12" s="82">
        <f>SUM('[2]Income Statement'!$AA40:$AL40)</f>
        <v>0</v>
      </c>
      <c r="G12" s="82">
        <f>SUM('[2]Income Statement'!$AM40:$AX40)</f>
        <v>0</v>
      </c>
      <c r="H12" s="82">
        <f>SUM('[2]Income Statement'!$AY40:$BJ40)</f>
        <v>0</v>
      </c>
      <c r="I12" s="100">
        <v>1</v>
      </c>
      <c r="K12" s="102"/>
    </row>
    <row r="13" spans="1:11" ht="16" thickBot="1">
      <c r="C13" s="103" t="s">
        <v>120</v>
      </c>
      <c r="D13" s="104">
        <f>SUM(D8:D12)</f>
        <v>95000</v>
      </c>
      <c r="E13" s="105">
        <f>SUM(E8:E12)</f>
        <v>100000</v>
      </c>
      <c r="F13" s="105">
        <f>SUM(F8:F12)</f>
        <v>105000</v>
      </c>
      <c r="G13" s="105">
        <f>SUM(G8:G12)</f>
        <v>105000</v>
      </c>
      <c r="H13" s="105">
        <f>SUM(H8:H12)</f>
        <v>105000</v>
      </c>
      <c r="I13" s="106">
        <f>+(H13/D13)^(1/4)-1</f>
        <v>2.5336513577710162E-2</v>
      </c>
    </row>
    <row r="14" spans="1:11" ht="15" thickBot="1">
      <c r="C14" s="74" t="s">
        <v>99</v>
      </c>
    </row>
    <row r="15" spans="1:11" ht="16" thickBot="1">
      <c r="D15" s="54">
        <v>2015</v>
      </c>
      <c r="E15" s="54">
        <v>2016</v>
      </c>
      <c r="F15" s="54">
        <v>2017</v>
      </c>
      <c r="G15" s="54">
        <v>2018</v>
      </c>
      <c r="H15" s="54">
        <v>2019</v>
      </c>
    </row>
    <row r="16" spans="1:11">
      <c r="C16" t="s">
        <v>120</v>
      </c>
      <c r="D16" s="76">
        <f>D13/1000</f>
        <v>95</v>
      </c>
      <c r="E16" s="76">
        <f>E13/1000</f>
        <v>100</v>
      </c>
      <c r="F16" s="76">
        <f>F13/1000</f>
        <v>105</v>
      </c>
      <c r="G16" s="76">
        <f>G13/1000</f>
        <v>105</v>
      </c>
      <c r="H16" s="76">
        <f>H13/1000</f>
        <v>105</v>
      </c>
    </row>
    <row r="18" spans="4:5">
      <c r="D18" t="s">
        <v>121</v>
      </c>
    </row>
    <row r="20" spans="4:5">
      <c r="D20" t="str">
        <f>C8</f>
        <v>Medical Exams</v>
      </c>
      <c r="E20" s="53">
        <f>H8</f>
        <v>83000</v>
      </c>
    </row>
    <row r="21" spans="4:5">
      <c r="D21" t="str">
        <f>C9</f>
        <v>Product Sales</v>
      </c>
      <c r="E21" s="53">
        <f>H9</f>
        <v>8000.0000000000009</v>
      </c>
    </row>
    <row r="22" spans="4:5">
      <c r="D22" t="str">
        <f>C10</f>
        <v>Misc 1</v>
      </c>
      <c r="E22" s="53">
        <f>H10</f>
        <v>5000</v>
      </c>
    </row>
    <row r="23" spans="4:5">
      <c r="D23" t="str">
        <f>C11</f>
        <v>Misc 2</v>
      </c>
      <c r="E23" s="53">
        <f>H11</f>
        <v>9000</v>
      </c>
    </row>
    <row r="24" spans="4:5">
      <c r="D24" t="str">
        <f>C12</f>
        <v>Other Revenue</v>
      </c>
      <c r="E24" s="53">
        <f>H12</f>
        <v>0</v>
      </c>
    </row>
    <row r="25" spans="4:5">
      <c r="D25" t="s">
        <v>122</v>
      </c>
      <c r="E25" s="53">
        <f>SUM(E20:E24)</f>
        <v>105000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99345-F49E-43FF-8E8B-82A8C6F7D7C2}">
  <dimension ref="A1:R33"/>
  <sheetViews>
    <sheetView workbookViewId="0">
      <selection activeCell="D8" sqref="D8"/>
    </sheetView>
  </sheetViews>
  <sheetFormatPr defaultRowHeight="14.5"/>
  <cols>
    <col min="1" max="1" width="8.08984375" bestFit="1" customWidth="1"/>
    <col min="2" max="2" width="16.90625" bestFit="1" customWidth="1"/>
    <col min="3" max="3" width="26.90625" bestFit="1" customWidth="1"/>
    <col min="4" max="8" width="10.6328125" customWidth="1"/>
    <col min="9" max="9" width="11.08984375" bestFit="1" customWidth="1"/>
  </cols>
  <sheetData>
    <row r="1" spans="1:18">
      <c r="A1" s="1" t="s">
        <v>0</v>
      </c>
      <c r="B1" s="2" t="str">
        <f>'Table of Contents'!B1</f>
        <v>Electronics Manufacturing Venture</v>
      </c>
      <c r="C1" s="3"/>
      <c r="D1" s="3"/>
      <c r="E1" s="4" t="s">
        <v>1</v>
      </c>
      <c r="F1" s="5" t="s">
        <v>2</v>
      </c>
    </row>
    <row r="2" spans="1:18">
      <c r="A2" s="1" t="s">
        <v>3</v>
      </c>
      <c r="B2" s="2" t="str">
        <f>'Table of Contents'!B2</f>
        <v>Krishnamurthy Bindumadhavan, Sri Krishna P</v>
      </c>
      <c r="C2" s="3"/>
      <c r="D2" s="3"/>
      <c r="E2" s="6" t="s">
        <v>4</v>
      </c>
      <c r="F2" s="5" t="s">
        <v>5</v>
      </c>
    </row>
    <row r="3" spans="1:18">
      <c r="A3" s="1" t="s">
        <v>6</v>
      </c>
      <c r="B3" s="2" t="s">
        <v>123</v>
      </c>
      <c r="C3" s="3"/>
      <c r="D3" s="3"/>
      <c r="E3" s="7" t="s">
        <v>8</v>
      </c>
      <c r="F3" s="5" t="s">
        <v>9</v>
      </c>
    </row>
    <row r="4" spans="1:18">
      <c r="A4" s="8" t="s">
        <v>10</v>
      </c>
      <c r="B4" s="9">
        <v>46033</v>
      </c>
      <c r="C4" s="3"/>
      <c r="D4" s="3"/>
      <c r="E4" s="10" t="s">
        <v>11</v>
      </c>
      <c r="F4" s="5" t="s">
        <v>12</v>
      </c>
    </row>
    <row r="5" spans="1:18" ht="15" thickBot="1">
      <c r="C5" s="41"/>
    </row>
    <row r="6" spans="1:18" ht="16" thickBot="1">
      <c r="C6" s="107" t="s">
        <v>83</v>
      </c>
      <c r="D6" s="54">
        <v>2015</v>
      </c>
      <c r="E6" s="54">
        <v>2016</v>
      </c>
      <c r="F6" s="54">
        <v>2017</v>
      </c>
      <c r="G6" s="54">
        <v>2018</v>
      </c>
      <c r="H6" s="54">
        <v>2019</v>
      </c>
      <c r="R6" s="108"/>
    </row>
    <row r="7" spans="1:18" ht="15.5">
      <c r="C7" s="109" t="s">
        <v>124</v>
      </c>
      <c r="D7" s="110">
        <v>0</v>
      </c>
      <c r="E7" s="111">
        <f>D13</f>
        <v>2704.3703360107847</v>
      </c>
      <c r="F7" s="111">
        <f>E13</f>
        <v>12456.277842482341</v>
      </c>
      <c r="G7" s="111">
        <f>F13</f>
        <v>24655.80539978579</v>
      </c>
      <c r="H7" s="112">
        <f>G13</f>
        <v>34198.965110674515</v>
      </c>
      <c r="R7" s="108"/>
    </row>
    <row r="8" spans="1:18" ht="15.5">
      <c r="C8" s="85" t="s">
        <v>125</v>
      </c>
      <c r="D8" s="113">
        <f>[2]Dashboard!C12</f>
        <v>6304.3703360107847</v>
      </c>
      <c r="E8" s="113">
        <f>[2]Dashboard!D12</f>
        <v>8851.9075064715562</v>
      </c>
      <c r="F8" s="113">
        <f>[2]Dashboard!E12</f>
        <v>11299.527557303449</v>
      </c>
      <c r="G8" s="113">
        <f>[2]Dashboard!F12</f>
        <v>8643.1597108887236</v>
      </c>
      <c r="H8" s="113">
        <f>[2]Dashboard!G12</f>
        <v>5878.5673398485214</v>
      </c>
      <c r="R8" s="108"/>
    </row>
    <row r="9" spans="1:18">
      <c r="C9" s="85" t="s">
        <v>126</v>
      </c>
      <c r="D9" s="113">
        <f>[2]Dashboard!C10-[2]Dashboard!C11</f>
        <v>900</v>
      </c>
      <c r="E9" s="113">
        <f>[2]Dashboard!D10-[2]Dashboard!D11</f>
        <v>900</v>
      </c>
      <c r="F9" s="113">
        <f>[2]Dashboard!E10-[2]Dashboard!E11</f>
        <v>900</v>
      </c>
      <c r="G9" s="113">
        <f>[2]Dashboard!F10-[2]Dashboard!F11</f>
        <v>900</v>
      </c>
      <c r="H9" s="113">
        <f>[2]Dashboard!G10-[2]Dashboard!G11</f>
        <v>900</v>
      </c>
    </row>
    <row r="10" spans="1:18">
      <c r="C10" s="85" t="s">
        <v>127</v>
      </c>
      <c r="D10" s="113">
        <f>-(D17-C17)</f>
        <v>-2704.3703360107847</v>
      </c>
      <c r="E10" s="113">
        <f>-(E17-D17)</f>
        <v>-9751.9075064715562</v>
      </c>
      <c r="F10" s="113">
        <f>-(F17-E17)</f>
        <v>-12199.527557303445</v>
      </c>
      <c r="G10" s="113">
        <f>-(G17-F17)</f>
        <v>-9543.1597108887217</v>
      </c>
      <c r="H10" s="113">
        <f>-(H17-G17)</f>
        <v>-6778.567339848516</v>
      </c>
    </row>
    <row r="11" spans="1:18">
      <c r="C11" s="85" t="s">
        <v>128</v>
      </c>
      <c r="D11" s="113">
        <f>D18-C18</f>
        <v>0</v>
      </c>
      <c r="E11" s="113">
        <f>E18-D18</f>
        <v>0</v>
      </c>
      <c r="F11" s="113">
        <f>F18-E18</f>
        <v>0</v>
      </c>
      <c r="G11" s="113">
        <f>G18-F18</f>
        <v>0</v>
      </c>
      <c r="H11" s="113">
        <f>H18-G18</f>
        <v>0</v>
      </c>
    </row>
    <row r="12" spans="1:18">
      <c r="C12" s="85" t="s">
        <v>129</v>
      </c>
      <c r="D12" s="113">
        <f>D13-SUM(D7:D11)</f>
        <v>-1795.6296639892153</v>
      </c>
      <c r="E12" s="114">
        <f>E13-SUM(E7:E11)</f>
        <v>9751.9075064715562</v>
      </c>
      <c r="F12" s="114">
        <f>F13-SUM(F7:F11)</f>
        <v>12199.527557303445</v>
      </c>
      <c r="G12" s="114">
        <f>G13-SUM(G7:G11)</f>
        <v>9543.1597108887217</v>
      </c>
      <c r="H12" s="115">
        <f>H13-SUM(H7:H11)</f>
        <v>6778.567339848516</v>
      </c>
    </row>
    <row r="13" spans="1:18">
      <c r="C13" s="116" t="s">
        <v>130</v>
      </c>
      <c r="D13" s="117">
        <f>[2]Dashboard!C34</f>
        <v>2704.3703360107847</v>
      </c>
      <c r="E13" s="117">
        <f>[2]Dashboard!D34</f>
        <v>12456.277842482341</v>
      </c>
      <c r="F13" s="117">
        <f>[2]Dashboard!E34</f>
        <v>24655.80539978579</v>
      </c>
      <c r="G13" s="117">
        <f>[2]Dashboard!F34</f>
        <v>34198.965110674515</v>
      </c>
      <c r="H13" s="117">
        <f>[2]Dashboard!G34</f>
        <v>40977.532450523038</v>
      </c>
    </row>
    <row r="14" spans="1:18" ht="15" thickBot="1">
      <c r="C14" s="86" t="s">
        <v>131</v>
      </c>
      <c r="D14" s="118">
        <f>D13-D7</f>
        <v>2704.3703360107847</v>
      </c>
      <c r="E14" s="119">
        <f>E13-E7</f>
        <v>9751.9075064715562</v>
      </c>
      <c r="F14" s="119">
        <f>F13-F7</f>
        <v>12199.527557303449</v>
      </c>
      <c r="G14" s="119">
        <f>G13-G7</f>
        <v>9543.1597108887254</v>
      </c>
      <c r="H14" s="120">
        <f>H13-H7</f>
        <v>6778.5673398485233</v>
      </c>
    </row>
    <row r="16" spans="1:18">
      <c r="C16">
        <f t="shared" ref="C16:H16" si="0">C21</f>
        <v>2014</v>
      </c>
      <c r="D16">
        <f t="shared" si="0"/>
        <v>2015</v>
      </c>
      <c r="E16">
        <f t="shared" si="0"/>
        <v>2016</v>
      </c>
      <c r="F16">
        <f t="shared" si="0"/>
        <v>2017</v>
      </c>
      <c r="G16">
        <f t="shared" si="0"/>
        <v>2018</v>
      </c>
      <c r="H16">
        <f t="shared" si="0"/>
        <v>2019</v>
      </c>
    </row>
    <row r="17" spans="2:8">
      <c r="B17" t="s">
        <v>132</v>
      </c>
      <c r="C17" s="121">
        <v>0</v>
      </c>
      <c r="D17" s="122">
        <f>[2]Dashboard!C18</f>
        <v>2704.3703360107847</v>
      </c>
      <c r="E17" s="122">
        <f>[2]Dashboard!D18</f>
        <v>12456.277842482341</v>
      </c>
      <c r="F17" s="122">
        <f>[2]Dashboard!E18</f>
        <v>24655.805399785786</v>
      </c>
      <c r="G17" s="122">
        <f>[2]Dashboard!F18</f>
        <v>34198.965110674508</v>
      </c>
      <c r="H17" s="122">
        <f>[2]Dashboard!G18</f>
        <v>40977.532450523024</v>
      </c>
    </row>
    <row r="18" spans="2:8">
      <c r="B18" t="s">
        <v>133</v>
      </c>
      <c r="C18" s="122">
        <v>0</v>
      </c>
      <c r="D18" s="122">
        <v>0</v>
      </c>
      <c r="E18" s="122">
        <v>0</v>
      </c>
      <c r="F18" s="122">
        <v>0</v>
      </c>
      <c r="G18" s="122">
        <v>0</v>
      </c>
      <c r="H18" s="122">
        <f>'[4]BS 2013'!B32</f>
        <v>0</v>
      </c>
    </row>
    <row r="20" spans="2:8">
      <c r="C20" t="s">
        <v>134</v>
      </c>
    </row>
    <row r="21" spans="2:8">
      <c r="C21" s="123">
        <v>2014</v>
      </c>
      <c r="D21" s="123">
        <f>D6</f>
        <v>2015</v>
      </c>
      <c r="E21" s="123">
        <f>E6</f>
        <v>2016</v>
      </c>
      <c r="F21" s="123">
        <f>F6</f>
        <v>2017</v>
      </c>
      <c r="G21" s="123">
        <f>G6</f>
        <v>2018</v>
      </c>
      <c r="H21" s="123">
        <f>H6</f>
        <v>2019</v>
      </c>
    </row>
    <row r="22" spans="2:8">
      <c r="C22" s="122">
        <f>D7</f>
        <v>0</v>
      </c>
      <c r="D22" s="122">
        <f>D13</f>
        <v>2704.3703360107847</v>
      </c>
      <c r="E22" s="122">
        <f>E13</f>
        <v>12456.277842482341</v>
      </c>
      <c r="F22" s="122">
        <f>F13</f>
        <v>24655.80539978579</v>
      </c>
      <c r="G22" s="122">
        <f>G13</f>
        <v>34198.965110674515</v>
      </c>
      <c r="H22" s="122">
        <f>H13</f>
        <v>40977.532450523038</v>
      </c>
    </row>
    <row r="24" spans="2:8">
      <c r="C24" t="s">
        <v>135</v>
      </c>
    </row>
    <row r="25" spans="2:8">
      <c r="E25" t="s">
        <v>136</v>
      </c>
      <c r="F25" t="s">
        <v>137</v>
      </c>
      <c r="G25" t="s">
        <v>138</v>
      </c>
    </row>
    <row r="26" spans="2:8">
      <c r="C26" t="s">
        <v>124</v>
      </c>
      <c r="D26" s="124">
        <f t="shared" ref="D26:D31" si="1">H7</f>
        <v>34198.965110674515</v>
      </c>
      <c r="E26" s="124">
        <f>D26</f>
        <v>34198.965110674515</v>
      </c>
      <c r="F26" s="124"/>
      <c r="G26" s="124"/>
      <c r="H26" s="124"/>
    </row>
    <row r="27" spans="2:8">
      <c r="C27" t="s">
        <v>125</v>
      </c>
      <c r="D27" s="124">
        <f t="shared" si="1"/>
        <v>5878.5673398485214</v>
      </c>
      <c r="E27" s="125"/>
      <c r="F27" s="125">
        <f>SUM(D$26:D26)</f>
        <v>34198.965110674515</v>
      </c>
      <c r="G27" s="125">
        <f>SUM(D$26:D27)</f>
        <v>40077.532450523038</v>
      </c>
      <c r="H27" s="125"/>
    </row>
    <row r="28" spans="2:8">
      <c r="C28" t="s">
        <v>126</v>
      </c>
      <c r="D28" s="124">
        <f t="shared" si="1"/>
        <v>900</v>
      </c>
      <c r="E28" s="125"/>
      <c r="F28" s="125">
        <f>SUM(D$26:D27)</f>
        <v>40077.532450523038</v>
      </c>
      <c r="G28" s="125">
        <f>SUM(D$26:D28)</f>
        <v>40977.532450523038</v>
      </c>
      <c r="H28" s="125"/>
    </row>
    <row r="29" spans="2:8">
      <c r="C29" t="s">
        <v>127</v>
      </c>
      <c r="D29" s="124">
        <f t="shared" si="1"/>
        <v>-6778.567339848516</v>
      </c>
      <c r="E29" s="125"/>
      <c r="F29" s="125">
        <f>SUM(D$26:D28)</f>
        <v>40977.532450523038</v>
      </c>
      <c r="G29" s="125">
        <f>SUM(D$26:D29)</f>
        <v>34198.965110674522</v>
      </c>
      <c r="H29" s="125"/>
    </row>
    <row r="30" spans="2:8">
      <c r="C30" t="s">
        <v>128</v>
      </c>
      <c r="D30" s="124">
        <f t="shared" si="1"/>
        <v>0</v>
      </c>
      <c r="E30" s="125"/>
      <c r="F30" s="125">
        <f>SUM(D$26:D29)</f>
        <v>34198.965110674522</v>
      </c>
      <c r="G30" s="125">
        <f>SUM(D$26:D30)</f>
        <v>34198.965110674522</v>
      </c>
      <c r="H30" s="125"/>
    </row>
    <row r="31" spans="2:8">
      <c r="C31" t="s">
        <v>129</v>
      </c>
      <c r="D31" s="124">
        <f t="shared" si="1"/>
        <v>6778.567339848516</v>
      </c>
      <c r="E31" s="125"/>
      <c r="F31" s="125">
        <f>SUM(D$26:D30)</f>
        <v>34198.965110674522</v>
      </c>
      <c r="G31" s="125">
        <f>SUM(D$26:D31)</f>
        <v>40977.532450523038</v>
      </c>
      <c r="H31" s="125"/>
    </row>
    <row r="32" spans="2:8">
      <c r="C32" t="s">
        <v>130</v>
      </c>
      <c r="D32" s="124"/>
      <c r="E32" s="125">
        <f>SUM(D26:D31)</f>
        <v>40977.532450523038</v>
      </c>
      <c r="F32" s="125"/>
      <c r="G32" s="125"/>
      <c r="H32" s="125"/>
    </row>
    <row r="33" spans="4:8">
      <c r="D33" s="124"/>
      <c r="E33" s="125"/>
      <c r="F33" s="125"/>
      <c r="G33" s="125"/>
      <c r="H33" s="125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E2B3E-9A7D-48A6-B9E9-767F22229E7E}">
  <dimension ref="A1:DW36"/>
  <sheetViews>
    <sheetView topLeftCell="A6" zoomScale="72" workbookViewId="0">
      <selection activeCell="K6" sqref="K6"/>
    </sheetView>
  </sheetViews>
  <sheetFormatPr defaultRowHeight="14.5"/>
  <cols>
    <col min="3" max="3" width="23" bestFit="1" customWidth="1"/>
    <col min="4" max="4" width="10.54296875" bestFit="1" customWidth="1"/>
    <col min="5" max="6" width="0" hidden="1" customWidth="1"/>
    <col min="7" max="7" width="11.08984375" bestFit="1" customWidth="1"/>
    <col min="8" max="8" width="12.7265625" customWidth="1"/>
    <col min="9" max="9" width="11.36328125" customWidth="1"/>
    <col min="10" max="16" width="10.6328125" customWidth="1"/>
    <col min="17" max="127" width="12.6328125" customWidth="1"/>
  </cols>
  <sheetData>
    <row r="1" spans="1:127">
      <c r="A1" s="596"/>
      <c r="B1" s="598"/>
      <c r="C1" s="593"/>
      <c r="D1" s="593"/>
      <c r="E1" s="3"/>
      <c r="F1" s="4"/>
      <c r="G1" s="5"/>
    </row>
    <row r="2" spans="1:127">
      <c r="A2" s="596"/>
      <c r="B2" s="598"/>
      <c r="C2" s="593"/>
      <c r="D2" s="593"/>
      <c r="E2" s="3"/>
      <c r="F2" s="6"/>
      <c r="G2" s="5"/>
    </row>
    <row r="3" spans="1:127">
      <c r="A3" s="596"/>
      <c r="B3" s="598"/>
      <c r="C3" s="593"/>
      <c r="D3" s="593"/>
      <c r="E3" s="3"/>
      <c r="F3" s="7"/>
      <c r="G3" s="5"/>
    </row>
    <row r="4" spans="1:127">
      <c r="A4" s="592"/>
      <c r="B4" s="600"/>
      <c r="C4" s="593"/>
      <c r="D4" s="593"/>
      <c r="E4" s="3"/>
      <c r="F4" s="10"/>
      <c r="G4" s="5"/>
    </row>
    <row r="5" spans="1:127" ht="15" thickBot="1">
      <c r="A5" s="234"/>
      <c r="B5" s="235"/>
      <c r="F5" s="180"/>
      <c r="G5" s="5"/>
    </row>
    <row r="6" spans="1:127" ht="15" thickBot="1">
      <c r="C6" s="236" t="s">
        <v>21</v>
      </c>
      <c r="D6" s="237">
        <f>Assumptions!D14</f>
        <v>0.15</v>
      </c>
      <c r="H6" s="238" t="s">
        <v>220</v>
      </c>
      <c r="I6" s="239"/>
      <c r="J6" s="240">
        <f>'Depreciation Schedule'!F23+SUM(Assumptions!S45:S49)</f>
        <v>1133115.8247746804</v>
      </c>
    </row>
    <row r="7" spans="1:127">
      <c r="C7" s="241" t="s">
        <v>23</v>
      </c>
      <c r="D7" s="242">
        <f>Assumptions!D15</f>
        <v>10</v>
      </c>
      <c r="G7" t="s">
        <v>24</v>
      </c>
    </row>
    <row r="8" spans="1:127" ht="15" thickBot="1">
      <c r="C8" s="243" t="s">
        <v>221</v>
      </c>
      <c r="D8" s="244">
        <f>-PMT(D6/12, D7*12, H13, 0)</f>
        <v>17474.444509653498</v>
      </c>
    </row>
    <row r="9" spans="1:127">
      <c r="D9" s="233"/>
    </row>
    <row r="10" spans="1:127" ht="15" thickBot="1"/>
    <row r="11" spans="1:127">
      <c r="C11" s="245" t="s">
        <v>222</v>
      </c>
      <c r="D11" s="246"/>
      <c r="E11" s="246"/>
      <c r="F11" s="246"/>
      <c r="G11" s="246"/>
      <c r="H11" s="247" t="s">
        <v>166</v>
      </c>
      <c r="I11" s="247"/>
      <c r="J11" s="247"/>
      <c r="K11" s="247"/>
      <c r="L11" s="247"/>
      <c r="M11" s="247"/>
      <c r="N11" s="247"/>
      <c r="O11" s="247"/>
      <c r="P11" s="247"/>
      <c r="Q11" s="247"/>
      <c r="R11" s="247"/>
      <c r="S11" s="247"/>
      <c r="T11" s="247"/>
      <c r="U11" s="247"/>
      <c r="V11" s="247"/>
      <c r="W11" s="247"/>
      <c r="X11" s="247"/>
      <c r="Y11" s="247"/>
      <c r="Z11" s="247"/>
      <c r="AA11" s="247"/>
      <c r="AB11" s="247"/>
      <c r="AC11" s="247"/>
      <c r="AD11" s="247"/>
      <c r="AE11" s="247"/>
      <c r="AF11" s="247"/>
      <c r="AG11" s="247"/>
      <c r="AH11" s="247"/>
      <c r="AI11" s="247"/>
      <c r="AJ11" s="247"/>
      <c r="AK11" s="247"/>
      <c r="AL11" s="247"/>
      <c r="AM11" s="247"/>
      <c r="AN11" s="247"/>
      <c r="AO11" s="247"/>
      <c r="AP11" s="247"/>
      <c r="AQ11" s="247"/>
      <c r="AR11" s="247"/>
      <c r="AS11" s="247"/>
      <c r="AT11" s="247"/>
      <c r="AU11" s="247"/>
      <c r="AV11" s="247"/>
      <c r="AW11" s="247"/>
      <c r="AX11" s="247"/>
      <c r="AY11" s="247"/>
      <c r="AZ11" s="247"/>
      <c r="BA11" s="247"/>
      <c r="BB11" s="247"/>
      <c r="BC11" s="247"/>
      <c r="BD11" s="247"/>
      <c r="BE11" s="247"/>
      <c r="BF11" s="247"/>
      <c r="BG11" s="247"/>
      <c r="BH11" s="247"/>
      <c r="BI11" s="247"/>
      <c r="BJ11" s="247"/>
      <c r="BK11" s="247"/>
      <c r="BL11" s="247"/>
      <c r="BM11" s="247"/>
      <c r="BN11" s="247"/>
      <c r="BO11" s="247"/>
      <c r="BP11" s="247"/>
      <c r="BQ11" s="247"/>
      <c r="BR11" s="247"/>
      <c r="BS11" s="247"/>
      <c r="BT11" s="247"/>
      <c r="BU11" s="247"/>
      <c r="BV11" s="247"/>
      <c r="BW11" s="247"/>
      <c r="BX11" s="247"/>
      <c r="BY11" s="247"/>
      <c r="BZ11" s="247"/>
      <c r="CA11" s="247"/>
      <c r="CB11" s="247"/>
      <c r="CC11" s="247"/>
      <c r="CD11" s="247"/>
      <c r="CE11" s="247"/>
      <c r="CF11" s="247"/>
      <c r="CG11" s="247"/>
      <c r="CH11" s="247"/>
      <c r="CI11" s="247"/>
      <c r="CJ11" s="247"/>
      <c r="CK11" s="247"/>
      <c r="CL11" s="247"/>
      <c r="CM11" s="247"/>
      <c r="CN11" s="247"/>
      <c r="CO11" s="247"/>
      <c r="CP11" s="247"/>
      <c r="CQ11" s="247"/>
      <c r="CR11" s="247"/>
      <c r="CS11" s="247"/>
      <c r="CT11" s="247"/>
      <c r="CU11" s="247"/>
      <c r="CV11" s="247"/>
      <c r="CW11" s="247"/>
      <c r="CX11" s="247"/>
      <c r="CY11" s="247"/>
      <c r="CZ11" s="247"/>
      <c r="DA11" s="247"/>
      <c r="DB11" s="247"/>
      <c r="DC11" s="247"/>
      <c r="DD11" s="247"/>
      <c r="DE11" s="247"/>
      <c r="DF11" s="247"/>
      <c r="DG11" s="247"/>
      <c r="DH11" s="247"/>
      <c r="DI11" s="247"/>
      <c r="DJ11" s="247"/>
      <c r="DK11" s="247"/>
      <c r="DL11" s="247"/>
      <c r="DM11" s="247"/>
      <c r="DN11" s="247"/>
      <c r="DO11" s="247"/>
      <c r="DP11" s="247"/>
      <c r="DQ11" s="247"/>
      <c r="DR11" s="247"/>
      <c r="DS11" s="247"/>
      <c r="DT11" s="247"/>
      <c r="DU11" s="247"/>
      <c r="DV11" s="247"/>
      <c r="DW11" s="248"/>
    </row>
    <row r="12" spans="1:127" ht="15" thickBot="1">
      <c r="C12" s="249"/>
      <c r="D12" s="250"/>
      <c r="E12" s="251"/>
      <c r="F12" s="251"/>
      <c r="G12" s="251"/>
      <c r="H12" s="165">
        <v>1</v>
      </c>
      <c r="I12" s="165">
        <v>2</v>
      </c>
      <c r="J12" s="165">
        <v>3</v>
      </c>
      <c r="K12" s="165">
        <v>4</v>
      </c>
      <c r="L12" s="165">
        <v>5</v>
      </c>
      <c r="M12" s="165">
        <v>6</v>
      </c>
      <c r="N12" s="165">
        <v>7</v>
      </c>
      <c r="O12" s="165">
        <v>8</v>
      </c>
      <c r="P12" s="165">
        <v>9</v>
      </c>
      <c r="Q12" s="165">
        <v>10</v>
      </c>
      <c r="R12" s="165">
        <v>11</v>
      </c>
      <c r="S12" s="165">
        <v>12</v>
      </c>
      <c r="T12" s="165">
        <v>13</v>
      </c>
      <c r="U12" s="165">
        <v>14</v>
      </c>
      <c r="V12" s="165">
        <v>15</v>
      </c>
      <c r="W12" s="165">
        <v>16</v>
      </c>
      <c r="X12" s="165">
        <v>17</v>
      </c>
      <c r="Y12" s="165">
        <v>18</v>
      </c>
      <c r="Z12" s="165">
        <v>19</v>
      </c>
      <c r="AA12" s="165">
        <v>20</v>
      </c>
      <c r="AB12" s="165">
        <v>21</v>
      </c>
      <c r="AC12" s="165">
        <v>22</v>
      </c>
      <c r="AD12" s="165">
        <v>23</v>
      </c>
      <c r="AE12" s="165">
        <v>24</v>
      </c>
      <c r="AF12" s="165">
        <v>25</v>
      </c>
      <c r="AG12" s="165">
        <v>26</v>
      </c>
      <c r="AH12" s="165">
        <v>27</v>
      </c>
      <c r="AI12" s="165">
        <v>28</v>
      </c>
      <c r="AJ12" s="165">
        <v>29</v>
      </c>
      <c r="AK12" s="165">
        <v>30</v>
      </c>
      <c r="AL12" s="165">
        <v>31</v>
      </c>
      <c r="AM12" s="165">
        <v>32</v>
      </c>
      <c r="AN12" s="165">
        <v>33</v>
      </c>
      <c r="AO12" s="165">
        <v>34</v>
      </c>
      <c r="AP12" s="165">
        <v>35</v>
      </c>
      <c r="AQ12" s="165">
        <v>36</v>
      </c>
      <c r="AR12" s="165">
        <v>37</v>
      </c>
      <c r="AS12" s="165">
        <v>38</v>
      </c>
      <c r="AT12" s="165">
        <v>39</v>
      </c>
      <c r="AU12" s="165">
        <v>40</v>
      </c>
      <c r="AV12" s="165">
        <v>41</v>
      </c>
      <c r="AW12" s="165">
        <v>42</v>
      </c>
      <c r="AX12" s="165">
        <v>43</v>
      </c>
      <c r="AY12" s="165">
        <v>44</v>
      </c>
      <c r="AZ12" s="165">
        <v>45</v>
      </c>
      <c r="BA12" s="165">
        <v>46</v>
      </c>
      <c r="BB12" s="165">
        <v>47</v>
      </c>
      <c r="BC12" s="165">
        <v>48</v>
      </c>
      <c r="BD12" s="165">
        <v>49</v>
      </c>
      <c r="BE12" s="165">
        <v>50</v>
      </c>
      <c r="BF12" s="165">
        <v>51</v>
      </c>
      <c r="BG12" s="165">
        <v>52</v>
      </c>
      <c r="BH12" s="165">
        <v>53</v>
      </c>
      <c r="BI12" s="165">
        <v>54</v>
      </c>
      <c r="BJ12" s="165">
        <v>55</v>
      </c>
      <c r="BK12" s="165">
        <v>56</v>
      </c>
      <c r="BL12" s="165">
        <v>57</v>
      </c>
      <c r="BM12" s="165">
        <v>58</v>
      </c>
      <c r="BN12" s="165">
        <v>59</v>
      </c>
      <c r="BO12" s="165">
        <v>60</v>
      </c>
      <c r="BP12" s="165">
        <v>61</v>
      </c>
      <c r="BQ12" s="165">
        <v>62</v>
      </c>
      <c r="BR12" s="165">
        <v>63</v>
      </c>
      <c r="BS12" s="165">
        <v>64</v>
      </c>
      <c r="BT12" s="165">
        <v>65</v>
      </c>
      <c r="BU12" s="165">
        <v>66</v>
      </c>
      <c r="BV12" s="165">
        <v>67</v>
      </c>
      <c r="BW12" s="165">
        <v>68</v>
      </c>
      <c r="BX12" s="165">
        <v>69</v>
      </c>
      <c r="BY12" s="165">
        <v>70</v>
      </c>
      <c r="BZ12" s="165">
        <v>71</v>
      </c>
      <c r="CA12" s="165">
        <v>72</v>
      </c>
      <c r="CB12" s="165">
        <v>73</v>
      </c>
      <c r="CC12" s="165">
        <v>74</v>
      </c>
      <c r="CD12" s="165">
        <v>75</v>
      </c>
      <c r="CE12" s="165">
        <v>76</v>
      </c>
      <c r="CF12" s="165">
        <v>77</v>
      </c>
      <c r="CG12" s="165">
        <v>78</v>
      </c>
      <c r="CH12" s="165">
        <v>79</v>
      </c>
      <c r="CI12" s="165">
        <v>80</v>
      </c>
      <c r="CJ12" s="165">
        <v>81</v>
      </c>
      <c r="CK12" s="165">
        <v>82</v>
      </c>
      <c r="CL12" s="165">
        <v>83</v>
      </c>
      <c r="CM12" s="165">
        <v>84</v>
      </c>
      <c r="CN12" s="165">
        <v>85</v>
      </c>
      <c r="CO12" s="165">
        <v>86</v>
      </c>
      <c r="CP12" s="165">
        <v>87</v>
      </c>
      <c r="CQ12" s="165">
        <v>88</v>
      </c>
      <c r="CR12" s="165">
        <v>89</v>
      </c>
      <c r="CS12" s="165">
        <v>90</v>
      </c>
      <c r="CT12" s="165">
        <v>91</v>
      </c>
      <c r="CU12" s="165">
        <v>92</v>
      </c>
      <c r="CV12" s="165">
        <v>93</v>
      </c>
      <c r="CW12" s="165">
        <v>94</v>
      </c>
      <c r="CX12" s="165">
        <v>95</v>
      </c>
      <c r="CY12" s="165">
        <v>96</v>
      </c>
      <c r="CZ12" s="165">
        <v>97</v>
      </c>
      <c r="DA12" s="165">
        <v>98</v>
      </c>
      <c r="DB12" s="165">
        <v>99</v>
      </c>
      <c r="DC12" s="165">
        <v>100</v>
      </c>
      <c r="DD12" s="165">
        <v>101</v>
      </c>
      <c r="DE12" s="165">
        <v>102</v>
      </c>
      <c r="DF12" s="165">
        <v>103</v>
      </c>
      <c r="DG12" s="165">
        <v>104</v>
      </c>
      <c r="DH12" s="165">
        <v>105</v>
      </c>
      <c r="DI12" s="165">
        <v>106</v>
      </c>
      <c r="DJ12" s="165">
        <v>107</v>
      </c>
      <c r="DK12" s="165">
        <v>108</v>
      </c>
      <c r="DL12" s="165">
        <v>109</v>
      </c>
      <c r="DM12" s="165">
        <v>110</v>
      </c>
      <c r="DN12" s="165">
        <v>111</v>
      </c>
      <c r="DO12" s="165">
        <v>112</v>
      </c>
      <c r="DP12" s="165">
        <v>113</v>
      </c>
      <c r="DQ12" s="165">
        <v>114</v>
      </c>
      <c r="DR12" s="165">
        <v>115</v>
      </c>
      <c r="DS12" s="165">
        <v>116</v>
      </c>
      <c r="DT12" s="165">
        <v>117</v>
      </c>
      <c r="DU12" s="165">
        <v>118</v>
      </c>
      <c r="DV12" s="165">
        <v>119</v>
      </c>
      <c r="DW12" s="166">
        <v>120</v>
      </c>
    </row>
    <row r="13" spans="1:127">
      <c r="C13" s="252" t="s">
        <v>223</v>
      </c>
      <c r="D13" s="253"/>
      <c r="E13" s="253"/>
      <c r="F13" s="253"/>
      <c r="G13" s="253"/>
      <c r="H13" s="601">
        <f>'Loan Repayment Schedule'!J6-Balance!H35</f>
        <v>1083115.8247746804</v>
      </c>
      <c r="I13" s="254">
        <f t="shared" ref="I13:BT13" si="0">H17</f>
        <v>1079180.3280747104</v>
      </c>
      <c r="J13" s="254">
        <f t="shared" si="0"/>
        <v>1075195.6376659907</v>
      </c>
      <c r="K13" s="254">
        <f t="shared" si="0"/>
        <v>1071161.1386271622</v>
      </c>
      <c r="L13" s="254">
        <f t="shared" si="0"/>
        <v>1067076.2083503483</v>
      </c>
      <c r="M13" s="254">
        <f t="shared" si="0"/>
        <v>1062940.2164450742</v>
      </c>
      <c r="N13" s="254">
        <f t="shared" si="0"/>
        <v>1058752.5246409841</v>
      </c>
      <c r="O13" s="254">
        <f t="shared" si="0"/>
        <v>1054512.4866893429</v>
      </c>
      <c r="P13" s="254">
        <f t="shared" si="0"/>
        <v>1050219.4482633062</v>
      </c>
      <c r="Q13" s="254">
        <f t="shared" si="0"/>
        <v>1045872.7468569441</v>
      </c>
      <c r="R13" s="254">
        <f t="shared" si="0"/>
        <v>1041471.7116830023</v>
      </c>
      <c r="S13" s="254">
        <f t="shared" si="0"/>
        <v>1037015.6635693863</v>
      </c>
      <c r="T13" s="254">
        <f t="shared" si="0"/>
        <v>1032503.9148543502</v>
      </c>
      <c r="U13" s="254">
        <f t="shared" si="0"/>
        <v>1027935.769280376</v>
      </c>
      <c r="V13" s="254">
        <f t="shared" si="0"/>
        <v>1023310.5218867272</v>
      </c>
      <c r="W13" s="254">
        <f t="shared" si="0"/>
        <v>1018627.4589006578</v>
      </c>
      <c r="X13" s="254">
        <f t="shared" si="0"/>
        <v>1013885.8576272626</v>
      </c>
      <c r="Y13" s="254">
        <f t="shared" si="0"/>
        <v>1009084.9863379499</v>
      </c>
      <c r="Z13" s="254">
        <f t="shared" si="0"/>
        <v>1004224.1041575207</v>
      </c>
      <c r="AA13" s="254">
        <f t="shared" si="0"/>
        <v>999302.46094983618</v>
      </c>
      <c r="AB13" s="254">
        <f t="shared" si="0"/>
        <v>994319.29720205569</v>
      </c>
      <c r="AC13" s="254">
        <f t="shared" si="0"/>
        <v>989273.84390742786</v>
      </c>
      <c r="AD13" s="254">
        <f t="shared" si="0"/>
        <v>984165.32244661718</v>
      </c>
      <c r="AE13" s="254">
        <f t="shared" si="0"/>
        <v>978992.94446754642</v>
      </c>
      <c r="AF13" s="254">
        <f t="shared" si="0"/>
        <v>973755.91176373721</v>
      </c>
      <c r="AG13" s="254">
        <f t="shared" si="0"/>
        <v>968453.41615113046</v>
      </c>
      <c r="AH13" s="254">
        <f t="shared" si="0"/>
        <v>963084.63934336614</v>
      </c>
      <c r="AI13" s="254">
        <f t="shared" si="0"/>
        <v>957648.75282550475</v>
      </c>
      <c r="AJ13" s="254">
        <f t="shared" si="0"/>
        <v>952144.91772617004</v>
      </c>
      <c r="AK13" s="254">
        <f t="shared" si="0"/>
        <v>946572.2846880937</v>
      </c>
      <c r="AL13" s="254">
        <f t="shared" si="0"/>
        <v>940929.99373704137</v>
      </c>
      <c r="AM13" s="254">
        <f t="shared" si="0"/>
        <v>935217.1741491009</v>
      </c>
      <c r="AN13" s="254">
        <f t="shared" si="0"/>
        <v>929432.94431631116</v>
      </c>
      <c r="AO13" s="254">
        <f t="shared" si="0"/>
        <v>923576.4116106116</v>
      </c>
      <c r="AP13" s="254">
        <f t="shared" si="0"/>
        <v>917646.67224609072</v>
      </c>
      <c r="AQ13" s="254">
        <f t="shared" si="0"/>
        <v>911642.81113951339</v>
      </c>
      <c r="AR13" s="254">
        <f t="shared" si="0"/>
        <v>905563.90176910383</v>
      </c>
      <c r="AS13" s="254">
        <f t="shared" si="0"/>
        <v>899409.00603156409</v>
      </c>
      <c r="AT13" s="254">
        <f t="shared" si="0"/>
        <v>893177.17409730516</v>
      </c>
      <c r="AU13" s="254">
        <f t="shared" si="0"/>
        <v>886867.44426386803</v>
      </c>
      <c r="AV13" s="254">
        <f t="shared" si="0"/>
        <v>880478.84280751285</v>
      </c>
      <c r="AW13" s="254">
        <f t="shared" si="0"/>
        <v>874010.38383295329</v>
      </c>
      <c r="AX13" s="254">
        <f t="shared" si="0"/>
        <v>867461.06912121165</v>
      </c>
      <c r="AY13" s="254">
        <f t="shared" si="0"/>
        <v>860829.88797557331</v>
      </c>
      <c r="AZ13" s="254">
        <f t="shared" si="0"/>
        <v>854115.81706561451</v>
      </c>
      <c r="BA13" s="254">
        <f t="shared" si="0"/>
        <v>847317.82026928116</v>
      </c>
      <c r="BB13" s="254">
        <f t="shared" si="0"/>
        <v>840434.84851299366</v>
      </c>
      <c r="BC13" s="254">
        <f t="shared" si="0"/>
        <v>833465.83960975253</v>
      </c>
      <c r="BD13" s="254">
        <f t="shared" si="0"/>
        <v>826409.71809522097</v>
      </c>
      <c r="BE13" s="254">
        <f t="shared" si="0"/>
        <v>819265.39506175776</v>
      </c>
      <c r="BF13" s="254">
        <f t="shared" si="0"/>
        <v>812031.76799037622</v>
      </c>
      <c r="BG13" s="254">
        <f t="shared" si="0"/>
        <v>804707.72058060241</v>
      </c>
      <c r="BH13" s="254">
        <f t="shared" si="0"/>
        <v>797292.12257820647</v>
      </c>
      <c r="BI13" s="254">
        <f t="shared" si="0"/>
        <v>789783.8296007805</v>
      </c>
      <c r="BJ13" s="254">
        <f t="shared" si="0"/>
        <v>782181.6829611368</v>
      </c>
      <c r="BK13" s="254">
        <f t="shared" si="0"/>
        <v>774484.50948849751</v>
      </c>
      <c r="BL13" s="254">
        <f t="shared" si="0"/>
        <v>766691.12134745019</v>
      </c>
      <c r="BM13" s="254">
        <f t="shared" si="0"/>
        <v>758800.31585463986</v>
      </c>
      <c r="BN13" s="254">
        <f t="shared" si="0"/>
        <v>750810.8752931694</v>
      </c>
      <c r="BO13" s="254">
        <f t="shared" si="0"/>
        <v>742721.56672468048</v>
      </c>
      <c r="BP13" s="254">
        <f t="shared" si="0"/>
        <v>734531.14179908554</v>
      </c>
      <c r="BQ13" s="254">
        <f t="shared" si="0"/>
        <v>726238.33656192059</v>
      </c>
      <c r="BR13" s="254">
        <f t="shared" si="0"/>
        <v>717841.87125929107</v>
      </c>
      <c r="BS13" s="254">
        <f t="shared" si="0"/>
        <v>709340.45014037867</v>
      </c>
      <c r="BT13" s="254">
        <f t="shared" si="0"/>
        <v>700732.7612574799</v>
      </c>
      <c r="BU13" s="254">
        <f t="shared" ref="BU13:DW13" si="1">BT17</f>
        <v>692017.47626354487</v>
      </c>
      <c r="BV13" s="254">
        <f t="shared" si="1"/>
        <v>683193.25020718563</v>
      </c>
      <c r="BW13" s="254">
        <f t="shared" si="1"/>
        <v>674258.72132512194</v>
      </c>
      <c r="BX13" s="254">
        <f t="shared" si="1"/>
        <v>665212.51083203242</v>
      </c>
      <c r="BY13" s="254">
        <f t="shared" si="1"/>
        <v>656053.22270777938</v>
      </c>
      <c r="BZ13" s="254">
        <f t="shared" si="1"/>
        <v>646779.44348197314</v>
      </c>
      <c r="CA13" s="254">
        <f t="shared" si="1"/>
        <v>637389.74201584433</v>
      </c>
      <c r="CB13" s="254">
        <f t="shared" si="1"/>
        <v>627882.66928138887</v>
      </c>
      <c r="CC13" s="254">
        <f t="shared" si="1"/>
        <v>618256.75813775277</v>
      </c>
      <c r="CD13" s="254">
        <f t="shared" si="1"/>
        <v>608510.52310482122</v>
      </c>
      <c r="CE13" s="254">
        <f t="shared" si="1"/>
        <v>598642.46013397793</v>
      </c>
      <c r="CF13" s="254">
        <f t="shared" si="1"/>
        <v>588651.04637599911</v>
      </c>
      <c r="CG13" s="254">
        <f t="shared" si="1"/>
        <v>578534.73994604556</v>
      </c>
      <c r="CH13" s="254">
        <f t="shared" si="1"/>
        <v>568291.97968571761</v>
      </c>
      <c r="CI13" s="254">
        <f t="shared" si="1"/>
        <v>557921.18492213555</v>
      </c>
      <c r="CJ13" s="254">
        <f t="shared" si="1"/>
        <v>547420.7552240087</v>
      </c>
      <c r="CK13" s="254">
        <f t="shared" si="1"/>
        <v>536789.07015465526</v>
      </c>
      <c r="CL13" s="254">
        <f t="shared" si="1"/>
        <v>526024.48902193492</v>
      </c>
      <c r="CM13" s="254">
        <f t="shared" si="1"/>
        <v>515125.35062505561</v>
      </c>
      <c r="CN13" s="254">
        <f t="shared" si="1"/>
        <v>504089.97299821529</v>
      </c>
      <c r="CO13" s="254">
        <f t="shared" si="1"/>
        <v>492916.6531510395</v>
      </c>
      <c r="CP13" s="254">
        <f t="shared" si="1"/>
        <v>481603.66680577397</v>
      </c>
      <c r="CQ13" s="254">
        <f t="shared" si="1"/>
        <v>470149.26813119266</v>
      </c>
      <c r="CR13" s="254">
        <f t="shared" si="1"/>
        <v>458551.68947317905</v>
      </c>
      <c r="CS13" s="254">
        <f t="shared" si="1"/>
        <v>446809.14108194027</v>
      </c>
      <c r="CT13" s="254">
        <f t="shared" si="1"/>
        <v>434919.81083581102</v>
      </c>
      <c r="CU13" s="254">
        <f t="shared" si="1"/>
        <v>422881.86396160518</v>
      </c>
      <c r="CV13" s="254">
        <f t="shared" si="1"/>
        <v>410693.44275147177</v>
      </c>
      <c r="CW13" s="254">
        <f t="shared" si="1"/>
        <v>398352.66627621168</v>
      </c>
      <c r="CX13" s="254">
        <f t="shared" si="1"/>
        <v>385857.6300950108</v>
      </c>
      <c r="CY13" s="254">
        <f t="shared" si="1"/>
        <v>373206.40596154495</v>
      </c>
      <c r="CZ13" s="254">
        <f t="shared" si="1"/>
        <v>360397.04152641079</v>
      </c>
      <c r="DA13" s="254">
        <f t="shared" si="1"/>
        <v>347427.56003583741</v>
      </c>
      <c r="DB13" s="254">
        <f t="shared" si="1"/>
        <v>334295.96002663189</v>
      </c>
      <c r="DC13" s="254">
        <f t="shared" si="1"/>
        <v>321000.21501731128</v>
      </c>
      <c r="DD13" s="254">
        <f t="shared" si="1"/>
        <v>307538.27319537417</v>
      </c>
      <c r="DE13" s="254">
        <f t="shared" si="1"/>
        <v>293908.05710066285</v>
      </c>
      <c r="DF13" s="254">
        <f t="shared" si="1"/>
        <v>280107.46330476762</v>
      </c>
      <c r="DG13" s="254">
        <f t="shared" si="1"/>
        <v>266134.36208642373</v>
      </c>
      <c r="DH13" s="254">
        <f t="shared" si="1"/>
        <v>251986.59710285053</v>
      </c>
      <c r="DI13" s="254">
        <f t="shared" si="1"/>
        <v>237661.98505698267</v>
      </c>
      <c r="DJ13" s="254">
        <f t="shared" si="1"/>
        <v>223158.31536054146</v>
      </c>
      <c r="DK13" s="254">
        <f t="shared" si="1"/>
        <v>208473.34979289473</v>
      </c>
      <c r="DL13" s="254">
        <f t="shared" si="1"/>
        <v>193604.82215565242</v>
      </c>
      <c r="DM13" s="254">
        <f t="shared" si="1"/>
        <v>178550.43792294458</v>
      </c>
      <c r="DN13" s="254">
        <f t="shared" si="1"/>
        <v>163307.87388732788</v>
      </c>
      <c r="DO13" s="254">
        <f t="shared" si="1"/>
        <v>147874.77780126597</v>
      </c>
      <c r="DP13" s="254">
        <f t="shared" si="1"/>
        <v>132248.76801412829</v>
      </c>
      <c r="DQ13" s="254">
        <f t="shared" si="1"/>
        <v>116427.4331046514</v>
      </c>
      <c r="DR13" s="254">
        <f t="shared" si="1"/>
        <v>100408.33150880605</v>
      </c>
      <c r="DS13" s="254">
        <f t="shared" si="1"/>
        <v>84188.991143012623</v>
      </c>
      <c r="DT13" s="254">
        <f t="shared" si="1"/>
        <v>67766.909022646782</v>
      </c>
      <c r="DU13" s="254">
        <f t="shared" si="1"/>
        <v>51139.550875776367</v>
      </c>
      <c r="DV13" s="254">
        <f t="shared" si="1"/>
        <v>34304.350752070073</v>
      </c>
      <c r="DW13" s="255">
        <f t="shared" si="1"/>
        <v>17258.71062681745</v>
      </c>
    </row>
    <row r="14" spans="1:127">
      <c r="C14" s="184" t="s">
        <v>221</v>
      </c>
      <c r="D14" s="168"/>
      <c r="E14" s="168"/>
      <c r="F14" s="168"/>
      <c r="G14" s="168"/>
      <c r="H14" s="170">
        <f>D8</f>
        <v>17474.444509653498</v>
      </c>
      <c r="I14" s="170">
        <f>H14</f>
        <v>17474.444509653498</v>
      </c>
      <c r="J14" s="170">
        <f t="shared" ref="J14:P14" si="2">I14</f>
        <v>17474.444509653498</v>
      </c>
      <c r="K14" s="170">
        <f t="shared" si="2"/>
        <v>17474.444509653498</v>
      </c>
      <c r="L14" s="170">
        <f>K14</f>
        <v>17474.444509653498</v>
      </c>
      <c r="M14" s="170">
        <f t="shared" si="2"/>
        <v>17474.444509653498</v>
      </c>
      <c r="N14" s="170">
        <f t="shared" si="2"/>
        <v>17474.444509653498</v>
      </c>
      <c r="O14" s="170">
        <f>N14</f>
        <v>17474.444509653498</v>
      </c>
      <c r="P14" s="170">
        <f t="shared" si="2"/>
        <v>17474.444509653498</v>
      </c>
      <c r="Q14" s="170">
        <f>P14</f>
        <v>17474.444509653498</v>
      </c>
      <c r="R14" s="170">
        <f t="shared" ref="R14:CC14" si="3">Q14</f>
        <v>17474.444509653498</v>
      </c>
      <c r="S14" s="170">
        <f t="shared" si="3"/>
        <v>17474.444509653498</v>
      </c>
      <c r="T14" s="170">
        <f t="shared" si="3"/>
        <v>17474.444509653498</v>
      </c>
      <c r="U14" s="170">
        <f t="shared" si="3"/>
        <v>17474.444509653498</v>
      </c>
      <c r="V14" s="170">
        <f t="shared" si="3"/>
        <v>17474.444509653498</v>
      </c>
      <c r="W14" s="170">
        <f t="shared" si="3"/>
        <v>17474.444509653498</v>
      </c>
      <c r="X14" s="170">
        <f t="shared" si="3"/>
        <v>17474.444509653498</v>
      </c>
      <c r="Y14" s="170">
        <f t="shared" si="3"/>
        <v>17474.444509653498</v>
      </c>
      <c r="Z14" s="170">
        <f t="shared" si="3"/>
        <v>17474.444509653498</v>
      </c>
      <c r="AA14" s="170">
        <f t="shared" si="3"/>
        <v>17474.444509653498</v>
      </c>
      <c r="AB14" s="170">
        <f t="shared" si="3"/>
        <v>17474.444509653498</v>
      </c>
      <c r="AC14" s="170">
        <f t="shared" si="3"/>
        <v>17474.444509653498</v>
      </c>
      <c r="AD14" s="170">
        <f t="shared" si="3"/>
        <v>17474.444509653498</v>
      </c>
      <c r="AE14" s="170">
        <f t="shared" si="3"/>
        <v>17474.444509653498</v>
      </c>
      <c r="AF14" s="170">
        <f t="shared" si="3"/>
        <v>17474.444509653498</v>
      </c>
      <c r="AG14" s="170">
        <f t="shared" si="3"/>
        <v>17474.444509653498</v>
      </c>
      <c r="AH14" s="170">
        <f t="shared" si="3"/>
        <v>17474.444509653498</v>
      </c>
      <c r="AI14" s="170">
        <f t="shared" si="3"/>
        <v>17474.444509653498</v>
      </c>
      <c r="AJ14" s="170">
        <f t="shared" si="3"/>
        <v>17474.444509653498</v>
      </c>
      <c r="AK14" s="170">
        <f t="shared" si="3"/>
        <v>17474.444509653498</v>
      </c>
      <c r="AL14" s="170">
        <f t="shared" si="3"/>
        <v>17474.444509653498</v>
      </c>
      <c r="AM14" s="170">
        <f t="shared" si="3"/>
        <v>17474.444509653498</v>
      </c>
      <c r="AN14" s="170">
        <f t="shared" si="3"/>
        <v>17474.444509653498</v>
      </c>
      <c r="AO14" s="170">
        <f t="shared" si="3"/>
        <v>17474.444509653498</v>
      </c>
      <c r="AP14" s="170">
        <f t="shared" si="3"/>
        <v>17474.444509653498</v>
      </c>
      <c r="AQ14" s="170">
        <f t="shared" si="3"/>
        <v>17474.444509653498</v>
      </c>
      <c r="AR14" s="170">
        <f t="shared" si="3"/>
        <v>17474.444509653498</v>
      </c>
      <c r="AS14" s="170">
        <f t="shared" si="3"/>
        <v>17474.444509653498</v>
      </c>
      <c r="AT14" s="170">
        <f t="shared" si="3"/>
        <v>17474.444509653498</v>
      </c>
      <c r="AU14" s="170">
        <f t="shared" si="3"/>
        <v>17474.444509653498</v>
      </c>
      <c r="AV14" s="170">
        <f t="shared" si="3"/>
        <v>17474.444509653498</v>
      </c>
      <c r="AW14" s="170">
        <f t="shared" si="3"/>
        <v>17474.444509653498</v>
      </c>
      <c r="AX14" s="170">
        <f t="shared" si="3"/>
        <v>17474.444509653498</v>
      </c>
      <c r="AY14" s="170">
        <f t="shared" si="3"/>
        <v>17474.444509653498</v>
      </c>
      <c r="AZ14" s="170">
        <f t="shared" si="3"/>
        <v>17474.444509653498</v>
      </c>
      <c r="BA14" s="170">
        <f t="shared" si="3"/>
        <v>17474.444509653498</v>
      </c>
      <c r="BB14" s="170">
        <f t="shared" si="3"/>
        <v>17474.444509653498</v>
      </c>
      <c r="BC14" s="170">
        <f t="shared" si="3"/>
        <v>17474.444509653498</v>
      </c>
      <c r="BD14" s="170">
        <f t="shared" si="3"/>
        <v>17474.444509653498</v>
      </c>
      <c r="BE14" s="170">
        <f t="shared" si="3"/>
        <v>17474.444509653498</v>
      </c>
      <c r="BF14" s="170">
        <f t="shared" si="3"/>
        <v>17474.444509653498</v>
      </c>
      <c r="BG14" s="170">
        <f t="shared" si="3"/>
        <v>17474.444509653498</v>
      </c>
      <c r="BH14" s="170">
        <f t="shared" si="3"/>
        <v>17474.444509653498</v>
      </c>
      <c r="BI14" s="170">
        <f t="shared" si="3"/>
        <v>17474.444509653498</v>
      </c>
      <c r="BJ14" s="170">
        <f t="shared" si="3"/>
        <v>17474.444509653498</v>
      </c>
      <c r="BK14" s="170">
        <f t="shared" si="3"/>
        <v>17474.444509653498</v>
      </c>
      <c r="BL14" s="170">
        <f t="shared" si="3"/>
        <v>17474.444509653498</v>
      </c>
      <c r="BM14" s="170">
        <f t="shared" si="3"/>
        <v>17474.444509653498</v>
      </c>
      <c r="BN14" s="170">
        <f t="shared" si="3"/>
        <v>17474.444509653498</v>
      </c>
      <c r="BO14" s="170">
        <f t="shared" si="3"/>
        <v>17474.444509653498</v>
      </c>
      <c r="BP14" s="170">
        <f t="shared" si="3"/>
        <v>17474.444509653498</v>
      </c>
      <c r="BQ14" s="170">
        <f t="shared" si="3"/>
        <v>17474.444509653498</v>
      </c>
      <c r="BR14" s="170">
        <f t="shared" si="3"/>
        <v>17474.444509653498</v>
      </c>
      <c r="BS14" s="170">
        <f t="shared" si="3"/>
        <v>17474.444509653498</v>
      </c>
      <c r="BT14" s="170">
        <f t="shared" si="3"/>
        <v>17474.444509653498</v>
      </c>
      <c r="BU14" s="170">
        <f t="shared" si="3"/>
        <v>17474.444509653498</v>
      </c>
      <c r="BV14" s="170">
        <f t="shared" si="3"/>
        <v>17474.444509653498</v>
      </c>
      <c r="BW14" s="170">
        <f t="shared" si="3"/>
        <v>17474.444509653498</v>
      </c>
      <c r="BX14" s="170">
        <f t="shared" si="3"/>
        <v>17474.444509653498</v>
      </c>
      <c r="BY14" s="170">
        <f t="shared" si="3"/>
        <v>17474.444509653498</v>
      </c>
      <c r="BZ14" s="170">
        <f t="shared" si="3"/>
        <v>17474.444509653498</v>
      </c>
      <c r="CA14" s="170">
        <f t="shared" si="3"/>
        <v>17474.444509653498</v>
      </c>
      <c r="CB14" s="170">
        <f t="shared" si="3"/>
        <v>17474.444509653498</v>
      </c>
      <c r="CC14" s="170">
        <f t="shared" si="3"/>
        <v>17474.444509653498</v>
      </c>
      <c r="CD14" s="170">
        <f t="shared" ref="CD14:DW14" si="4">CC14</f>
        <v>17474.444509653498</v>
      </c>
      <c r="CE14" s="170">
        <f t="shared" si="4"/>
        <v>17474.444509653498</v>
      </c>
      <c r="CF14" s="170">
        <f t="shared" si="4"/>
        <v>17474.444509653498</v>
      </c>
      <c r="CG14" s="170">
        <f t="shared" si="4"/>
        <v>17474.444509653498</v>
      </c>
      <c r="CH14" s="170">
        <f t="shared" si="4"/>
        <v>17474.444509653498</v>
      </c>
      <c r="CI14" s="170">
        <f t="shared" si="4"/>
        <v>17474.444509653498</v>
      </c>
      <c r="CJ14" s="170">
        <f t="shared" si="4"/>
        <v>17474.444509653498</v>
      </c>
      <c r="CK14" s="170">
        <f t="shared" si="4"/>
        <v>17474.444509653498</v>
      </c>
      <c r="CL14" s="170">
        <f t="shared" si="4"/>
        <v>17474.444509653498</v>
      </c>
      <c r="CM14" s="170">
        <f t="shared" si="4"/>
        <v>17474.444509653498</v>
      </c>
      <c r="CN14" s="170">
        <f t="shared" si="4"/>
        <v>17474.444509653498</v>
      </c>
      <c r="CO14" s="170">
        <f t="shared" si="4"/>
        <v>17474.444509653498</v>
      </c>
      <c r="CP14" s="170">
        <f t="shared" si="4"/>
        <v>17474.444509653498</v>
      </c>
      <c r="CQ14" s="170">
        <f t="shared" si="4"/>
        <v>17474.444509653498</v>
      </c>
      <c r="CR14" s="170">
        <f t="shared" si="4"/>
        <v>17474.444509653498</v>
      </c>
      <c r="CS14" s="170">
        <f t="shared" si="4"/>
        <v>17474.444509653498</v>
      </c>
      <c r="CT14" s="170">
        <f t="shared" si="4"/>
        <v>17474.444509653498</v>
      </c>
      <c r="CU14" s="170">
        <f t="shared" si="4"/>
        <v>17474.444509653498</v>
      </c>
      <c r="CV14" s="170">
        <f t="shared" si="4"/>
        <v>17474.444509653498</v>
      </c>
      <c r="CW14" s="170">
        <f t="shared" si="4"/>
        <v>17474.444509653498</v>
      </c>
      <c r="CX14" s="170">
        <f t="shared" si="4"/>
        <v>17474.444509653498</v>
      </c>
      <c r="CY14" s="170">
        <f t="shared" si="4"/>
        <v>17474.444509653498</v>
      </c>
      <c r="CZ14" s="170">
        <f t="shared" si="4"/>
        <v>17474.444509653498</v>
      </c>
      <c r="DA14" s="170">
        <f t="shared" si="4"/>
        <v>17474.444509653498</v>
      </c>
      <c r="DB14" s="170">
        <f t="shared" si="4"/>
        <v>17474.444509653498</v>
      </c>
      <c r="DC14" s="170">
        <f t="shared" si="4"/>
        <v>17474.444509653498</v>
      </c>
      <c r="DD14" s="170">
        <f t="shared" si="4"/>
        <v>17474.444509653498</v>
      </c>
      <c r="DE14" s="170">
        <f t="shared" si="4"/>
        <v>17474.444509653498</v>
      </c>
      <c r="DF14" s="170">
        <f t="shared" si="4"/>
        <v>17474.444509653498</v>
      </c>
      <c r="DG14" s="170">
        <f t="shared" si="4"/>
        <v>17474.444509653498</v>
      </c>
      <c r="DH14" s="170">
        <f t="shared" si="4"/>
        <v>17474.444509653498</v>
      </c>
      <c r="DI14" s="170">
        <f t="shared" si="4"/>
        <v>17474.444509653498</v>
      </c>
      <c r="DJ14" s="170">
        <f t="shared" si="4"/>
        <v>17474.444509653498</v>
      </c>
      <c r="DK14" s="170">
        <f t="shared" si="4"/>
        <v>17474.444509653498</v>
      </c>
      <c r="DL14" s="170">
        <f t="shared" si="4"/>
        <v>17474.444509653498</v>
      </c>
      <c r="DM14" s="170">
        <f t="shared" si="4"/>
        <v>17474.444509653498</v>
      </c>
      <c r="DN14" s="170">
        <f t="shared" si="4"/>
        <v>17474.444509653498</v>
      </c>
      <c r="DO14" s="170">
        <f t="shared" si="4"/>
        <v>17474.444509653498</v>
      </c>
      <c r="DP14" s="170">
        <f t="shared" si="4"/>
        <v>17474.444509653498</v>
      </c>
      <c r="DQ14" s="170">
        <f t="shared" si="4"/>
        <v>17474.444509653498</v>
      </c>
      <c r="DR14" s="170">
        <f t="shared" si="4"/>
        <v>17474.444509653498</v>
      </c>
      <c r="DS14" s="170">
        <f t="shared" si="4"/>
        <v>17474.444509653498</v>
      </c>
      <c r="DT14" s="170">
        <f t="shared" si="4"/>
        <v>17474.444509653498</v>
      </c>
      <c r="DU14" s="170">
        <f t="shared" si="4"/>
        <v>17474.444509653498</v>
      </c>
      <c r="DV14" s="170">
        <f t="shared" si="4"/>
        <v>17474.444509653498</v>
      </c>
      <c r="DW14" s="171">
        <f t="shared" si="4"/>
        <v>17474.444509653498</v>
      </c>
    </row>
    <row r="15" spans="1:127">
      <c r="C15" s="184" t="s">
        <v>224</v>
      </c>
      <c r="D15" s="168"/>
      <c r="E15" s="168"/>
      <c r="F15" s="168"/>
      <c r="G15" s="168"/>
      <c r="H15" s="170">
        <f>H13*$D$6/12</f>
        <v>13538.947809683506</v>
      </c>
      <c r="I15" s="170">
        <f t="shared" ref="I15:BT15" si="5">I13*$D$6/12</f>
        <v>13489.75410093388</v>
      </c>
      <c r="J15" s="170">
        <f t="shared" si="5"/>
        <v>13439.945470824883</v>
      </c>
      <c r="K15" s="170">
        <f t="shared" si="5"/>
        <v>13389.514232839529</v>
      </c>
      <c r="L15" s="170">
        <f t="shared" si="5"/>
        <v>13338.452604379352</v>
      </c>
      <c r="M15" s="170">
        <f t="shared" si="5"/>
        <v>13286.752705563427</v>
      </c>
      <c r="N15" s="170">
        <f t="shared" si="5"/>
        <v>13234.406558012301</v>
      </c>
      <c r="O15" s="170">
        <f t="shared" si="5"/>
        <v>13181.406083616785</v>
      </c>
      <c r="P15" s="170">
        <f t="shared" si="5"/>
        <v>13127.743103291328</v>
      </c>
      <c r="Q15" s="170">
        <f t="shared" si="5"/>
        <v>13073.409335711802</v>
      </c>
      <c r="R15" s="170">
        <f t="shared" si="5"/>
        <v>13018.396396037528</v>
      </c>
      <c r="S15" s="170">
        <f t="shared" si="5"/>
        <v>12962.695794617328</v>
      </c>
      <c r="T15" s="170">
        <f t="shared" si="5"/>
        <v>12906.298935679377</v>
      </c>
      <c r="U15" s="170">
        <f t="shared" si="5"/>
        <v>12849.197116004701</v>
      </c>
      <c r="V15" s="170">
        <f t="shared" si="5"/>
        <v>12791.381523584088</v>
      </c>
      <c r="W15" s="170">
        <f t="shared" si="5"/>
        <v>12732.843236258223</v>
      </c>
      <c r="X15" s="170">
        <f t="shared" si="5"/>
        <v>12673.573220340782</v>
      </c>
      <c r="Y15" s="170">
        <f t="shared" si="5"/>
        <v>12613.562329224374</v>
      </c>
      <c r="Z15" s="170">
        <f t="shared" si="5"/>
        <v>12552.80130196901</v>
      </c>
      <c r="AA15" s="170">
        <f t="shared" si="5"/>
        <v>12491.280761872951</v>
      </c>
      <c r="AB15" s="170">
        <f t="shared" si="5"/>
        <v>12428.991215025695</v>
      </c>
      <c r="AC15" s="170">
        <f t="shared" si="5"/>
        <v>12365.923048842849</v>
      </c>
      <c r="AD15" s="170">
        <f t="shared" si="5"/>
        <v>12302.066530582713</v>
      </c>
      <c r="AE15" s="170">
        <f t="shared" si="5"/>
        <v>12237.411805844329</v>
      </c>
      <c r="AF15" s="170">
        <f t="shared" si="5"/>
        <v>12171.948897046714</v>
      </c>
      <c r="AG15" s="170">
        <f t="shared" si="5"/>
        <v>12105.66770188913</v>
      </c>
      <c r="AH15" s="170">
        <f t="shared" si="5"/>
        <v>12038.557991792077</v>
      </c>
      <c r="AI15" s="170">
        <f t="shared" si="5"/>
        <v>11970.609410318808</v>
      </c>
      <c r="AJ15" s="170">
        <f t="shared" si="5"/>
        <v>11901.811471577124</v>
      </c>
      <c r="AK15" s="170">
        <f t="shared" si="5"/>
        <v>11832.153558601172</v>
      </c>
      <c r="AL15" s="170">
        <f t="shared" si="5"/>
        <v>11761.624921713017</v>
      </c>
      <c r="AM15" s="170">
        <f t="shared" si="5"/>
        <v>11690.214676863761</v>
      </c>
      <c r="AN15" s="170">
        <f t="shared" si="5"/>
        <v>11617.911803953888</v>
      </c>
      <c r="AO15" s="170">
        <f t="shared" si="5"/>
        <v>11544.705145132646</v>
      </c>
      <c r="AP15" s="170">
        <f t="shared" si="5"/>
        <v>11470.583403076133</v>
      </c>
      <c r="AQ15" s="170">
        <f t="shared" si="5"/>
        <v>11395.535139243917</v>
      </c>
      <c r="AR15" s="170">
        <f t="shared" si="5"/>
        <v>11319.548772113798</v>
      </c>
      <c r="AS15" s="170">
        <f t="shared" si="5"/>
        <v>11242.612575394551</v>
      </c>
      <c r="AT15" s="170">
        <f t="shared" si="5"/>
        <v>11164.714676216316</v>
      </c>
      <c r="AU15" s="170">
        <f t="shared" si="5"/>
        <v>11085.843053298349</v>
      </c>
      <c r="AV15" s="170">
        <f t="shared" si="5"/>
        <v>11005.985535093911</v>
      </c>
      <c r="AW15" s="170">
        <f t="shared" si="5"/>
        <v>10925.129797911917</v>
      </c>
      <c r="AX15" s="170">
        <f t="shared" si="5"/>
        <v>10843.263364015145</v>
      </c>
      <c r="AY15" s="170">
        <f t="shared" si="5"/>
        <v>10760.373599694665</v>
      </c>
      <c r="AZ15" s="170">
        <f t="shared" si="5"/>
        <v>10676.447713320182</v>
      </c>
      <c r="BA15" s="170">
        <f t="shared" si="5"/>
        <v>10591.472753366013</v>
      </c>
      <c r="BB15" s="170">
        <f t="shared" si="5"/>
        <v>10505.43560641242</v>
      </c>
      <c r="BC15" s="170">
        <f t="shared" si="5"/>
        <v>10418.322995121905</v>
      </c>
      <c r="BD15" s="170">
        <f t="shared" si="5"/>
        <v>10330.121476190261</v>
      </c>
      <c r="BE15" s="170">
        <f t="shared" si="5"/>
        <v>10240.817438271972</v>
      </c>
      <c r="BF15" s="170">
        <f t="shared" si="5"/>
        <v>10150.397099879703</v>
      </c>
      <c r="BG15" s="170">
        <f t="shared" si="5"/>
        <v>10058.846507257529</v>
      </c>
      <c r="BH15" s="170">
        <f t="shared" si="5"/>
        <v>9966.1515322275809</v>
      </c>
      <c r="BI15" s="170">
        <f t="shared" si="5"/>
        <v>9872.2978700097556</v>
      </c>
      <c r="BJ15" s="170">
        <f t="shared" si="5"/>
        <v>9777.2710370142104</v>
      </c>
      <c r="BK15" s="170">
        <f t="shared" si="5"/>
        <v>9681.0563686062178</v>
      </c>
      <c r="BL15" s="170">
        <f t="shared" si="5"/>
        <v>9583.6390168431262</v>
      </c>
      <c r="BM15" s="170">
        <f t="shared" si="5"/>
        <v>9485.0039481829972</v>
      </c>
      <c r="BN15" s="170">
        <f t="shared" si="5"/>
        <v>9385.1359411646172</v>
      </c>
      <c r="BO15" s="170">
        <f t="shared" si="5"/>
        <v>9284.0195840585056</v>
      </c>
      <c r="BP15" s="170">
        <f t="shared" si="5"/>
        <v>9181.6392724885682</v>
      </c>
      <c r="BQ15" s="170">
        <f t="shared" si="5"/>
        <v>9077.9792070240073</v>
      </c>
      <c r="BR15" s="170">
        <f t="shared" si="5"/>
        <v>8973.0233907411384</v>
      </c>
      <c r="BS15" s="170">
        <f t="shared" si="5"/>
        <v>8866.7556267547334</v>
      </c>
      <c r="BT15" s="170">
        <f t="shared" si="5"/>
        <v>8759.1595157184984</v>
      </c>
      <c r="BU15" s="170">
        <f t="shared" ref="BU15:DW15" si="6">BU13*$D$6/12</f>
        <v>8650.2184532943102</v>
      </c>
      <c r="BV15" s="170">
        <f t="shared" si="6"/>
        <v>8539.9156275898204</v>
      </c>
      <c r="BW15" s="170">
        <f t="shared" si="6"/>
        <v>8428.2340165640235</v>
      </c>
      <c r="BX15" s="170">
        <f t="shared" si="6"/>
        <v>8315.1563854004053</v>
      </c>
      <c r="BY15" s="170">
        <f t="shared" si="6"/>
        <v>8200.6652838472419</v>
      </c>
      <c r="BZ15" s="170">
        <f t="shared" si="6"/>
        <v>8084.7430435246642</v>
      </c>
      <c r="CA15" s="170">
        <f t="shared" si="6"/>
        <v>7967.3717751980539</v>
      </c>
      <c r="CB15" s="170">
        <f t="shared" si="6"/>
        <v>7848.5333660173601</v>
      </c>
      <c r="CC15" s="170">
        <f t="shared" si="6"/>
        <v>7728.2094767219096</v>
      </c>
      <c r="CD15" s="170">
        <f t="shared" si="6"/>
        <v>7606.3815388102657</v>
      </c>
      <c r="CE15" s="170">
        <f t="shared" si="6"/>
        <v>7483.0307516747234</v>
      </c>
      <c r="CF15" s="170">
        <f t="shared" si="6"/>
        <v>7358.1380796999883</v>
      </c>
      <c r="CG15" s="170">
        <f t="shared" si="6"/>
        <v>7231.684249325569</v>
      </c>
      <c r="CH15" s="170">
        <f t="shared" si="6"/>
        <v>7103.64974607147</v>
      </c>
      <c r="CI15" s="170">
        <f t="shared" si="6"/>
        <v>6974.0148115266938</v>
      </c>
      <c r="CJ15" s="170">
        <f t="shared" si="6"/>
        <v>6842.7594403001085</v>
      </c>
      <c r="CK15" s="170">
        <f t="shared" si="6"/>
        <v>6709.86337693319</v>
      </c>
      <c r="CL15" s="170">
        <f t="shared" si="6"/>
        <v>6575.3061127741857</v>
      </c>
      <c r="CM15" s="170">
        <f t="shared" si="6"/>
        <v>6439.0668828131957</v>
      </c>
      <c r="CN15" s="170">
        <f t="shared" si="6"/>
        <v>6301.1246624776904</v>
      </c>
      <c r="CO15" s="170">
        <f t="shared" si="6"/>
        <v>6161.4581643879937</v>
      </c>
      <c r="CP15" s="170">
        <f t="shared" si="6"/>
        <v>6020.0458350721747</v>
      </c>
      <c r="CQ15" s="170">
        <f t="shared" si="6"/>
        <v>5876.8658516399082</v>
      </c>
      <c r="CR15" s="170">
        <f t="shared" si="6"/>
        <v>5731.8961184147374</v>
      </c>
      <c r="CS15" s="170">
        <f t="shared" si="6"/>
        <v>5585.1142635242531</v>
      </c>
      <c r="CT15" s="170">
        <f t="shared" si="6"/>
        <v>5436.4976354476375</v>
      </c>
      <c r="CU15" s="170">
        <f t="shared" si="6"/>
        <v>5286.0232995200649</v>
      </c>
      <c r="CV15" s="170">
        <f t="shared" si="6"/>
        <v>5133.6680343933967</v>
      </c>
      <c r="CW15" s="170">
        <f t="shared" si="6"/>
        <v>4979.4083284526459</v>
      </c>
      <c r="CX15" s="170">
        <f t="shared" si="6"/>
        <v>4823.2203761876344</v>
      </c>
      <c r="CY15" s="170">
        <f t="shared" si="6"/>
        <v>4665.0800745193119</v>
      </c>
      <c r="CZ15" s="170">
        <f t="shared" si="6"/>
        <v>4504.9630190801345</v>
      </c>
      <c r="DA15" s="170">
        <f t="shared" si="6"/>
        <v>4342.8445004479672</v>
      </c>
      <c r="DB15" s="170">
        <f t="shared" si="6"/>
        <v>4178.6995003328984</v>
      </c>
      <c r="DC15" s="170">
        <f t="shared" si="6"/>
        <v>4012.5026877163909</v>
      </c>
      <c r="DD15" s="170">
        <f t="shared" si="6"/>
        <v>3844.2284149421771</v>
      </c>
      <c r="DE15" s="170">
        <f t="shared" si="6"/>
        <v>3673.8507137582856</v>
      </c>
      <c r="DF15" s="170">
        <f t="shared" si="6"/>
        <v>3501.3432913095949</v>
      </c>
      <c r="DG15" s="170">
        <f t="shared" si="6"/>
        <v>3326.6795260802969</v>
      </c>
      <c r="DH15" s="170">
        <f t="shared" si="6"/>
        <v>3149.8324637856313</v>
      </c>
      <c r="DI15" s="170">
        <f t="shared" si="6"/>
        <v>2970.7748132122833</v>
      </c>
      <c r="DJ15" s="170">
        <f t="shared" si="6"/>
        <v>2789.4789420067682</v>
      </c>
      <c r="DK15" s="170">
        <f t="shared" si="6"/>
        <v>2605.9168724111842</v>
      </c>
      <c r="DL15" s="170">
        <f t="shared" si="6"/>
        <v>2420.060276945655</v>
      </c>
      <c r="DM15" s="170">
        <f t="shared" si="6"/>
        <v>2231.8804740368073</v>
      </c>
      <c r="DN15" s="170">
        <f t="shared" si="6"/>
        <v>2041.3484235915985</v>
      </c>
      <c r="DO15" s="170">
        <f t="shared" si="6"/>
        <v>1848.4347225158244</v>
      </c>
      <c r="DP15" s="170">
        <f t="shared" si="6"/>
        <v>1653.1096001766036</v>
      </c>
      <c r="DQ15" s="170">
        <f t="shared" si="6"/>
        <v>1455.3429138081426</v>
      </c>
      <c r="DR15" s="170">
        <f t="shared" si="6"/>
        <v>1255.1041438600755</v>
      </c>
      <c r="DS15" s="170">
        <f t="shared" si="6"/>
        <v>1052.3623892876578</v>
      </c>
      <c r="DT15" s="170">
        <f t="shared" si="6"/>
        <v>847.08636278308484</v>
      </c>
      <c r="DU15" s="170">
        <f t="shared" si="6"/>
        <v>639.24438594720459</v>
      </c>
      <c r="DV15" s="170">
        <f t="shared" si="6"/>
        <v>428.8043844008759</v>
      </c>
      <c r="DW15" s="171">
        <f t="shared" si="6"/>
        <v>215.73388283521811</v>
      </c>
    </row>
    <row r="16" spans="1:127">
      <c r="C16" s="184" t="s">
        <v>225</v>
      </c>
      <c r="D16" s="168"/>
      <c r="E16" s="168"/>
      <c r="F16" s="168"/>
      <c r="G16" s="168"/>
      <c r="H16" s="170">
        <f>H14-H15</f>
        <v>3935.4966999699918</v>
      </c>
      <c r="I16" s="170">
        <f t="shared" ref="I16:BT16" si="7">I14-I15</f>
        <v>3984.6904087196181</v>
      </c>
      <c r="J16" s="170">
        <f t="shared" si="7"/>
        <v>4034.4990388286151</v>
      </c>
      <c r="K16" s="170">
        <f t="shared" si="7"/>
        <v>4084.9302768139696</v>
      </c>
      <c r="L16" s="170">
        <f t="shared" si="7"/>
        <v>4135.9919052741461</v>
      </c>
      <c r="M16" s="170">
        <f t="shared" si="7"/>
        <v>4187.6918040900709</v>
      </c>
      <c r="N16" s="170">
        <f t="shared" si="7"/>
        <v>4240.0379516411977</v>
      </c>
      <c r="O16" s="170">
        <f t="shared" si="7"/>
        <v>4293.0384260367136</v>
      </c>
      <c r="P16" s="170">
        <f t="shared" si="7"/>
        <v>4346.70140636217</v>
      </c>
      <c r="Q16" s="170">
        <f t="shared" si="7"/>
        <v>4401.0351739416965</v>
      </c>
      <c r="R16" s="170">
        <f t="shared" si="7"/>
        <v>4456.0481136159706</v>
      </c>
      <c r="S16" s="170">
        <f t="shared" si="7"/>
        <v>4511.7487150361703</v>
      </c>
      <c r="T16" s="170">
        <f t="shared" si="7"/>
        <v>4568.1455739741214</v>
      </c>
      <c r="U16" s="170">
        <f t="shared" si="7"/>
        <v>4625.2473936487968</v>
      </c>
      <c r="V16" s="170">
        <f t="shared" si="7"/>
        <v>4683.0629860694098</v>
      </c>
      <c r="W16" s="170">
        <f t="shared" si="7"/>
        <v>4741.6012733952757</v>
      </c>
      <c r="X16" s="170">
        <f t="shared" si="7"/>
        <v>4800.8712893127158</v>
      </c>
      <c r="Y16" s="170">
        <f t="shared" si="7"/>
        <v>4860.8821804291238</v>
      </c>
      <c r="Z16" s="170">
        <f t="shared" si="7"/>
        <v>4921.6432076844885</v>
      </c>
      <c r="AA16" s="170">
        <f t="shared" si="7"/>
        <v>4983.1637477805471</v>
      </c>
      <c r="AB16" s="170">
        <f t="shared" si="7"/>
        <v>5045.4532946278032</v>
      </c>
      <c r="AC16" s="170">
        <f t="shared" si="7"/>
        <v>5108.5214608106489</v>
      </c>
      <c r="AD16" s="170">
        <f t="shared" si="7"/>
        <v>5172.3779790707849</v>
      </c>
      <c r="AE16" s="170">
        <f t="shared" si="7"/>
        <v>5237.0327038091691</v>
      </c>
      <c r="AF16" s="170">
        <f t="shared" si="7"/>
        <v>5302.4956126067846</v>
      </c>
      <c r="AG16" s="170">
        <f t="shared" si="7"/>
        <v>5368.7768077643686</v>
      </c>
      <c r="AH16" s="170">
        <f t="shared" si="7"/>
        <v>5435.8865178614215</v>
      </c>
      <c r="AI16" s="170">
        <f t="shared" si="7"/>
        <v>5503.8350993346903</v>
      </c>
      <c r="AJ16" s="170">
        <f t="shared" si="7"/>
        <v>5572.6330380763739</v>
      </c>
      <c r="AK16" s="170">
        <f t="shared" si="7"/>
        <v>5642.2909510523259</v>
      </c>
      <c r="AL16" s="170">
        <f t="shared" si="7"/>
        <v>5712.8195879404811</v>
      </c>
      <c r="AM16" s="170">
        <f t="shared" si="7"/>
        <v>5784.229832789737</v>
      </c>
      <c r="AN16" s="170">
        <f t="shared" si="7"/>
        <v>5856.5327056996102</v>
      </c>
      <c r="AO16" s="170">
        <f t="shared" si="7"/>
        <v>5929.7393645208522</v>
      </c>
      <c r="AP16" s="170">
        <f t="shared" si="7"/>
        <v>6003.8611065773657</v>
      </c>
      <c r="AQ16" s="170">
        <f t="shared" si="7"/>
        <v>6078.9093704095812</v>
      </c>
      <c r="AR16" s="170">
        <f t="shared" si="7"/>
        <v>6154.8957375397003</v>
      </c>
      <c r="AS16" s="170">
        <f t="shared" si="7"/>
        <v>6231.8319342589475</v>
      </c>
      <c r="AT16" s="170">
        <f t="shared" si="7"/>
        <v>6309.7298334371826</v>
      </c>
      <c r="AU16" s="170">
        <f t="shared" si="7"/>
        <v>6388.6014563551489</v>
      </c>
      <c r="AV16" s="170">
        <f t="shared" si="7"/>
        <v>6468.4589745595877</v>
      </c>
      <c r="AW16" s="170">
        <f t="shared" si="7"/>
        <v>6549.314711741581</v>
      </c>
      <c r="AX16" s="170">
        <f t="shared" si="7"/>
        <v>6631.181145638353</v>
      </c>
      <c r="AY16" s="170">
        <f t="shared" si="7"/>
        <v>6714.070909958833</v>
      </c>
      <c r="AZ16" s="170">
        <f t="shared" si="7"/>
        <v>6797.9967963333165</v>
      </c>
      <c r="BA16" s="170">
        <f t="shared" si="7"/>
        <v>6882.9717562874848</v>
      </c>
      <c r="BB16" s="170">
        <f t="shared" si="7"/>
        <v>6969.0089032410779</v>
      </c>
      <c r="BC16" s="170">
        <f t="shared" si="7"/>
        <v>7056.1215145315928</v>
      </c>
      <c r="BD16" s="170">
        <f t="shared" si="7"/>
        <v>7144.3230334632372</v>
      </c>
      <c r="BE16" s="170">
        <f t="shared" si="7"/>
        <v>7233.6270713815265</v>
      </c>
      <c r="BF16" s="170">
        <f t="shared" si="7"/>
        <v>7324.0474097737952</v>
      </c>
      <c r="BG16" s="170">
        <f t="shared" si="7"/>
        <v>7415.5980023959692</v>
      </c>
      <c r="BH16" s="170">
        <f t="shared" si="7"/>
        <v>7508.2929774259173</v>
      </c>
      <c r="BI16" s="170">
        <f t="shared" si="7"/>
        <v>7602.1466396437427</v>
      </c>
      <c r="BJ16" s="170">
        <f t="shared" si="7"/>
        <v>7697.1734726392879</v>
      </c>
      <c r="BK16" s="170">
        <f t="shared" si="7"/>
        <v>7793.3881410472804</v>
      </c>
      <c r="BL16" s="170">
        <f t="shared" si="7"/>
        <v>7890.805492810372</v>
      </c>
      <c r="BM16" s="170">
        <f t="shared" si="7"/>
        <v>7989.4405614705011</v>
      </c>
      <c r="BN16" s="170">
        <f t="shared" si="7"/>
        <v>8089.3085684888811</v>
      </c>
      <c r="BO16" s="170">
        <f t="shared" si="7"/>
        <v>8190.4249255949926</v>
      </c>
      <c r="BP16" s="170">
        <f t="shared" si="7"/>
        <v>8292.8052371649301</v>
      </c>
      <c r="BQ16" s="170">
        <f t="shared" si="7"/>
        <v>8396.4653026294909</v>
      </c>
      <c r="BR16" s="170">
        <f t="shared" si="7"/>
        <v>8501.4211189123598</v>
      </c>
      <c r="BS16" s="170">
        <f t="shared" si="7"/>
        <v>8607.6888828987649</v>
      </c>
      <c r="BT16" s="170">
        <f t="shared" si="7"/>
        <v>8715.2849939349999</v>
      </c>
      <c r="BU16" s="170">
        <f t="shared" ref="BU16:DW16" si="8">BU14-BU15</f>
        <v>8824.2260563591881</v>
      </c>
      <c r="BV16" s="170">
        <f t="shared" si="8"/>
        <v>8934.5288820636779</v>
      </c>
      <c r="BW16" s="170">
        <f t="shared" si="8"/>
        <v>9046.2104930894748</v>
      </c>
      <c r="BX16" s="170">
        <f t="shared" si="8"/>
        <v>9159.288124253093</v>
      </c>
      <c r="BY16" s="170">
        <f t="shared" si="8"/>
        <v>9273.7792258062564</v>
      </c>
      <c r="BZ16" s="170">
        <f t="shared" si="8"/>
        <v>9389.701466128834</v>
      </c>
      <c r="CA16" s="170">
        <f t="shared" si="8"/>
        <v>9507.0727344554434</v>
      </c>
      <c r="CB16" s="170">
        <f t="shared" si="8"/>
        <v>9625.9111436361381</v>
      </c>
      <c r="CC16" s="170">
        <f t="shared" si="8"/>
        <v>9746.2350329315886</v>
      </c>
      <c r="CD16" s="170">
        <f t="shared" si="8"/>
        <v>9868.0629708432316</v>
      </c>
      <c r="CE16" s="170">
        <f t="shared" si="8"/>
        <v>9991.4137579787748</v>
      </c>
      <c r="CF16" s="170">
        <f t="shared" si="8"/>
        <v>10116.306429953511</v>
      </c>
      <c r="CG16" s="170">
        <f t="shared" si="8"/>
        <v>10242.76026032793</v>
      </c>
      <c r="CH16" s="170">
        <f t="shared" si="8"/>
        <v>10370.794763582027</v>
      </c>
      <c r="CI16" s="170">
        <f t="shared" si="8"/>
        <v>10500.429698126805</v>
      </c>
      <c r="CJ16" s="170">
        <f t="shared" si="8"/>
        <v>10631.685069353389</v>
      </c>
      <c r="CK16" s="170">
        <f t="shared" si="8"/>
        <v>10764.581132720308</v>
      </c>
      <c r="CL16" s="170">
        <f t="shared" si="8"/>
        <v>10899.138396879312</v>
      </c>
      <c r="CM16" s="170">
        <f t="shared" si="8"/>
        <v>11035.377626840302</v>
      </c>
      <c r="CN16" s="170">
        <f t="shared" si="8"/>
        <v>11173.319847175808</v>
      </c>
      <c r="CO16" s="170">
        <f t="shared" si="8"/>
        <v>11312.986345265504</v>
      </c>
      <c r="CP16" s="170">
        <f t="shared" si="8"/>
        <v>11454.398674581324</v>
      </c>
      <c r="CQ16" s="170">
        <f t="shared" si="8"/>
        <v>11597.57865801359</v>
      </c>
      <c r="CR16" s="170">
        <f t="shared" si="8"/>
        <v>11742.548391238761</v>
      </c>
      <c r="CS16" s="170">
        <f t="shared" si="8"/>
        <v>11889.330246129244</v>
      </c>
      <c r="CT16" s="170">
        <f t="shared" si="8"/>
        <v>12037.94687420586</v>
      </c>
      <c r="CU16" s="170">
        <f t="shared" si="8"/>
        <v>12188.421210133434</v>
      </c>
      <c r="CV16" s="170">
        <f t="shared" si="8"/>
        <v>12340.776475260102</v>
      </c>
      <c r="CW16" s="170">
        <f t="shared" si="8"/>
        <v>12495.036181200852</v>
      </c>
      <c r="CX16" s="170">
        <f t="shared" si="8"/>
        <v>12651.224133465865</v>
      </c>
      <c r="CY16" s="170">
        <f t="shared" si="8"/>
        <v>12809.364435134186</v>
      </c>
      <c r="CZ16" s="170">
        <f t="shared" si="8"/>
        <v>12969.481490573364</v>
      </c>
      <c r="DA16" s="170">
        <f t="shared" si="8"/>
        <v>13131.600009205531</v>
      </c>
      <c r="DB16" s="170">
        <f t="shared" si="8"/>
        <v>13295.745009320599</v>
      </c>
      <c r="DC16" s="170">
        <f t="shared" si="8"/>
        <v>13461.941821937107</v>
      </c>
      <c r="DD16" s="170">
        <f t="shared" si="8"/>
        <v>13630.216094711321</v>
      </c>
      <c r="DE16" s="170">
        <f t="shared" si="8"/>
        <v>13800.593795895213</v>
      </c>
      <c r="DF16" s="170">
        <f t="shared" si="8"/>
        <v>13973.101218343903</v>
      </c>
      <c r="DG16" s="170">
        <f t="shared" si="8"/>
        <v>14147.764983573201</v>
      </c>
      <c r="DH16" s="170">
        <f t="shared" si="8"/>
        <v>14324.612045867867</v>
      </c>
      <c r="DI16" s="170">
        <f t="shared" si="8"/>
        <v>14503.669696441215</v>
      </c>
      <c r="DJ16" s="170">
        <f t="shared" si="8"/>
        <v>14684.96556764673</v>
      </c>
      <c r="DK16" s="170">
        <f t="shared" si="8"/>
        <v>14868.527637242314</v>
      </c>
      <c r="DL16" s="170">
        <f t="shared" si="8"/>
        <v>15054.384232707844</v>
      </c>
      <c r="DM16" s="170">
        <f t="shared" si="8"/>
        <v>15242.564035616691</v>
      </c>
      <c r="DN16" s="170">
        <f t="shared" si="8"/>
        <v>15433.0960860619</v>
      </c>
      <c r="DO16" s="170">
        <f t="shared" si="8"/>
        <v>15626.009787137675</v>
      </c>
      <c r="DP16" s="170">
        <f t="shared" si="8"/>
        <v>15821.334909476895</v>
      </c>
      <c r="DQ16" s="170">
        <f t="shared" si="8"/>
        <v>16019.101595845355</v>
      </c>
      <c r="DR16" s="170">
        <f t="shared" si="8"/>
        <v>16219.340365793423</v>
      </c>
      <c r="DS16" s="170">
        <f t="shared" si="8"/>
        <v>16422.082120365842</v>
      </c>
      <c r="DT16" s="170">
        <f t="shared" si="8"/>
        <v>16627.358146870414</v>
      </c>
      <c r="DU16" s="170">
        <f t="shared" si="8"/>
        <v>16835.200123706294</v>
      </c>
      <c r="DV16" s="170">
        <f t="shared" si="8"/>
        <v>17045.640125252623</v>
      </c>
      <c r="DW16" s="171">
        <f t="shared" si="8"/>
        <v>17258.71062681828</v>
      </c>
    </row>
    <row r="17" spans="2:127" ht="15" thickBot="1">
      <c r="C17" s="256" t="s">
        <v>226</v>
      </c>
      <c r="D17" s="172"/>
      <c r="E17" s="172"/>
      <c r="F17" s="172"/>
      <c r="G17" s="172"/>
      <c r="H17" s="257">
        <f>H13-H16</f>
        <v>1079180.3280747104</v>
      </c>
      <c r="I17" s="257">
        <f t="shared" ref="I17:BT17" si="9">I13-I16</f>
        <v>1075195.6376659907</v>
      </c>
      <c r="J17" s="257">
        <f t="shared" si="9"/>
        <v>1071161.1386271622</v>
      </c>
      <c r="K17" s="257">
        <f t="shared" si="9"/>
        <v>1067076.2083503483</v>
      </c>
      <c r="L17" s="257">
        <f t="shared" si="9"/>
        <v>1062940.2164450742</v>
      </c>
      <c r="M17" s="257">
        <f t="shared" si="9"/>
        <v>1058752.5246409841</v>
      </c>
      <c r="N17" s="257">
        <f t="shared" si="9"/>
        <v>1054512.4866893429</v>
      </c>
      <c r="O17" s="257">
        <f t="shared" si="9"/>
        <v>1050219.4482633062</v>
      </c>
      <c r="P17" s="257">
        <f t="shared" si="9"/>
        <v>1045872.7468569441</v>
      </c>
      <c r="Q17" s="257">
        <f t="shared" si="9"/>
        <v>1041471.7116830023</v>
      </c>
      <c r="R17" s="257">
        <f t="shared" si="9"/>
        <v>1037015.6635693863</v>
      </c>
      <c r="S17" s="257">
        <f t="shared" si="9"/>
        <v>1032503.9148543502</v>
      </c>
      <c r="T17" s="257">
        <f t="shared" si="9"/>
        <v>1027935.769280376</v>
      </c>
      <c r="U17" s="257">
        <f t="shared" si="9"/>
        <v>1023310.5218867272</v>
      </c>
      <c r="V17" s="257">
        <f t="shared" si="9"/>
        <v>1018627.4589006578</v>
      </c>
      <c r="W17" s="257">
        <f t="shared" si="9"/>
        <v>1013885.8576272626</v>
      </c>
      <c r="X17" s="257">
        <f t="shared" si="9"/>
        <v>1009084.9863379499</v>
      </c>
      <c r="Y17" s="257">
        <f t="shared" si="9"/>
        <v>1004224.1041575207</v>
      </c>
      <c r="Z17" s="257">
        <f t="shared" si="9"/>
        <v>999302.46094983618</v>
      </c>
      <c r="AA17" s="257">
        <f t="shared" si="9"/>
        <v>994319.29720205569</v>
      </c>
      <c r="AB17" s="257">
        <f t="shared" si="9"/>
        <v>989273.84390742786</v>
      </c>
      <c r="AC17" s="257">
        <f t="shared" si="9"/>
        <v>984165.32244661718</v>
      </c>
      <c r="AD17" s="257">
        <f t="shared" si="9"/>
        <v>978992.94446754642</v>
      </c>
      <c r="AE17" s="257">
        <f t="shared" si="9"/>
        <v>973755.91176373721</v>
      </c>
      <c r="AF17" s="257">
        <f t="shared" si="9"/>
        <v>968453.41615113046</v>
      </c>
      <c r="AG17" s="257">
        <f t="shared" si="9"/>
        <v>963084.63934336614</v>
      </c>
      <c r="AH17" s="257">
        <f t="shared" si="9"/>
        <v>957648.75282550475</v>
      </c>
      <c r="AI17" s="257">
        <f t="shared" si="9"/>
        <v>952144.91772617004</v>
      </c>
      <c r="AJ17" s="257">
        <f t="shared" si="9"/>
        <v>946572.2846880937</v>
      </c>
      <c r="AK17" s="257">
        <f t="shared" si="9"/>
        <v>940929.99373704137</v>
      </c>
      <c r="AL17" s="257">
        <f t="shared" si="9"/>
        <v>935217.1741491009</v>
      </c>
      <c r="AM17" s="257">
        <f t="shared" si="9"/>
        <v>929432.94431631116</v>
      </c>
      <c r="AN17" s="257">
        <f t="shared" si="9"/>
        <v>923576.4116106116</v>
      </c>
      <c r="AO17" s="257">
        <f t="shared" si="9"/>
        <v>917646.67224609072</v>
      </c>
      <c r="AP17" s="257">
        <f t="shared" si="9"/>
        <v>911642.81113951339</v>
      </c>
      <c r="AQ17" s="257">
        <f t="shared" si="9"/>
        <v>905563.90176910383</v>
      </c>
      <c r="AR17" s="257">
        <f t="shared" si="9"/>
        <v>899409.00603156409</v>
      </c>
      <c r="AS17" s="257">
        <f t="shared" si="9"/>
        <v>893177.17409730516</v>
      </c>
      <c r="AT17" s="257">
        <f t="shared" si="9"/>
        <v>886867.44426386803</v>
      </c>
      <c r="AU17" s="257">
        <f t="shared" si="9"/>
        <v>880478.84280751285</v>
      </c>
      <c r="AV17" s="257">
        <f t="shared" si="9"/>
        <v>874010.38383295329</v>
      </c>
      <c r="AW17" s="257">
        <f t="shared" si="9"/>
        <v>867461.06912121165</v>
      </c>
      <c r="AX17" s="257">
        <f t="shared" si="9"/>
        <v>860829.88797557331</v>
      </c>
      <c r="AY17" s="257">
        <f t="shared" si="9"/>
        <v>854115.81706561451</v>
      </c>
      <c r="AZ17" s="257">
        <f t="shared" si="9"/>
        <v>847317.82026928116</v>
      </c>
      <c r="BA17" s="257">
        <f t="shared" si="9"/>
        <v>840434.84851299366</v>
      </c>
      <c r="BB17" s="257">
        <f t="shared" si="9"/>
        <v>833465.83960975253</v>
      </c>
      <c r="BC17" s="257">
        <f t="shared" si="9"/>
        <v>826409.71809522097</v>
      </c>
      <c r="BD17" s="257">
        <f t="shared" si="9"/>
        <v>819265.39506175776</v>
      </c>
      <c r="BE17" s="257">
        <f t="shared" si="9"/>
        <v>812031.76799037622</v>
      </c>
      <c r="BF17" s="257">
        <f t="shared" si="9"/>
        <v>804707.72058060241</v>
      </c>
      <c r="BG17" s="257">
        <f t="shared" si="9"/>
        <v>797292.12257820647</v>
      </c>
      <c r="BH17" s="257">
        <f t="shared" si="9"/>
        <v>789783.8296007805</v>
      </c>
      <c r="BI17" s="257">
        <f t="shared" si="9"/>
        <v>782181.6829611368</v>
      </c>
      <c r="BJ17" s="257">
        <f t="shared" si="9"/>
        <v>774484.50948849751</v>
      </c>
      <c r="BK17" s="257">
        <f t="shared" si="9"/>
        <v>766691.12134745019</v>
      </c>
      <c r="BL17" s="257">
        <f t="shared" si="9"/>
        <v>758800.31585463986</v>
      </c>
      <c r="BM17" s="257">
        <f t="shared" si="9"/>
        <v>750810.8752931694</v>
      </c>
      <c r="BN17" s="257">
        <f t="shared" si="9"/>
        <v>742721.56672468048</v>
      </c>
      <c r="BO17" s="257">
        <f t="shared" si="9"/>
        <v>734531.14179908554</v>
      </c>
      <c r="BP17" s="257">
        <f t="shared" si="9"/>
        <v>726238.33656192059</v>
      </c>
      <c r="BQ17" s="257">
        <f t="shared" si="9"/>
        <v>717841.87125929107</v>
      </c>
      <c r="BR17" s="257">
        <f t="shared" si="9"/>
        <v>709340.45014037867</v>
      </c>
      <c r="BS17" s="257">
        <f t="shared" si="9"/>
        <v>700732.7612574799</v>
      </c>
      <c r="BT17" s="257">
        <f t="shared" si="9"/>
        <v>692017.47626354487</v>
      </c>
      <c r="BU17" s="257">
        <f t="shared" ref="BU17:DW17" si="10">BU13-BU16</f>
        <v>683193.25020718563</v>
      </c>
      <c r="BV17" s="257">
        <f t="shared" si="10"/>
        <v>674258.72132512194</v>
      </c>
      <c r="BW17" s="257">
        <f t="shared" si="10"/>
        <v>665212.51083203242</v>
      </c>
      <c r="BX17" s="257">
        <f t="shared" si="10"/>
        <v>656053.22270777938</v>
      </c>
      <c r="BY17" s="257">
        <f t="shared" si="10"/>
        <v>646779.44348197314</v>
      </c>
      <c r="BZ17" s="257">
        <f t="shared" si="10"/>
        <v>637389.74201584433</v>
      </c>
      <c r="CA17" s="257">
        <f t="shared" si="10"/>
        <v>627882.66928138887</v>
      </c>
      <c r="CB17" s="257">
        <f t="shared" si="10"/>
        <v>618256.75813775277</v>
      </c>
      <c r="CC17" s="257">
        <f t="shared" si="10"/>
        <v>608510.52310482122</v>
      </c>
      <c r="CD17" s="257">
        <f t="shared" si="10"/>
        <v>598642.46013397793</v>
      </c>
      <c r="CE17" s="257">
        <f t="shared" si="10"/>
        <v>588651.04637599911</v>
      </c>
      <c r="CF17" s="257">
        <f t="shared" si="10"/>
        <v>578534.73994604556</v>
      </c>
      <c r="CG17" s="257">
        <f t="shared" si="10"/>
        <v>568291.97968571761</v>
      </c>
      <c r="CH17" s="257">
        <f t="shared" si="10"/>
        <v>557921.18492213555</v>
      </c>
      <c r="CI17" s="257">
        <f t="shared" si="10"/>
        <v>547420.7552240087</v>
      </c>
      <c r="CJ17" s="257">
        <f t="shared" si="10"/>
        <v>536789.07015465526</v>
      </c>
      <c r="CK17" s="257">
        <f t="shared" si="10"/>
        <v>526024.48902193492</v>
      </c>
      <c r="CL17" s="257">
        <f t="shared" si="10"/>
        <v>515125.35062505561</v>
      </c>
      <c r="CM17" s="257">
        <f t="shared" si="10"/>
        <v>504089.97299821529</v>
      </c>
      <c r="CN17" s="257">
        <f t="shared" si="10"/>
        <v>492916.6531510395</v>
      </c>
      <c r="CO17" s="257">
        <f t="shared" si="10"/>
        <v>481603.66680577397</v>
      </c>
      <c r="CP17" s="257">
        <f t="shared" si="10"/>
        <v>470149.26813119266</v>
      </c>
      <c r="CQ17" s="257">
        <f t="shared" si="10"/>
        <v>458551.68947317905</v>
      </c>
      <c r="CR17" s="257">
        <f t="shared" si="10"/>
        <v>446809.14108194027</v>
      </c>
      <c r="CS17" s="257">
        <f t="shared" si="10"/>
        <v>434919.81083581102</v>
      </c>
      <c r="CT17" s="257">
        <f t="shared" si="10"/>
        <v>422881.86396160518</v>
      </c>
      <c r="CU17" s="257">
        <f t="shared" si="10"/>
        <v>410693.44275147177</v>
      </c>
      <c r="CV17" s="257">
        <f t="shared" si="10"/>
        <v>398352.66627621168</v>
      </c>
      <c r="CW17" s="257">
        <f t="shared" si="10"/>
        <v>385857.6300950108</v>
      </c>
      <c r="CX17" s="257">
        <f t="shared" si="10"/>
        <v>373206.40596154495</v>
      </c>
      <c r="CY17" s="257">
        <f t="shared" si="10"/>
        <v>360397.04152641079</v>
      </c>
      <c r="CZ17" s="257">
        <f t="shared" si="10"/>
        <v>347427.56003583741</v>
      </c>
      <c r="DA17" s="257">
        <f t="shared" si="10"/>
        <v>334295.96002663189</v>
      </c>
      <c r="DB17" s="257">
        <f t="shared" si="10"/>
        <v>321000.21501731128</v>
      </c>
      <c r="DC17" s="257">
        <f t="shared" si="10"/>
        <v>307538.27319537417</v>
      </c>
      <c r="DD17" s="257">
        <f t="shared" si="10"/>
        <v>293908.05710066285</v>
      </c>
      <c r="DE17" s="257">
        <f t="shared" si="10"/>
        <v>280107.46330476762</v>
      </c>
      <c r="DF17" s="257">
        <f t="shared" si="10"/>
        <v>266134.36208642373</v>
      </c>
      <c r="DG17" s="257">
        <f t="shared" si="10"/>
        <v>251986.59710285053</v>
      </c>
      <c r="DH17" s="257">
        <f t="shared" si="10"/>
        <v>237661.98505698267</v>
      </c>
      <c r="DI17" s="257">
        <f t="shared" si="10"/>
        <v>223158.31536054146</v>
      </c>
      <c r="DJ17" s="257">
        <f t="shared" si="10"/>
        <v>208473.34979289473</v>
      </c>
      <c r="DK17" s="257">
        <f t="shared" si="10"/>
        <v>193604.82215565242</v>
      </c>
      <c r="DL17" s="257">
        <f t="shared" si="10"/>
        <v>178550.43792294458</v>
      </c>
      <c r="DM17" s="257">
        <f t="shared" si="10"/>
        <v>163307.87388732788</v>
      </c>
      <c r="DN17" s="257">
        <f t="shared" si="10"/>
        <v>147874.77780126597</v>
      </c>
      <c r="DO17" s="257">
        <f t="shared" si="10"/>
        <v>132248.76801412829</v>
      </c>
      <c r="DP17" s="257">
        <f t="shared" si="10"/>
        <v>116427.4331046514</v>
      </c>
      <c r="DQ17" s="257">
        <f t="shared" si="10"/>
        <v>100408.33150880605</v>
      </c>
      <c r="DR17" s="257">
        <f t="shared" si="10"/>
        <v>84188.991143012623</v>
      </c>
      <c r="DS17" s="257">
        <f t="shared" si="10"/>
        <v>67766.909022646782</v>
      </c>
      <c r="DT17" s="257">
        <f t="shared" si="10"/>
        <v>51139.550875776367</v>
      </c>
      <c r="DU17" s="257">
        <f t="shared" si="10"/>
        <v>34304.350752070073</v>
      </c>
      <c r="DV17" s="257">
        <f t="shared" si="10"/>
        <v>17258.71062681745</v>
      </c>
      <c r="DW17" s="258">
        <f t="shared" si="10"/>
        <v>-8.2945916801691055E-10</v>
      </c>
    </row>
    <row r="19" spans="2:127" ht="15" thickBot="1"/>
    <row r="20" spans="2:127">
      <c r="C20" s="245" t="s">
        <v>227</v>
      </c>
      <c r="D20" s="246"/>
      <c r="E20" s="246"/>
      <c r="F20" s="246"/>
      <c r="G20" s="246"/>
      <c r="H20" s="247" t="s">
        <v>166</v>
      </c>
      <c r="I20" s="247"/>
      <c r="J20" s="247"/>
      <c r="K20" s="247"/>
      <c r="L20" s="247"/>
      <c r="M20" s="247"/>
      <c r="N20" s="247"/>
      <c r="O20" s="247"/>
      <c r="P20" s="247"/>
      <c r="Q20" s="248"/>
    </row>
    <row r="21" spans="2:127">
      <c r="C21" s="259"/>
      <c r="D21" s="260"/>
      <c r="E21" s="261"/>
      <c r="F21" s="261"/>
      <c r="G21" s="261"/>
      <c r="H21" s="262" t="s">
        <v>139</v>
      </c>
      <c r="I21" s="262" t="s">
        <v>140</v>
      </c>
      <c r="J21" s="262" t="s">
        <v>141</v>
      </c>
      <c r="K21" s="262" t="s">
        <v>142</v>
      </c>
      <c r="L21" s="262" t="s">
        <v>143</v>
      </c>
      <c r="M21" s="262" t="s">
        <v>144</v>
      </c>
      <c r="N21" s="262" t="s">
        <v>145</v>
      </c>
      <c r="O21" s="262" t="s">
        <v>146</v>
      </c>
      <c r="P21" s="262" t="s">
        <v>147</v>
      </c>
      <c r="Q21" s="263" t="s">
        <v>148</v>
      </c>
    </row>
    <row r="22" spans="2:127">
      <c r="C22" s="264" t="s">
        <v>223</v>
      </c>
      <c r="D22" s="265"/>
      <c r="E22" s="265"/>
      <c r="F22" s="265"/>
      <c r="G22" s="265"/>
      <c r="H22" s="266">
        <f>H13</f>
        <v>1083115.8247746804</v>
      </c>
      <c r="I22" s="266">
        <f>H26</f>
        <v>1032503.9148543502</v>
      </c>
      <c r="J22" s="266">
        <f>I26</f>
        <v>973755.91176373721</v>
      </c>
      <c r="K22" s="266">
        <f t="shared" ref="K22:Q22" si="11">J26</f>
        <v>905563.9017691036</v>
      </c>
      <c r="L22" s="266">
        <f t="shared" si="11"/>
        <v>826409.71809522074</v>
      </c>
      <c r="M22" s="266">
        <f t="shared" si="11"/>
        <v>734531.14179908519</v>
      </c>
      <c r="N22" s="266">
        <f t="shared" si="11"/>
        <v>627882.66928138863</v>
      </c>
      <c r="O22" s="266">
        <f t="shared" si="11"/>
        <v>504089.97299821535</v>
      </c>
      <c r="P22" s="266">
        <f>O26</f>
        <v>360397.04152641085</v>
      </c>
      <c r="Q22" s="267">
        <f t="shared" si="11"/>
        <v>193604.82215565248</v>
      </c>
    </row>
    <row r="23" spans="2:127">
      <c r="C23" s="268" t="s">
        <v>221</v>
      </c>
      <c r="H23" s="122">
        <f>SUM(H14:S14)</f>
        <v>209693.33411584192</v>
      </c>
      <c r="I23" s="122">
        <f>H23</f>
        <v>209693.33411584192</v>
      </c>
      <c r="J23" s="122">
        <f t="shared" ref="J23:P23" si="12">I23</f>
        <v>209693.33411584192</v>
      </c>
      <c r="K23" s="122">
        <f t="shared" si="12"/>
        <v>209693.33411584192</v>
      </c>
      <c r="L23" s="122">
        <f>K23</f>
        <v>209693.33411584192</v>
      </c>
      <c r="M23" s="122">
        <f t="shared" si="12"/>
        <v>209693.33411584192</v>
      </c>
      <c r="N23" s="122">
        <f t="shared" si="12"/>
        <v>209693.33411584192</v>
      </c>
      <c r="O23" s="122">
        <f>N23</f>
        <v>209693.33411584192</v>
      </c>
      <c r="P23" s="122">
        <f t="shared" si="12"/>
        <v>209693.33411584192</v>
      </c>
      <c r="Q23" s="269">
        <f>P23</f>
        <v>209693.33411584192</v>
      </c>
    </row>
    <row r="24" spans="2:127">
      <c r="C24" s="268" t="s">
        <v>224</v>
      </c>
      <c r="H24" s="122">
        <f>SUM(H15:S15)</f>
        <v>159081.42419551167</v>
      </c>
      <c r="I24" s="122">
        <f>SUM(T15:AE15)</f>
        <v>150945.33102522913</v>
      </c>
      <c r="J24" s="122">
        <f>SUM(AF15:AQ15)</f>
        <v>141501.32412120837</v>
      </c>
      <c r="K24" s="122">
        <f>SUM(AR15:BC15)</f>
        <v>130539.15044195918</v>
      </c>
      <c r="L24" s="122">
        <f>SUM(BD15:BO15)</f>
        <v>117814.75781970649</v>
      </c>
      <c r="M24" s="122">
        <f>SUM(BP15:CA15)</f>
        <v>103044.86159814546</v>
      </c>
      <c r="N24" s="122">
        <f>SUM(CB15:CM15)</f>
        <v>85900.637832668654</v>
      </c>
      <c r="O24" s="122">
        <f>SUM(CN15:CY15)</f>
        <v>66000.402644037444</v>
      </c>
      <c r="P24" s="122">
        <f>SUM(CZ15:DK15)</f>
        <v>42901.1147450836</v>
      </c>
      <c r="Q24" s="269">
        <f>SUM(DL15:DW15)</f>
        <v>16088.511960188747</v>
      </c>
    </row>
    <row r="25" spans="2:127">
      <c r="C25" s="268" t="s">
        <v>225</v>
      </c>
      <c r="H25" s="122">
        <f>SUM(H16:S16)</f>
        <v>50611.909920330327</v>
      </c>
      <c r="I25" s="122">
        <f>SUM(T16:AE16)</f>
        <v>58748.003090612889</v>
      </c>
      <c r="J25" s="122">
        <f>SUM(AF16:AQ16)</f>
        <v>68192.009994633598</v>
      </c>
      <c r="K25" s="122">
        <f>SUM(AR16:BC16)</f>
        <v>79154.183673882813</v>
      </c>
      <c r="L25" s="122">
        <f>SUM(BD16:BO16)</f>
        <v>91878.576296135507</v>
      </c>
      <c r="M25" s="122">
        <f>SUM(BP16:CA16)</f>
        <v>106648.47251769651</v>
      </c>
      <c r="N25" s="122">
        <f>SUM(CB16:CM16)</f>
        <v>123792.69628317331</v>
      </c>
      <c r="O25" s="122">
        <f>SUM(CN16:CY16)</f>
        <v>143692.93147180454</v>
      </c>
      <c r="P25" s="122">
        <f>SUM(CZ16:DK16)</f>
        <v>166792.21937075836</v>
      </c>
      <c r="Q25" s="269">
        <f>SUM(DL16:DW16)</f>
        <v>193604.82215565321</v>
      </c>
    </row>
    <row r="26" spans="2:127" ht="15" thickBot="1">
      <c r="C26" s="270" t="s">
        <v>226</v>
      </c>
      <c r="D26" s="271"/>
      <c r="E26" s="271"/>
      <c r="F26" s="271"/>
      <c r="G26" s="271"/>
      <c r="H26" s="272">
        <f>H22-H25</f>
        <v>1032503.9148543502</v>
      </c>
      <c r="I26" s="272">
        <f t="shared" ref="I26:Q26" si="13">I22-I25</f>
        <v>973755.91176373721</v>
      </c>
      <c r="J26" s="272">
        <f t="shared" si="13"/>
        <v>905563.9017691036</v>
      </c>
      <c r="K26" s="272">
        <f t="shared" si="13"/>
        <v>826409.71809522074</v>
      </c>
      <c r="L26" s="272">
        <f t="shared" si="13"/>
        <v>734531.14179908519</v>
      </c>
      <c r="M26" s="272">
        <f t="shared" si="13"/>
        <v>627882.66928138863</v>
      </c>
      <c r="N26" s="272">
        <f t="shared" si="13"/>
        <v>504089.97299821535</v>
      </c>
      <c r="O26" s="272">
        <f t="shared" si="13"/>
        <v>360397.04152641085</v>
      </c>
      <c r="P26" s="272">
        <f t="shared" si="13"/>
        <v>193604.82215565248</v>
      </c>
      <c r="Q26" s="273">
        <f t="shared" si="13"/>
        <v>-7.2759576141834259E-10</v>
      </c>
    </row>
    <row r="28" spans="2:127" ht="15" thickBot="1">
      <c r="B28" s="41"/>
    </row>
    <row r="29" spans="2:127">
      <c r="C29" s="274" t="s">
        <v>213</v>
      </c>
      <c r="D29" s="275"/>
      <c r="E29" s="276"/>
      <c r="F29" s="276"/>
      <c r="G29" s="277" t="s">
        <v>209</v>
      </c>
      <c r="H29" s="278" t="s">
        <v>139</v>
      </c>
      <c r="I29" s="278" t="s">
        <v>140</v>
      </c>
      <c r="J29" s="278" t="s">
        <v>141</v>
      </c>
      <c r="K29" s="278" t="s">
        <v>142</v>
      </c>
      <c r="L29" s="278" t="s">
        <v>143</v>
      </c>
      <c r="M29" s="278" t="s">
        <v>144</v>
      </c>
      <c r="N29" s="278" t="s">
        <v>145</v>
      </c>
      <c r="O29" s="278" t="s">
        <v>146</v>
      </c>
      <c r="P29" s="278" t="s">
        <v>147</v>
      </c>
      <c r="Q29" s="279" t="s">
        <v>148</v>
      </c>
    </row>
    <row r="30" spans="2:127">
      <c r="C30" s="280" t="s">
        <v>228</v>
      </c>
      <c r="D30" s="281"/>
      <c r="E30" s="282"/>
      <c r="F30" s="282"/>
      <c r="G30" s="283">
        <f>H13</f>
        <v>1083115.8247746804</v>
      </c>
      <c r="H30" s="283">
        <f>G34</f>
        <v>1083115.8247746804</v>
      </c>
      <c r="I30" s="283">
        <f t="shared" ref="I30:Q30" si="14">H34</f>
        <v>1032503.9148543502</v>
      </c>
      <c r="J30" s="283">
        <f t="shared" si="14"/>
        <v>973755.91176373721</v>
      </c>
      <c r="K30" s="283">
        <f t="shared" si="14"/>
        <v>905563.9017691036</v>
      </c>
      <c r="L30" s="283">
        <f t="shared" si="14"/>
        <v>826409.71809522074</v>
      </c>
      <c r="M30" s="283">
        <f t="shared" si="14"/>
        <v>734531.14179908519</v>
      </c>
      <c r="N30" s="283">
        <f t="shared" si="14"/>
        <v>627882.66928138863</v>
      </c>
      <c r="O30" s="283">
        <f t="shared" si="14"/>
        <v>504089.97299821535</v>
      </c>
      <c r="P30" s="283">
        <f t="shared" si="14"/>
        <v>360397.04152641085</v>
      </c>
      <c r="Q30" s="283">
        <f t="shared" si="14"/>
        <v>193604.82215565248</v>
      </c>
    </row>
    <row r="31" spans="2:127">
      <c r="C31" s="280" t="s">
        <v>229</v>
      </c>
      <c r="D31" s="281"/>
      <c r="E31" s="282"/>
      <c r="F31" s="282"/>
      <c r="G31" s="283">
        <v>0</v>
      </c>
      <c r="H31" s="283">
        <f>H24</f>
        <v>159081.42419551167</v>
      </c>
      <c r="I31" s="283">
        <f t="shared" ref="I31:L32" si="15">I24</f>
        <v>150945.33102522913</v>
      </c>
      <c r="J31" s="283">
        <f t="shared" si="15"/>
        <v>141501.32412120837</v>
      </c>
      <c r="K31" s="283">
        <f t="shared" si="15"/>
        <v>130539.15044195918</v>
      </c>
      <c r="L31" s="283">
        <f t="shared" si="15"/>
        <v>117814.75781970649</v>
      </c>
      <c r="M31" s="283">
        <f t="shared" ref="M31:Q32" si="16">M24</f>
        <v>103044.86159814546</v>
      </c>
      <c r="N31" s="283">
        <f t="shared" si="16"/>
        <v>85900.637832668654</v>
      </c>
      <c r="O31" s="283">
        <f t="shared" si="16"/>
        <v>66000.402644037444</v>
      </c>
      <c r="P31" s="283">
        <f t="shared" si="16"/>
        <v>42901.1147450836</v>
      </c>
      <c r="Q31" s="284">
        <f t="shared" si="16"/>
        <v>16088.511960188747</v>
      </c>
    </row>
    <row r="32" spans="2:127">
      <c r="C32" s="280" t="s">
        <v>230</v>
      </c>
      <c r="D32" s="281"/>
      <c r="E32" s="282"/>
      <c r="F32" s="282"/>
      <c r="G32" s="283">
        <v>0</v>
      </c>
      <c r="H32" s="283">
        <f>H25</f>
        <v>50611.909920330327</v>
      </c>
      <c r="I32" s="283">
        <f t="shared" si="15"/>
        <v>58748.003090612889</v>
      </c>
      <c r="J32" s="283">
        <f t="shared" si="15"/>
        <v>68192.009994633598</v>
      </c>
      <c r="K32" s="283">
        <f t="shared" si="15"/>
        <v>79154.183673882813</v>
      </c>
      <c r="L32" s="283">
        <f t="shared" si="15"/>
        <v>91878.576296135507</v>
      </c>
      <c r="M32" s="283">
        <f t="shared" si="16"/>
        <v>106648.47251769651</v>
      </c>
      <c r="N32" s="283">
        <f t="shared" si="16"/>
        <v>123792.69628317331</v>
      </c>
      <c r="O32" s="283">
        <f t="shared" si="16"/>
        <v>143692.93147180454</v>
      </c>
      <c r="P32" s="283">
        <f t="shared" si="16"/>
        <v>166792.21937075836</v>
      </c>
      <c r="Q32" s="284">
        <f t="shared" si="16"/>
        <v>193604.82215565321</v>
      </c>
    </row>
    <row r="33" spans="3:17">
      <c r="C33" s="280" t="s">
        <v>231</v>
      </c>
      <c r="D33" s="281"/>
      <c r="E33" s="282"/>
      <c r="F33" s="282"/>
      <c r="G33" s="283">
        <f>G31*(1-[1]Assumptions!$D$12)</f>
        <v>0</v>
      </c>
      <c r="H33" s="283">
        <f>H31*(1-Assumptions!$D$12)</f>
        <v>103402.92572708259</v>
      </c>
      <c r="I33" s="283">
        <f>I31*(1-Assumptions!$D$12)</f>
        <v>98114.465166398935</v>
      </c>
      <c r="J33" s="283">
        <f>J31*(1-Assumptions!$D$12)</f>
        <v>91975.860678785437</v>
      </c>
      <c r="K33" s="283">
        <f>K31*(1-Assumptions!$D$12)</f>
        <v>84850.447787273471</v>
      </c>
      <c r="L33" s="283">
        <f>L31*(1-Assumptions!$D$12)</f>
        <v>76579.592582809215</v>
      </c>
      <c r="M33" s="283">
        <f>M31*(1-Assumptions!$D$12)</f>
        <v>66979.160038794551</v>
      </c>
      <c r="N33" s="283">
        <f>N31*(1-Assumptions!$D$12)</f>
        <v>55835.414591234628</v>
      </c>
      <c r="O33" s="283">
        <f>O31*(1-Assumptions!$D$12)</f>
        <v>42900.261718624337</v>
      </c>
      <c r="P33" s="283">
        <f>P31*(1-Assumptions!$D$12)</f>
        <v>27885.724584304342</v>
      </c>
      <c r="Q33" s="283">
        <f>Q31*(1-Assumptions!$D$12)</f>
        <v>10457.532774122687</v>
      </c>
    </row>
    <row r="34" spans="3:17" ht="15" thickBot="1">
      <c r="C34" s="285" t="s">
        <v>213</v>
      </c>
      <c r="D34" s="286"/>
      <c r="E34" s="287"/>
      <c r="F34" s="287"/>
      <c r="G34" s="288">
        <f>G30-G32-G33</f>
        <v>1083115.8247746804</v>
      </c>
      <c r="H34" s="288">
        <f t="shared" ref="H34:Q34" si="17">H30-H32</f>
        <v>1032503.9148543502</v>
      </c>
      <c r="I34" s="288">
        <f t="shared" si="17"/>
        <v>973755.91176373721</v>
      </c>
      <c r="J34" s="288">
        <f t="shared" si="17"/>
        <v>905563.9017691036</v>
      </c>
      <c r="K34" s="288">
        <f t="shared" si="17"/>
        <v>826409.71809522074</v>
      </c>
      <c r="L34" s="288">
        <f t="shared" si="17"/>
        <v>734531.14179908519</v>
      </c>
      <c r="M34" s="288">
        <f t="shared" si="17"/>
        <v>627882.66928138863</v>
      </c>
      <c r="N34" s="288">
        <f t="shared" si="17"/>
        <v>504089.97299821535</v>
      </c>
      <c r="O34" s="288">
        <f t="shared" si="17"/>
        <v>360397.04152641085</v>
      </c>
      <c r="P34" s="288">
        <f t="shared" si="17"/>
        <v>193604.82215565248</v>
      </c>
      <c r="Q34" s="289">
        <f t="shared" si="17"/>
        <v>-7.2759576141834259E-10</v>
      </c>
    </row>
    <row r="36" spans="3:17">
      <c r="C36" t="s">
        <v>330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4C26F-30BA-4BD9-B57B-3A5B1D14F9E2}">
  <dimension ref="A1:Q29"/>
  <sheetViews>
    <sheetView topLeftCell="C4" zoomScale="80" workbookViewId="0">
      <selection activeCell="J28" sqref="J28"/>
    </sheetView>
  </sheetViews>
  <sheetFormatPr defaultRowHeight="14.5"/>
  <cols>
    <col min="3" max="3" width="63.54296875" bestFit="1" customWidth="1"/>
    <col min="4" max="5" width="0" hidden="1" customWidth="1"/>
    <col min="6" max="6" width="16.6328125" customWidth="1"/>
    <col min="7" max="7" width="11.26953125" customWidth="1"/>
    <col min="8" max="8" width="10.6328125" customWidth="1"/>
    <col min="9" max="9" width="24.08984375" bestFit="1" customWidth="1"/>
    <col min="10" max="10" width="17.453125" customWidth="1"/>
    <col min="11" max="17" width="10.6328125" customWidth="1"/>
  </cols>
  <sheetData>
    <row r="1" spans="1:17">
      <c r="A1" s="596"/>
      <c r="B1" s="598"/>
      <c r="C1" s="593"/>
      <c r="D1" s="3"/>
      <c r="E1" s="3"/>
      <c r="F1" s="578"/>
      <c r="G1" s="5"/>
    </row>
    <row r="2" spans="1:17">
      <c r="A2" s="596"/>
      <c r="B2" s="598"/>
      <c r="C2" s="593"/>
      <c r="D2" s="3"/>
      <c r="E2" s="3"/>
      <c r="F2" s="579"/>
      <c r="G2" s="5"/>
    </row>
    <row r="3" spans="1:17">
      <c r="A3" s="596"/>
      <c r="B3" s="598"/>
      <c r="C3" s="593"/>
      <c r="D3" s="3"/>
      <c r="E3" s="3"/>
      <c r="F3" s="580"/>
      <c r="G3" s="5"/>
    </row>
    <row r="4" spans="1:17">
      <c r="A4" s="592"/>
      <c r="B4" s="600"/>
      <c r="C4" s="593"/>
      <c r="D4" s="3"/>
      <c r="E4" s="3"/>
      <c r="F4" s="581"/>
      <c r="G4" s="5"/>
    </row>
    <row r="6" spans="1:17" ht="15" thickBot="1"/>
    <row r="7" spans="1:17">
      <c r="C7" s="245" t="s">
        <v>126</v>
      </c>
      <c r="D7" s="246"/>
      <c r="E7" s="246"/>
      <c r="F7" s="246"/>
      <c r="G7" s="247" t="s">
        <v>166</v>
      </c>
      <c r="H7" s="247"/>
      <c r="I7" s="247"/>
      <c r="J7" s="247"/>
      <c r="K7" s="247"/>
      <c r="L7" s="247"/>
      <c r="M7" s="247"/>
      <c r="N7" s="247"/>
      <c r="O7" s="247"/>
      <c r="P7" s="248"/>
    </row>
    <row r="8" spans="1:17">
      <c r="C8" s="259"/>
      <c r="D8" s="260"/>
      <c r="E8" s="261"/>
      <c r="F8" s="261"/>
      <c r="G8" s="262" t="s">
        <v>139</v>
      </c>
      <c r="H8" s="262" t="s">
        <v>140</v>
      </c>
      <c r="I8" s="262" t="s">
        <v>141</v>
      </c>
      <c r="J8" s="262" t="s">
        <v>142</v>
      </c>
      <c r="K8" s="262" t="s">
        <v>143</v>
      </c>
      <c r="L8" s="262" t="s">
        <v>144</v>
      </c>
      <c r="M8" s="262" t="s">
        <v>145</v>
      </c>
      <c r="N8" s="262" t="s">
        <v>146</v>
      </c>
      <c r="O8" s="262" t="s">
        <v>147</v>
      </c>
      <c r="P8" s="263" t="s">
        <v>148</v>
      </c>
    </row>
    <row r="9" spans="1:17">
      <c r="C9" s="264" t="s">
        <v>232</v>
      </c>
      <c r="D9" s="265"/>
      <c r="E9" s="265"/>
      <c r="F9" s="265"/>
      <c r="G9" s="290">
        <f>'Depreciation Schedule'!F23</f>
        <v>199515.82477468037</v>
      </c>
      <c r="H9" s="290">
        <f>G12</f>
        <v>179564.24229721233</v>
      </c>
      <c r="I9" s="290">
        <f>H12</f>
        <v>159612.65981974429</v>
      </c>
      <c r="J9" s="290">
        <f t="shared" ref="J9:P9" si="0">I12</f>
        <v>139661.07734227626</v>
      </c>
      <c r="K9" s="290">
        <f t="shared" si="0"/>
        <v>119709.49486480822</v>
      </c>
      <c r="L9" s="290">
        <f t="shared" si="0"/>
        <v>99757.912387340184</v>
      </c>
      <c r="M9" s="290">
        <f t="shared" si="0"/>
        <v>79806.329909872147</v>
      </c>
      <c r="N9" s="290">
        <f t="shared" si="0"/>
        <v>59854.74743240411</v>
      </c>
      <c r="O9" s="290">
        <f>N12</f>
        <v>39903.164954936074</v>
      </c>
      <c r="P9" s="291">
        <f t="shared" si="0"/>
        <v>19951.582477468037</v>
      </c>
    </row>
    <row r="10" spans="1:17">
      <c r="C10" s="268" t="s">
        <v>233</v>
      </c>
      <c r="G10" s="200">
        <f>'Depreciation Schedule'!F23/$F$24</f>
        <v>19951.582477468037</v>
      </c>
      <c r="H10" s="200">
        <f>G10</f>
        <v>19951.582477468037</v>
      </c>
      <c r="I10" s="200">
        <f t="shared" ref="I10:O10" si="1">H10</f>
        <v>19951.582477468037</v>
      </c>
      <c r="J10" s="200">
        <f t="shared" si="1"/>
        <v>19951.582477468037</v>
      </c>
      <c r="K10" s="200">
        <f>J10</f>
        <v>19951.582477468037</v>
      </c>
      <c r="L10" s="200">
        <f t="shared" si="1"/>
        <v>19951.582477468037</v>
      </c>
      <c r="M10" s="200">
        <f t="shared" si="1"/>
        <v>19951.582477468037</v>
      </c>
      <c r="N10" s="200">
        <f>M10</f>
        <v>19951.582477468037</v>
      </c>
      <c r="O10" s="200">
        <f t="shared" si="1"/>
        <v>19951.582477468037</v>
      </c>
      <c r="P10" s="292">
        <f>O10</f>
        <v>19951.582477468037</v>
      </c>
    </row>
    <row r="11" spans="1:17">
      <c r="C11" s="268" t="s">
        <v>234</v>
      </c>
      <c r="G11" s="200">
        <f>F11+G10</f>
        <v>19951.582477468037</v>
      </c>
      <c r="H11" s="200">
        <f>G11+H10</f>
        <v>39903.164954936074</v>
      </c>
      <c r="I11" s="200">
        <f t="shared" ref="I11:P11" si="2">H11+I10</f>
        <v>59854.74743240411</v>
      </c>
      <c r="J11" s="200">
        <f t="shared" si="2"/>
        <v>79806.329909872147</v>
      </c>
      <c r="K11" s="200">
        <f t="shared" si="2"/>
        <v>99757.912387340184</v>
      </c>
      <c r="L11" s="200">
        <f t="shared" si="2"/>
        <v>119709.49486480822</v>
      </c>
      <c r="M11" s="200">
        <f t="shared" si="2"/>
        <v>139661.07734227626</v>
      </c>
      <c r="N11" s="200">
        <f t="shared" si="2"/>
        <v>159612.65981974429</v>
      </c>
      <c r="O11" s="200">
        <f t="shared" si="2"/>
        <v>179564.24229721233</v>
      </c>
      <c r="P11" s="292">
        <f t="shared" si="2"/>
        <v>199515.82477468037</v>
      </c>
    </row>
    <row r="12" spans="1:17" ht="15" thickBot="1">
      <c r="C12" s="270" t="s">
        <v>235</v>
      </c>
      <c r="D12" s="271"/>
      <c r="E12" s="271"/>
      <c r="F12" s="271"/>
      <c r="G12" s="293">
        <f t="shared" ref="G12:P12" si="3">G9-G10</f>
        <v>179564.24229721233</v>
      </c>
      <c r="H12" s="293">
        <f t="shared" si="3"/>
        <v>159612.65981974429</v>
      </c>
      <c r="I12" s="293">
        <f t="shared" si="3"/>
        <v>139661.07734227626</v>
      </c>
      <c r="J12" s="293">
        <f t="shared" si="3"/>
        <v>119709.49486480822</v>
      </c>
      <c r="K12" s="293">
        <f t="shared" si="3"/>
        <v>99757.912387340184</v>
      </c>
      <c r="L12" s="293">
        <f t="shared" si="3"/>
        <v>79806.329909872147</v>
      </c>
      <c r="M12" s="293">
        <f t="shared" si="3"/>
        <v>59854.74743240411</v>
      </c>
      <c r="N12" s="293">
        <f t="shared" si="3"/>
        <v>39903.164954936074</v>
      </c>
      <c r="O12" s="293">
        <f t="shared" si="3"/>
        <v>19951.582477468037</v>
      </c>
      <c r="P12" s="294">
        <f t="shared" si="3"/>
        <v>0</v>
      </c>
    </row>
    <row r="14" spans="1:17">
      <c r="H14" s="200"/>
      <c r="I14" s="200"/>
      <c r="J14" s="200"/>
      <c r="K14" s="200"/>
      <c r="L14" s="200"/>
      <c r="M14" s="200"/>
      <c r="N14" s="200"/>
      <c r="O14" s="200"/>
      <c r="P14" s="200"/>
      <c r="Q14" s="200"/>
    </row>
    <row r="15" spans="1:17" ht="15" thickBot="1"/>
    <row r="16" spans="1:17" ht="15" thickBot="1">
      <c r="C16" s="295" t="s">
        <v>236</v>
      </c>
      <c r="D16" s="296"/>
      <c r="E16" s="296"/>
      <c r="F16" s="297" t="s">
        <v>237</v>
      </c>
      <c r="I16" t="s">
        <v>328</v>
      </c>
      <c r="J16" t="s">
        <v>325</v>
      </c>
    </row>
    <row r="17" spans="3:10">
      <c r="C17" s="252" t="s">
        <v>328</v>
      </c>
      <c r="D17" s="253"/>
      <c r="E17" s="253"/>
      <c r="F17" s="255">
        <f>J29</f>
        <v>109515.82477468035</v>
      </c>
      <c r="H17" t="s">
        <v>317</v>
      </c>
      <c r="I17" t="s">
        <v>311</v>
      </c>
      <c r="J17">
        <v>2000000</v>
      </c>
    </row>
    <row r="18" spans="3:10">
      <c r="C18" s="184" t="s">
        <v>329</v>
      </c>
      <c r="D18" s="168"/>
      <c r="E18" s="168"/>
      <c r="F18" s="171">
        <f>Assumptions!D20</f>
        <v>75000</v>
      </c>
      <c r="H18" t="s">
        <v>318</v>
      </c>
      <c r="I18" t="s">
        <v>312</v>
      </c>
      <c r="J18">
        <v>1000000</v>
      </c>
    </row>
    <row r="19" spans="3:10">
      <c r="C19" s="184" t="s">
        <v>310</v>
      </c>
      <c r="D19" s="168"/>
      <c r="E19" s="168"/>
      <c r="F19" s="171">
        <f>Assumptions!D21</f>
        <v>5000</v>
      </c>
      <c r="H19" t="s">
        <v>319</v>
      </c>
      <c r="I19" t="s">
        <v>313</v>
      </c>
      <c r="J19">
        <v>2000000</v>
      </c>
    </row>
    <row r="20" spans="3:10">
      <c r="C20" s="184" t="s">
        <v>238</v>
      </c>
      <c r="D20" s="168"/>
      <c r="E20" s="168"/>
      <c r="F20" s="171">
        <f>Assumptions!D22</f>
        <v>5000</v>
      </c>
      <c r="H20" t="s">
        <v>320</v>
      </c>
      <c r="I20" t="s">
        <v>314</v>
      </c>
      <c r="J20">
        <f>5000*90</f>
        <v>450000</v>
      </c>
    </row>
    <row r="21" spans="3:10">
      <c r="C21" s="184" t="s">
        <v>111</v>
      </c>
      <c r="D21" s="168"/>
      <c r="E21" s="168"/>
      <c r="F21" s="171">
        <f>Assumptions!D23</f>
        <v>5000</v>
      </c>
      <c r="H21" t="s">
        <v>321</v>
      </c>
      <c r="I21" t="s">
        <v>324</v>
      </c>
      <c r="J21">
        <v>1000000</v>
      </c>
    </row>
    <row r="22" spans="3:10">
      <c r="C22" s="184"/>
      <c r="D22" s="168"/>
      <c r="E22" s="168"/>
      <c r="F22" s="169"/>
      <c r="H22" t="s">
        <v>322</v>
      </c>
      <c r="I22" t="s">
        <v>315</v>
      </c>
      <c r="J22">
        <v>2000000</v>
      </c>
    </row>
    <row r="23" spans="3:10" ht="15" thickBot="1">
      <c r="C23" s="210" t="s">
        <v>239</v>
      </c>
      <c r="D23" s="211"/>
      <c r="E23" s="211"/>
      <c r="F23" s="298">
        <f>SUM(F17:F21)</f>
        <v>199515.82477468037</v>
      </c>
      <c r="H23" t="s">
        <v>323</v>
      </c>
      <c r="I23" t="s">
        <v>316</v>
      </c>
      <c r="J23">
        <v>2000000</v>
      </c>
    </row>
    <row r="24" spans="3:10" ht="15" thickBot="1">
      <c r="C24" s="295" t="s">
        <v>26</v>
      </c>
      <c r="D24" s="296"/>
      <c r="E24" s="296"/>
      <c r="F24" s="297">
        <f>Assumptions!D16</f>
        <v>10</v>
      </c>
      <c r="G24" t="s">
        <v>24</v>
      </c>
    </row>
    <row r="25" spans="3:10" ht="13.5" customHeight="1">
      <c r="I25" t="s">
        <v>122</v>
      </c>
      <c r="J25" s="337">
        <f>SUM(J17:J23)</f>
        <v>10450000</v>
      </c>
    </row>
    <row r="26" spans="3:10">
      <c r="F26" s="338">
        <f>F23*J27</f>
        <v>19037800</v>
      </c>
    </row>
    <row r="27" spans="3:10">
      <c r="I27" t="s">
        <v>326</v>
      </c>
      <c r="J27">
        <f>Assumptions!D32</f>
        <v>95.42</v>
      </c>
    </row>
    <row r="29" spans="3:10">
      <c r="I29" t="s">
        <v>327</v>
      </c>
      <c r="J29" s="337">
        <f>J25/J27</f>
        <v>109515.82477468035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051DF-F6D7-441F-BE16-08132B385CFD}">
  <dimension ref="A1:G23"/>
  <sheetViews>
    <sheetView workbookViewId="0">
      <selection activeCell="E9" sqref="E9"/>
    </sheetView>
  </sheetViews>
  <sheetFormatPr defaultRowHeight="14.5"/>
  <cols>
    <col min="1" max="1" width="45.54296875" bestFit="1" customWidth="1"/>
    <col min="3" max="3" width="10.08984375" bestFit="1" customWidth="1"/>
    <col min="4" max="4" width="10.90625" customWidth="1"/>
    <col min="5" max="5" width="24.453125" customWidth="1"/>
    <col min="6" max="6" width="12" bestFit="1" customWidth="1"/>
  </cols>
  <sheetData>
    <row r="1" spans="1: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7">
      <c r="A2" s="1" t="s">
        <v>3</v>
      </c>
      <c r="B2" s="2" t="str">
        <f>'Table of Contents'!B2</f>
        <v>Krishnamurthy Bindumadhavan, Sri Krishna P</v>
      </c>
      <c r="C2" s="3"/>
      <c r="D2" s="3"/>
      <c r="E2" s="3"/>
      <c r="F2" s="6" t="s">
        <v>4</v>
      </c>
      <c r="G2" s="5" t="s">
        <v>5</v>
      </c>
    </row>
    <row r="3" spans="1:7">
      <c r="A3" s="1" t="s">
        <v>6</v>
      </c>
      <c r="B3" s="2" t="s">
        <v>88</v>
      </c>
      <c r="C3" s="3"/>
      <c r="D3" s="3"/>
      <c r="E3" s="3"/>
      <c r="F3" s="7" t="s">
        <v>8</v>
      </c>
      <c r="G3" s="5" t="s">
        <v>9</v>
      </c>
    </row>
    <row r="4" spans="1: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7" ht="15" thickBot="1"/>
    <row r="7" spans="1:7" ht="15" thickBot="1">
      <c r="A7" s="299" t="s">
        <v>240</v>
      </c>
      <c r="B7" s="145"/>
      <c r="C7" s="146" t="str">
        <f>'[1]Income Statement'!C6</f>
        <v>Year 1</v>
      </c>
      <c r="D7" s="147" t="s">
        <v>241</v>
      </c>
    </row>
    <row r="8" spans="1:7">
      <c r="A8" s="28" t="s">
        <v>116</v>
      </c>
      <c r="B8" s="132"/>
      <c r="C8" s="135">
        <f>'[1]Income Statement'!C70</f>
        <v>585984</v>
      </c>
      <c r="D8" s="300">
        <f>C8/$C$10</f>
        <v>0.47229959764778706</v>
      </c>
    </row>
    <row r="9" spans="1:7">
      <c r="A9" s="14" t="s">
        <v>117</v>
      </c>
      <c r="B9" s="132"/>
      <c r="C9" s="135">
        <f>'[1]Income Statement'!C139</f>
        <v>654720.00000000012</v>
      </c>
      <c r="D9" s="300">
        <f>C9/$C$10</f>
        <v>0.52770040235221305</v>
      </c>
    </row>
    <row r="10" spans="1:7" ht="15" thickBot="1">
      <c r="A10" s="23" t="s">
        <v>122</v>
      </c>
      <c r="B10" s="139"/>
      <c r="C10" s="140">
        <f>SUM(C8:C9)</f>
        <v>1240704</v>
      </c>
      <c r="D10" s="52"/>
    </row>
    <row r="11" spans="1:7" ht="15" thickBot="1">
      <c r="C11" s="122"/>
    </row>
    <row r="12" spans="1:7" ht="15" thickBot="1">
      <c r="A12" s="299" t="s">
        <v>242</v>
      </c>
      <c r="B12" s="145"/>
      <c r="C12" s="146" t="str">
        <f>C7</f>
        <v>Year 1</v>
      </c>
      <c r="D12" s="146" t="str">
        <f>D7</f>
        <v>Proportion</v>
      </c>
      <c r="E12" s="146"/>
      <c r="F12" s="147" t="s">
        <v>243</v>
      </c>
    </row>
    <row r="13" spans="1:7">
      <c r="A13" s="28" t="str">
        <f>'[1]Income Statement'!A147</f>
        <v>Cost of Good Sold</v>
      </c>
      <c r="B13" s="132"/>
      <c r="C13" s="135">
        <f>'[1]Income Statement'!C158</f>
        <v>238272.00000000003</v>
      </c>
      <c r="D13" s="301">
        <f>C13/$C$17</f>
        <v>0.43931471388641014</v>
      </c>
      <c r="E13" s="48" t="str">
        <f>A13</f>
        <v>Cost of Good Sold</v>
      </c>
      <c r="F13" s="300">
        <f>C13/($C$17-$C$14)</f>
        <v>0.46961992384286094</v>
      </c>
    </row>
    <row r="14" spans="1:7">
      <c r="A14" s="14" t="str">
        <f>'[1]Income Statement'!A164</f>
        <v>Startup Costs</v>
      </c>
      <c r="B14" s="132"/>
      <c r="C14" s="135">
        <f>'[1]Income Statement'!C174</f>
        <v>35000</v>
      </c>
      <c r="D14" s="301">
        <f>C14/$C$17</f>
        <v>6.4531354863451657E-2</v>
      </c>
      <c r="E14" s="48" t="str">
        <f>A15</f>
        <v>Operating Costs</v>
      </c>
      <c r="F14" s="300">
        <f>C15/($C$17-$C$14)</f>
        <v>0.51953990366043057</v>
      </c>
    </row>
    <row r="15" spans="1:7">
      <c r="A15" s="14" t="str">
        <f>'[1]Income Statement'!A176</f>
        <v>Operating Costs</v>
      </c>
      <c r="B15" s="132"/>
      <c r="C15" s="135">
        <f>'[1]Income Statement'!C193</f>
        <v>263600</v>
      </c>
      <c r="D15" s="301">
        <f>C15/$C$17</f>
        <v>0.48601328977159586</v>
      </c>
      <c r="E15" s="48" t="s">
        <v>244</v>
      </c>
      <c r="F15" s="300">
        <f>C16/($C$17-$C$14)</f>
        <v>1.0840172496708529E-2</v>
      </c>
    </row>
    <row r="16" spans="1:7">
      <c r="A16" s="14" t="str">
        <f>'[1]Income Statement'!A195</f>
        <v>Costs Occuring Once a Year</v>
      </c>
      <c r="B16" s="132"/>
      <c r="C16" s="135">
        <f>'[1]Income Statement'!C199</f>
        <v>5500</v>
      </c>
      <c r="D16" s="301">
        <f>C16/$C$17</f>
        <v>1.0140641478542402E-2</v>
      </c>
      <c r="E16" s="48"/>
      <c r="F16" s="49"/>
    </row>
    <row r="17" spans="1:6" ht="15" thickBot="1">
      <c r="A17" s="23" t="s">
        <v>122</v>
      </c>
      <c r="B17" s="139"/>
      <c r="C17" s="140">
        <f>SUM(C13:C16)</f>
        <v>542372</v>
      </c>
      <c r="D17" s="51"/>
      <c r="E17" s="51"/>
      <c r="F17" s="52"/>
    </row>
    <row r="18" spans="1:6" ht="15" thickBot="1">
      <c r="C18" s="122"/>
    </row>
    <row r="19" spans="1:6">
      <c r="A19" s="302" t="s">
        <v>93</v>
      </c>
      <c r="B19" s="145"/>
      <c r="C19" s="146" t="str">
        <f>C12</f>
        <v>Year 1</v>
      </c>
      <c r="D19" s="147" t="s">
        <v>245</v>
      </c>
    </row>
    <row r="20" spans="1:6">
      <c r="A20" s="14" t="str">
        <f>'[1]Income Statement'!A203</f>
        <v>Earnings before Interest, taxes and Dep. (EBITDA)</v>
      </c>
      <c r="B20" s="132"/>
      <c r="C20" s="135">
        <f>C10-C17</f>
        <v>698332</v>
      </c>
      <c r="D20" s="300">
        <f>C20/$C$10</f>
        <v>0.562851413391107</v>
      </c>
    </row>
    <row r="21" spans="1:6">
      <c r="A21" s="14" t="str">
        <f>'[1]Income Statement'!A208</f>
        <v>Earnings Before Interest and Taxes (EBIT)</v>
      </c>
      <c r="B21" s="132"/>
      <c r="C21" s="135">
        <f>'[1]Income Statement'!C208</f>
        <v>677332</v>
      </c>
      <c r="D21" s="300">
        <f>C21/$C$10</f>
        <v>0.54592553904879815</v>
      </c>
    </row>
    <row r="22" spans="1:6">
      <c r="A22" s="14" t="str">
        <f>'[1]Income Statement'!A212</f>
        <v>Income Before Taxes (EBT)</v>
      </c>
      <c r="B22" s="132"/>
      <c r="C22" s="135">
        <f>'[1]Income Statement'!C212</f>
        <v>655487.7479424536</v>
      </c>
      <c r="D22" s="300">
        <f>C22/$C$10</f>
        <v>0.52831920259985754</v>
      </c>
    </row>
    <row r="23" spans="1:6" ht="15" thickBot="1">
      <c r="A23" s="23" t="str">
        <f>'[1]Income Statement'!A216</f>
        <v>Net Income</v>
      </c>
      <c r="B23" s="139"/>
      <c r="C23" s="140">
        <f>'[1]Income Statement'!C216</f>
        <v>426067.03616259486</v>
      </c>
      <c r="D23" s="303">
        <f>C23/$C$10</f>
        <v>0.34340748168990737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F6F2B-F678-468E-B142-513ACBCC8FBD}">
  <dimension ref="A1:H40"/>
  <sheetViews>
    <sheetView workbookViewId="0"/>
  </sheetViews>
  <sheetFormatPr defaultRowHeight="14.5"/>
  <cols>
    <col min="2" max="2" width="19" customWidth="1"/>
    <col min="3" max="3" width="14.36328125" bestFit="1" customWidth="1"/>
    <col min="5" max="6" width="16.6328125" bestFit="1" customWidth="1"/>
    <col min="8" max="8" width="33.90625" bestFit="1" customWidth="1"/>
  </cols>
  <sheetData>
    <row r="1" spans="1:7">
      <c r="A1" s="1" t="s">
        <v>0</v>
      </c>
      <c r="B1" s="2" t="str">
        <f>'Table of Contents'!B1</f>
        <v>Electronics Manufacturing Venture</v>
      </c>
      <c r="C1" s="3"/>
      <c r="D1" s="3"/>
      <c r="E1" s="3"/>
      <c r="F1" s="4" t="s">
        <v>1</v>
      </c>
      <c r="G1" s="5" t="s">
        <v>2</v>
      </c>
    </row>
    <row r="2" spans="1:7">
      <c r="A2" s="1" t="s">
        <v>3</v>
      </c>
      <c r="B2" s="2" t="str">
        <f>'Table of Contents'!B2</f>
        <v>Krishnamurthy Bindumadhavan, Sri Krishna P</v>
      </c>
      <c r="C2" s="3"/>
      <c r="D2" s="3"/>
      <c r="E2" s="3"/>
      <c r="F2" s="6" t="s">
        <v>4</v>
      </c>
      <c r="G2" s="5" t="s">
        <v>5</v>
      </c>
    </row>
    <row r="3" spans="1:7">
      <c r="A3" s="1" t="s">
        <v>6</v>
      </c>
      <c r="B3" s="2" t="s">
        <v>90</v>
      </c>
      <c r="C3" s="3"/>
      <c r="D3" s="3"/>
      <c r="E3" s="3"/>
      <c r="F3" s="7" t="s">
        <v>8</v>
      </c>
      <c r="G3" s="5" t="s">
        <v>9</v>
      </c>
    </row>
    <row r="4" spans="1:7">
      <c r="A4" s="8" t="s">
        <v>10</v>
      </c>
      <c r="B4" s="9">
        <v>46033</v>
      </c>
      <c r="C4" s="3"/>
      <c r="D4" s="3"/>
      <c r="E4" s="3"/>
      <c r="F4" s="10" t="s">
        <v>11</v>
      </c>
      <c r="G4" s="5" t="s">
        <v>12</v>
      </c>
    </row>
    <row r="6" spans="1:7" ht="18.5">
      <c r="B6" s="304" t="s">
        <v>246</v>
      </c>
    </row>
    <row r="8" spans="1:7" ht="15.5">
      <c r="A8">
        <v>1</v>
      </c>
      <c r="B8" s="305" t="s">
        <v>247</v>
      </c>
    </row>
    <row r="9" spans="1:7" ht="15" thickBot="1"/>
    <row r="10" spans="1:7">
      <c r="B10" s="302" t="s">
        <v>248</v>
      </c>
      <c r="C10" s="306" t="s">
        <v>97</v>
      </c>
    </row>
    <row r="11" spans="1:7">
      <c r="B11" s="14" t="s">
        <v>249</v>
      </c>
      <c r="C11" s="22">
        <f>'[1]Income Statement'!E218</f>
        <v>1395961.1552380896</v>
      </c>
    </row>
    <row r="12" spans="1:7">
      <c r="B12" s="14" t="s">
        <v>250</v>
      </c>
      <c r="C12" s="22">
        <f>'[1]Income Statement'!D218</f>
        <v>898543.40938122838</v>
      </c>
    </row>
    <row r="13" spans="1:7">
      <c r="B13" s="14" t="s">
        <v>251</v>
      </c>
      <c r="C13" s="22">
        <f>'[1]Income Statement'!C218</f>
        <v>426067.03616259486</v>
      </c>
    </row>
    <row r="14" spans="1:7">
      <c r="B14" s="14" t="s">
        <v>252</v>
      </c>
      <c r="C14" s="22">
        <f>AVERAGE(C11:C13)</f>
        <v>906857.20026063768</v>
      </c>
    </row>
    <row r="15" spans="1:7">
      <c r="B15" s="14"/>
      <c r="C15" s="21"/>
    </row>
    <row r="16" spans="1:7">
      <c r="B16" s="14" t="s">
        <v>253</v>
      </c>
      <c r="C16" s="307">
        <v>0.4</v>
      </c>
    </row>
    <row r="17" spans="1:5">
      <c r="B17" s="308" t="s">
        <v>254</v>
      </c>
      <c r="C17" s="307">
        <f>1-C16</f>
        <v>0.6</v>
      </c>
    </row>
    <row r="18" spans="1:5">
      <c r="B18" s="14"/>
      <c r="C18" s="21"/>
    </row>
    <row r="19" spans="1:5" ht="15" thickBot="1">
      <c r="B19" s="309" t="s">
        <v>255</v>
      </c>
      <c r="C19" s="310">
        <f>C14*C17</f>
        <v>544114.32015638263</v>
      </c>
    </row>
    <row r="20" spans="1:5" ht="15" thickBot="1"/>
    <row r="21" spans="1:5" ht="15" thickBot="1">
      <c r="A21">
        <v>2</v>
      </c>
      <c r="B21" s="311" t="s">
        <v>256</v>
      </c>
      <c r="C21" s="312" t="s">
        <v>257</v>
      </c>
      <c r="D21" s="312" t="s">
        <v>253</v>
      </c>
      <c r="E21" s="313" t="s">
        <v>258</v>
      </c>
    </row>
    <row r="22" spans="1:5">
      <c r="B22" s="314" t="s">
        <v>259</v>
      </c>
      <c r="C22" s="315">
        <f>'[1]Depreciation Schedule'!F23</f>
        <v>210000</v>
      </c>
      <c r="D22" s="316">
        <v>0.2</v>
      </c>
      <c r="E22" s="317">
        <f>C22*(1-D22)</f>
        <v>168000</v>
      </c>
    </row>
    <row r="23" spans="1:5">
      <c r="B23" s="318" t="s">
        <v>63</v>
      </c>
      <c r="C23" s="135">
        <f>'[1]Balance Sheet'!H12</f>
        <v>110000</v>
      </c>
      <c r="D23" s="319">
        <v>0.2</v>
      </c>
      <c r="E23" s="136">
        <f>C23*(1-D23)</f>
        <v>88000</v>
      </c>
    </row>
    <row r="24" spans="1:5">
      <c r="B24" s="318" t="s">
        <v>260</v>
      </c>
      <c r="C24" s="135">
        <v>50000</v>
      </c>
      <c r="D24" s="319">
        <v>0.2</v>
      </c>
      <c r="E24" s="136">
        <f>C24*(1-D24)</f>
        <v>40000</v>
      </c>
    </row>
    <row r="25" spans="1:5">
      <c r="B25" s="318" t="s">
        <v>111</v>
      </c>
      <c r="C25" s="135">
        <v>10000</v>
      </c>
      <c r="D25" s="319">
        <v>0.2</v>
      </c>
      <c r="E25" s="136">
        <f>C25*(1-D25)</f>
        <v>8000</v>
      </c>
    </row>
    <row r="26" spans="1:5" ht="15" thickBot="1">
      <c r="B26" s="320" t="s">
        <v>122</v>
      </c>
      <c r="C26" s="140">
        <f>SUM(C22:C25)</f>
        <v>380000</v>
      </c>
      <c r="D26" s="51"/>
      <c r="E26" s="141">
        <f>SUM(E22:E25)</f>
        <v>304000</v>
      </c>
    </row>
    <row r="28" spans="1:5" ht="15" thickBot="1"/>
    <row r="29" spans="1:5" ht="15" thickBot="1">
      <c r="A29">
        <v>3</v>
      </c>
      <c r="B29" s="299" t="s">
        <v>261</v>
      </c>
      <c r="C29" s="321">
        <v>0</v>
      </c>
    </row>
    <row r="31" spans="1:5">
      <c r="A31">
        <v>4</v>
      </c>
      <c r="B31" s="41" t="s">
        <v>169</v>
      </c>
    </row>
    <row r="32" spans="1:5" ht="15" thickBot="1"/>
    <row r="33" spans="2:8" ht="15" thickBot="1">
      <c r="B33" s="299" t="s">
        <v>262</v>
      </c>
      <c r="C33" s="322" t="s">
        <v>263</v>
      </c>
      <c r="D33" s="312" t="s">
        <v>253</v>
      </c>
      <c r="E33" s="323" t="s">
        <v>254</v>
      </c>
      <c r="F33" s="313" t="s">
        <v>264</v>
      </c>
      <c r="H33" s="302" t="s">
        <v>265</v>
      </c>
    </row>
    <row r="34" spans="2:8">
      <c r="B34" s="324" t="s">
        <v>266</v>
      </c>
      <c r="C34" s="325">
        <f>$C$38*H34</f>
        <v>124070.40000000001</v>
      </c>
      <c r="D34" s="326">
        <v>0.2</v>
      </c>
      <c r="E34" s="316">
        <f>1-D34</f>
        <v>0.8</v>
      </c>
      <c r="F34" s="317">
        <f>C34*E34</f>
        <v>99256.320000000007</v>
      </c>
      <c r="H34" s="327">
        <v>0.4</v>
      </c>
    </row>
    <row r="35" spans="2:8">
      <c r="B35" s="308" t="s">
        <v>267</v>
      </c>
      <c r="C35" s="328">
        <f>$C$38*H35</f>
        <v>93052.800000000003</v>
      </c>
      <c r="D35" s="329">
        <v>0.4</v>
      </c>
      <c r="E35" s="319">
        <f>1-D35</f>
        <v>0.6</v>
      </c>
      <c r="F35" s="136">
        <f>C35*E35</f>
        <v>55831.68</v>
      </c>
      <c r="H35" s="327">
        <v>0.3</v>
      </c>
    </row>
    <row r="36" spans="2:8">
      <c r="B36" s="308" t="s">
        <v>268</v>
      </c>
      <c r="C36" s="328">
        <f>$C$38*H36</f>
        <v>62035.200000000004</v>
      </c>
      <c r="D36" s="329">
        <v>0.6</v>
      </c>
      <c r="E36" s="319">
        <f>1-D36</f>
        <v>0.4</v>
      </c>
      <c r="F36" s="136">
        <f>C36*E36</f>
        <v>24814.080000000002</v>
      </c>
      <c r="H36" s="327">
        <v>0.2</v>
      </c>
    </row>
    <row r="37" spans="2:8">
      <c r="B37" s="308" t="s">
        <v>269</v>
      </c>
      <c r="C37" s="328">
        <f>$C$38*H37</f>
        <v>31017.600000000002</v>
      </c>
      <c r="D37" s="329">
        <v>0.8</v>
      </c>
      <c r="E37" s="319">
        <f>1-D37</f>
        <v>0.19999999999999996</v>
      </c>
      <c r="F37" s="136">
        <f>C37*E37</f>
        <v>6203.5199999999986</v>
      </c>
      <c r="H37" s="327">
        <v>0.1</v>
      </c>
    </row>
    <row r="38" spans="2:8" ht="15" thickBot="1">
      <c r="B38" s="23" t="s">
        <v>122</v>
      </c>
      <c r="C38" s="330">
        <f>'[1]Income Statement'!C141*25%</f>
        <v>310176</v>
      </c>
      <c r="D38" s="51"/>
      <c r="E38" s="51"/>
      <c r="F38" s="141">
        <f>SUM(F34:F37)</f>
        <v>186105.60000000001</v>
      </c>
      <c r="H38" s="331">
        <f>SUM(H34:H37)</f>
        <v>0.99999999999999989</v>
      </c>
    </row>
    <row r="39" spans="2:8" ht="15" thickBot="1"/>
    <row r="40" spans="2:8" ht="15" thickBot="1">
      <c r="B40" s="299" t="s">
        <v>270</v>
      </c>
      <c r="C40" s="321">
        <f>C19+E26+C29+F38</f>
        <v>1034219.9201563826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Table of Contents</vt:lpstr>
      <vt:lpstr>Bill of materials</vt:lpstr>
      <vt:lpstr>Assumptions</vt:lpstr>
      <vt:lpstr>Revenue</vt:lpstr>
      <vt:lpstr>Income</vt:lpstr>
      <vt:lpstr>Cash flow</vt:lpstr>
      <vt:lpstr>Balance</vt:lpstr>
      <vt:lpstr>Valuation sheet</vt:lpstr>
      <vt:lpstr>Net Income Analysis</vt:lpstr>
      <vt:lpstr>Expense Analysis</vt:lpstr>
      <vt:lpstr>Revenue Analysis</vt:lpstr>
      <vt:lpstr>Cashflow Analysis</vt:lpstr>
      <vt:lpstr>Loan Repayment Schedule</vt:lpstr>
      <vt:lpstr>Depreciation Schedule</vt:lpstr>
      <vt:lpstr>Dashboard</vt:lpstr>
      <vt:lpstr>Existing Practice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 Krishna Chaitanya</cp:lastModifiedBy>
  <dcterms:created xsi:type="dcterms:W3CDTF">2026-01-11T12:25:52Z</dcterms:created>
  <dcterms:modified xsi:type="dcterms:W3CDTF">2026-07-16T04:44:19Z</dcterms:modified>
</cp:coreProperties>
</file>