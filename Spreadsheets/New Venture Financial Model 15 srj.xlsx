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S, Pilani, Off Campus\"/>
    </mc:Choice>
  </mc:AlternateContent>
  <xr:revisionPtr revIDLastSave="0" documentId="13_ncr:1_{70D07086-4CFA-4A74-85C8-E43A375179BB}" xr6:coauthVersionLast="47" xr6:coauthVersionMax="47" xr10:uidLastSave="{00000000-0000-0000-0000-000000000000}"/>
  <bookViews>
    <workbookView xWindow="24" yWindow="24" windowWidth="23016" windowHeight="12336" firstSheet="4" activeTab="12" xr2:uid="{A83D9EE0-616D-4993-AD92-1A6E07E9C2F6}"/>
  </bookViews>
  <sheets>
    <sheet name="Table of Contents" sheetId="2" r:id="rId1"/>
    <sheet name="Comments" sheetId="16" r:id="rId2"/>
    <sheet name="Assumptions" sheetId="1" r:id="rId3"/>
    <sheet name="Income Statement" sheetId="7" r:id="rId4"/>
    <sheet name="Balance Sheet" sheetId="8" r:id="rId5"/>
    <sheet name="Cashflow Statement" sheetId="9" r:id="rId6"/>
    <sheet name="Valuation" sheetId="10" r:id="rId7"/>
    <sheet name="Net Income Analysis" sheetId="3" state="hidden" r:id="rId8"/>
    <sheet name="Expense Analysis" sheetId="4" state="hidden" r:id="rId9"/>
    <sheet name="Revenue Analysis" sheetId="5" state="hidden" r:id="rId10"/>
    <sheet name="Cashflow Analysis" sheetId="6" state="hidden" r:id="rId11"/>
    <sheet name="Loan Repayment Schedule" sheetId="11" r:id="rId12"/>
    <sheet name="Depreciation Schedule" sheetId="12" r:id="rId13"/>
    <sheet name="Dashboard" sheetId="13" state="hidden" r:id="rId14"/>
    <sheet name="Existing Practice Valuation" sheetId="14" state="hidden" r:id="rId15"/>
    <sheet name="Sheet15" sheetId="15" r:id="rId16"/>
  </sheets>
  <externalReferences>
    <externalReference r:id="rId17"/>
    <externalReference r:id="rId18"/>
    <externalReference r:id="rId19"/>
    <externalReference r:id="rId20"/>
    <externalReference r:id="rId21"/>
  </externalReferenc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6" l="1"/>
  <c r="F16" i="16" s="1"/>
  <c r="G16" i="16" s="1"/>
  <c r="H16" i="16" s="1"/>
  <c r="I16" i="16" s="1"/>
  <c r="J16" i="16" s="1"/>
  <c r="K16" i="16" s="1"/>
  <c r="L16" i="16" s="1"/>
  <c r="M16" i="16" s="1"/>
  <c r="E17" i="16"/>
  <c r="F17" i="16" s="1"/>
  <c r="G17" i="16" s="1"/>
  <c r="H17" i="16" s="1"/>
  <c r="I17" i="16" s="1"/>
  <c r="J17" i="16" s="1"/>
  <c r="K17" i="16" s="1"/>
  <c r="L17" i="16" s="1"/>
  <c r="M17" i="16" s="1"/>
  <c r="E18" i="16"/>
  <c r="F18" i="16"/>
  <c r="G18" i="16"/>
  <c r="H18" i="16" s="1"/>
  <c r="I18" i="16" s="1"/>
  <c r="J18" i="16" s="1"/>
  <c r="K18" i="16" s="1"/>
  <c r="L18" i="16" s="1"/>
  <c r="M18" i="16" s="1"/>
  <c r="E19" i="16"/>
  <c r="F19" i="16"/>
  <c r="G19" i="16" s="1"/>
  <c r="H19" i="16" s="1"/>
  <c r="I19" i="16" s="1"/>
  <c r="J19" i="16" s="1"/>
  <c r="K19" i="16" s="1"/>
  <c r="L19" i="16" s="1"/>
  <c r="M19" i="16" s="1"/>
  <c r="F15" i="16"/>
  <c r="G15" i="16" s="1"/>
  <c r="H15" i="16" s="1"/>
  <c r="I15" i="16" s="1"/>
  <c r="J15" i="16" s="1"/>
  <c r="K15" i="16" s="1"/>
  <c r="L15" i="16" s="1"/>
  <c r="M15" i="16" s="1"/>
  <c r="E15" i="16"/>
  <c r="D21" i="7"/>
  <c r="E15" i="7"/>
  <c r="G15" i="10" l="1"/>
  <c r="I14" i="10"/>
  <c r="H14" i="10"/>
  <c r="G14" i="10"/>
  <c r="K45" i="1"/>
  <c r="J6" i="11"/>
  <c r="J46" i="1"/>
  <c r="J47" i="1"/>
  <c r="J48" i="1"/>
  <c r="J49" i="1"/>
  <c r="J50" i="1"/>
  <c r="J51" i="1"/>
  <c r="J52" i="1"/>
  <c r="J53" i="1"/>
  <c r="J45" i="1"/>
  <c r="K46" i="1"/>
  <c r="K47" i="1"/>
  <c r="K48" i="1"/>
  <c r="K49" i="1"/>
  <c r="K50" i="1"/>
  <c r="K51" i="1"/>
  <c r="K52" i="1"/>
  <c r="K53" i="1"/>
  <c r="D7" i="11"/>
  <c r="D6" i="11"/>
  <c r="H27" i="9"/>
  <c r="H20" i="9"/>
  <c r="H12" i="8" l="1"/>
  <c r="H12" i="9" s="1"/>
  <c r="F17" i="12"/>
  <c r="J29" i="12"/>
  <c r="F21" i="12"/>
  <c r="F20" i="12"/>
  <c r="F19" i="12"/>
  <c r="F18" i="12"/>
  <c r="J20" i="12"/>
  <c r="J25" i="12" s="1"/>
  <c r="E127" i="7" l="1"/>
  <c r="F127" i="7" s="1"/>
  <c r="G127" i="7" s="1"/>
  <c r="H127" i="7" s="1"/>
  <c r="I127" i="7" s="1"/>
  <c r="J127" i="7" s="1"/>
  <c r="K127" i="7" s="1"/>
  <c r="L127" i="7" s="1"/>
  <c r="D127" i="7"/>
  <c r="C128" i="7"/>
  <c r="C127" i="7"/>
  <c r="L121" i="7"/>
  <c r="L122" i="7"/>
  <c r="K121" i="7"/>
  <c r="K122" i="7"/>
  <c r="J121" i="7"/>
  <c r="J122" i="7"/>
  <c r="I121" i="7"/>
  <c r="I122" i="7"/>
  <c r="H121" i="7"/>
  <c r="H122" i="7"/>
  <c r="G121" i="7"/>
  <c r="G122" i="7"/>
  <c r="F121" i="7"/>
  <c r="F122" i="7"/>
  <c r="E121" i="7"/>
  <c r="E122" i="7"/>
  <c r="D112" i="7"/>
  <c r="E112" i="7" s="1"/>
  <c r="F112" i="7" s="1"/>
  <c r="G112" i="7" s="1"/>
  <c r="H112" i="7" s="1"/>
  <c r="I112" i="7" s="1"/>
  <c r="J112" i="7" s="1"/>
  <c r="K112" i="7" s="1"/>
  <c r="L112" i="7" s="1"/>
  <c r="D113" i="7"/>
  <c r="E113" i="7" s="1"/>
  <c r="F113" i="7" s="1"/>
  <c r="G113" i="7" s="1"/>
  <c r="H113" i="7" s="1"/>
  <c r="I113" i="7" s="1"/>
  <c r="J113" i="7" s="1"/>
  <c r="K113" i="7" s="1"/>
  <c r="L113" i="7" s="1"/>
  <c r="D120" i="7"/>
  <c r="E120" i="7" s="1"/>
  <c r="F120" i="7" s="1"/>
  <c r="G120" i="7" s="1"/>
  <c r="H120" i="7" s="1"/>
  <c r="I120" i="7" s="1"/>
  <c r="J120" i="7" s="1"/>
  <c r="K120" i="7" s="1"/>
  <c r="L120" i="7" s="1"/>
  <c r="D121" i="7"/>
  <c r="D122" i="7"/>
  <c r="C122" i="7"/>
  <c r="C121" i="7"/>
  <c r="C120" i="7"/>
  <c r="C119" i="7"/>
  <c r="D119" i="7" s="1"/>
  <c r="E119" i="7" s="1"/>
  <c r="F119" i="7" s="1"/>
  <c r="G119" i="7" s="1"/>
  <c r="H119" i="7" s="1"/>
  <c r="I119" i="7" s="1"/>
  <c r="J119" i="7" s="1"/>
  <c r="K119" i="7" s="1"/>
  <c r="L119" i="7" s="1"/>
  <c r="C118" i="7"/>
  <c r="D118" i="7" s="1"/>
  <c r="E118" i="7" s="1"/>
  <c r="F118" i="7" s="1"/>
  <c r="G118" i="7" s="1"/>
  <c r="H118" i="7" s="1"/>
  <c r="I118" i="7" s="1"/>
  <c r="J118" i="7" s="1"/>
  <c r="K118" i="7" s="1"/>
  <c r="L118" i="7" s="1"/>
  <c r="C117" i="7"/>
  <c r="D117" i="7" s="1"/>
  <c r="E117" i="7" s="1"/>
  <c r="F117" i="7" s="1"/>
  <c r="G117" i="7" s="1"/>
  <c r="H117" i="7" s="1"/>
  <c r="I117" i="7" s="1"/>
  <c r="J117" i="7" s="1"/>
  <c r="K117" i="7" s="1"/>
  <c r="L117" i="7" s="1"/>
  <c r="C116" i="7"/>
  <c r="D116" i="7" s="1"/>
  <c r="E116" i="7" s="1"/>
  <c r="F116" i="7" s="1"/>
  <c r="G116" i="7" s="1"/>
  <c r="H116" i="7" s="1"/>
  <c r="I116" i="7" s="1"/>
  <c r="J116" i="7" s="1"/>
  <c r="K116" i="7" s="1"/>
  <c r="L116" i="7" s="1"/>
  <c r="C115" i="7"/>
  <c r="D115" i="7" s="1"/>
  <c r="E115" i="7" s="1"/>
  <c r="F115" i="7" s="1"/>
  <c r="G115" i="7" s="1"/>
  <c r="H115" i="7" s="1"/>
  <c r="I115" i="7" s="1"/>
  <c r="J115" i="7" s="1"/>
  <c r="K115" i="7" s="1"/>
  <c r="L115" i="7" s="1"/>
  <c r="C114" i="7"/>
  <c r="D114" i="7" s="1"/>
  <c r="E114" i="7" s="1"/>
  <c r="F114" i="7" s="1"/>
  <c r="G114" i="7" s="1"/>
  <c r="H114" i="7" s="1"/>
  <c r="I114" i="7" s="1"/>
  <c r="J114" i="7" s="1"/>
  <c r="K114" i="7" s="1"/>
  <c r="L114" i="7" s="1"/>
  <c r="C113" i="7"/>
  <c r="C112" i="7"/>
  <c r="C111" i="7"/>
  <c r="D111" i="7" s="1"/>
  <c r="E111" i="7" s="1"/>
  <c r="F111" i="7" s="1"/>
  <c r="G111" i="7" s="1"/>
  <c r="H111" i="7" s="1"/>
  <c r="I111" i="7" s="1"/>
  <c r="J111" i="7" s="1"/>
  <c r="K111" i="7" s="1"/>
  <c r="L111" i="7" s="1"/>
  <c r="C110" i="7"/>
  <c r="D110" i="7" s="1"/>
  <c r="E110" i="7" s="1"/>
  <c r="F110" i="7" s="1"/>
  <c r="G110" i="7" s="1"/>
  <c r="H110" i="7" s="1"/>
  <c r="I110" i="7" s="1"/>
  <c r="J110" i="7" s="1"/>
  <c r="K110" i="7" s="1"/>
  <c r="L110" i="7" s="1"/>
  <c r="C109" i="7"/>
  <c r="D109" i="7" s="1"/>
  <c r="E109" i="7" s="1"/>
  <c r="F109" i="7" s="1"/>
  <c r="G109" i="7" s="1"/>
  <c r="H109" i="7" s="1"/>
  <c r="I109" i="7" s="1"/>
  <c r="J109" i="7" s="1"/>
  <c r="K109" i="7" s="1"/>
  <c r="L109" i="7" s="1"/>
  <c r="C103" i="7"/>
  <c r="C102" i="7"/>
  <c r="C101" i="7"/>
  <c r="C100" i="7"/>
  <c r="C99" i="7"/>
  <c r="C98" i="7"/>
  <c r="C97" i="7"/>
  <c r="D48" i="1"/>
  <c r="D47" i="1"/>
  <c r="D27" i="7" s="1"/>
  <c r="D45" i="1"/>
  <c r="D15" i="7" s="1"/>
  <c r="E34" i="7"/>
  <c r="E33" i="7"/>
  <c r="D28" i="7"/>
  <c r="E28" i="7" s="1"/>
  <c r="F28" i="7" s="1"/>
  <c r="G28" i="7" s="1"/>
  <c r="H28" i="7" s="1"/>
  <c r="I28" i="7" s="1"/>
  <c r="J28" i="7" s="1"/>
  <c r="K28" i="7" s="1"/>
  <c r="L28" i="7" s="1"/>
  <c r="D16" i="7"/>
  <c r="E16" i="7" s="1"/>
  <c r="F16" i="7" s="1"/>
  <c r="G16" i="7" s="1"/>
  <c r="H16" i="7" s="1"/>
  <c r="I16" i="7" s="1"/>
  <c r="J16" i="7" s="1"/>
  <c r="K16" i="7" s="1"/>
  <c r="L16" i="7" s="1"/>
  <c r="C64" i="7"/>
  <c r="D64" i="7" s="1"/>
  <c r="C63" i="7"/>
  <c r="D63" i="7" s="1"/>
  <c r="E63" i="7" s="1"/>
  <c r="F63" i="7" s="1"/>
  <c r="G63" i="7" s="1"/>
  <c r="H63" i="7" s="1"/>
  <c r="I63" i="7" s="1"/>
  <c r="J63" i="7" s="1"/>
  <c r="K63" i="7" s="1"/>
  <c r="L63" i="7" s="1"/>
  <c r="C58" i="7"/>
  <c r="D58" i="7" s="1"/>
  <c r="C57" i="7"/>
  <c r="D57" i="7" s="1"/>
  <c r="E57" i="7" s="1"/>
  <c r="F57" i="7" s="1"/>
  <c r="G57" i="7" s="1"/>
  <c r="H57" i="7" s="1"/>
  <c r="I57" i="7" s="1"/>
  <c r="J57" i="7" s="1"/>
  <c r="K57" i="7" s="1"/>
  <c r="L57" i="7" s="1"/>
  <c r="C52" i="7"/>
  <c r="D52" i="7" s="1"/>
  <c r="C51" i="7"/>
  <c r="D51" i="7" s="1"/>
  <c r="E51" i="7" s="1"/>
  <c r="F51" i="7" s="1"/>
  <c r="G51" i="7" s="1"/>
  <c r="H51" i="7" s="1"/>
  <c r="I51" i="7" s="1"/>
  <c r="J51" i="7" s="1"/>
  <c r="K51" i="7" s="1"/>
  <c r="L51" i="7" s="1"/>
  <c r="C46" i="7"/>
  <c r="D46" i="7" s="1"/>
  <c r="C45" i="7"/>
  <c r="D45" i="7" s="1"/>
  <c r="E45" i="7" s="1"/>
  <c r="F45" i="7" s="1"/>
  <c r="G45" i="7" s="1"/>
  <c r="H45" i="7" s="1"/>
  <c r="I45" i="7" s="1"/>
  <c r="J45" i="7" s="1"/>
  <c r="K45" i="7" s="1"/>
  <c r="L45" i="7" s="1"/>
  <c r="C40" i="7"/>
  <c r="D40" i="7" s="1"/>
  <c r="C39" i="7"/>
  <c r="D39" i="7" s="1"/>
  <c r="E39" i="7" s="1"/>
  <c r="F39" i="7" s="1"/>
  <c r="G39" i="7" s="1"/>
  <c r="H39" i="7" s="1"/>
  <c r="I39" i="7" s="1"/>
  <c r="J39" i="7" s="1"/>
  <c r="K39" i="7" s="1"/>
  <c r="L39" i="7" s="1"/>
  <c r="F34" i="7"/>
  <c r="G34" i="7" s="1"/>
  <c r="H34" i="7" s="1"/>
  <c r="I34" i="7" s="1"/>
  <c r="J34" i="7" s="1"/>
  <c r="K34" i="7" s="1"/>
  <c r="L34" i="7" s="1"/>
  <c r="C22" i="7"/>
  <c r="G18" i="1"/>
  <c r="D7" i="1" l="1"/>
  <c r="B2" i="14"/>
  <c r="B1" i="14"/>
  <c r="B2" i="13"/>
  <c r="B1" i="13"/>
  <c r="B2" i="12"/>
  <c r="B1" i="12"/>
  <c r="B2" i="11"/>
  <c r="B1" i="11"/>
  <c r="B2" i="10"/>
  <c r="B1" i="10"/>
  <c r="B2" i="9"/>
  <c r="B1" i="9"/>
  <c r="B2" i="8"/>
  <c r="B1" i="8"/>
  <c r="B2" i="7"/>
  <c r="B1" i="7"/>
  <c r="B2" i="6"/>
  <c r="B1" i="6"/>
  <c r="B2" i="5"/>
  <c r="B1" i="5"/>
  <c r="B2" i="4"/>
  <c r="B1" i="4"/>
  <c r="B2" i="3"/>
  <c r="B1" i="3"/>
  <c r="B2" i="1"/>
  <c r="B1" i="1"/>
  <c r="H38" i="14"/>
  <c r="C38" i="14"/>
  <c r="C36" i="14" s="1"/>
  <c r="F36" i="14" s="1"/>
  <c r="E37" i="14"/>
  <c r="E36" i="14"/>
  <c r="E35" i="14"/>
  <c r="E34" i="14"/>
  <c r="E25" i="14"/>
  <c r="E24" i="14"/>
  <c r="C23" i="14"/>
  <c r="E23" i="14" s="1"/>
  <c r="C22" i="14"/>
  <c r="C17" i="14"/>
  <c r="C13" i="14"/>
  <c r="C12" i="14"/>
  <c r="C11" i="14"/>
  <c r="C23" i="13"/>
  <c r="A23" i="13"/>
  <c r="C22" i="13"/>
  <c r="A22" i="13"/>
  <c r="C21" i="13"/>
  <c r="A21" i="13"/>
  <c r="A20" i="13"/>
  <c r="C16" i="13"/>
  <c r="A16" i="13"/>
  <c r="C15" i="13"/>
  <c r="A15" i="13"/>
  <c r="E14" i="13" s="1"/>
  <c r="C14" i="13"/>
  <c r="A14" i="13"/>
  <c r="C13" i="13"/>
  <c r="A13" i="13"/>
  <c r="E13" i="13" s="1"/>
  <c r="D12" i="13"/>
  <c r="C9" i="13"/>
  <c r="C8" i="13"/>
  <c r="C7" i="13"/>
  <c r="C12" i="13" s="1"/>
  <c r="C19" i="13" s="1"/>
  <c r="F24" i="12"/>
  <c r="F23" i="12"/>
  <c r="G33" i="11"/>
  <c r="Q19" i="10"/>
  <c r="Q14" i="10"/>
  <c r="P14" i="10"/>
  <c r="O14" i="10"/>
  <c r="N14" i="10"/>
  <c r="M14" i="10"/>
  <c r="L14" i="10"/>
  <c r="K14" i="10"/>
  <c r="J14" i="10"/>
  <c r="Q11" i="10"/>
  <c r="P11" i="10"/>
  <c r="O11" i="10"/>
  <c r="N11" i="10"/>
  <c r="M11" i="10"/>
  <c r="L11" i="10"/>
  <c r="K11" i="10"/>
  <c r="J11" i="10"/>
  <c r="I11" i="10"/>
  <c r="H11" i="10"/>
  <c r="I7" i="10"/>
  <c r="J7" i="10" s="1"/>
  <c r="K7" i="10" s="1"/>
  <c r="L7" i="10" s="1"/>
  <c r="M7" i="10" s="1"/>
  <c r="N7" i="10" s="1"/>
  <c r="O7" i="10" s="1"/>
  <c r="P7" i="10" s="1"/>
  <c r="Q7" i="10" s="1"/>
  <c r="L3" i="10"/>
  <c r="Q22" i="9"/>
  <c r="P22" i="9"/>
  <c r="O22" i="9"/>
  <c r="N22" i="9"/>
  <c r="M22" i="9"/>
  <c r="L22" i="9"/>
  <c r="K22" i="9"/>
  <c r="J22" i="9"/>
  <c r="I22" i="9"/>
  <c r="H22" i="9"/>
  <c r="I35" i="8"/>
  <c r="J35" i="8" s="1"/>
  <c r="Q27" i="8"/>
  <c r="P27" i="8"/>
  <c r="O27" i="8"/>
  <c r="N27" i="8"/>
  <c r="M27" i="8"/>
  <c r="L27" i="8"/>
  <c r="K27" i="8"/>
  <c r="J27" i="8"/>
  <c r="I27" i="8"/>
  <c r="H27" i="8"/>
  <c r="I12" i="8"/>
  <c r="D128" i="7"/>
  <c r="E128" i="7" s="1"/>
  <c r="F128" i="7" s="1"/>
  <c r="G128" i="7" s="1"/>
  <c r="H128" i="7" s="1"/>
  <c r="I128" i="7" s="1"/>
  <c r="J128" i="7" s="1"/>
  <c r="K128" i="7" s="1"/>
  <c r="L128" i="7" s="1"/>
  <c r="L105" i="7"/>
  <c r="K105" i="7"/>
  <c r="J105" i="7"/>
  <c r="I105" i="7"/>
  <c r="H105" i="7"/>
  <c r="G105" i="7"/>
  <c r="F105" i="7"/>
  <c r="E105" i="7"/>
  <c r="D105" i="7"/>
  <c r="E64" i="7"/>
  <c r="F64" i="7" s="1"/>
  <c r="G64" i="7" s="1"/>
  <c r="H64" i="7" s="1"/>
  <c r="I64" i="7" s="1"/>
  <c r="J64" i="7" s="1"/>
  <c r="K64" i="7" s="1"/>
  <c r="L64" i="7" s="1"/>
  <c r="E58" i="7"/>
  <c r="F58" i="7" s="1"/>
  <c r="G58" i="7" s="1"/>
  <c r="H58" i="7" s="1"/>
  <c r="I58" i="7" s="1"/>
  <c r="J58" i="7" s="1"/>
  <c r="K58" i="7" s="1"/>
  <c r="L58" i="7" s="1"/>
  <c r="E52" i="7"/>
  <c r="F52" i="7" s="1"/>
  <c r="G52" i="7" s="1"/>
  <c r="H52" i="7" s="1"/>
  <c r="I52" i="7" s="1"/>
  <c r="J52" i="7" s="1"/>
  <c r="K52" i="7" s="1"/>
  <c r="L52" i="7" s="1"/>
  <c r="E46" i="7"/>
  <c r="F46" i="7" s="1"/>
  <c r="G46" i="7" s="1"/>
  <c r="H46" i="7" s="1"/>
  <c r="I46" i="7" s="1"/>
  <c r="J46" i="7" s="1"/>
  <c r="K46" i="7" s="1"/>
  <c r="L46" i="7" s="1"/>
  <c r="E40" i="7"/>
  <c r="F40" i="7" s="1"/>
  <c r="G40" i="7" s="1"/>
  <c r="H40" i="7" s="1"/>
  <c r="I40" i="7" s="1"/>
  <c r="J40" i="7" s="1"/>
  <c r="K40" i="7" s="1"/>
  <c r="L40" i="7" s="1"/>
  <c r="D22" i="7"/>
  <c r="E22" i="7" s="1"/>
  <c r="F22" i="7" s="1"/>
  <c r="G22" i="7" s="1"/>
  <c r="H22" i="7" s="1"/>
  <c r="I22" i="7" s="1"/>
  <c r="J22" i="7" s="1"/>
  <c r="K22" i="7" s="1"/>
  <c r="L22" i="7" s="1"/>
  <c r="C22" i="6"/>
  <c r="H21" i="6"/>
  <c r="H16" i="6" s="1"/>
  <c r="G21" i="6"/>
  <c r="G16" i="6" s="1"/>
  <c r="F21" i="6"/>
  <c r="E21" i="6"/>
  <c r="E16" i="6" s="1"/>
  <c r="D21" i="6"/>
  <c r="H18" i="6"/>
  <c r="H17" i="6"/>
  <c r="G17" i="6"/>
  <c r="F17" i="6"/>
  <c r="E17" i="6"/>
  <c r="E10" i="6" s="1"/>
  <c r="D17" i="6"/>
  <c r="F16" i="6"/>
  <c r="D16" i="6"/>
  <c r="C16" i="6"/>
  <c r="H13" i="6"/>
  <c r="H22" i="6" s="1"/>
  <c r="G13" i="6"/>
  <c r="F13" i="6"/>
  <c r="E13" i="6"/>
  <c r="D13" i="6"/>
  <c r="D22" i="6" s="1"/>
  <c r="H11" i="6"/>
  <c r="D30" i="6" s="1"/>
  <c r="G11" i="6"/>
  <c r="F11" i="6"/>
  <c r="E11" i="6"/>
  <c r="D11" i="6"/>
  <c r="H10" i="6"/>
  <c r="D29" i="6" s="1"/>
  <c r="D10" i="6"/>
  <c r="H9" i="6"/>
  <c r="D28" i="6" s="1"/>
  <c r="G9" i="6"/>
  <c r="F9" i="6"/>
  <c r="E9" i="6"/>
  <c r="D9" i="6"/>
  <c r="H8" i="6"/>
  <c r="D27" i="6" s="1"/>
  <c r="G8" i="6"/>
  <c r="F8" i="6"/>
  <c r="E8" i="6"/>
  <c r="D8" i="6"/>
  <c r="D12" i="6" s="1"/>
  <c r="D23" i="5"/>
  <c r="D22" i="5"/>
  <c r="D21" i="5"/>
  <c r="D20" i="5"/>
  <c r="H12" i="5"/>
  <c r="E24" i="5" s="1"/>
  <c r="G12" i="5"/>
  <c r="F12" i="5"/>
  <c r="E12" i="5"/>
  <c r="D12" i="5"/>
  <c r="C12" i="5"/>
  <c r="D24" i="5" s="1"/>
  <c r="H11" i="5"/>
  <c r="E23" i="5" s="1"/>
  <c r="G11" i="5"/>
  <c r="F11" i="5"/>
  <c r="E11" i="5"/>
  <c r="D11" i="5"/>
  <c r="H10" i="5"/>
  <c r="G10" i="5"/>
  <c r="F10" i="5"/>
  <c r="E10" i="5"/>
  <c r="D10" i="5"/>
  <c r="H9" i="5"/>
  <c r="I9" i="5" s="1"/>
  <c r="G9" i="5"/>
  <c r="F9" i="5"/>
  <c r="E9" i="5"/>
  <c r="D9" i="5"/>
  <c r="H8" i="5"/>
  <c r="E20" i="5" s="1"/>
  <c r="G8" i="5"/>
  <c r="F8" i="5"/>
  <c r="E8" i="5"/>
  <c r="D8" i="5"/>
  <c r="C35" i="4"/>
  <c r="C34" i="4"/>
  <c r="N33" i="4"/>
  <c r="C33" i="4"/>
  <c r="C32" i="4"/>
  <c r="D31" i="4"/>
  <c r="C31" i="4"/>
  <c r="M30" i="4"/>
  <c r="C30" i="4"/>
  <c r="N29" i="4"/>
  <c r="M29" i="4"/>
  <c r="L29" i="4"/>
  <c r="D29" i="4"/>
  <c r="C29" i="4"/>
  <c r="D28" i="4"/>
  <c r="C25" i="4"/>
  <c r="C24" i="4"/>
  <c r="C23" i="4"/>
  <c r="C22" i="4"/>
  <c r="C21" i="4"/>
  <c r="L20" i="4"/>
  <c r="C20" i="4"/>
  <c r="C19" i="4"/>
  <c r="H18" i="4"/>
  <c r="G18" i="4"/>
  <c r="F18" i="4"/>
  <c r="E18" i="4"/>
  <c r="D18" i="4"/>
  <c r="C18" i="4"/>
  <c r="N15" i="4"/>
  <c r="M15" i="4"/>
  <c r="L15" i="4"/>
  <c r="L33" i="4" s="1"/>
  <c r="N14" i="4"/>
  <c r="M14" i="4"/>
  <c r="H13" i="4"/>
  <c r="J13" i="4" s="1"/>
  <c r="G13" i="4"/>
  <c r="F13" i="4"/>
  <c r="E13" i="4"/>
  <c r="D13" i="4"/>
  <c r="N12" i="4"/>
  <c r="M12" i="4"/>
  <c r="H12" i="4"/>
  <c r="D33" i="4" s="1"/>
  <c r="G12" i="4"/>
  <c r="F12" i="4"/>
  <c r="E12" i="4"/>
  <c r="D12" i="4"/>
  <c r="H11" i="4"/>
  <c r="J11" i="4" s="1"/>
  <c r="G11" i="4"/>
  <c r="F11" i="4"/>
  <c r="E11" i="4"/>
  <c r="D11" i="4"/>
  <c r="H10" i="4"/>
  <c r="I10" i="4" s="1"/>
  <c r="G10" i="4"/>
  <c r="F10" i="4"/>
  <c r="E10" i="4"/>
  <c r="D10" i="4"/>
  <c r="N9" i="4"/>
  <c r="H9" i="4"/>
  <c r="G9" i="4"/>
  <c r="F9" i="4"/>
  <c r="E9" i="4"/>
  <c r="D9" i="4"/>
  <c r="N8" i="4"/>
  <c r="M8" i="4"/>
  <c r="L8" i="4"/>
  <c r="H8" i="4"/>
  <c r="G8" i="4"/>
  <c r="F8" i="4"/>
  <c r="E8" i="4"/>
  <c r="E14" i="4" s="1"/>
  <c r="D8" i="4"/>
  <c r="N7" i="4"/>
  <c r="M7" i="4"/>
  <c r="M33" i="4" s="1"/>
  <c r="P33" i="4" s="1"/>
  <c r="C17" i="3"/>
  <c r="G16" i="3"/>
  <c r="D16" i="3"/>
  <c r="D17" i="3" s="1"/>
  <c r="D15" i="3"/>
  <c r="F10" i="3"/>
  <c r="F11" i="3" s="1"/>
  <c r="E10" i="3"/>
  <c r="E11" i="3" s="1"/>
  <c r="I9" i="3"/>
  <c r="I16" i="3" s="1"/>
  <c r="H9" i="3"/>
  <c r="H16" i="3" s="1"/>
  <c r="G9" i="3"/>
  <c r="F9" i="3"/>
  <c r="F16" i="3" s="1"/>
  <c r="E9" i="3"/>
  <c r="E16" i="3" s="1"/>
  <c r="I8" i="3"/>
  <c r="H8" i="3"/>
  <c r="H10" i="3" s="1"/>
  <c r="G8" i="3"/>
  <c r="G15" i="3" s="1"/>
  <c r="G17" i="3" s="1"/>
  <c r="F8" i="3"/>
  <c r="F15" i="3" s="1"/>
  <c r="F17" i="3" s="1"/>
  <c r="E8" i="3"/>
  <c r="E15" i="3" s="1"/>
  <c r="E17" i="3" s="1"/>
  <c r="H42" i="1"/>
  <c r="F42" i="1"/>
  <c r="H41" i="1"/>
  <c r="F41" i="1"/>
  <c r="I41" i="1" s="1"/>
  <c r="H40" i="1"/>
  <c r="F40" i="1"/>
  <c r="H39" i="1"/>
  <c r="F39" i="1"/>
  <c r="I39" i="1" s="1"/>
  <c r="H38" i="1"/>
  <c r="F38" i="1"/>
  <c r="H37" i="1"/>
  <c r="F37" i="1"/>
  <c r="I37" i="1" s="1"/>
  <c r="H36" i="1"/>
  <c r="F36" i="1"/>
  <c r="H35" i="1"/>
  <c r="F35" i="1"/>
  <c r="H34" i="1"/>
  <c r="F34" i="1"/>
  <c r="I34" i="1" s="1"/>
  <c r="G20" i="1"/>
  <c r="G17" i="1"/>
  <c r="G14" i="1"/>
  <c r="G13" i="1"/>
  <c r="G12" i="1"/>
  <c r="G11" i="1"/>
  <c r="G10" i="1"/>
  <c r="G9" i="1"/>
  <c r="D26" i="1" s="1"/>
  <c r="C14" i="14" l="1"/>
  <c r="C19" i="14" s="1"/>
  <c r="J12" i="8"/>
  <c r="J12" i="9" s="1"/>
  <c r="I12" i="9"/>
  <c r="F14" i="4"/>
  <c r="F25" i="4" s="1"/>
  <c r="G14" i="4"/>
  <c r="G24" i="4" s="1"/>
  <c r="G13" i="5"/>
  <c r="G16" i="5" s="1"/>
  <c r="E14" i="6"/>
  <c r="G10" i="3"/>
  <c r="G11" i="3" s="1"/>
  <c r="I8" i="4"/>
  <c r="I9" i="4"/>
  <c r="I11" i="5"/>
  <c r="C17" i="13"/>
  <c r="F14" i="13" s="1"/>
  <c r="E21" i="5"/>
  <c r="F10" i="6"/>
  <c r="H13" i="11"/>
  <c r="H24" i="9" s="1"/>
  <c r="F26" i="12"/>
  <c r="C35" i="14"/>
  <c r="F35" i="14" s="1"/>
  <c r="I10" i="3"/>
  <c r="I11" i="3" s="1"/>
  <c r="D30" i="4"/>
  <c r="E13" i="5"/>
  <c r="E16" i="5" s="1"/>
  <c r="I10" i="5"/>
  <c r="G10" i="6"/>
  <c r="F13" i="5"/>
  <c r="F16" i="5" s="1"/>
  <c r="D14" i="6"/>
  <c r="F24" i="4"/>
  <c r="F21" i="4"/>
  <c r="D13" i="5"/>
  <c r="D16" i="5" s="1"/>
  <c r="E7" i="6"/>
  <c r="C10" i="13"/>
  <c r="C26" i="14"/>
  <c r="G10" i="12"/>
  <c r="G9" i="12"/>
  <c r="G12" i="12" s="1"/>
  <c r="F33" i="7"/>
  <c r="G33" i="7" s="1"/>
  <c r="H33" i="7" s="1"/>
  <c r="I33" i="7" s="1"/>
  <c r="J33" i="7" s="1"/>
  <c r="K33" i="7" s="1"/>
  <c r="L33" i="7" s="1"/>
  <c r="E27" i="7"/>
  <c r="F27" i="7" s="1"/>
  <c r="G27" i="7" s="1"/>
  <c r="H27" i="7" s="1"/>
  <c r="I27" i="7" s="1"/>
  <c r="J27" i="7" s="1"/>
  <c r="K27" i="7" s="1"/>
  <c r="L27" i="7" s="1"/>
  <c r="D46" i="1"/>
  <c r="C21" i="7" s="1"/>
  <c r="E21" i="7" s="1"/>
  <c r="F21" i="7" s="1"/>
  <c r="G21" i="7" s="1"/>
  <c r="H21" i="7" s="1"/>
  <c r="I21" i="7" s="1"/>
  <c r="J21" i="7" s="1"/>
  <c r="K21" i="7" s="1"/>
  <c r="L21" i="7" s="1"/>
  <c r="F15" i="7"/>
  <c r="G15" i="7" s="1"/>
  <c r="H15" i="7" s="1"/>
  <c r="I15" i="7" s="1"/>
  <c r="J15" i="7" s="1"/>
  <c r="K15" i="7" s="1"/>
  <c r="L15" i="7" s="1"/>
  <c r="C10" i="7"/>
  <c r="I38" i="1"/>
  <c r="I35" i="1"/>
  <c r="I36" i="1"/>
  <c r="C130" i="7"/>
  <c r="I40" i="1"/>
  <c r="I42" i="1"/>
  <c r="C124" i="7"/>
  <c r="C105" i="7"/>
  <c r="C24" i="7"/>
  <c r="C80" i="7" s="1"/>
  <c r="C34" i="14"/>
  <c r="F34" i="14" s="1"/>
  <c r="E22" i="14"/>
  <c r="E26" i="14" s="1"/>
  <c r="C37" i="14"/>
  <c r="F37" i="14" s="1"/>
  <c r="G30" i="11"/>
  <c r="G34" i="11" s="1"/>
  <c r="H15" i="11"/>
  <c r="K12" i="8"/>
  <c r="K12" i="9" s="1"/>
  <c r="K35" i="8"/>
  <c r="C66" i="7"/>
  <c r="C87" i="7" s="1"/>
  <c r="D10" i="7"/>
  <c r="C18" i="7"/>
  <c r="C79" i="7" s="1"/>
  <c r="C54" i="7"/>
  <c r="C85" i="7" s="1"/>
  <c r="C60" i="7"/>
  <c r="C86" i="7" s="1"/>
  <c r="C30" i="7"/>
  <c r="C81" i="7" s="1"/>
  <c r="C36" i="7"/>
  <c r="C82" i="7" s="1"/>
  <c r="D124" i="7"/>
  <c r="C48" i="7"/>
  <c r="C84" i="7" s="1"/>
  <c r="C42" i="7"/>
  <c r="C83" i="7" s="1"/>
  <c r="E124" i="7"/>
  <c r="F14" i="6"/>
  <c r="F7" i="6"/>
  <c r="E12" i="6"/>
  <c r="G7" i="6"/>
  <c r="G14" i="6" s="1"/>
  <c r="F12" i="6"/>
  <c r="E22" i="6"/>
  <c r="H7" i="6"/>
  <c r="G12" i="6"/>
  <c r="F22" i="6"/>
  <c r="G22" i="6"/>
  <c r="I8" i="5"/>
  <c r="E22" i="5"/>
  <c r="E25" i="5" s="1"/>
  <c r="H13" i="5"/>
  <c r="E21" i="4"/>
  <c r="E24" i="4"/>
  <c r="E20" i="4"/>
  <c r="E23" i="4"/>
  <c r="F20" i="4"/>
  <c r="F23" i="4"/>
  <c r="G25" i="4"/>
  <c r="G19" i="4"/>
  <c r="G20" i="4"/>
  <c r="G23" i="4"/>
  <c r="F22" i="4"/>
  <c r="E25" i="4"/>
  <c r="E19" i="4"/>
  <c r="E22" i="4"/>
  <c r="G22" i="4"/>
  <c r="J9" i="4"/>
  <c r="J10" i="4"/>
  <c r="D14" i="4"/>
  <c r="D24" i="4" s="1"/>
  <c r="F19" i="4"/>
  <c r="J18" i="4"/>
  <c r="D32" i="4"/>
  <c r="D34" i="4"/>
  <c r="H14" i="4"/>
  <c r="H23" i="4" s="1"/>
  <c r="J8" i="4"/>
  <c r="I11" i="4"/>
  <c r="J12" i="4"/>
  <c r="I13" i="4"/>
  <c r="J16" i="4"/>
  <c r="I12" i="4"/>
  <c r="H11" i="3"/>
  <c r="L10" i="3"/>
  <c r="J9" i="3"/>
  <c r="J8" i="3"/>
  <c r="L9" i="3"/>
  <c r="L8" i="3"/>
  <c r="H15" i="3"/>
  <c r="H17" i="3" s="1"/>
  <c r="I15" i="3"/>
  <c r="I17" i="3" s="1"/>
  <c r="H30" i="11" l="1"/>
  <c r="G16" i="10"/>
  <c r="G18" i="10" s="1"/>
  <c r="G21" i="10" s="1"/>
  <c r="G23" i="10" s="1"/>
  <c r="C136" i="7"/>
  <c r="H10" i="9" s="1"/>
  <c r="H13" i="10"/>
  <c r="D13" i="13"/>
  <c r="C20" i="13"/>
  <c r="D20" i="13" s="1"/>
  <c r="D14" i="13"/>
  <c r="D16" i="13"/>
  <c r="D8" i="13"/>
  <c r="D9" i="13"/>
  <c r="H9" i="12"/>
  <c r="H17" i="8"/>
  <c r="H19" i="8" s="1"/>
  <c r="D21" i="13"/>
  <c r="G21" i="4"/>
  <c r="D23" i="13"/>
  <c r="H20" i="4"/>
  <c r="H10" i="12"/>
  <c r="I13" i="10" s="1"/>
  <c r="D22" i="13"/>
  <c r="F13" i="13"/>
  <c r="G11" i="12"/>
  <c r="H11" i="12" s="1"/>
  <c r="I11" i="12" s="1"/>
  <c r="D8" i="11"/>
  <c r="H14" i="11" s="1"/>
  <c r="I14" i="11" s="1"/>
  <c r="J14" i="11" s="1"/>
  <c r="H22" i="11"/>
  <c r="F15" i="13"/>
  <c r="D15" i="13"/>
  <c r="I10" i="12"/>
  <c r="J13" i="10" s="1"/>
  <c r="C68" i="7"/>
  <c r="C70" i="7" s="1"/>
  <c r="C72" i="7" s="1"/>
  <c r="E130" i="7"/>
  <c r="D130" i="7"/>
  <c r="D132" i="7" s="1"/>
  <c r="C132" i="7"/>
  <c r="E132" i="7"/>
  <c r="F38" i="14"/>
  <c r="C40" i="14" s="1"/>
  <c r="L12" i="8"/>
  <c r="L12" i="9" s="1"/>
  <c r="L35" i="8"/>
  <c r="D66" i="7"/>
  <c r="D87" i="7" s="1"/>
  <c r="D60" i="7"/>
  <c r="D86" i="7" s="1"/>
  <c r="D54" i="7"/>
  <c r="D85" i="7" s="1"/>
  <c r="D48" i="7"/>
  <c r="D84" i="7" s="1"/>
  <c r="D42" i="7"/>
  <c r="D83" i="7" s="1"/>
  <c r="D36" i="7"/>
  <c r="D82" i="7" s="1"/>
  <c r="D30" i="7"/>
  <c r="D81" i="7" s="1"/>
  <c r="E10" i="7"/>
  <c r="D24" i="7"/>
  <c r="D80" i="7" s="1"/>
  <c r="D18" i="7"/>
  <c r="D79" i="7" s="1"/>
  <c r="C89" i="7"/>
  <c r="F130" i="7"/>
  <c r="F124" i="7"/>
  <c r="H12" i="6"/>
  <c r="D31" i="6" s="1"/>
  <c r="D26" i="6"/>
  <c r="H14" i="6"/>
  <c r="I13" i="5"/>
  <c r="H16" i="5"/>
  <c r="D25" i="4"/>
  <c r="D22" i="4"/>
  <c r="D20" i="4"/>
  <c r="D35" i="4"/>
  <c r="J14" i="4"/>
  <c r="H16" i="4"/>
  <c r="I14" i="4"/>
  <c r="H19" i="4"/>
  <c r="H24" i="4"/>
  <c r="K15" i="4"/>
  <c r="H25" i="4"/>
  <c r="H21" i="4"/>
  <c r="D23" i="4"/>
  <c r="H22" i="4"/>
  <c r="D21" i="4"/>
  <c r="D19" i="4"/>
  <c r="M10" i="3"/>
  <c r="D136" i="7" l="1"/>
  <c r="I10" i="9" s="1"/>
  <c r="H16" i="11"/>
  <c r="H12" i="12"/>
  <c r="J10" i="12"/>
  <c r="E136" i="7"/>
  <c r="J10" i="9" s="1"/>
  <c r="D68" i="7"/>
  <c r="D70" i="7" s="1"/>
  <c r="D72" i="7" s="1"/>
  <c r="C91" i="7"/>
  <c r="C134" i="7" s="1"/>
  <c r="C139" i="7" s="1"/>
  <c r="H17" i="11"/>
  <c r="I13" i="11" s="1"/>
  <c r="K14" i="11"/>
  <c r="M35" i="8"/>
  <c r="M12" i="8"/>
  <c r="M12" i="9" s="1"/>
  <c r="E42" i="7"/>
  <c r="E83" i="7" s="1"/>
  <c r="E36" i="7"/>
  <c r="E82" i="7" s="1"/>
  <c r="E66" i="7"/>
  <c r="E87" i="7" s="1"/>
  <c r="E30" i="7"/>
  <c r="E81" i="7" s="1"/>
  <c r="E24" i="7"/>
  <c r="E80" i="7" s="1"/>
  <c r="E60" i="7"/>
  <c r="E86" i="7" s="1"/>
  <c r="E54" i="7"/>
  <c r="E85" i="7" s="1"/>
  <c r="E48" i="7"/>
  <c r="E84" i="7" s="1"/>
  <c r="E18" i="7"/>
  <c r="E79" i="7" s="1"/>
  <c r="G130" i="7"/>
  <c r="F132" i="7"/>
  <c r="F10" i="7"/>
  <c r="D89" i="7"/>
  <c r="G124" i="7"/>
  <c r="F31" i="6"/>
  <c r="G28" i="6"/>
  <c r="F28" i="6"/>
  <c r="E26" i="6"/>
  <c r="G31" i="6"/>
  <c r="G30" i="6"/>
  <c r="F30" i="6"/>
  <c r="G27" i="6"/>
  <c r="F27" i="6"/>
  <c r="G29" i="6"/>
  <c r="E32" i="6"/>
  <c r="F29" i="6"/>
  <c r="J11" i="12" l="1"/>
  <c r="K13" i="10"/>
  <c r="I9" i="12"/>
  <c r="I12" i="12" s="1"/>
  <c r="I17" i="8"/>
  <c r="I19" i="8" s="1"/>
  <c r="K10" i="12"/>
  <c r="L13" i="10" s="1"/>
  <c r="F136" i="7"/>
  <c r="K10" i="9" s="1"/>
  <c r="K11" i="12"/>
  <c r="E68" i="7"/>
  <c r="E70" i="7" s="1"/>
  <c r="E72" i="7" s="1"/>
  <c r="G132" i="7"/>
  <c r="I15" i="11"/>
  <c r="L14" i="11"/>
  <c r="N12" i="8"/>
  <c r="N12" i="9" s="1"/>
  <c r="N35" i="8"/>
  <c r="E89" i="7"/>
  <c r="F36" i="7"/>
  <c r="F82" i="7" s="1"/>
  <c r="F30" i="7"/>
  <c r="F81" i="7" s="1"/>
  <c r="F60" i="7"/>
  <c r="F86" i="7" s="1"/>
  <c r="F24" i="7"/>
  <c r="F80" i="7" s="1"/>
  <c r="F66" i="7"/>
  <c r="F87" i="7" s="1"/>
  <c r="F54" i="7"/>
  <c r="F85" i="7" s="1"/>
  <c r="F48" i="7"/>
  <c r="F84" i="7" s="1"/>
  <c r="F42" i="7"/>
  <c r="F83" i="7" s="1"/>
  <c r="F18" i="7"/>
  <c r="F79" i="7" s="1"/>
  <c r="D91" i="7"/>
  <c r="D134" i="7" s="1"/>
  <c r="D139" i="7" s="1"/>
  <c r="G10" i="7"/>
  <c r="H130" i="7"/>
  <c r="H124" i="7"/>
  <c r="J9" i="12" l="1"/>
  <c r="J12" i="12" s="1"/>
  <c r="J17" i="8"/>
  <c r="J19" i="8" s="1"/>
  <c r="L10" i="12"/>
  <c r="G136" i="7"/>
  <c r="L10" i="9" s="1"/>
  <c r="F68" i="7"/>
  <c r="F70" i="7" s="1"/>
  <c r="F72" i="7" s="1"/>
  <c r="H132" i="7"/>
  <c r="M14" i="11"/>
  <c r="I16" i="11"/>
  <c r="O35" i="8"/>
  <c r="O12" i="8"/>
  <c r="O12" i="9" s="1"/>
  <c r="G24" i="7"/>
  <c r="G80" i="7" s="1"/>
  <c r="H10" i="7"/>
  <c r="F89" i="7"/>
  <c r="E91" i="7"/>
  <c r="E134" i="7" s="1"/>
  <c r="E139" i="7" s="1"/>
  <c r="G30" i="7"/>
  <c r="G81" i="7" s="1"/>
  <c r="G18" i="7"/>
  <c r="G79" i="7" s="1"/>
  <c r="G54" i="7"/>
  <c r="G85" i="7" s="1"/>
  <c r="G66" i="7"/>
  <c r="G87" i="7" s="1"/>
  <c r="G48" i="7"/>
  <c r="G84" i="7" s="1"/>
  <c r="G60" i="7"/>
  <c r="G86" i="7" s="1"/>
  <c r="G42" i="7"/>
  <c r="G83" i="7" s="1"/>
  <c r="G36" i="7"/>
  <c r="G82" i="7" s="1"/>
  <c r="I124" i="7"/>
  <c r="I130" i="7"/>
  <c r="L11" i="12" l="1"/>
  <c r="M13" i="10"/>
  <c r="K9" i="12"/>
  <c r="K12" i="12" s="1"/>
  <c r="K17" i="8"/>
  <c r="K19" i="8" s="1"/>
  <c r="M10" i="12"/>
  <c r="N13" i="10" s="1"/>
  <c r="H136" i="7"/>
  <c r="M10" i="9" s="1"/>
  <c r="G68" i="7"/>
  <c r="G70" i="7" s="1"/>
  <c r="G72" i="7" s="1"/>
  <c r="I17" i="11"/>
  <c r="J13" i="11" s="1"/>
  <c r="N14" i="11"/>
  <c r="P12" i="8"/>
  <c r="P12" i="9" s="1"/>
  <c r="P35" i="8"/>
  <c r="F91" i="7"/>
  <c r="F134" i="7" s="1"/>
  <c r="F139" i="7" s="1"/>
  <c r="J130" i="7"/>
  <c r="J124" i="7"/>
  <c r="H24" i="7"/>
  <c r="H80" i="7" s="1"/>
  <c r="I10" i="7"/>
  <c r="G89" i="7"/>
  <c r="I132" i="7"/>
  <c r="H66" i="7"/>
  <c r="H87" i="7" s="1"/>
  <c r="H60" i="7"/>
  <c r="H86" i="7" s="1"/>
  <c r="H54" i="7"/>
  <c r="H85" i="7" s="1"/>
  <c r="H48" i="7"/>
  <c r="H84" i="7" s="1"/>
  <c r="H42" i="7"/>
  <c r="H83" i="7" s="1"/>
  <c r="H36" i="7"/>
  <c r="H82" i="7" s="1"/>
  <c r="H30" i="7"/>
  <c r="H81" i="7" s="1"/>
  <c r="H18" i="7"/>
  <c r="H79" i="7" s="1"/>
  <c r="L9" i="12" l="1"/>
  <c r="L12" i="12" s="1"/>
  <c r="L17" i="8"/>
  <c r="L19" i="8" s="1"/>
  <c r="N10" i="12"/>
  <c r="O13" i="10" s="1"/>
  <c r="I136" i="7"/>
  <c r="N10" i="9" s="1"/>
  <c r="M11" i="12"/>
  <c r="N11" i="12" s="1"/>
  <c r="H68" i="7"/>
  <c r="H70" i="7" s="1"/>
  <c r="H72" i="7" s="1"/>
  <c r="J132" i="7"/>
  <c r="O14" i="11"/>
  <c r="J15" i="11"/>
  <c r="Q35" i="8"/>
  <c r="Q12" i="8"/>
  <c r="Q12" i="9" s="1"/>
  <c r="H89" i="7"/>
  <c r="I24" i="7"/>
  <c r="I80" i="7" s="1"/>
  <c r="I66" i="7"/>
  <c r="I87" i="7" s="1"/>
  <c r="I48" i="7"/>
  <c r="I84" i="7" s="1"/>
  <c r="I60" i="7"/>
  <c r="I86" i="7" s="1"/>
  <c r="I54" i="7"/>
  <c r="I85" i="7" s="1"/>
  <c r="I42" i="7"/>
  <c r="I83" i="7" s="1"/>
  <c r="I36" i="7"/>
  <c r="I82" i="7" s="1"/>
  <c r="I30" i="7"/>
  <c r="I81" i="7" s="1"/>
  <c r="K124" i="7"/>
  <c r="L124" i="7"/>
  <c r="K130" i="7"/>
  <c r="L130" i="7"/>
  <c r="G91" i="7"/>
  <c r="G134" i="7" s="1"/>
  <c r="G139" i="7" s="1"/>
  <c r="I18" i="7"/>
  <c r="I79" i="7" s="1"/>
  <c r="J10" i="7"/>
  <c r="M9" i="12" l="1"/>
  <c r="M12" i="12" s="1"/>
  <c r="M17" i="8"/>
  <c r="M19" i="8" s="1"/>
  <c r="O10" i="12"/>
  <c r="J136" i="7"/>
  <c r="O10" i="9" s="1"/>
  <c r="I68" i="7"/>
  <c r="I70" i="7" s="1"/>
  <c r="I72" i="7" s="1"/>
  <c r="K132" i="7"/>
  <c r="P14" i="11"/>
  <c r="J16" i="11"/>
  <c r="K10" i="7"/>
  <c r="J66" i="7"/>
  <c r="J87" i="7" s="1"/>
  <c r="J60" i="7"/>
  <c r="J86" i="7" s="1"/>
  <c r="J54" i="7"/>
  <c r="J85" i="7" s="1"/>
  <c r="J48" i="7"/>
  <c r="J84" i="7" s="1"/>
  <c r="J42" i="7"/>
  <c r="J83" i="7" s="1"/>
  <c r="J36" i="7"/>
  <c r="J82" i="7" s="1"/>
  <c r="J30" i="7"/>
  <c r="J81" i="7" s="1"/>
  <c r="J24" i="7"/>
  <c r="J80" i="7" s="1"/>
  <c r="J18" i="7"/>
  <c r="J79" i="7" s="1"/>
  <c r="H91" i="7"/>
  <c r="H134" i="7" s="1"/>
  <c r="H139" i="7" s="1"/>
  <c r="I89" i="7"/>
  <c r="L132" i="7"/>
  <c r="O11" i="12" l="1"/>
  <c r="P13" i="10"/>
  <c r="N9" i="12"/>
  <c r="N12" i="12" s="1"/>
  <c r="N17" i="8"/>
  <c r="N19" i="8" s="1"/>
  <c r="P10" i="12"/>
  <c r="K136" i="7"/>
  <c r="P10" i="9" s="1"/>
  <c r="J68" i="7"/>
  <c r="J70" i="7" s="1"/>
  <c r="J72" i="7" s="1"/>
  <c r="Q14" i="11"/>
  <c r="J17" i="11"/>
  <c r="K13" i="11" s="1"/>
  <c r="J89" i="7"/>
  <c r="I91" i="7"/>
  <c r="I134" i="7" s="1"/>
  <c r="I139" i="7" s="1"/>
  <c r="K66" i="7"/>
  <c r="K87" i="7" s="1"/>
  <c r="K60" i="7"/>
  <c r="K86" i="7" s="1"/>
  <c r="K42" i="7"/>
  <c r="K83" i="7" s="1"/>
  <c r="K54" i="7"/>
  <c r="K85" i="7" s="1"/>
  <c r="K48" i="7"/>
  <c r="K84" i="7" s="1"/>
  <c r="K36" i="7"/>
  <c r="K82" i="7" s="1"/>
  <c r="K30" i="7"/>
  <c r="K81" i="7" s="1"/>
  <c r="K24" i="7"/>
  <c r="K80" i="7" s="1"/>
  <c r="K18" i="7"/>
  <c r="K79" i="7" s="1"/>
  <c r="L10" i="7"/>
  <c r="L136" i="7" l="1"/>
  <c r="Q10" i="9" s="1"/>
  <c r="Q13" i="10"/>
  <c r="O9" i="12"/>
  <c r="O12" i="12" s="1"/>
  <c r="O17" i="8"/>
  <c r="O19" i="8" s="1"/>
  <c r="P11" i="12"/>
  <c r="K68" i="7"/>
  <c r="K70" i="7" s="1"/>
  <c r="K72" i="7" s="1"/>
  <c r="K15" i="11"/>
  <c r="R14" i="11"/>
  <c r="K89" i="7"/>
  <c r="L66" i="7"/>
  <c r="L87" i="7" s="1"/>
  <c r="L60" i="7"/>
  <c r="L86" i="7" s="1"/>
  <c r="L54" i="7"/>
  <c r="L85" i="7" s="1"/>
  <c r="L48" i="7"/>
  <c r="L84" i="7" s="1"/>
  <c r="L42" i="7"/>
  <c r="L83" i="7" s="1"/>
  <c r="L36" i="7"/>
  <c r="L82" i="7" s="1"/>
  <c r="L30" i="7"/>
  <c r="L81" i="7" s="1"/>
  <c r="L24" i="7"/>
  <c r="L80" i="7" s="1"/>
  <c r="L18" i="7"/>
  <c r="L79" i="7" s="1"/>
  <c r="J91" i="7"/>
  <c r="J134" i="7" s="1"/>
  <c r="J139" i="7" s="1"/>
  <c r="P9" i="12" l="1"/>
  <c r="P12" i="12" s="1"/>
  <c r="Q17" i="8" s="1"/>
  <c r="Q19" i="8" s="1"/>
  <c r="P17" i="8"/>
  <c r="P19" i="8" s="1"/>
  <c r="L68" i="7"/>
  <c r="L70" i="7" s="1"/>
  <c r="L72" i="7" s="1"/>
  <c r="K16" i="11"/>
  <c r="S14" i="11"/>
  <c r="L89" i="7"/>
  <c r="K91" i="7"/>
  <c r="K134" i="7" s="1"/>
  <c r="K139" i="7" s="1"/>
  <c r="T14" i="11" l="1"/>
  <c r="H23" i="11"/>
  <c r="I23" i="11" s="1"/>
  <c r="J23" i="11" s="1"/>
  <c r="K23" i="11" s="1"/>
  <c r="L23" i="11" s="1"/>
  <c r="M23" i="11" s="1"/>
  <c r="N23" i="11" s="1"/>
  <c r="O23" i="11" s="1"/>
  <c r="P23" i="11" s="1"/>
  <c r="Q23" i="11" s="1"/>
  <c r="K17" i="11"/>
  <c r="L13" i="11" s="1"/>
  <c r="L91" i="7"/>
  <c r="L134" i="7" s="1"/>
  <c r="L139" i="7" s="1"/>
  <c r="L15" i="11" l="1"/>
  <c r="L16" i="11" s="1"/>
  <c r="L17" i="11" s="1"/>
  <c r="M13" i="11" s="1"/>
  <c r="U14" i="11"/>
  <c r="M15" i="11" l="1"/>
  <c r="M16" i="11" s="1"/>
  <c r="M17" i="11" s="1"/>
  <c r="N13" i="11" s="1"/>
  <c r="V14" i="11"/>
  <c r="N15" i="11" l="1"/>
  <c r="N16" i="11" s="1"/>
  <c r="N17" i="11" s="1"/>
  <c r="O13" i="11" s="1"/>
  <c r="W14" i="11"/>
  <c r="O15" i="11" l="1"/>
  <c r="O16" i="11" s="1"/>
  <c r="O17" i="11" s="1"/>
  <c r="P13" i="11" s="1"/>
  <c r="X14" i="11"/>
  <c r="P15" i="11" l="1"/>
  <c r="P16" i="11" s="1"/>
  <c r="P17" i="11" s="1"/>
  <c r="Q13" i="11" s="1"/>
  <c r="Y14" i="11"/>
  <c r="Q15" i="11" l="1"/>
  <c r="Q16" i="11" s="1"/>
  <c r="Q17" i="11" s="1"/>
  <c r="R13" i="11" s="1"/>
  <c r="Z14" i="11"/>
  <c r="R15" i="11" l="1"/>
  <c r="R16" i="11" s="1"/>
  <c r="R17" i="11" s="1"/>
  <c r="S13" i="11" s="1"/>
  <c r="AA14" i="11"/>
  <c r="S15" i="11" l="1"/>
  <c r="AB14" i="11"/>
  <c r="AC14" i="11" l="1"/>
  <c r="H24" i="11"/>
  <c r="S16" i="11"/>
  <c r="H31" i="11" l="1"/>
  <c r="H33" i="11" s="1"/>
  <c r="C141" i="7"/>
  <c r="C143" i="7" s="1"/>
  <c r="C145" i="7" s="1"/>
  <c r="C147" i="7" s="1"/>
  <c r="AD14" i="11"/>
  <c r="H25" i="11"/>
  <c r="H25" i="9" s="1"/>
  <c r="H30" i="9" s="1"/>
  <c r="S17" i="11"/>
  <c r="T13" i="11" s="1"/>
  <c r="C149" i="7" l="1"/>
  <c r="H12" i="10"/>
  <c r="H37" i="8"/>
  <c r="H38" i="8" s="1"/>
  <c r="H9" i="9"/>
  <c r="H17" i="9" s="1"/>
  <c r="H32" i="9" s="1"/>
  <c r="H36" i="9" s="1"/>
  <c r="AE14" i="11"/>
  <c r="T15" i="11"/>
  <c r="H32" i="11"/>
  <c r="H34" i="11" s="1"/>
  <c r="H26" i="11"/>
  <c r="I30" i="11" l="1"/>
  <c r="H16" i="10"/>
  <c r="H18" i="10"/>
  <c r="H21" i="10" s="1"/>
  <c r="I34" i="9"/>
  <c r="H10" i="8"/>
  <c r="H14" i="8" s="1"/>
  <c r="H21" i="8" s="1"/>
  <c r="I22" i="11"/>
  <c r="H29" i="8"/>
  <c r="H30" i="8" s="1"/>
  <c r="H32" i="8" s="1"/>
  <c r="H40" i="8" s="1"/>
  <c r="H42" i="8" s="1"/>
  <c r="AF14" i="11"/>
  <c r="T16" i="11"/>
  <c r="H23" i="10" l="1"/>
  <c r="T17" i="11"/>
  <c r="U13" i="11" s="1"/>
  <c r="AG14" i="11"/>
  <c r="U15" i="11" l="1"/>
  <c r="AH14" i="11"/>
  <c r="AI14" i="11" l="1"/>
  <c r="U16" i="11"/>
  <c r="U17" i="11" l="1"/>
  <c r="V13" i="11" s="1"/>
  <c r="AJ14" i="11"/>
  <c r="AK14" i="11" l="1"/>
  <c r="V15" i="11"/>
  <c r="V16" i="11" l="1"/>
  <c r="AL14" i="11"/>
  <c r="AM14" i="11" l="1"/>
  <c r="V17" i="11"/>
  <c r="W13" i="11" s="1"/>
  <c r="W15" i="11" l="1"/>
  <c r="AN14" i="11"/>
  <c r="AO14" i="11" l="1"/>
  <c r="W16" i="11"/>
  <c r="W17" i="11" l="1"/>
  <c r="X13" i="11" s="1"/>
  <c r="AP14" i="11"/>
  <c r="AQ14" i="11" l="1"/>
  <c r="X15" i="11"/>
  <c r="X16" i="11" l="1"/>
  <c r="AR14" i="11"/>
  <c r="AS14" i="11" l="1"/>
  <c r="X17" i="11"/>
  <c r="Y13" i="11" s="1"/>
  <c r="Y15" i="11" l="1"/>
  <c r="Y16" i="11" s="1"/>
  <c r="Y17" i="11" s="1"/>
  <c r="Z13" i="11" s="1"/>
  <c r="AT14" i="11"/>
  <c r="AU14" i="11" l="1"/>
  <c r="Z15" i="11"/>
  <c r="Z16" i="11" s="1"/>
  <c r="Z17" i="11" s="1"/>
  <c r="AA13" i="11" s="1"/>
  <c r="AA15" i="11" l="1"/>
  <c r="AA16" i="11" s="1"/>
  <c r="AA17" i="11" s="1"/>
  <c r="AB13" i="11" s="1"/>
  <c r="AV14" i="11"/>
  <c r="AB15" i="11" l="1"/>
  <c r="AB16" i="11" s="1"/>
  <c r="AB17" i="11" s="1"/>
  <c r="AC13" i="11" s="1"/>
  <c r="AW14" i="11"/>
  <c r="AC15" i="11" l="1"/>
  <c r="AC16" i="11" s="1"/>
  <c r="AC17" i="11" s="1"/>
  <c r="AD13" i="11" s="1"/>
  <c r="AX14" i="11"/>
  <c r="AD15" i="11" l="1"/>
  <c r="AD16" i="11" s="1"/>
  <c r="AD17" i="11" s="1"/>
  <c r="AE13" i="11" s="1"/>
  <c r="AY14" i="11"/>
  <c r="AE15" i="11" l="1"/>
  <c r="AZ14" i="11"/>
  <c r="BA14" i="11" l="1"/>
  <c r="AE16" i="11"/>
  <c r="I24" i="11"/>
  <c r="I31" i="11" l="1"/>
  <c r="I33" i="11" s="1"/>
  <c r="D141" i="7"/>
  <c r="D143" i="7" s="1"/>
  <c r="I25" i="11"/>
  <c r="I25" i="9" s="1"/>
  <c r="I30" i="9" s="1"/>
  <c r="AE17" i="11"/>
  <c r="AF13" i="11" s="1"/>
  <c r="BB14" i="11"/>
  <c r="D145" i="7" l="1"/>
  <c r="D147" i="7" s="1"/>
  <c r="BC14" i="11"/>
  <c r="AF15" i="11"/>
  <c r="I32" i="11"/>
  <c r="I26" i="11"/>
  <c r="I12" i="10" l="1"/>
  <c r="D149" i="7"/>
  <c r="I9" i="9" s="1"/>
  <c r="I17" i="9" s="1"/>
  <c r="I32" i="9" s="1"/>
  <c r="I36" i="9" s="1"/>
  <c r="J22" i="11"/>
  <c r="I29" i="8"/>
  <c r="I30" i="8" s="1"/>
  <c r="I32" i="8" s="1"/>
  <c r="I34" i="11"/>
  <c r="AF16" i="11"/>
  <c r="BD14" i="11"/>
  <c r="J30" i="11" l="1"/>
  <c r="I16" i="10"/>
  <c r="I37" i="8"/>
  <c r="I38" i="8" s="1"/>
  <c r="I40" i="8" s="1"/>
  <c r="I18" i="10"/>
  <c r="I21" i="10" s="1"/>
  <c r="J34" i="9"/>
  <c r="I10" i="8"/>
  <c r="I14" i="8" s="1"/>
  <c r="I21" i="8" s="1"/>
  <c r="BE14" i="11"/>
  <c r="AF17" i="11"/>
  <c r="AG13" i="11" s="1"/>
  <c r="I42" i="8" l="1"/>
  <c r="I23" i="10"/>
  <c r="AG15" i="11"/>
  <c r="BF14" i="11"/>
  <c r="BG14" i="11" l="1"/>
  <c r="AG16" i="11"/>
  <c r="AG17" i="11" l="1"/>
  <c r="AH13" i="11" s="1"/>
  <c r="BH14" i="11"/>
  <c r="BI14" i="11" l="1"/>
  <c r="AH15" i="11"/>
  <c r="AH16" i="11" l="1"/>
  <c r="BJ14" i="11"/>
  <c r="BK14" i="11" l="1"/>
  <c r="AH17" i="11"/>
  <c r="AI13" i="11" s="1"/>
  <c r="AI15" i="11" l="1"/>
  <c r="BL14" i="11"/>
  <c r="BM14" i="11" l="1"/>
  <c r="AI16" i="11"/>
  <c r="AI17" i="11" l="1"/>
  <c r="AJ13" i="11" s="1"/>
  <c r="BN14" i="11"/>
  <c r="BO14" i="11" l="1"/>
  <c r="AJ15" i="11"/>
  <c r="AJ16" i="11" l="1"/>
  <c r="BP14" i="11"/>
  <c r="BQ14" i="11" l="1"/>
  <c r="AJ17" i="11"/>
  <c r="AK13" i="11" s="1"/>
  <c r="AK15" i="11" l="1"/>
  <c r="AK16" i="11" s="1"/>
  <c r="AK17" i="11" s="1"/>
  <c r="AL13" i="11" s="1"/>
  <c r="BR14" i="11"/>
  <c r="AL15" i="11" l="1"/>
  <c r="AL16" i="11" s="1"/>
  <c r="AL17" i="11" s="1"/>
  <c r="AM13" i="11" s="1"/>
  <c r="BS14" i="11"/>
  <c r="AM15" i="11" l="1"/>
  <c r="AM16" i="11" s="1"/>
  <c r="AM17" i="11" s="1"/>
  <c r="AN13" i="11" s="1"/>
  <c r="BT14" i="11"/>
  <c r="AN15" i="11" l="1"/>
  <c r="AN16" i="11" s="1"/>
  <c r="AN17" i="11" s="1"/>
  <c r="AO13" i="11" s="1"/>
  <c r="BU14" i="11"/>
  <c r="AO15" i="11" l="1"/>
  <c r="AO16" i="11" s="1"/>
  <c r="AO17" i="11" s="1"/>
  <c r="AP13" i="11" s="1"/>
  <c r="BV14" i="11"/>
  <c r="AP15" i="11" l="1"/>
  <c r="AP16" i="11" s="1"/>
  <c r="AP17" i="11" s="1"/>
  <c r="AQ13" i="11" s="1"/>
  <c r="BW14" i="11"/>
  <c r="BX14" i="11" l="1"/>
  <c r="AQ15" i="11"/>
  <c r="AQ16" i="11" l="1"/>
  <c r="J24" i="11"/>
  <c r="BY14" i="11"/>
  <c r="J31" i="11" l="1"/>
  <c r="J33" i="11" s="1"/>
  <c r="E141" i="7"/>
  <c r="E143" i="7" s="1"/>
  <c r="BZ14" i="11"/>
  <c r="J25" i="11"/>
  <c r="J25" i="9" s="1"/>
  <c r="J30" i="9" s="1"/>
  <c r="AQ17" i="11"/>
  <c r="AR13" i="11" s="1"/>
  <c r="E145" i="7" l="1"/>
  <c r="E147" i="7" s="1"/>
  <c r="AR15" i="11"/>
  <c r="J32" i="11"/>
  <c r="J26" i="11"/>
  <c r="CA14" i="11"/>
  <c r="E149" i="7" l="1"/>
  <c r="J9" i="9" s="1"/>
  <c r="J17" i="9" s="1"/>
  <c r="J32" i="9" s="1"/>
  <c r="J36" i="9" s="1"/>
  <c r="J12" i="10"/>
  <c r="K22" i="11"/>
  <c r="J29" i="8"/>
  <c r="J30" i="8" s="1"/>
  <c r="J32" i="8" s="1"/>
  <c r="J34" i="11"/>
  <c r="CB14" i="11"/>
  <c r="AR16" i="11"/>
  <c r="K30" i="11" l="1"/>
  <c r="J16" i="10"/>
  <c r="J37" i="8"/>
  <c r="J38" i="8" s="1"/>
  <c r="J18" i="10"/>
  <c r="J21" i="10" s="1"/>
  <c r="J40" i="8"/>
  <c r="K34" i="9"/>
  <c r="J10" i="8"/>
  <c r="J14" i="8" s="1"/>
  <c r="J21" i="8" s="1"/>
  <c r="J42" i="8" s="1"/>
  <c r="AR17" i="11"/>
  <c r="AS13" i="11" s="1"/>
  <c r="CC14" i="11"/>
  <c r="J23" i="10" l="1"/>
  <c r="AS15" i="11"/>
  <c r="CD14" i="11"/>
  <c r="CE14" i="11" l="1"/>
  <c r="AS16" i="11"/>
  <c r="AS17" i="11" l="1"/>
  <c r="AT13" i="11" s="1"/>
  <c r="CF14" i="11"/>
  <c r="AT15" i="11" l="1"/>
  <c r="CG14" i="11"/>
  <c r="CH14" i="11" l="1"/>
  <c r="AT16" i="11"/>
  <c r="AT17" i="11" l="1"/>
  <c r="AU13" i="11" s="1"/>
  <c r="CI14" i="11"/>
  <c r="CJ14" i="11" l="1"/>
  <c r="AU15" i="11"/>
  <c r="AU16" i="11" l="1"/>
  <c r="CK14" i="11"/>
  <c r="CL14" i="11" l="1"/>
  <c r="AU17" i="11"/>
  <c r="AV13" i="11" s="1"/>
  <c r="AV15" i="11" l="1"/>
  <c r="CM14" i="11"/>
  <c r="CN14" i="11" l="1"/>
  <c r="AV16" i="11"/>
  <c r="AV17" i="11" l="1"/>
  <c r="AW13" i="11" s="1"/>
  <c r="CO14" i="11"/>
  <c r="CP14" i="11" l="1"/>
  <c r="AW15" i="11"/>
  <c r="AW16" i="11" s="1"/>
  <c r="AW17" i="11" s="1"/>
  <c r="AX13" i="11" s="1"/>
  <c r="AX15" i="11" l="1"/>
  <c r="AX16" i="11" s="1"/>
  <c r="AX17" i="11" s="1"/>
  <c r="AY13" i="11" s="1"/>
  <c r="CQ14" i="11"/>
  <c r="AY15" i="11" l="1"/>
  <c r="AY16" i="11" s="1"/>
  <c r="AY17" i="11" s="1"/>
  <c r="AZ13" i="11" s="1"/>
  <c r="CR14" i="11"/>
  <c r="AZ15" i="11" l="1"/>
  <c r="AZ16" i="11" s="1"/>
  <c r="AZ17" i="11" s="1"/>
  <c r="BA13" i="11" s="1"/>
  <c r="CS14" i="11"/>
  <c r="CT14" i="11" l="1"/>
  <c r="BA15" i="11"/>
  <c r="BA16" i="11" s="1"/>
  <c r="BA17" i="11" s="1"/>
  <c r="BB13" i="11" s="1"/>
  <c r="BB15" i="11" l="1"/>
  <c r="BB16" i="11" s="1"/>
  <c r="BB17" i="11" s="1"/>
  <c r="BC13" i="11" s="1"/>
  <c r="CU14" i="11"/>
  <c r="BC15" i="11" l="1"/>
  <c r="CV14" i="11"/>
  <c r="CW14" i="11" l="1"/>
  <c r="BC16" i="11"/>
  <c r="K24" i="11"/>
  <c r="K31" i="11" l="1"/>
  <c r="K33" i="11" s="1"/>
  <c r="F141" i="7"/>
  <c r="F143" i="7" s="1"/>
  <c r="K25" i="11"/>
  <c r="K25" i="9" s="1"/>
  <c r="K30" i="9" s="1"/>
  <c r="BC17" i="11"/>
  <c r="BD13" i="11" s="1"/>
  <c r="CX14" i="11"/>
  <c r="F145" i="7" l="1"/>
  <c r="F147" i="7" s="1"/>
  <c r="CY14" i="11"/>
  <c r="BD15" i="11"/>
  <c r="K32" i="11"/>
  <c r="K26" i="11"/>
  <c r="F149" i="7" l="1"/>
  <c r="K37" i="8" s="1"/>
  <c r="K38" i="8" s="1"/>
  <c r="K12" i="10"/>
  <c r="L22" i="11"/>
  <c r="K29" i="8"/>
  <c r="K30" i="8" s="1"/>
  <c r="K32" i="8" s="1"/>
  <c r="K34" i="11"/>
  <c r="BD16" i="11"/>
  <c r="CZ14" i="11"/>
  <c r="L30" i="11" l="1"/>
  <c r="K16" i="10"/>
  <c r="K40" i="8"/>
  <c r="K9" i="9"/>
  <c r="K17" i="9" s="1"/>
  <c r="K32" i="9" s="1"/>
  <c r="K36" i="9" s="1"/>
  <c r="L34" i="9" s="1"/>
  <c r="K18" i="10"/>
  <c r="K21" i="10" s="1"/>
  <c r="K10" i="8"/>
  <c r="K14" i="8" s="1"/>
  <c r="K21" i="8" s="1"/>
  <c r="K42" i="8" s="1"/>
  <c r="DA14" i="11"/>
  <c r="BD17" i="11"/>
  <c r="BE13" i="11" s="1"/>
  <c r="K23" i="10" l="1"/>
  <c r="BE15" i="11"/>
  <c r="DB14" i="11"/>
  <c r="DC14" i="11" l="1"/>
  <c r="BE16" i="11"/>
  <c r="BE17" i="11" l="1"/>
  <c r="BF13" i="11" s="1"/>
  <c r="DD14" i="11"/>
  <c r="DE14" i="11" l="1"/>
  <c r="BF15" i="11"/>
  <c r="BF16" i="11" l="1"/>
  <c r="DF14" i="11"/>
  <c r="DG14" i="11" l="1"/>
  <c r="BF17" i="11"/>
  <c r="BG13" i="11" s="1"/>
  <c r="BG15" i="11" l="1"/>
  <c r="DH14" i="11"/>
  <c r="DI14" i="11" l="1"/>
  <c r="BG16" i="11"/>
  <c r="BG17" i="11" l="1"/>
  <c r="BH13" i="11" s="1"/>
  <c r="DJ14" i="11"/>
  <c r="DK14" i="11" l="1"/>
  <c r="BH15" i="11"/>
  <c r="BH16" i="11" l="1"/>
  <c r="DL14" i="11"/>
  <c r="DM14" i="11" l="1"/>
  <c r="BH17" i="11"/>
  <c r="BI13" i="11" s="1"/>
  <c r="BI15" i="11" l="1"/>
  <c r="BI16" i="11" s="1"/>
  <c r="BI17" i="11" s="1"/>
  <c r="BJ13" i="11" s="1"/>
  <c r="DN14" i="11"/>
  <c r="BJ15" i="11" l="1"/>
  <c r="BJ16" i="11" s="1"/>
  <c r="BJ17" i="11" s="1"/>
  <c r="BK13" i="11" s="1"/>
  <c r="DO14" i="11"/>
  <c r="BK15" i="11" l="1"/>
  <c r="BK16" i="11" s="1"/>
  <c r="BK17" i="11" s="1"/>
  <c r="BL13" i="11" s="1"/>
  <c r="DP14" i="11"/>
  <c r="BL15" i="11" l="1"/>
  <c r="BL16" i="11" s="1"/>
  <c r="BL17" i="11"/>
  <c r="BM13" i="11" s="1"/>
  <c r="DQ14" i="11"/>
  <c r="DR14" i="11" l="1"/>
  <c r="BM15" i="11"/>
  <c r="BM16" i="11" s="1"/>
  <c r="BM17" i="11" s="1"/>
  <c r="BN13" i="11" s="1"/>
  <c r="BN15" i="11" l="1"/>
  <c r="BN16" i="11" s="1"/>
  <c r="BN17" i="11" s="1"/>
  <c r="BO13" i="11" s="1"/>
  <c r="DS14" i="11"/>
  <c r="BO15" i="11" l="1"/>
  <c r="DT14" i="11"/>
  <c r="DU14" i="11" l="1"/>
  <c r="BO16" i="11"/>
  <c r="L24" i="11"/>
  <c r="L31" i="11" l="1"/>
  <c r="L33" i="11" s="1"/>
  <c r="G141" i="7"/>
  <c r="G143" i="7" s="1"/>
  <c r="L25" i="11"/>
  <c r="L25" i="9" s="1"/>
  <c r="L30" i="9" s="1"/>
  <c r="BO17" i="11"/>
  <c r="BP13" i="11" s="1"/>
  <c r="DV14" i="11"/>
  <c r="G145" i="7" l="1"/>
  <c r="G147" i="7" s="1"/>
  <c r="DW14" i="11"/>
  <c r="BP15" i="11"/>
  <c r="L32" i="11"/>
  <c r="L26" i="11"/>
  <c r="G149" i="7" l="1"/>
  <c r="L12" i="10"/>
  <c r="L37" i="8"/>
  <c r="L38" i="8" s="1"/>
  <c r="L9" i="9"/>
  <c r="L17" i="9" s="1"/>
  <c r="L32" i="9" s="1"/>
  <c r="L36" i="9" s="1"/>
  <c r="M22" i="11"/>
  <c r="L29" i="8"/>
  <c r="L30" i="8" s="1"/>
  <c r="L32" i="8" s="1"/>
  <c r="L40" i="8" s="1"/>
  <c r="L34" i="11"/>
  <c r="BP16" i="11"/>
  <c r="M30" i="11" l="1"/>
  <c r="L16" i="10"/>
  <c r="L18" i="10"/>
  <c r="L21" i="10" s="1"/>
  <c r="L10" i="8"/>
  <c r="L14" i="8" s="1"/>
  <c r="L21" i="8" s="1"/>
  <c r="L42" i="8" s="1"/>
  <c r="M34" i="9"/>
  <c r="BP17" i="11"/>
  <c r="BQ13" i="11" s="1"/>
  <c r="L23" i="10" l="1"/>
  <c r="BQ15" i="11"/>
  <c r="BQ16" i="11" l="1"/>
  <c r="BQ17" i="11" l="1"/>
  <c r="BR13" i="11" s="1"/>
  <c r="BR15" i="11" l="1"/>
  <c r="BR16" i="11" l="1"/>
  <c r="BR17" i="11" l="1"/>
  <c r="BS13" i="11" s="1"/>
  <c r="BS15" i="11" l="1"/>
  <c r="BS16" i="11" l="1"/>
  <c r="BS17" i="11" l="1"/>
  <c r="BT13" i="11" s="1"/>
  <c r="BT15" i="11" l="1"/>
  <c r="BT16" i="11" l="1"/>
  <c r="BT17" i="11" l="1"/>
  <c r="BU13" i="11" s="1"/>
  <c r="BU15" i="11" l="1"/>
  <c r="BU16" i="11" s="1"/>
  <c r="BU17" i="11" s="1"/>
  <c r="BV13" i="11" s="1"/>
  <c r="BV15" i="11" l="1"/>
  <c r="BV16" i="11" s="1"/>
  <c r="BV17" i="11" s="1"/>
  <c r="BW13" i="11" s="1"/>
  <c r="BW15" i="11" l="1"/>
  <c r="BW16" i="11" s="1"/>
  <c r="BW17" i="11" s="1"/>
  <c r="BX13" i="11" s="1"/>
  <c r="BX15" i="11" l="1"/>
  <c r="BX16" i="11" s="1"/>
  <c r="BX17" i="11" s="1"/>
  <c r="BY13" i="11" s="1"/>
  <c r="BY15" i="11" l="1"/>
  <c r="BY16" i="11" s="1"/>
  <c r="BY17" i="11" s="1"/>
  <c r="BZ13" i="11" s="1"/>
  <c r="BZ15" i="11" l="1"/>
  <c r="BZ16" i="11" s="1"/>
  <c r="BZ17" i="11" s="1"/>
  <c r="CA13" i="11" s="1"/>
  <c r="CA15" i="11" l="1"/>
  <c r="CA16" i="11" l="1"/>
  <c r="M24" i="11"/>
  <c r="M31" i="11" l="1"/>
  <c r="M33" i="11" s="1"/>
  <c r="H141" i="7"/>
  <c r="H143" i="7" s="1"/>
  <c r="M25" i="11"/>
  <c r="M25" i="9" s="1"/>
  <c r="M30" i="9" s="1"/>
  <c r="CA17" i="11"/>
  <c r="CB13" i="11" s="1"/>
  <c r="H145" i="7" l="1"/>
  <c r="H147" i="7" s="1"/>
  <c r="CB15" i="11"/>
  <c r="M32" i="11"/>
  <c r="M26" i="11"/>
  <c r="H149" i="7" l="1"/>
  <c r="M12" i="10"/>
  <c r="M37" i="8"/>
  <c r="M38" i="8" s="1"/>
  <c r="M9" i="9"/>
  <c r="M17" i="9" s="1"/>
  <c r="M32" i="9" s="1"/>
  <c r="M36" i="9" s="1"/>
  <c r="N22" i="11"/>
  <c r="M29" i="8"/>
  <c r="M30" i="8" s="1"/>
  <c r="M32" i="8" s="1"/>
  <c r="M40" i="8" s="1"/>
  <c r="M34" i="11"/>
  <c r="CB16" i="11"/>
  <c r="N30" i="11" l="1"/>
  <c r="M16" i="10"/>
  <c r="M18" i="10"/>
  <c r="M21" i="10" s="1"/>
  <c r="M23" i="10" s="1"/>
  <c r="N34" i="9"/>
  <c r="M10" i="8"/>
  <c r="M14" i="8" s="1"/>
  <c r="M21" i="8" s="1"/>
  <c r="M42" i="8" s="1"/>
  <c r="CB17" i="11"/>
  <c r="CC13" i="11" s="1"/>
  <c r="CC15" i="11" l="1"/>
  <c r="CC16" i="11" l="1"/>
  <c r="CC17" i="11" l="1"/>
  <c r="CD13" i="11" s="1"/>
  <c r="CD15" i="11" l="1"/>
  <c r="CD16" i="11" l="1"/>
  <c r="CD17" i="11" l="1"/>
  <c r="CE13" i="11" s="1"/>
  <c r="CE15" i="11" l="1"/>
  <c r="CE16" i="11" l="1"/>
  <c r="CE17" i="11" l="1"/>
  <c r="CF13" i="11" s="1"/>
  <c r="CF15" i="11" l="1"/>
  <c r="CF16" i="11" l="1"/>
  <c r="CF17" i="11" l="1"/>
  <c r="CG13" i="11" s="1"/>
  <c r="CG15" i="11" l="1"/>
  <c r="CG16" i="11" s="1"/>
  <c r="CG17" i="11" s="1"/>
  <c r="CH13" i="11" s="1"/>
  <c r="CH15" i="11" l="1"/>
  <c r="CH16" i="11" s="1"/>
  <c r="CH17" i="11" s="1"/>
  <c r="CI13" i="11" s="1"/>
  <c r="CI15" i="11" l="1"/>
  <c r="CI16" i="11" s="1"/>
  <c r="CI17" i="11"/>
  <c r="CJ13" i="11" s="1"/>
  <c r="CJ15" i="11" l="1"/>
  <c r="CJ16" i="11" s="1"/>
  <c r="CJ17" i="11"/>
  <c r="CK13" i="11" s="1"/>
  <c r="CK15" i="11" l="1"/>
  <c r="CK16" i="11" s="1"/>
  <c r="CK17" i="11" s="1"/>
  <c r="CL13" i="11" s="1"/>
  <c r="CL15" i="11" l="1"/>
  <c r="CL16" i="11" s="1"/>
  <c r="CL17" i="11" s="1"/>
  <c r="CM13" i="11" s="1"/>
  <c r="CM15" i="11" l="1"/>
  <c r="CM16" i="11" l="1"/>
  <c r="N24" i="11"/>
  <c r="N31" i="11" l="1"/>
  <c r="N33" i="11" s="1"/>
  <c r="I141" i="7"/>
  <c r="I143" i="7" s="1"/>
  <c r="N25" i="11"/>
  <c r="N25" i="9" s="1"/>
  <c r="N30" i="9" s="1"/>
  <c r="CM17" i="11"/>
  <c r="CN13" i="11" s="1"/>
  <c r="I145" i="7" l="1"/>
  <c r="I147" i="7" s="1"/>
  <c r="CN15" i="11"/>
  <c r="N32" i="11"/>
  <c r="N26" i="11"/>
  <c r="I149" i="7" l="1"/>
  <c r="N37" i="8" s="1"/>
  <c r="N38" i="8" s="1"/>
  <c r="N12" i="10"/>
  <c r="O22" i="11"/>
  <c r="N29" i="8"/>
  <c r="N30" i="8" s="1"/>
  <c r="N32" i="8" s="1"/>
  <c r="N34" i="11"/>
  <c r="CN16" i="11"/>
  <c r="N9" i="9" l="1"/>
  <c r="N17" i="9" s="1"/>
  <c r="N32" i="9" s="1"/>
  <c r="N36" i="9" s="1"/>
  <c r="O30" i="11"/>
  <c r="N16" i="10"/>
  <c r="N18" i="10"/>
  <c r="N21" i="10" s="1"/>
  <c r="N23" i="10" s="1"/>
  <c r="N40" i="8"/>
  <c r="O34" i="9"/>
  <c r="N10" i="8"/>
  <c r="N14" i="8" s="1"/>
  <c r="N21" i="8" s="1"/>
  <c r="N42" i="8" s="1"/>
  <c r="CN17" i="11"/>
  <c r="CO13" i="11" s="1"/>
  <c r="CO15" i="11" l="1"/>
  <c r="CO16" i="11" l="1"/>
  <c r="CO17" i="11" l="1"/>
  <c r="CP13" i="11" s="1"/>
  <c r="CP15" i="11" l="1"/>
  <c r="CP16" i="11" l="1"/>
  <c r="CP17" i="11" l="1"/>
  <c r="CQ13" i="11" s="1"/>
  <c r="CQ15" i="11" l="1"/>
  <c r="CQ16" i="11" l="1"/>
  <c r="CQ17" i="11" l="1"/>
  <c r="CR13" i="11" s="1"/>
  <c r="CR15" i="11" l="1"/>
  <c r="CR16" i="11" l="1"/>
  <c r="CR17" i="11" l="1"/>
  <c r="CS13" i="11" s="1"/>
  <c r="CS15" i="11" l="1"/>
  <c r="CS16" i="11" s="1"/>
  <c r="CS17" i="11" s="1"/>
  <c r="CT13" i="11" s="1"/>
  <c r="CT15" i="11" l="1"/>
  <c r="CT16" i="11" s="1"/>
  <c r="CT17" i="11" s="1"/>
  <c r="CU13" i="11" s="1"/>
  <c r="CU15" i="11" l="1"/>
  <c r="CU16" i="11" s="1"/>
  <c r="CU17" i="11" s="1"/>
  <c r="CV13" i="11" s="1"/>
  <c r="CV15" i="11" l="1"/>
  <c r="CV16" i="11" s="1"/>
  <c r="CV17" i="11" s="1"/>
  <c r="CW13" i="11" s="1"/>
  <c r="CW15" i="11" l="1"/>
  <c r="CW16" i="11" s="1"/>
  <c r="CW17" i="11" s="1"/>
  <c r="CX13" i="11" s="1"/>
  <c r="CX15" i="11" l="1"/>
  <c r="CX16" i="11" s="1"/>
  <c r="CX17" i="11" s="1"/>
  <c r="CY13" i="11" s="1"/>
  <c r="CY15" i="11" l="1"/>
  <c r="CY16" i="11" l="1"/>
  <c r="O24" i="11"/>
  <c r="O31" i="11" l="1"/>
  <c r="O33" i="11" s="1"/>
  <c r="J141" i="7"/>
  <c r="J143" i="7" s="1"/>
  <c r="O25" i="11"/>
  <c r="O25" i="9" s="1"/>
  <c r="O30" i="9" s="1"/>
  <c r="CY17" i="11"/>
  <c r="CZ13" i="11" s="1"/>
  <c r="J145" i="7" l="1"/>
  <c r="J147" i="7" s="1"/>
  <c r="CZ15" i="11"/>
  <c r="O32" i="11"/>
  <c r="O26" i="11"/>
  <c r="J149" i="7" l="1"/>
  <c r="O9" i="9" s="1"/>
  <c r="O17" i="9" s="1"/>
  <c r="O32" i="9" s="1"/>
  <c r="O36" i="9" s="1"/>
  <c r="O12" i="10"/>
  <c r="P22" i="11"/>
  <c r="O29" i="8"/>
  <c r="O30" i="8" s="1"/>
  <c r="O32" i="8" s="1"/>
  <c r="O34" i="11"/>
  <c r="CZ16" i="11"/>
  <c r="O37" i="8" l="1"/>
  <c r="O38" i="8" s="1"/>
  <c r="O40" i="8" s="1"/>
  <c r="P30" i="11"/>
  <c r="O16" i="10"/>
  <c r="O18" i="10"/>
  <c r="O21" i="10" s="1"/>
  <c r="O23" i="10" s="1"/>
  <c r="P34" i="9"/>
  <c r="O10" i="8"/>
  <c r="O14" i="8" s="1"/>
  <c r="O21" i="8" s="1"/>
  <c r="CZ17" i="11"/>
  <c r="DA13" i="11" s="1"/>
  <c r="O42" i="8" l="1"/>
  <c r="DA15" i="11"/>
  <c r="DA16" i="11" l="1"/>
  <c r="DA17" i="11" l="1"/>
  <c r="DB13" i="11" s="1"/>
  <c r="DB15" i="11" l="1"/>
  <c r="DB16" i="11" l="1"/>
  <c r="DB17" i="11" l="1"/>
  <c r="DC13" i="11" s="1"/>
  <c r="DC15" i="11" l="1"/>
  <c r="DC16" i="11" l="1"/>
  <c r="DC17" i="11" l="1"/>
  <c r="DD13" i="11" s="1"/>
  <c r="DD15" i="11" l="1"/>
  <c r="DD16" i="11" l="1"/>
  <c r="DD17" i="11" l="1"/>
  <c r="DE13" i="11" s="1"/>
  <c r="DE15" i="11" l="1"/>
  <c r="DE16" i="11" s="1"/>
  <c r="DE17" i="11" s="1"/>
  <c r="DF13" i="11" s="1"/>
  <c r="DF15" i="11" l="1"/>
  <c r="DF16" i="11" s="1"/>
  <c r="DF17" i="11" s="1"/>
  <c r="DG13" i="11" s="1"/>
  <c r="DG15" i="11" l="1"/>
  <c r="DG16" i="11" s="1"/>
  <c r="DG17" i="11" s="1"/>
  <c r="DH13" i="11" s="1"/>
  <c r="DH15" i="11" l="1"/>
  <c r="DH16" i="11" s="1"/>
  <c r="DH17" i="11" s="1"/>
  <c r="DI13" i="11" s="1"/>
  <c r="DI15" i="11" l="1"/>
  <c r="DI16" i="11" s="1"/>
  <c r="DI17" i="11" s="1"/>
  <c r="DJ13" i="11" s="1"/>
  <c r="DJ15" i="11" l="1"/>
  <c r="DJ16" i="11" s="1"/>
  <c r="DJ17" i="11" s="1"/>
  <c r="DK13" i="11" s="1"/>
  <c r="DK15" i="11" l="1"/>
  <c r="DK16" i="11" l="1"/>
  <c r="P24" i="11"/>
  <c r="P31" i="11" l="1"/>
  <c r="P33" i="11" s="1"/>
  <c r="K141" i="7"/>
  <c r="K143" i="7" s="1"/>
  <c r="P25" i="11"/>
  <c r="P25" i="9" s="1"/>
  <c r="P30" i="9" s="1"/>
  <c r="DK17" i="11"/>
  <c r="DL13" i="11" s="1"/>
  <c r="K145" i="7" l="1"/>
  <c r="K147" i="7" s="1"/>
  <c r="DL15" i="11"/>
  <c r="P32" i="11"/>
  <c r="P26" i="11"/>
  <c r="K149" i="7" l="1"/>
  <c r="P12" i="10"/>
  <c r="P9" i="9"/>
  <c r="P17" i="9" s="1"/>
  <c r="P32" i="9" s="1"/>
  <c r="P36" i="9" s="1"/>
  <c r="P37" i="8"/>
  <c r="P38" i="8" s="1"/>
  <c r="Q22" i="11"/>
  <c r="P29" i="8"/>
  <c r="P30" i="8" s="1"/>
  <c r="P32" i="8" s="1"/>
  <c r="P34" i="11"/>
  <c r="DL16" i="11"/>
  <c r="Q30" i="11" l="1"/>
  <c r="P16" i="10"/>
  <c r="P18" i="10"/>
  <c r="P21" i="10" s="1"/>
  <c r="P23" i="10" s="1"/>
  <c r="P40" i="8"/>
  <c r="Q34" i="9"/>
  <c r="P10" i="8"/>
  <c r="P14" i="8" s="1"/>
  <c r="P21" i="8" s="1"/>
  <c r="DL17" i="11"/>
  <c r="DM13" i="11" s="1"/>
  <c r="P42" i="8" l="1"/>
  <c r="DM15" i="11"/>
  <c r="DM16" i="11" l="1"/>
  <c r="DM17" i="11" l="1"/>
  <c r="DN13" i="11" s="1"/>
  <c r="DN15" i="11" l="1"/>
  <c r="DN16" i="11" l="1"/>
  <c r="DN17" i="11" l="1"/>
  <c r="DO13" i="11" s="1"/>
  <c r="DO15" i="11" l="1"/>
  <c r="DO16" i="11" l="1"/>
  <c r="DO17" i="11" l="1"/>
  <c r="DP13" i="11" s="1"/>
  <c r="DP15" i="11" l="1"/>
  <c r="DP16" i="11" l="1"/>
  <c r="DP17" i="11" l="1"/>
  <c r="DQ13" i="11" s="1"/>
  <c r="DQ15" i="11" l="1"/>
  <c r="DQ16" i="11" s="1"/>
  <c r="DQ17" i="11" s="1"/>
  <c r="DR13" i="11" s="1"/>
  <c r="DR15" i="11" l="1"/>
  <c r="DR16" i="11" s="1"/>
  <c r="DR17" i="11" s="1"/>
  <c r="DS13" i="11" s="1"/>
  <c r="DS15" i="11" l="1"/>
  <c r="DS16" i="11" s="1"/>
  <c r="DS17" i="11" s="1"/>
  <c r="DT13" i="11" s="1"/>
  <c r="DT15" i="11" l="1"/>
  <c r="DT16" i="11" s="1"/>
  <c r="DT17" i="11" s="1"/>
  <c r="DU13" i="11" s="1"/>
  <c r="DU15" i="11" l="1"/>
  <c r="DU16" i="11" s="1"/>
  <c r="DU17" i="11" s="1"/>
  <c r="DV13" i="11" s="1"/>
  <c r="DV15" i="11" l="1"/>
  <c r="DV16" i="11" s="1"/>
  <c r="DV17" i="11" s="1"/>
  <c r="DW13" i="11" s="1"/>
  <c r="DW15" i="11" l="1"/>
  <c r="DW16" i="11" l="1"/>
  <c r="Q24" i="11"/>
  <c r="Q31" i="11" l="1"/>
  <c r="Q33" i="11" s="1"/>
  <c r="L141" i="7"/>
  <c r="L143" i="7" s="1"/>
  <c r="Q25" i="11"/>
  <c r="Q25" i="9" s="1"/>
  <c r="Q30" i="9" s="1"/>
  <c r="DW17" i="11"/>
  <c r="L145" i="7" l="1"/>
  <c r="L147" i="7" s="1"/>
  <c r="Q32" i="11"/>
  <c r="Q34" i="11" s="1"/>
  <c r="Q16" i="10" s="1"/>
  <c r="Q26" i="11"/>
  <c r="Q29" i="8" s="1"/>
  <c r="Q30" i="8" s="1"/>
  <c r="Q32" i="8" s="1"/>
  <c r="L149" i="7" l="1"/>
  <c r="Q12" i="10"/>
  <c r="Q18" i="10" s="1"/>
  <c r="Q21" i="10" s="1"/>
  <c r="Q9" i="9"/>
  <c r="Q17" i="9" s="1"/>
  <c r="Q32" i="9" s="1"/>
  <c r="Q36" i="9" s="1"/>
  <c r="Q10" i="8" s="1"/>
  <c r="Q14" i="8" s="1"/>
  <c r="Q21" i="8" s="1"/>
  <c r="Q37" i="8"/>
  <c r="Q38" i="8" s="1"/>
  <c r="Q40" i="8" s="1"/>
  <c r="Q23" i="10" l="1"/>
  <c r="F25" i="10" s="1"/>
  <c r="F27" i="10"/>
  <c r="Q42" i="8"/>
</calcChain>
</file>

<file path=xl/sharedStrings.xml><?xml version="1.0" encoding="utf-8"?>
<sst xmlns="http://schemas.openxmlformats.org/spreadsheetml/2006/main" count="775" uniqueCount="388">
  <si>
    <t>File</t>
  </si>
  <si>
    <t>Red</t>
  </si>
  <si>
    <t>Requires further attention</t>
  </si>
  <si>
    <t>Author</t>
  </si>
  <si>
    <t>Blue</t>
  </si>
  <si>
    <t>Input cells</t>
  </si>
  <si>
    <t>Tab</t>
  </si>
  <si>
    <t>Assumptions</t>
  </si>
  <si>
    <t>Green</t>
  </si>
  <si>
    <t>Cells linked to another sheet</t>
  </si>
  <si>
    <t>Created</t>
  </si>
  <si>
    <t>Black</t>
  </si>
  <si>
    <t>Cells containing a calculation on the same sheet</t>
  </si>
  <si>
    <t>Operating Costs</t>
  </si>
  <si>
    <t>Rent</t>
  </si>
  <si>
    <t>Utilities</t>
  </si>
  <si>
    <t>Annual CPI</t>
  </si>
  <si>
    <t>Telephone/ Internet</t>
  </si>
  <si>
    <t>Tax rate</t>
  </si>
  <si>
    <t>Courier/ postage</t>
  </si>
  <si>
    <t>Marketing &amp; Advertising</t>
  </si>
  <si>
    <t>Interest Rate</t>
  </si>
  <si>
    <t>Insurance</t>
  </si>
  <si>
    <t>Loan Term</t>
  </si>
  <si>
    <t>Years</t>
  </si>
  <si>
    <t>IT Support</t>
  </si>
  <si>
    <t>Depreciable life</t>
  </si>
  <si>
    <t>Legal/ Accountancy</t>
  </si>
  <si>
    <t>Startup Costs</t>
  </si>
  <si>
    <t>Salaries &amp; Benefits cost - Staff</t>
  </si>
  <si>
    <t>Equipment</t>
  </si>
  <si>
    <t>Security</t>
  </si>
  <si>
    <t>Security Equipment</t>
  </si>
  <si>
    <t>Subscriptions/ Memberships</t>
  </si>
  <si>
    <t>IT Installation</t>
  </si>
  <si>
    <t>Miscellaneous / Contingency</t>
  </si>
  <si>
    <t>Costs Occuring Once a Year</t>
  </si>
  <si>
    <t>Achitect/Designer Fees</t>
  </si>
  <si>
    <t>Repair/ Maintenance</t>
  </si>
  <si>
    <t>Licenses / Permits</t>
  </si>
  <si>
    <t>Utilities Deposit</t>
  </si>
  <si>
    <t>Marketing &amp; Advertising (Launch)</t>
  </si>
  <si>
    <t>Staff compensation per hour</t>
  </si>
  <si>
    <t>Legal</t>
  </si>
  <si>
    <t>Hours worked per week (per FTE)</t>
  </si>
  <si>
    <t>Training</t>
  </si>
  <si>
    <t># of weeks in a year</t>
  </si>
  <si>
    <t>% Patients opting</t>
  </si>
  <si>
    <t>Cash Fee</t>
  </si>
  <si>
    <t>Insurance Fee</t>
  </si>
  <si>
    <t>% Cash</t>
  </si>
  <si>
    <t>% Insurance</t>
  </si>
  <si>
    <t>Fee per test</t>
  </si>
  <si>
    <t>Eye Test</t>
  </si>
  <si>
    <t>Diabetes</t>
  </si>
  <si>
    <t>Hypertension</t>
  </si>
  <si>
    <t>Glaucoma</t>
  </si>
  <si>
    <t>Dry Eye</t>
  </si>
  <si>
    <t>Macular Degeneration</t>
  </si>
  <si>
    <t>Red Eye</t>
  </si>
  <si>
    <t>Trauma</t>
  </si>
  <si>
    <t>Procedures</t>
  </si>
  <si>
    <t>Product</t>
  </si>
  <si>
    <t>Selling Price</t>
  </si>
  <si>
    <t>COGS</t>
  </si>
  <si>
    <t>Discounts</t>
  </si>
  <si>
    <t>Inventory</t>
  </si>
  <si>
    <t>Table of contents</t>
  </si>
  <si>
    <t>Worksheets</t>
  </si>
  <si>
    <t>Table of Contents</t>
  </si>
  <si>
    <t>Input Cells</t>
  </si>
  <si>
    <t>Description</t>
  </si>
  <si>
    <t>Yes</t>
  </si>
  <si>
    <t>All relevant assumptions</t>
  </si>
  <si>
    <t>Net Income Analysis</t>
  </si>
  <si>
    <t>No</t>
  </si>
  <si>
    <t>NI trend and related analysis</t>
  </si>
  <si>
    <t>Revenue Analysis</t>
  </si>
  <si>
    <t>Revenue trend and related analysis</t>
  </si>
  <si>
    <t>Expense Analysis</t>
  </si>
  <si>
    <t>Expense trend and related analysis</t>
  </si>
  <si>
    <t>Casflow Analysis</t>
  </si>
  <si>
    <t>Cashflow trend and waterfall</t>
  </si>
  <si>
    <t>Income Statement</t>
  </si>
  <si>
    <t>Balance Sheet</t>
  </si>
  <si>
    <t>Casflow Statement</t>
  </si>
  <si>
    <t>Statement of Cashflows</t>
  </si>
  <si>
    <t>Valuation</t>
  </si>
  <si>
    <t>NPV and IRR calculations</t>
  </si>
  <si>
    <t>Loan Repayment Schedule</t>
  </si>
  <si>
    <t>Depreciation Schedule</t>
  </si>
  <si>
    <t>Dashboard</t>
  </si>
  <si>
    <t>Key Metrics</t>
  </si>
  <si>
    <t>Existing Practice Valuation</t>
  </si>
  <si>
    <t>Valuation for purchase of existing practice</t>
  </si>
  <si>
    <t>sri rama jayam</t>
  </si>
  <si>
    <t>Metric</t>
  </si>
  <si>
    <t>CAGR *</t>
  </si>
  <si>
    <t>Revenue</t>
  </si>
  <si>
    <t>Expenses</t>
  </si>
  <si>
    <t>Net Income</t>
  </si>
  <si>
    <t>Profit Margin</t>
  </si>
  <si>
    <t>*Compound  Annual Growth Rate</t>
  </si>
  <si>
    <t># Earnings Before Interest, Taxes, Depreciation and Amortization</t>
  </si>
  <si>
    <t>FY09</t>
  </si>
  <si>
    <t>originally entered from 990</t>
  </si>
  <si>
    <t>990 - FY10</t>
  </si>
  <si>
    <t>990 - FY11</t>
  </si>
  <si>
    <t>990 - FY12</t>
  </si>
  <si>
    <t>Salaries and Wages</t>
  </si>
  <si>
    <t>Professional Services</t>
  </si>
  <si>
    <t>Other Cash Expenses</t>
  </si>
  <si>
    <t>Travel</t>
  </si>
  <si>
    <t>Other Direct Costs</t>
  </si>
  <si>
    <t>Miscellaneous</t>
  </si>
  <si>
    <t>Total Expenses</t>
  </si>
  <si>
    <t>Common Size Analysis</t>
  </si>
  <si>
    <t>Pie Chart</t>
  </si>
  <si>
    <t>Revenues</t>
  </si>
  <si>
    <t>Medical Exams</t>
  </si>
  <si>
    <t>Product Sales</t>
  </si>
  <si>
    <t>Misc 1</t>
  </si>
  <si>
    <t>Misc 2</t>
  </si>
  <si>
    <t>Total Revenue</t>
  </si>
  <si>
    <t>Break down of revenue</t>
  </si>
  <si>
    <t>Total</t>
  </si>
  <si>
    <t>Cashflow Analysis</t>
  </si>
  <si>
    <t>Beginning Cash</t>
  </si>
  <si>
    <t>Net Income (Loss)</t>
  </si>
  <si>
    <t>Depreciation</t>
  </si>
  <si>
    <t>(Incr) Decr Current Assets</t>
  </si>
  <si>
    <t>Incr (Decr) Current Liabilities</t>
  </si>
  <si>
    <t>Other (net)</t>
  </si>
  <si>
    <t>Ending Cash</t>
  </si>
  <si>
    <t>Incr (Decr) in Cash</t>
  </si>
  <si>
    <t>Current Assets</t>
  </si>
  <si>
    <t>Current Liabilities</t>
  </si>
  <si>
    <t>Year End Cash Balances</t>
  </si>
  <si>
    <t>January 1 - Dec 31 2013</t>
  </si>
  <si>
    <t>End Points</t>
  </si>
  <si>
    <t>Before</t>
  </si>
  <si>
    <t>After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</si>
  <si>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</si>
  <si>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</si>
  <si>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</si>
  <si>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</si>
  <si>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</si>
  <si>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</si>
  <si>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</si>
  <si>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</si>
  <si>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</si>
  <si>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</si>
  <si>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Sales Discount</t>
  </si>
  <si>
    <t>Total Product Sales Income (less discounts)</t>
  </si>
  <si>
    <t>Total Gross Income</t>
  </si>
  <si>
    <t>Target Profit (pre tax)</t>
  </si>
  <si>
    <t>New Patients per day</t>
  </si>
  <si>
    <t>% Increase Required</t>
  </si>
  <si>
    <t>Cost of Good Sold</t>
  </si>
  <si>
    <t>Total COGS</t>
  </si>
  <si>
    <t>Gross Profit</t>
  </si>
  <si>
    <t>Total - Startup Costs</t>
  </si>
  <si>
    <t>Total - Operating Costs</t>
  </si>
  <si>
    <t>Total - Costs Occuring Once a Year</t>
  </si>
  <si>
    <t>Earnings before Interest, taxes and Dep. (EBITDA)</t>
  </si>
  <si>
    <t>Depreciation Expense</t>
  </si>
  <si>
    <t>Amortization</t>
  </si>
  <si>
    <t>Earnings Before Interest and Taxes (EBIT)</t>
  </si>
  <si>
    <t>Interest Expense</t>
  </si>
  <si>
    <t>Income Before Taxes (EBT)</t>
  </si>
  <si>
    <t>Taxes</t>
  </si>
  <si>
    <t>Cumulative Net Income</t>
  </si>
  <si>
    <t>Projected Financials</t>
  </si>
  <si>
    <t>Assets</t>
  </si>
  <si>
    <t>Cash and Equivalents</t>
  </si>
  <si>
    <t>Accounts Receivable</t>
  </si>
  <si>
    <t>Other Current Assets</t>
  </si>
  <si>
    <t>Total Current Assets</t>
  </si>
  <si>
    <t>Net Property, Plant &amp; Equipment</t>
  </si>
  <si>
    <t>Other Non-Current Assets</t>
  </si>
  <si>
    <t>Total Non-Current Assets</t>
  </si>
  <si>
    <t>Total Assets</t>
  </si>
  <si>
    <t>Liabilities and Shareholders' Equity</t>
  </si>
  <si>
    <t>Accounts Payable</t>
  </si>
  <si>
    <t>Dividends Payable</t>
  </si>
  <si>
    <t>Short Term Debt</t>
  </si>
  <si>
    <t>Long Term Debt</t>
  </si>
  <si>
    <t>Non-Current Liabilities</t>
  </si>
  <si>
    <t>Total Liabilities</t>
  </si>
  <si>
    <t>Shareholders' Equity</t>
  </si>
  <si>
    <t>Common Stock</t>
  </si>
  <si>
    <t>Preferred Stock</t>
  </si>
  <si>
    <t>Accumulated earnings (deficit)</t>
  </si>
  <si>
    <t>Total Shareholder's Equity</t>
  </si>
  <si>
    <t>Total Liabilities &amp; Shareholder's Equity</t>
  </si>
  <si>
    <t>Balance Sheet Check</t>
  </si>
  <si>
    <t>Cashflow Statement</t>
  </si>
  <si>
    <t>Cash Flow Statement</t>
  </si>
  <si>
    <t>(+) Depreciation &amp; Amortization</t>
  </si>
  <si>
    <t>(Increase)/Decrease in Accounts Receivable</t>
  </si>
  <si>
    <t>(Increase)/Decrease in Inventory</t>
  </si>
  <si>
    <t>(Increase)/Decrease in Other Current Assets</t>
  </si>
  <si>
    <t>Increase/(Decrease) in Accounts Payable</t>
  </si>
  <si>
    <t>Increase/(Decrease) in Accrued Expenses &amp; Other Current Liabilities</t>
  </si>
  <si>
    <t>Total Cash Flow from Operating Activities</t>
  </si>
  <si>
    <t>(-) Capital Expenditures on PP&amp;E</t>
  </si>
  <si>
    <t>(-) Capital Expenditures on Other Non-Current Assets</t>
  </si>
  <si>
    <t>Total Cash Flow from Investing Activities</t>
  </si>
  <si>
    <t>Proceeds from LT Loan</t>
  </si>
  <si>
    <t>Payment of LT Debt</t>
  </si>
  <si>
    <t>(-) Payment of Secured Debt</t>
  </si>
  <si>
    <t>Increase/(Decrease) in Common Stock</t>
  </si>
  <si>
    <t>Increase/(Decrease) in Common Dividends Payable</t>
  </si>
  <si>
    <t>Changes in Long Term Debt</t>
  </si>
  <si>
    <t>Total Cash Flow from Financing Activities</t>
  </si>
  <si>
    <t>Change in Cash Balance</t>
  </si>
  <si>
    <t>Opening Cash Balance</t>
  </si>
  <si>
    <t>Required Return</t>
  </si>
  <si>
    <t>LT Growth Rate</t>
  </si>
  <si>
    <t>TV to be included</t>
  </si>
  <si>
    <t>Net Present Value Calculation</t>
  </si>
  <si>
    <t>Valuation- FCFE</t>
  </si>
  <si>
    <t>Year 0</t>
  </si>
  <si>
    <t>Preferred Stock Issuance (Repayment)</t>
  </si>
  <si>
    <t>Net Income (Common Share Holders)</t>
  </si>
  <si>
    <t>Working Capital Investment</t>
  </si>
  <si>
    <t>Capital Expenditure</t>
  </si>
  <si>
    <t>Net Debt</t>
  </si>
  <si>
    <t>Free Cash Flow to Equity</t>
  </si>
  <si>
    <t>Terminal Value</t>
  </si>
  <si>
    <t>Total F.C.F.E</t>
  </si>
  <si>
    <t>Present Value of Cash Flows</t>
  </si>
  <si>
    <t>NPV</t>
  </si>
  <si>
    <t>IRR</t>
  </si>
  <si>
    <t>Fixed Assets + Inventory</t>
  </si>
  <si>
    <t>EMI</t>
  </si>
  <si>
    <t>Loan Repayment Schedule - Monthly</t>
  </si>
  <si>
    <t>Beginning Loan Balance</t>
  </si>
  <si>
    <t>Interest Payment</t>
  </si>
  <si>
    <t>Principal Payment</t>
  </si>
  <si>
    <t>Ending Loan Balance</t>
  </si>
  <si>
    <t>Loan Repayment Schedule - Annual</t>
  </si>
  <si>
    <t>New Debt Issued</t>
  </si>
  <si>
    <t>Existing Debt Interest payments</t>
  </si>
  <si>
    <t>Existing Debt Principal payments</t>
  </si>
  <si>
    <t>Interest x (1 - Tax Rate)</t>
  </si>
  <si>
    <t>Total Beginning Value</t>
  </si>
  <si>
    <t>Total Depreciation Expense</t>
  </si>
  <si>
    <t>Accumlated Depreciation</t>
  </si>
  <si>
    <t>Total Ending Balance</t>
  </si>
  <si>
    <t>Details of depreciable items:</t>
  </si>
  <si>
    <t>Amount</t>
  </si>
  <si>
    <t>IT installation</t>
  </si>
  <si>
    <t>Total depreciable items</t>
  </si>
  <si>
    <t>Revenue Break-down</t>
  </si>
  <si>
    <t>Proportion</t>
  </si>
  <si>
    <t>Expenses Break-down</t>
  </si>
  <si>
    <t>w/o start-up</t>
  </si>
  <si>
    <t>Annual Expenses</t>
  </si>
  <si>
    <t>Margins</t>
  </si>
  <si>
    <t>Existing Practice - Purchase valuation</t>
  </si>
  <si>
    <t>Net Income for 3 years preceding the sale</t>
  </si>
  <si>
    <t>Year</t>
  </si>
  <si>
    <t>1 Year Back</t>
  </si>
  <si>
    <t>2 Years Back</t>
  </si>
  <si>
    <t>3 Years Back</t>
  </si>
  <si>
    <t>Average</t>
  </si>
  <si>
    <t>Discount</t>
  </si>
  <si>
    <t>( 1 - Discount)</t>
  </si>
  <si>
    <t>Value of Net Income</t>
  </si>
  <si>
    <t>Tangible Assets</t>
  </si>
  <si>
    <t xml:space="preserve"> Book Value</t>
  </si>
  <si>
    <t>Fair Market Value</t>
  </si>
  <si>
    <t>Fixed Assets</t>
  </si>
  <si>
    <t>Patient Records</t>
  </si>
  <si>
    <t>Goodwill</t>
  </si>
  <si>
    <t>Age Bucket</t>
  </si>
  <si>
    <t>Nominal Value</t>
  </si>
  <si>
    <t>Discounted Value</t>
  </si>
  <si>
    <t>Assumed Distribution of receivables</t>
  </si>
  <si>
    <t>0 - 30 days</t>
  </si>
  <si>
    <t>31 - 60 days</t>
  </si>
  <si>
    <t>61 - 90 days</t>
  </si>
  <si>
    <t>91 - 120 days</t>
  </si>
  <si>
    <t>Total Value</t>
  </si>
  <si>
    <t>Electronics Manufacturing Venture</t>
  </si>
  <si>
    <t>Krishnamurthy Bindumadhavan</t>
  </si>
  <si>
    <t>No of business days</t>
  </si>
  <si>
    <t>No of Business days</t>
  </si>
  <si>
    <t>Growth rate (annual)</t>
  </si>
  <si>
    <t>Factory Fit-out</t>
  </si>
  <si>
    <t>Software</t>
  </si>
  <si>
    <t>Rental Deposit (Lease)</t>
  </si>
  <si>
    <t>Software Systems</t>
  </si>
  <si>
    <t>Salaries &amp; Benefits cost - Engineers</t>
  </si>
  <si>
    <t>Units per day (initial)</t>
  </si>
  <si>
    <t>Product Type</t>
  </si>
  <si>
    <t>srj srj srj srj srj srj srj srj srj</t>
  </si>
  <si>
    <t>4 product lines</t>
  </si>
  <si>
    <t>Far Edge</t>
  </si>
  <si>
    <t>Edge</t>
  </si>
  <si>
    <t>FOG</t>
  </si>
  <si>
    <t>Enterprise/ Cloud</t>
  </si>
  <si>
    <t>1.0 Product Sales</t>
  </si>
  <si>
    <t>1.1 Sales - Far Edge</t>
  </si>
  <si>
    <t>Far Edge Income</t>
  </si>
  <si>
    <t>Total Edge income</t>
  </si>
  <si>
    <t>Total FOG income</t>
  </si>
  <si>
    <t>Total Enterprise income</t>
  </si>
  <si>
    <t>Total Product 5 income</t>
  </si>
  <si>
    <t>Total Product 6 income</t>
  </si>
  <si>
    <t>Total Product 7 income</t>
  </si>
  <si>
    <t>Total Product 8 income</t>
  </si>
  <si>
    <t>Total Product 9 income</t>
  </si>
  <si>
    <t>Units Sold per Year</t>
  </si>
  <si>
    <t>Enterprise</t>
  </si>
  <si>
    <t>Product 5</t>
  </si>
  <si>
    <t>Product 6</t>
  </si>
  <si>
    <t>Product 7</t>
  </si>
  <si>
    <t>Product 8</t>
  </si>
  <si>
    <t>Product 9</t>
  </si>
  <si>
    <t>Annual Growth rate</t>
  </si>
  <si>
    <t>Units per Year (Yr1)</t>
  </si>
  <si>
    <t>1.2 Sales - Edge</t>
  </si>
  <si>
    <t>1.3 Sales - FOG</t>
  </si>
  <si>
    <t>1.4 Sales - Enterprise</t>
  </si>
  <si>
    <t>1.5 Sales - Product 5</t>
  </si>
  <si>
    <t>1.6 Sales - Product 6</t>
  </si>
  <si>
    <t>1.7 Sales - Product 7</t>
  </si>
  <si>
    <t>1.8 Sales - Product 8</t>
  </si>
  <si>
    <t>1.9 Sales - Product 9</t>
  </si>
  <si>
    <t>Cost of Far Edge</t>
  </si>
  <si>
    <t>Cost of Edge</t>
  </si>
  <si>
    <t>Cost of FOG</t>
  </si>
  <si>
    <t>Cost of Enterprise</t>
  </si>
  <si>
    <t>Cost of Product 5</t>
  </si>
  <si>
    <t>Cost of Product 6</t>
  </si>
  <si>
    <t>Cost of Product 7</t>
  </si>
  <si>
    <t>Cost of Product 8</t>
  </si>
  <si>
    <t>Cost of Product 9</t>
  </si>
  <si>
    <t>Start year</t>
  </si>
  <si>
    <t>Geography</t>
  </si>
  <si>
    <t>Industry</t>
  </si>
  <si>
    <t>India</t>
  </si>
  <si>
    <t>Middle East</t>
  </si>
  <si>
    <t>Far East</t>
  </si>
  <si>
    <t>Australia/ NZ</t>
  </si>
  <si>
    <t>Europe</t>
  </si>
  <si>
    <t>Africa</t>
  </si>
  <si>
    <t>USA</t>
  </si>
  <si>
    <t>Mexico</t>
  </si>
  <si>
    <t>South America</t>
  </si>
  <si>
    <t>Canada</t>
  </si>
  <si>
    <t>Other Countries</t>
  </si>
  <si>
    <t>Manufacturing</t>
  </si>
  <si>
    <t>Oil and Energy</t>
  </si>
  <si>
    <t>BFSI</t>
  </si>
  <si>
    <t>Pharmaceuticals</t>
  </si>
  <si>
    <t>Demand for Edge Boxes</t>
  </si>
  <si>
    <t>Rental Deposit (lease)</t>
  </si>
  <si>
    <t>Security system</t>
  </si>
  <si>
    <t>Pick and Place</t>
  </si>
  <si>
    <t>Wave Soldering</t>
  </si>
  <si>
    <t>Moulding Machine</t>
  </si>
  <si>
    <t>3D Printer</t>
  </si>
  <si>
    <t>Quality Inspection machines</t>
  </si>
  <si>
    <t>Miscellaneous equipment</t>
  </si>
  <si>
    <t>1)</t>
  </si>
  <si>
    <t>2)</t>
  </si>
  <si>
    <t>3)</t>
  </si>
  <si>
    <t>4)</t>
  </si>
  <si>
    <t>5)</t>
  </si>
  <si>
    <t>6)</t>
  </si>
  <si>
    <t>7)</t>
  </si>
  <si>
    <t>SMT Stencil Printer</t>
  </si>
  <si>
    <t>Rupees</t>
  </si>
  <si>
    <t>INR/ USD</t>
  </si>
  <si>
    <t>USD Cost</t>
  </si>
  <si>
    <t>Machinery</t>
  </si>
  <si>
    <t>Factory Preparation, False Ceiling, Power backup, Airconditioning, Electronics Assembly line, Workbench, Furniture, Installation, etc.</t>
  </si>
  <si>
    <t>Note difference between Yr0 and Yr1</t>
  </si>
  <si>
    <t>Drone</t>
  </si>
  <si>
    <t>Rover</t>
  </si>
  <si>
    <t>Ruggedized Laptop</t>
  </si>
  <si>
    <t>Computer server</t>
  </si>
  <si>
    <t>AWS</t>
  </si>
  <si>
    <t>Fog</t>
  </si>
  <si>
    <t>By Product and by 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</si>
</sst>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,##0;\(#,##0\);\-"/>
    <numFmt numFmtId="165" formatCode="&quot;$&quot;#,##0"/>
    <numFmt numFmtId="166" formatCode="_(&quot;$&quot;* #,##0.00_);_(&quot;$&quot;* \(#,##0.00\);_(&quot;$&quot;* &quot;-&quot;??_);_(@_)"/>
    <numFmt numFmtId="167" formatCode="&quot;$&quot;#,##0_);[Red]\(&quot;$&quot;#,##0\)"/>
    <numFmt numFmtId="168" formatCode="&quot;$&quot;#,##0.0"/>
    <numFmt numFmtId="169" formatCode="&quot;$&quot;#,##0_);\(&quot;$&quot;#,##0\)"/>
    <numFmt numFmtId="170" formatCode="&quot;$&quot;#,##0.0_);\(&quot;$&quot;#,##0.0\)"/>
    <numFmt numFmtId="171" formatCode="_(&quot;$&quot;* #,##0_);_(&quot;$&quot;* \(#,##0\);_(&quot;$&quot;* &quot;-&quot;_);_(@_)"/>
    <numFmt numFmtId="172" formatCode="_(&quot;$&quot;* #,##0_);_(&quot;$&quot;* \(#,##0\);_(&quot;$&quot;* &quot;-&quot;??_);_(@_)"/>
    <numFmt numFmtId="173" formatCode="[$-409]mmm\-yy;@"/>
    <numFmt numFmtId="174" formatCode="_(* #,##0_);_(* \(#,##0\);_(* &quot;-&quot;??_);_(@_)"/>
    <numFmt numFmtId="175" formatCode="_ * #,##0_ ;_ * \-#,##0_ ;_ * &quot;-&quot;??_ ;_ @_ 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indexed="10"/>
      <name val="Arial"/>
      <family val="2"/>
    </font>
    <font>
      <sz val="9"/>
      <color indexed="12"/>
      <name val="Arial"/>
      <family val="2"/>
    </font>
    <font>
      <sz val="9"/>
      <color indexed="17"/>
      <name val="Arial"/>
      <family val="2"/>
    </font>
    <font>
      <sz val="9"/>
      <name val="Arial"/>
      <family val="2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Lucida Grande"/>
    </font>
    <font>
      <b/>
      <sz val="14"/>
      <color theme="1"/>
      <name val="Calibri"/>
      <family val="2"/>
      <scheme val="minor"/>
    </font>
    <font>
      <sz val="10"/>
      <name val="Frutiger 45 Light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name val="Times New Roman"/>
      <family val="1"/>
    </font>
    <font>
      <b/>
      <u/>
      <sz val="9"/>
      <color indexed="9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9"/>
      <color indexed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/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 style="thin">
        <color rgb="FFC00000"/>
      </top>
      <bottom/>
      <diagonal/>
    </border>
    <border>
      <left/>
      <right style="medium">
        <color rgb="FFC00000"/>
      </right>
      <top style="thin">
        <color rgb="FFC00000"/>
      </top>
      <bottom/>
      <diagonal/>
    </border>
    <border>
      <left style="medium">
        <color rgb="FFC00000"/>
      </left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800000"/>
      </left>
      <right style="thin">
        <color rgb="FF800000"/>
      </right>
      <top style="medium">
        <color indexed="64"/>
      </top>
      <bottom style="thick">
        <color rgb="FF8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8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800000"/>
      </right>
      <top/>
      <bottom style="thin">
        <color rgb="FF800000"/>
      </bottom>
      <diagonal/>
    </border>
    <border>
      <left/>
      <right style="thin">
        <color rgb="FF8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/>
      <right style="thin">
        <color auto="1"/>
      </right>
      <top style="medium">
        <color theme="3"/>
      </top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medium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medium">
        <color theme="3"/>
      </right>
      <top/>
      <bottom/>
      <diagonal/>
    </border>
    <border>
      <left style="medium">
        <color theme="3"/>
      </left>
      <right style="thin">
        <color theme="3"/>
      </right>
      <top/>
      <bottom style="medium">
        <color theme="3"/>
      </bottom>
      <diagonal/>
    </border>
    <border>
      <left style="thin">
        <color theme="3"/>
      </left>
      <right style="thin">
        <color theme="3"/>
      </right>
      <top/>
      <bottom style="medium">
        <color theme="3"/>
      </bottom>
      <diagonal/>
    </border>
    <border>
      <left style="thin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/>
      <bottom style="thin">
        <color theme="3"/>
      </bottom>
      <diagonal/>
    </border>
    <border>
      <left style="medium">
        <color theme="3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theme="3"/>
      </right>
      <top/>
      <bottom style="thin">
        <color auto="1"/>
      </bottom>
      <diagonal/>
    </border>
    <border>
      <left style="medium">
        <color theme="3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theme="3"/>
      </right>
      <top style="thin">
        <color auto="1"/>
      </top>
      <bottom/>
      <diagonal/>
    </border>
    <border>
      <left style="medium">
        <color theme="3"/>
      </left>
      <right style="thin">
        <color indexed="64"/>
      </right>
      <top style="medium">
        <color theme="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3"/>
      </top>
      <bottom style="thin">
        <color indexed="64"/>
      </bottom>
      <diagonal/>
    </border>
    <border>
      <left style="thin">
        <color indexed="64"/>
      </left>
      <right style="medium">
        <color theme="3"/>
      </right>
      <top style="medium">
        <color theme="3"/>
      </top>
      <bottom style="thin">
        <color indexed="64"/>
      </bottom>
      <diagonal/>
    </border>
    <border>
      <left style="medium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3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 style="thin">
        <color indexed="64"/>
      </right>
      <top style="thin">
        <color indexed="64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/>
      </bottom>
      <diagonal/>
    </border>
    <border>
      <left style="thin">
        <color indexed="64"/>
      </left>
      <right style="medium">
        <color theme="3"/>
      </right>
      <top style="thin">
        <color indexed="64"/>
      </top>
      <bottom style="medium">
        <color theme="3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rgb="FFC00000"/>
      </right>
      <top/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rgb="FFC00000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22" fillId="0" borderId="0"/>
    <xf numFmtId="0" fontId="25" fillId="0" borderId="0" applyBorder="0"/>
    <xf numFmtId="166" fontId="5" fillId="0" borderId="0" applyFont="0" applyFill="0" applyBorder="0" applyAlignment="0" applyProtection="0"/>
  </cellStyleXfs>
  <cellXfs count="434">
    <xf numFmtId="0" fontId="0" fillId="0" borderId="0" xfId="0"/>
    <xf numFmtId="0" fontId="6" fillId="2" borderId="0" xfId="4" applyFont="1" applyFill="1"/>
    <xf numFmtId="0" fontId="7" fillId="2" borderId="0" xfId="4" applyFont="1" applyFill="1" applyAlignment="1">
      <alignment horizontal="left"/>
    </xf>
    <xf numFmtId="0" fontId="0" fillId="2" borderId="0" xfId="0" applyFill="1"/>
    <xf numFmtId="164" fontId="8" fillId="0" borderId="1" xfId="4" applyNumberFormat="1" applyFont="1" applyBorder="1" applyAlignment="1">
      <alignment horizontal="right"/>
    </xf>
    <xf numFmtId="164" fontId="5" fillId="0" borderId="0" xfId="4" applyNumberFormat="1" applyAlignment="1">
      <alignment horizontal="left" indent="1"/>
    </xf>
    <xf numFmtId="164" fontId="9" fillId="0" borderId="1" xfId="4" applyNumberFormat="1" applyFont="1" applyBorder="1" applyAlignment="1">
      <alignment horizontal="right"/>
    </xf>
    <xf numFmtId="164" fontId="10" fillId="0" borderId="1" xfId="4" applyNumberFormat="1" applyFont="1" applyBorder="1" applyAlignment="1">
      <alignment horizontal="right"/>
    </xf>
    <xf numFmtId="0" fontId="6" fillId="2" borderId="0" xfId="4" applyFont="1" applyFill="1" applyAlignment="1">
      <alignment horizontal="left"/>
    </xf>
    <xf numFmtId="17" fontId="7" fillId="2" borderId="0" xfId="4" applyNumberFormat="1" applyFont="1" applyFill="1" applyAlignment="1">
      <alignment horizontal="left"/>
    </xf>
    <xf numFmtId="164" fontId="11" fillId="0" borderId="2" xfId="4" applyNumberFormat="1" applyFont="1" applyBorder="1" applyAlignment="1">
      <alignment horizontal="right"/>
    </xf>
    <xf numFmtId="0" fontId="12" fillId="0" borderId="0" xfId="0" applyFont="1"/>
    <xf numFmtId="0" fontId="0" fillId="0" borderId="3" xfId="0" applyBorder="1"/>
    <xf numFmtId="0" fontId="12" fillId="0" borderId="4" xfId="0" applyFont="1" applyBorder="1"/>
    <xf numFmtId="0" fontId="0" fillId="0" borderId="5" xfId="0" applyBorder="1"/>
    <xf numFmtId="0" fontId="12" fillId="0" borderId="6" xfId="0" applyFont="1" applyBorder="1"/>
    <xf numFmtId="9" fontId="12" fillId="0" borderId="6" xfId="0" applyNumberFormat="1" applyFont="1" applyBorder="1"/>
    <xf numFmtId="165" fontId="12" fillId="0" borderId="6" xfId="0" applyNumberFormat="1" applyFont="1" applyBorder="1"/>
    <xf numFmtId="0" fontId="13" fillId="0" borderId="5" xfId="0" applyFont="1" applyBorder="1"/>
    <xf numFmtId="0" fontId="0" fillId="0" borderId="7" xfId="0" applyBorder="1"/>
    <xf numFmtId="165" fontId="12" fillId="0" borderId="8" xfId="0" applyNumberFormat="1" applyFont="1" applyBorder="1"/>
    <xf numFmtId="0" fontId="0" fillId="0" borderId="6" xfId="0" applyBorder="1"/>
    <xf numFmtId="165" fontId="0" fillId="0" borderId="6" xfId="0" applyNumberFormat="1" applyBorder="1"/>
    <xf numFmtId="0" fontId="0" fillId="0" borderId="9" xfId="0" applyBorder="1"/>
    <xf numFmtId="165" fontId="12" fillId="0" borderId="10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9" fontId="12" fillId="0" borderId="16" xfId="3" applyFont="1" applyBorder="1"/>
    <xf numFmtId="165" fontId="12" fillId="0" borderId="17" xfId="0" applyNumberFormat="1" applyFont="1" applyBorder="1"/>
    <xf numFmtId="9" fontId="12" fillId="0" borderId="17" xfId="0" applyNumberFormat="1" applyFont="1" applyBorder="1"/>
    <xf numFmtId="165" fontId="12" fillId="0" borderId="18" xfId="2" applyNumberFormat="1" applyFont="1" applyBorder="1"/>
    <xf numFmtId="9" fontId="12" fillId="0" borderId="19" xfId="3" applyFont="1" applyBorder="1"/>
    <xf numFmtId="165" fontId="12" fillId="0" borderId="20" xfId="0" applyNumberFormat="1" applyFont="1" applyBorder="1"/>
    <xf numFmtId="9" fontId="12" fillId="0" borderId="20" xfId="0" applyNumberFormat="1" applyFont="1" applyBorder="1"/>
    <xf numFmtId="165" fontId="12" fillId="0" borderId="21" xfId="2" applyNumberFormat="1" applyFont="1" applyBorder="1"/>
    <xf numFmtId="9" fontId="12" fillId="0" borderId="22" xfId="3" applyFont="1" applyBorder="1"/>
    <xf numFmtId="165" fontId="12" fillId="0" borderId="23" xfId="0" applyNumberFormat="1" applyFont="1" applyBorder="1"/>
    <xf numFmtId="9" fontId="12" fillId="0" borderId="23" xfId="0" applyNumberFormat="1" applyFont="1" applyBorder="1"/>
    <xf numFmtId="165" fontId="12" fillId="0" borderId="24" xfId="2" applyNumberFormat="1" applyFont="1" applyBorder="1"/>
    <xf numFmtId="0" fontId="0" fillId="0" borderId="12" xfId="0" applyBorder="1" applyAlignment="1">
      <alignment wrapText="1"/>
    </xf>
    <xf numFmtId="9" fontId="12" fillId="0" borderId="16" xfId="0" applyNumberFormat="1" applyFont="1" applyBorder="1"/>
    <xf numFmtId="167" fontId="12" fillId="0" borderId="17" xfId="0" applyNumberFormat="1" applyFont="1" applyBorder="1"/>
    <xf numFmtId="165" fontId="12" fillId="0" borderId="18" xfId="0" applyNumberFormat="1" applyFont="1" applyBorder="1"/>
    <xf numFmtId="167" fontId="12" fillId="0" borderId="20" xfId="0" applyNumberFormat="1" applyFont="1" applyBorder="1"/>
    <xf numFmtId="167" fontId="12" fillId="0" borderId="23" xfId="0" applyNumberFormat="1" applyFont="1" applyBorder="1"/>
    <xf numFmtId="168" fontId="0" fillId="0" borderId="0" xfId="0" applyNumberFormat="1"/>
    <xf numFmtId="0" fontId="3" fillId="0" borderId="0" xfId="0" applyFont="1"/>
    <xf numFmtId="0" fontId="2" fillId="2" borderId="25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center"/>
    </xf>
    <xf numFmtId="164" fontId="6" fillId="2" borderId="26" xfId="4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/>
    </xf>
    <xf numFmtId="0" fontId="4" fillId="0" borderId="0" xfId="0" applyFont="1"/>
    <xf numFmtId="0" fontId="14" fillId="0" borderId="28" xfId="5" applyBorder="1" applyAlignment="1" applyProtection="1"/>
    <xf numFmtId="0" fontId="0" fillId="0" borderId="20" xfId="0" applyBorder="1"/>
    <xf numFmtId="0" fontId="0" fillId="0" borderId="21" xfId="0" applyBorder="1"/>
    <xf numFmtId="0" fontId="14" fillId="0" borderId="29" xfId="5" applyBorder="1" applyAlignment="1" applyProtection="1"/>
    <xf numFmtId="0" fontId="0" fillId="0" borderId="23" xfId="0" applyBorder="1"/>
    <xf numFmtId="0" fontId="0" fillId="0" borderId="24" xfId="0" applyBorder="1"/>
    <xf numFmtId="169" fontId="0" fillId="0" borderId="0" xfId="0" applyNumberFormat="1"/>
    <xf numFmtId="0" fontId="15" fillId="4" borderId="32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wrapText="1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169" fontId="13" fillId="0" borderId="35" xfId="1" applyNumberFormat="1" applyFont="1" applyBorder="1" applyAlignment="1">
      <alignment horizontal="center" vertical="center"/>
    </xf>
    <xf numFmtId="9" fontId="13" fillId="0" borderId="34" xfId="3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169" fontId="13" fillId="0" borderId="37" xfId="1" applyNumberFormat="1" applyFont="1" applyBorder="1" applyAlignment="1">
      <alignment horizontal="center" vertical="center"/>
    </xf>
    <xf numFmtId="9" fontId="13" fillId="0" borderId="36" xfId="3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69" fontId="3" fillId="0" borderId="37" xfId="0" applyNumberFormat="1" applyFont="1" applyBorder="1" applyAlignment="1">
      <alignment horizontal="center" vertical="center"/>
    </xf>
    <xf numFmtId="169" fontId="3" fillId="0" borderId="38" xfId="0" applyNumberFormat="1" applyFont="1" applyBorder="1" applyAlignment="1">
      <alignment horizontal="center" vertical="center"/>
    </xf>
    <xf numFmtId="10" fontId="0" fillId="0" borderId="0" xfId="3" applyNumberFormat="1" applyFont="1"/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9" fontId="3" fillId="0" borderId="41" xfId="3" applyFont="1" applyBorder="1" applyAlignment="1">
      <alignment horizontal="center" vertical="center"/>
    </xf>
    <xf numFmtId="9" fontId="3" fillId="0" borderId="42" xfId="3" applyFont="1" applyBorder="1" applyAlignment="1">
      <alignment horizontal="center" vertical="center"/>
    </xf>
    <xf numFmtId="9" fontId="3" fillId="0" borderId="40" xfId="3" applyFont="1" applyBorder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center"/>
    </xf>
    <xf numFmtId="170" fontId="0" fillId="0" borderId="0" xfId="0" applyNumberFormat="1"/>
    <xf numFmtId="0" fontId="17" fillId="0" borderId="0" xfId="0" applyFont="1"/>
    <xf numFmtId="0" fontId="15" fillId="4" borderId="43" xfId="0" applyFont="1" applyFill="1" applyBorder="1" applyAlignment="1">
      <alignment horizontal="center" wrapText="1"/>
    </xf>
    <xf numFmtId="0" fontId="15" fillId="3" borderId="44" xfId="0" applyFont="1" applyFill="1" applyBorder="1" applyAlignment="1">
      <alignment horizontal="center" vertical="center" wrapText="1"/>
    </xf>
    <xf numFmtId="169" fontId="13" fillId="0" borderId="45" xfId="1" applyNumberFormat="1" applyFont="1" applyBorder="1"/>
    <xf numFmtId="0" fontId="0" fillId="0" borderId="46" xfId="0" applyBorder="1" applyAlignment="1">
      <alignment horizontal="center" vertical="center"/>
    </xf>
    <xf numFmtId="171" fontId="13" fillId="0" borderId="35" xfId="2" applyNumberFormat="1" applyFont="1" applyBorder="1"/>
    <xf numFmtId="9" fontId="13" fillId="0" borderId="34" xfId="3" applyFont="1" applyBorder="1" applyAlignment="1">
      <alignment horizontal="center"/>
    </xf>
    <xf numFmtId="9" fontId="3" fillId="0" borderId="47" xfId="3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69" fontId="3" fillId="0" borderId="41" xfId="0" applyNumberFormat="1" applyFont="1" applyBorder="1" applyAlignment="1">
      <alignment horizontal="center" vertical="center"/>
    </xf>
    <xf numFmtId="169" fontId="3" fillId="0" borderId="42" xfId="0" applyNumberFormat="1" applyFont="1" applyBorder="1" applyAlignment="1">
      <alignment horizontal="center" vertical="center"/>
    </xf>
    <xf numFmtId="9" fontId="13" fillId="0" borderId="50" xfId="3" applyFont="1" applyBorder="1" applyAlignment="1">
      <alignment horizontal="center"/>
    </xf>
    <xf numFmtId="9" fontId="0" fillId="0" borderId="0" xfId="3" applyFont="1"/>
    <xf numFmtId="9" fontId="3" fillId="0" borderId="0" xfId="3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9" fontId="0" fillId="0" borderId="0" xfId="3" applyFont="1" applyFill="1"/>
    <xf numFmtId="1" fontId="0" fillId="0" borderId="0" xfId="3" applyNumberFormat="1" applyFont="1" applyFill="1"/>
    <xf numFmtId="165" fontId="0" fillId="0" borderId="0" xfId="3" applyNumberFormat="1" applyFont="1" applyFill="1"/>
    <xf numFmtId="169" fontId="13" fillId="0" borderId="51" xfId="1" applyNumberFormat="1" applyFont="1" applyBorder="1"/>
    <xf numFmtId="169" fontId="18" fillId="0" borderId="52" xfId="0" applyNumberFormat="1" applyFont="1" applyBorder="1"/>
    <xf numFmtId="0" fontId="15" fillId="3" borderId="44" xfId="0" applyFont="1" applyFill="1" applyBorder="1" applyAlignment="1">
      <alignment horizontal="center" wrapText="1"/>
    </xf>
    <xf numFmtId="0" fontId="18" fillId="0" borderId="46" xfId="0" applyFont="1" applyBorder="1" applyAlignment="1">
      <alignment horizontal="center" vertical="center"/>
    </xf>
    <xf numFmtId="9" fontId="13" fillId="0" borderId="36" xfId="3" applyFont="1" applyBorder="1" applyAlignment="1">
      <alignment horizontal="center"/>
    </xf>
    <xf numFmtId="0" fontId="18" fillId="0" borderId="48" xfId="0" applyFont="1" applyBorder="1" applyAlignment="1">
      <alignment horizontal="center" vertical="center"/>
    </xf>
    <xf numFmtId="166" fontId="0" fillId="0" borderId="0" xfId="0" applyNumberFormat="1"/>
    <xf numFmtId="0" fontId="18" fillId="0" borderId="49" xfId="0" applyFont="1" applyBorder="1" applyAlignment="1">
      <alignment horizontal="center" vertical="center"/>
    </xf>
    <xf numFmtId="169" fontId="18" fillId="0" borderId="41" xfId="2" applyNumberFormat="1" applyFont="1" applyBorder="1"/>
    <xf numFmtId="169" fontId="18" fillId="0" borderId="42" xfId="2" applyNumberFormat="1" applyFont="1" applyBorder="1"/>
    <xf numFmtId="10" fontId="18" fillId="5" borderId="40" xfId="3" applyNumberFormat="1" applyFont="1" applyFill="1" applyBorder="1" applyAlignment="1">
      <alignment horizontal="center"/>
    </xf>
    <xf numFmtId="0" fontId="15" fillId="4" borderId="44" xfId="0" applyFont="1" applyFill="1" applyBorder="1" applyAlignment="1">
      <alignment horizontal="center" vertical="center" wrapText="1"/>
    </xf>
    <xf numFmtId="0" fontId="19" fillId="0" borderId="0" xfId="0" applyFont="1"/>
    <xf numFmtId="0" fontId="3" fillId="0" borderId="46" xfId="0" applyFont="1" applyBorder="1" applyAlignment="1">
      <alignment horizontal="center" vertical="center"/>
    </xf>
    <xf numFmtId="165" fontId="3" fillId="0" borderId="35" xfId="2" applyNumberFormat="1" applyFont="1" applyBorder="1" applyAlignment="1">
      <alignment horizontal="center"/>
    </xf>
    <xf numFmtId="165" fontId="3" fillId="0" borderId="53" xfId="0" applyNumberFormat="1" applyFont="1" applyBorder="1" applyAlignment="1">
      <alignment horizontal="center"/>
    </xf>
    <xf numFmtId="165" fontId="3" fillId="0" borderId="34" xfId="0" applyNumberFormat="1" applyFont="1" applyBorder="1" applyAlignment="1">
      <alignment horizontal="center"/>
    </xf>
    <xf numFmtId="165" fontId="0" fillId="0" borderId="37" xfId="2" applyNumberFormat="1" applyFont="1" applyBorder="1" applyAlignment="1">
      <alignment horizontal="center"/>
    </xf>
    <xf numFmtId="165" fontId="0" fillId="0" borderId="38" xfId="2" applyNumberFormat="1" applyFont="1" applyBorder="1" applyAlignment="1">
      <alignment horizontal="center"/>
    </xf>
    <xf numFmtId="165" fontId="0" fillId="0" borderId="36" xfId="2" applyNumberFormat="1" applyFont="1" applyBorder="1" applyAlignment="1">
      <alignment horizontal="center"/>
    </xf>
    <xf numFmtId="0" fontId="3" fillId="0" borderId="48" xfId="0" applyFont="1" applyBorder="1" applyAlignment="1">
      <alignment horizontal="center" vertical="center"/>
    </xf>
    <xf numFmtId="165" fontId="3" fillId="0" borderId="37" xfId="2" applyNumberFormat="1" applyFont="1" applyBorder="1" applyAlignment="1">
      <alignment horizontal="center"/>
    </xf>
    <xf numFmtId="165" fontId="3" fillId="0" borderId="41" xfId="2" applyNumberFormat="1" applyFont="1" applyBorder="1" applyAlignment="1">
      <alignment horizontal="center"/>
    </xf>
    <xf numFmtId="165" fontId="3" fillId="0" borderId="42" xfId="2" applyNumberFormat="1" applyFont="1" applyBorder="1" applyAlignment="1">
      <alignment horizontal="center"/>
    </xf>
    <xf numFmtId="165" fontId="3" fillId="0" borderId="40" xfId="2" applyNumberFormat="1" applyFont="1" applyBorder="1" applyAlignment="1">
      <alignment horizontal="center"/>
    </xf>
    <xf numFmtId="37" fontId="20" fillId="0" borderId="0" xfId="0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172" fontId="1" fillId="0" borderId="0" xfId="2" applyNumberFormat="1" applyFont="1" applyBorder="1"/>
    <xf numFmtId="172" fontId="0" fillId="0" borderId="0" xfId="2" applyNumberFormat="1" applyFont="1"/>
    <xf numFmtId="0" fontId="21" fillId="0" borderId="11" xfId="0" applyFont="1" applyBorder="1"/>
    <xf numFmtId="0" fontId="21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1" fillId="0" borderId="5" xfId="0" applyFont="1" applyBorder="1"/>
    <xf numFmtId="0" fontId="0" fillId="0" borderId="19" xfId="0" applyBorder="1"/>
    <xf numFmtId="1" fontId="0" fillId="0" borderId="20" xfId="0" applyNumberFormat="1" applyBorder="1"/>
    <xf numFmtId="0" fontId="18" fillId="0" borderId="5" xfId="0" applyFont="1" applyBorder="1"/>
    <xf numFmtId="165" fontId="0" fillId="0" borderId="20" xfId="0" applyNumberFormat="1" applyBorder="1"/>
    <xf numFmtId="165" fontId="0" fillId="0" borderId="21" xfId="0" applyNumberFormat="1" applyBorder="1"/>
    <xf numFmtId="167" fontId="0" fillId="0" borderId="20" xfId="0" applyNumberFormat="1" applyBorder="1"/>
    <xf numFmtId="0" fontId="0" fillId="0" borderId="54" xfId="0" applyBorder="1"/>
    <xf numFmtId="0" fontId="3" fillId="0" borderId="5" xfId="0" applyFont="1" applyBorder="1"/>
    <xf numFmtId="10" fontId="0" fillId="0" borderId="20" xfId="3" applyNumberFormat="1" applyFont="1" applyBorder="1"/>
    <xf numFmtId="0" fontId="18" fillId="0" borderId="9" xfId="0" applyFont="1" applyBorder="1"/>
    <xf numFmtId="0" fontId="0" fillId="0" borderId="22" xfId="0" applyBorder="1"/>
    <xf numFmtId="165" fontId="0" fillId="0" borderId="23" xfId="0" applyNumberFormat="1" applyBorder="1"/>
    <xf numFmtId="165" fontId="0" fillId="0" borderId="24" xfId="0" applyNumberFormat="1" applyBorder="1"/>
    <xf numFmtId="0" fontId="23" fillId="2" borderId="55" xfId="6" applyFont="1" applyFill="1" applyBorder="1"/>
    <xf numFmtId="0" fontId="24" fillId="2" borderId="56" xfId="6" applyFont="1" applyFill="1" applyBorder="1"/>
    <xf numFmtId="0" fontId="24" fillId="2" borderId="57" xfId="6" applyFont="1" applyFill="1" applyBorder="1"/>
    <xf numFmtId="0" fontId="26" fillId="6" borderId="56" xfId="7" applyFont="1" applyFill="1" applyBorder="1" applyAlignment="1">
      <alignment horizontal="centerContinuous"/>
    </xf>
    <xf numFmtId="0" fontId="26" fillId="6" borderId="57" xfId="7" applyFont="1" applyFill="1" applyBorder="1" applyAlignment="1">
      <alignment horizontal="centerContinuous"/>
    </xf>
    <xf numFmtId="0" fontId="23" fillId="2" borderId="58" xfId="6" applyFont="1" applyFill="1" applyBorder="1"/>
    <xf numFmtId="0" fontId="23" fillId="2" borderId="59" xfId="0" applyFont="1" applyFill="1" applyBorder="1"/>
    <xf numFmtId="0" fontId="24" fillId="2" borderId="59" xfId="6" applyFont="1" applyFill="1" applyBorder="1"/>
    <xf numFmtId="0" fontId="24" fillId="2" borderId="60" xfId="6" applyFont="1" applyFill="1" applyBorder="1"/>
    <xf numFmtId="0" fontId="27" fillId="6" borderId="59" xfId="7" applyFont="1" applyFill="1" applyBorder="1" applyAlignment="1">
      <alignment horizontal="center"/>
    </xf>
    <xf numFmtId="0" fontId="27" fillId="6" borderId="60" xfId="7" applyFont="1" applyFill="1" applyBorder="1" applyAlignment="1">
      <alignment horizontal="center"/>
    </xf>
    <xf numFmtId="0" fontId="11" fillId="0" borderId="25" xfId="6" applyFont="1" applyBorder="1"/>
    <xf numFmtId="0" fontId="28" fillId="0" borderId="26" xfId="0" applyFont="1" applyBorder="1"/>
    <xf numFmtId="0" fontId="11" fillId="0" borderId="26" xfId="6" applyFont="1" applyBorder="1"/>
    <xf numFmtId="0" fontId="11" fillId="0" borderId="27" xfId="6" applyFont="1" applyBorder="1"/>
    <xf numFmtId="0" fontId="0" fillId="0" borderId="61" xfId="0" applyBorder="1"/>
    <xf numFmtId="0" fontId="0" fillId="0" borderId="26" xfId="0" applyBorder="1"/>
    <xf numFmtId="0" fontId="0" fillId="0" borderId="27" xfId="0" applyBorder="1"/>
    <xf numFmtId="0" fontId="11" fillId="0" borderId="28" xfId="6" applyFont="1" applyBorder="1"/>
    <xf numFmtId="0" fontId="11" fillId="0" borderId="20" xfId="0" applyFont="1" applyBorder="1"/>
    <xf numFmtId="0" fontId="11" fillId="0" borderId="21" xfId="6" applyFont="1" applyBorder="1"/>
    <xf numFmtId="172" fontId="0" fillId="0" borderId="19" xfId="2" applyNumberFormat="1" applyFont="1" applyBorder="1"/>
    <xf numFmtId="172" fontId="0" fillId="0" borderId="20" xfId="2" applyNumberFormat="1" applyFont="1" applyBorder="1"/>
    <xf numFmtId="172" fontId="0" fillId="0" borderId="21" xfId="2" applyNumberFormat="1" applyFont="1" applyBorder="1"/>
    <xf numFmtId="0" fontId="28" fillId="0" borderId="20" xfId="6" applyFont="1" applyBorder="1"/>
    <xf numFmtId="0" fontId="11" fillId="0" borderId="20" xfId="6" applyFont="1" applyBorder="1"/>
    <xf numFmtId="0" fontId="28" fillId="0" borderId="20" xfId="0" applyFont="1" applyBorder="1"/>
    <xf numFmtId="0" fontId="28" fillId="0" borderId="20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 indent="1"/>
    </xf>
    <xf numFmtId="0" fontId="28" fillId="0" borderId="21" xfId="6" applyFont="1" applyBorder="1"/>
    <xf numFmtId="0" fontId="11" fillId="0" borderId="29" xfId="6" applyFont="1" applyBorder="1"/>
    <xf numFmtId="0" fontId="28" fillId="0" borderId="23" xfId="6" applyFont="1" applyBorder="1"/>
    <xf numFmtId="0" fontId="11" fillId="0" borderId="23" xfId="6" applyFont="1" applyBorder="1"/>
    <xf numFmtId="0" fontId="11" fillId="0" borderId="24" xfId="6" applyFont="1" applyBorder="1"/>
    <xf numFmtId="171" fontId="5" fillId="0" borderId="22" xfId="8" applyNumberFormat="1" applyFont="1" applyBorder="1"/>
    <xf numFmtId="171" fontId="5" fillId="0" borderId="23" xfId="8" applyNumberFormat="1" applyFont="1" applyBorder="1"/>
    <xf numFmtId="171" fontId="5" fillId="0" borderId="24" xfId="8" applyNumberFormat="1" applyFont="1" applyBorder="1"/>
    <xf numFmtId="173" fontId="28" fillId="7" borderId="62" xfId="7" applyNumberFormat="1" applyFont="1" applyFill="1" applyBorder="1"/>
    <xf numFmtId="0" fontId="29" fillId="7" borderId="63" xfId="0" applyFont="1" applyFill="1" applyBorder="1" applyAlignment="1">
      <alignment horizontal="centerContinuous"/>
    </xf>
    <xf numFmtId="0" fontId="29" fillId="7" borderId="64" xfId="0" applyFont="1" applyFill="1" applyBorder="1" applyAlignment="1">
      <alignment horizontal="centerContinuous"/>
    </xf>
    <xf numFmtId="0" fontId="30" fillId="6" borderId="63" xfId="7" applyFont="1" applyFill="1" applyBorder="1" applyAlignment="1">
      <alignment horizontal="centerContinuous"/>
    </xf>
    <xf numFmtId="0" fontId="30" fillId="6" borderId="65" xfId="7" applyFont="1" applyFill="1" applyBorder="1" applyAlignment="1">
      <alignment horizontal="centerContinuous"/>
    </xf>
    <xf numFmtId="0" fontId="30" fillId="6" borderId="64" xfId="7" applyFont="1" applyFill="1" applyBorder="1" applyAlignment="1">
      <alignment horizontal="centerContinuous"/>
    </xf>
    <xf numFmtId="173" fontId="28" fillId="7" borderId="66" xfId="7" applyNumberFormat="1" applyFont="1" applyFill="1" applyBorder="1"/>
    <xf numFmtId="0" fontId="28" fillId="7" borderId="67" xfId="7" applyFont="1" applyFill="1" applyBorder="1"/>
    <xf numFmtId="0" fontId="28" fillId="7" borderId="67" xfId="7" applyFont="1" applyFill="1" applyBorder="1" applyAlignment="1">
      <alignment horizontal="center"/>
    </xf>
    <xf numFmtId="0" fontId="28" fillId="7" borderId="68" xfId="7" applyFont="1" applyFill="1" applyBorder="1" applyAlignment="1">
      <alignment horizontal="center"/>
    </xf>
    <xf numFmtId="0" fontId="27" fillId="6" borderId="67" xfId="7" applyFont="1" applyFill="1" applyBorder="1" applyAlignment="1">
      <alignment horizontal="center"/>
    </xf>
    <xf numFmtId="0" fontId="27" fillId="6" borderId="68" xfId="7" applyFont="1" applyFill="1" applyBorder="1" applyAlignment="1">
      <alignment horizontal="center"/>
    </xf>
    <xf numFmtId="0" fontId="31" fillId="0" borderId="69" xfId="6" applyFont="1" applyBorder="1"/>
    <xf numFmtId="0" fontId="31" fillId="0" borderId="70" xfId="6" applyFont="1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31" fillId="0" borderId="73" xfId="0" applyFont="1" applyBorder="1"/>
    <xf numFmtId="0" fontId="31" fillId="0" borderId="74" xfId="0" applyFont="1" applyBorder="1"/>
    <xf numFmtId="0" fontId="31" fillId="0" borderId="74" xfId="6" applyFont="1" applyBorder="1"/>
    <xf numFmtId="0" fontId="0" fillId="0" borderId="74" xfId="0" applyBorder="1"/>
    <xf numFmtId="0" fontId="0" fillId="0" borderId="75" xfId="0" applyBorder="1"/>
    <xf numFmtId="167" fontId="0" fillId="0" borderId="76" xfId="0" applyNumberFormat="1" applyBorder="1"/>
    <xf numFmtId="167" fontId="0" fillId="0" borderId="74" xfId="0" applyNumberFormat="1" applyBorder="1"/>
    <xf numFmtId="167" fontId="0" fillId="0" borderId="75" xfId="0" applyNumberFormat="1" applyBorder="1"/>
    <xf numFmtId="172" fontId="0" fillId="0" borderId="76" xfId="0" applyNumberFormat="1" applyBorder="1"/>
    <xf numFmtId="172" fontId="0" fillId="0" borderId="74" xfId="0" applyNumberFormat="1" applyBorder="1"/>
    <xf numFmtId="172" fontId="0" fillId="0" borderId="75" xfId="0" applyNumberFormat="1" applyBorder="1"/>
    <xf numFmtId="0" fontId="0" fillId="0" borderId="76" xfId="0" applyBorder="1"/>
    <xf numFmtId="0" fontId="32" fillId="0" borderId="73" xfId="6" applyFont="1" applyBorder="1"/>
    <xf numFmtId="0" fontId="31" fillId="0" borderId="73" xfId="6" applyFont="1" applyBorder="1"/>
    <xf numFmtId="0" fontId="32" fillId="0" borderId="74" xfId="0" applyFont="1" applyBorder="1"/>
    <xf numFmtId="165" fontId="0" fillId="0" borderId="76" xfId="0" applyNumberFormat="1" applyBorder="1"/>
    <xf numFmtId="165" fontId="0" fillId="0" borderId="74" xfId="0" applyNumberFormat="1" applyBorder="1"/>
    <xf numFmtId="165" fontId="0" fillId="0" borderId="75" xfId="0" applyNumberFormat="1" applyBorder="1"/>
    <xf numFmtId="172" fontId="0" fillId="0" borderId="76" xfId="2" applyNumberFormat="1" applyFont="1" applyBorder="1"/>
    <xf numFmtId="172" fontId="0" fillId="0" borderId="74" xfId="2" applyNumberFormat="1" applyFont="1" applyBorder="1"/>
    <xf numFmtId="172" fontId="0" fillId="0" borderId="75" xfId="2" applyNumberFormat="1" applyFont="1" applyBorder="1"/>
    <xf numFmtId="0" fontId="33" fillId="0" borderId="73" xfId="0" applyFont="1" applyBorder="1"/>
    <xf numFmtId="0" fontId="33" fillId="0" borderId="74" xfId="0" applyFont="1" applyBorder="1"/>
    <xf numFmtId="0" fontId="34" fillId="0" borderId="73" xfId="0" applyFont="1" applyBorder="1" applyAlignment="1">
      <alignment horizontal="left"/>
    </xf>
    <xf numFmtId="0" fontId="33" fillId="0" borderId="73" xfId="0" applyFont="1" applyBorder="1" applyAlignment="1">
      <alignment horizontal="left"/>
    </xf>
    <xf numFmtId="0" fontId="34" fillId="0" borderId="77" xfId="0" applyFont="1" applyBorder="1" applyAlignment="1">
      <alignment horizontal="left"/>
    </xf>
    <xf numFmtId="0" fontId="34" fillId="0" borderId="78" xfId="0" applyFont="1" applyBorder="1"/>
    <xf numFmtId="0" fontId="0" fillId="0" borderId="78" xfId="0" applyBorder="1"/>
    <xf numFmtId="0" fontId="0" fillId="0" borderId="79" xfId="0" applyBorder="1"/>
    <xf numFmtId="167" fontId="0" fillId="0" borderId="80" xfId="0" applyNumberFormat="1" applyBorder="1"/>
    <xf numFmtId="167" fontId="0" fillId="0" borderId="78" xfId="0" applyNumberFormat="1" applyBorder="1"/>
    <xf numFmtId="167" fontId="0" fillId="0" borderId="79" xfId="0" applyNumberFormat="1" applyBorder="1"/>
    <xf numFmtId="164" fontId="8" fillId="0" borderId="0" xfId="4" applyNumberFormat="1" applyFont="1" applyAlignment="1">
      <alignment horizontal="right"/>
    </xf>
    <xf numFmtId="0" fontId="0" fillId="0" borderId="81" xfId="0" applyBorder="1"/>
    <xf numFmtId="9" fontId="3" fillId="0" borderId="82" xfId="0" applyNumberFormat="1" applyFont="1" applyBorder="1"/>
    <xf numFmtId="164" fontId="9" fillId="0" borderId="0" xfId="4" applyNumberFormat="1" applyFont="1" applyAlignment="1">
      <alignment horizontal="right"/>
    </xf>
    <xf numFmtId="0" fontId="0" fillId="0" borderId="1" xfId="0" applyBorder="1"/>
    <xf numFmtId="9" fontId="3" fillId="0" borderId="36" xfId="0" applyNumberFormat="1" applyFont="1" applyBorder="1"/>
    <xf numFmtId="164" fontId="10" fillId="0" borderId="0" xfId="4" applyNumberFormat="1" applyFont="1" applyAlignment="1">
      <alignment horizontal="right"/>
    </xf>
    <xf numFmtId="0" fontId="0" fillId="0" borderId="39" xfId="0" applyBorder="1"/>
    <xf numFmtId="0" fontId="3" fillId="0" borderId="40" xfId="0" applyFont="1" applyBorder="1" applyAlignment="1">
      <alignment horizontal="right"/>
    </xf>
    <xf numFmtId="164" fontId="11" fillId="0" borderId="0" xfId="4" applyNumberFormat="1" applyFont="1" applyAlignment="1">
      <alignment horizontal="right"/>
    </xf>
    <xf numFmtId="0" fontId="2" fillId="2" borderId="62" xfId="0" applyFont="1" applyFill="1" applyBorder="1"/>
    <xf numFmtId="0" fontId="2" fillId="2" borderId="63" xfId="0" applyFont="1" applyFill="1" applyBorder="1"/>
    <xf numFmtId="0" fontId="2" fillId="2" borderId="64" xfId="0" applyFont="1" applyFill="1" applyBorder="1"/>
    <xf numFmtId="0" fontId="0" fillId="2" borderId="64" xfId="0" applyFill="1" applyBorder="1"/>
    <xf numFmtId="0" fontId="2" fillId="2" borderId="66" xfId="0" applyFont="1" applyFill="1" applyBorder="1"/>
    <xf numFmtId="0" fontId="2" fillId="2" borderId="67" xfId="0" applyFont="1" applyFill="1" applyBorder="1"/>
    <xf numFmtId="174" fontId="2" fillId="2" borderId="68" xfId="0" applyNumberFormat="1" applyFont="1" applyFill="1" applyBorder="1" applyAlignment="1">
      <alignment horizontal="center"/>
    </xf>
    <xf numFmtId="174" fontId="2" fillId="2" borderId="67" xfId="0" applyNumberFormat="1" applyFont="1" applyFill="1" applyBorder="1" applyAlignment="1">
      <alignment horizontal="center"/>
    </xf>
    <xf numFmtId="0" fontId="2" fillId="0" borderId="83" xfId="0" applyFont="1" applyBorder="1"/>
    <xf numFmtId="0" fontId="2" fillId="0" borderId="0" xfId="0" applyFont="1"/>
    <xf numFmtId="174" fontId="2" fillId="0" borderId="84" xfId="0" applyNumberFormat="1" applyFont="1" applyBorder="1" applyAlignment="1">
      <alignment horizontal="center"/>
    </xf>
    <xf numFmtId="174" fontId="2" fillId="0" borderId="0" xfId="0" applyNumberFormat="1" applyFont="1" applyAlignment="1">
      <alignment horizontal="center"/>
    </xf>
    <xf numFmtId="0" fontId="0" fillId="0" borderId="85" xfId="0" applyBorder="1"/>
    <xf numFmtId="0" fontId="35" fillId="0" borderId="83" xfId="0" applyFont="1" applyBorder="1"/>
    <xf numFmtId="172" fontId="36" fillId="0" borderId="84" xfId="2" applyNumberFormat="1" applyFont="1" applyFill="1" applyBorder="1" applyAlignment="1">
      <alignment horizontal="center"/>
    </xf>
    <xf numFmtId="172" fontId="36" fillId="0" borderId="0" xfId="2" applyNumberFormat="1" applyFont="1" applyFill="1" applyBorder="1" applyAlignment="1">
      <alignment horizontal="center"/>
    </xf>
    <xf numFmtId="172" fontId="36" fillId="0" borderId="85" xfId="2" applyNumberFormat="1" applyFont="1" applyFill="1" applyBorder="1" applyAlignment="1">
      <alignment horizontal="center"/>
    </xf>
    <xf numFmtId="0" fontId="0" fillId="0" borderId="69" xfId="0" applyBorder="1"/>
    <xf numFmtId="172" fontId="37" fillId="0" borderId="71" xfId="2" applyNumberFormat="1" applyFont="1" applyBorder="1" applyAlignment="1">
      <alignment horizontal="center"/>
    </xf>
    <xf numFmtId="165" fontId="37" fillId="0" borderId="72" xfId="2" applyNumberFormat="1" applyFont="1" applyBorder="1" applyAlignment="1">
      <alignment horizontal="center"/>
    </xf>
    <xf numFmtId="165" fontId="37" fillId="0" borderId="70" xfId="2" applyNumberFormat="1" applyFont="1" applyBorder="1" applyAlignment="1">
      <alignment horizontal="center"/>
    </xf>
    <xf numFmtId="0" fontId="0" fillId="0" borderId="73" xfId="0" applyBorder="1"/>
    <xf numFmtId="172" fontId="38" fillId="0" borderId="75" xfId="2" applyNumberFormat="1" applyFont="1" applyBorder="1" applyAlignment="1">
      <alignment horizontal="center"/>
    </xf>
    <xf numFmtId="165" fontId="38" fillId="0" borderId="76" xfId="2" applyNumberFormat="1" applyFont="1" applyBorder="1" applyAlignment="1">
      <alignment horizontal="center"/>
    </xf>
    <xf numFmtId="165" fontId="37" fillId="0" borderId="74" xfId="2" applyNumberFormat="1" applyFont="1" applyBorder="1" applyAlignment="1">
      <alignment horizontal="center"/>
    </xf>
    <xf numFmtId="165" fontId="37" fillId="0" borderId="75" xfId="2" applyNumberFormat="1" applyFont="1" applyBorder="1" applyAlignment="1">
      <alignment horizontal="center"/>
    </xf>
    <xf numFmtId="165" fontId="3" fillId="0" borderId="75" xfId="0" applyNumberFormat="1" applyFont="1" applyBorder="1" applyAlignment="1">
      <alignment horizontal="center"/>
    </xf>
    <xf numFmtId="165" fontId="36" fillId="0" borderId="76" xfId="2" applyNumberFormat="1" applyFont="1" applyBorder="1" applyAlignment="1">
      <alignment horizontal="center"/>
    </xf>
    <xf numFmtId="165" fontId="36" fillId="0" borderId="74" xfId="2" applyNumberFormat="1" applyFont="1" applyBorder="1" applyAlignment="1">
      <alignment horizontal="center"/>
    </xf>
    <xf numFmtId="165" fontId="36" fillId="0" borderId="75" xfId="2" applyNumberFormat="1" applyFont="1" applyBorder="1" applyAlignment="1">
      <alignment horizontal="center"/>
    </xf>
    <xf numFmtId="165" fontId="0" fillId="0" borderId="75" xfId="0" applyNumberFormat="1" applyBorder="1" applyAlignment="1">
      <alignment horizontal="center"/>
    </xf>
    <xf numFmtId="165" fontId="37" fillId="0" borderId="76" xfId="2" applyNumberFormat="1" applyFont="1" applyBorder="1" applyAlignment="1">
      <alignment horizontal="center"/>
    </xf>
    <xf numFmtId="165" fontId="0" fillId="0" borderId="76" xfId="0" applyNumberFormat="1" applyBorder="1" applyAlignment="1">
      <alignment horizontal="center"/>
    </xf>
    <xf numFmtId="165" fontId="0" fillId="0" borderId="74" xfId="0" applyNumberFormat="1" applyBorder="1" applyAlignment="1">
      <alignment horizontal="center"/>
    </xf>
    <xf numFmtId="165" fontId="0" fillId="0" borderId="74" xfId="2" applyNumberFormat="1" applyFont="1" applyBorder="1" applyAlignment="1">
      <alignment horizontal="center"/>
    </xf>
    <xf numFmtId="165" fontId="0" fillId="0" borderId="75" xfId="2" applyNumberFormat="1" applyFont="1" applyBorder="1"/>
    <xf numFmtId="0" fontId="3" fillId="0" borderId="74" xfId="0" applyFont="1" applyBorder="1"/>
    <xf numFmtId="169" fontId="0" fillId="0" borderId="75" xfId="0" applyNumberFormat="1" applyBorder="1" applyAlignment="1">
      <alignment horizontal="center"/>
    </xf>
    <xf numFmtId="165" fontId="0" fillId="0" borderId="76" xfId="2" applyNumberFormat="1" applyFont="1" applyBorder="1" applyAlignment="1">
      <alignment horizontal="center"/>
    </xf>
    <xf numFmtId="165" fontId="0" fillId="0" borderId="75" xfId="2" applyNumberFormat="1" applyFont="1" applyBorder="1" applyAlignment="1">
      <alignment horizontal="center"/>
    </xf>
    <xf numFmtId="172" fontId="0" fillId="0" borderId="0" xfId="0" applyNumberFormat="1"/>
    <xf numFmtId="44" fontId="0" fillId="0" borderId="0" xfId="2" applyFont="1"/>
    <xf numFmtId="165" fontId="3" fillId="0" borderId="76" xfId="0" applyNumberFormat="1" applyFont="1" applyBorder="1" applyAlignment="1">
      <alignment horizontal="center"/>
    </xf>
    <xf numFmtId="165" fontId="3" fillId="0" borderId="74" xfId="2" applyNumberFormat="1" applyFont="1" applyBorder="1" applyAlignment="1">
      <alignment horizontal="center"/>
    </xf>
    <xf numFmtId="0" fontId="3" fillId="8" borderId="73" xfId="0" applyFont="1" applyFill="1" applyBorder="1"/>
    <xf numFmtId="0" fontId="3" fillId="8" borderId="74" xfId="0" applyFont="1" applyFill="1" applyBorder="1"/>
    <xf numFmtId="169" fontId="3" fillId="8" borderId="75" xfId="0" applyNumberFormat="1" applyFont="1" applyFill="1" applyBorder="1" applyAlignment="1">
      <alignment horizontal="center"/>
    </xf>
    <xf numFmtId="165" fontId="3" fillId="8" borderId="76" xfId="2" applyNumberFormat="1" applyFont="1" applyFill="1" applyBorder="1" applyAlignment="1">
      <alignment horizontal="center"/>
    </xf>
    <xf numFmtId="165" fontId="3" fillId="8" borderId="74" xfId="2" applyNumberFormat="1" applyFont="1" applyFill="1" applyBorder="1" applyAlignment="1">
      <alignment horizontal="center"/>
    </xf>
    <xf numFmtId="165" fontId="3" fillId="8" borderId="75" xfId="2" applyNumberFormat="1" applyFont="1" applyFill="1" applyBorder="1" applyAlignment="1">
      <alignment horizontal="center"/>
    </xf>
    <xf numFmtId="0" fontId="3" fillId="0" borderId="73" xfId="0" applyFont="1" applyBorder="1"/>
    <xf numFmtId="0" fontId="0" fillId="0" borderId="86" xfId="0" applyBorder="1"/>
    <xf numFmtId="0" fontId="0" fillId="0" borderId="87" xfId="0" applyBorder="1"/>
    <xf numFmtId="165" fontId="0" fillId="0" borderId="88" xfId="0" applyNumberFormat="1" applyBorder="1" applyAlignment="1">
      <alignment horizontal="center"/>
    </xf>
    <xf numFmtId="0" fontId="3" fillId="9" borderId="89" xfId="0" applyFont="1" applyFill="1" applyBorder="1" applyAlignment="1">
      <alignment vertical="center"/>
    </xf>
    <xf numFmtId="0" fontId="3" fillId="9" borderId="90" xfId="0" applyFont="1" applyFill="1" applyBorder="1" applyAlignment="1">
      <alignment vertical="center"/>
    </xf>
    <xf numFmtId="165" fontId="3" fillId="9" borderId="91" xfId="0" applyNumberFormat="1" applyFont="1" applyFill="1" applyBorder="1" applyAlignment="1">
      <alignment horizontal="center" vertical="center"/>
    </xf>
    <xf numFmtId="172" fontId="3" fillId="0" borderId="76" xfId="0" applyNumberFormat="1" applyFont="1" applyBorder="1" applyAlignment="1">
      <alignment horizontal="center" vertical="center"/>
    </xf>
    <xf numFmtId="167" fontId="3" fillId="0" borderId="74" xfId="0" applyNumberFormat="1" applyFont="1" applyBorder="1" applyAlignment="1">
      <alignment horizontal="center" vertical="center"/>
    </xf>
    <xf numFmtId="165" fontId="3" fillId="0" borderId="74" xfId="0" applyNumberFormat="1" applyFont="1" applyBorder="1" applyAlignment="1">
      <alignment horizontal="center"/>
    </xf>
    <xf numFmtId="0" fontId="0" fillId="0" borderId="92" xfId="0" applyBorder="1"/>
    <xf numFmtId="0" fontId="0" fillId="0" borderId="93" xfId="0" applyBorder="1"/>
    <xf numFmtId="0" fontId="0" fillId="0" borderId="94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4" xfId="0" applyBorder="1" applyAlignment="1">
      <alignment horizontal="center"/>
    </xf>
    <xf numFmtId="0" fontId="3" fillId="9" borderId="89" xfId="0" applyFont="1" applyFill="1" applyBorder="1"/>
    <xf numFmtId="0" fontId="3" fillId="9" borderId="90" xfId="0" applyFont="1" applyFill="1" applyBorder="1"/>
    <xf numFmtId="9" fontId="39" fillId="9" borderId="91" xfId="0" applyNumberFormat="1" applyFont="1" applyFill="1" applyBorder="1" applyAlignment="1">
      <alignment horizontal="center"/>
    </xf>
    <xf numFmtId="10" fontId="39" fillId="0" borderId="76" xfId="0" applyNumberFormat="1" applyFont="1" applyBorder="1" applyAlignment="1">
      <alignment horizontal="center"/>
    </xf>
    <xf numFmtId="10" fontId="39" fillId="0" borderId="74" xfId="0" applyNumberFormat="1" applyFont="1" applyBorder="1" applyAlignment="1">
      <alignment horizontal="center"/>
    </xf>
    <xf numFmtId="0" fontId="0" fillId="0" borderId="95" xfId="0" applyBorder="1"/>
    <xf numFmtId="0" fontId="0" fillId="0" borderId="96" xfId="0" applyBorder="1"/>
    <xf numFmtId="9" fontId="0" fillId="0" borderId="97" xfId="0" applyNumberFormat="1" applyBorder="1"/>
    <xf numFmtId="9" fontId="0" fillId="0" borderId="80" xfId="0" applyNumberFormat="1" applyBorder="1"/>
    <xf numFmtId="9" fontId="0" fillId="0" borderId="78" xfId="0" applyNumberFormat="1" applyBorder="1"/>
    <xf numFmtId="9" fontId="0" fillId="0" borderId="0" xfId="0" applyNumberFormat="1"/>
    <xf numFmtId="0" fontId="6" fillId="0" borderId="0" xfId="4" applyFont="1" applyAlignment="1">
      <alignment horizontal="left"/>
    </xf>
    <xf numFmtId="17" fontId="7" fillId="0" borderId="0" xfId="4" applyNumberFormat="1" applyFont="1" applyAlignment="1">
      <alignment horizontal="left"/>
    </xf>
    <xf numFmtId="0" fontId="0" fillId="0" borderId="98" xfId="0" applyBorder="1"/>
    <xf numFmtId="9" fontId="0" fillId="0" borderId="98" xfId="0" applyNumberFormat="1" applyBorder="1"/>
    <xf numFmtId="0" fontId="0" fillId="0" borderId="99" xfId="0" applyBorder="1"/>
    <xf numFmtId="0" fontId="0" fillId="0" borderId="100" xfId="0" applyBorder="1"/>
    <xf numFmtId="165" fontId="0" fillId="0" borderId="100" xfId="0" applyNumberFormat="1" applyBorder="1"/>
    <xf numFmtId="0" fontId="0" fillId="0" borderId="48" xfId="0" applyBorder="1"/>
    <xf numFmtId="174" fontId="0" fillId="0" borderId="98" xfId="1" applyNumberFormat="1" applyFont="1" applyBorder="1"/>
    <xf numFmtId="0" fontId="0" fillId="0" borderId="49" xfId="0" applyBorder="1"/>
    <xf numFmtId="167" fontId="0" fillId="0" borderId="49" xfId="0" applyNumberFormat="1" applyBorder="1"/>
    <xf numFmtId="0" fontId="23" fillId="2" borderId="62" xfId="6" applyFont="1" applyFill="1" applyBorder="1"/>
    <xf numFmtId="0" fontId="24" fillId="2" borderId="63" xfId="6" applyFont="1" applyFill="1" applyBorder="1"/>
    <xf numFmtId="0" fontId="26" fillId="6" borderId="63" xfId="7" applyFont="1" applyFill="1" applyBorder="1" applyAlignment="1">
      <alignment horizontal="centerContinuous"/>
    </xf>
    <xf numFmtId="0" fontId="26" fillId="6" borderId="64" xfId="7" applyFont="1" applyFill="1" applyBorder="1" applyAlignment="1">
      <alignment horizontal="centerContinuous"/>
    </xf>
    <xf numFmtId="0" fontId="23" fillId="2" borderId="66" xfId="6" applyFont="1" applyFill="1" applyBorder="1"/>
    <xf numFmtId="0" fontId="23" fillId="2" borderId="67" xfId="0" applyFont="1" applyFill="1" applyBorder="1"/>
    <xf numFmtId="0" fontId="24" fillId="2" borderId="67" xfId="6" applyFont="1" applyFill="1" applyBorder="1"/>
    <xf numFmtId="0" fontId="0" fillId="0" borderId="101" xfId="0" applyBorder="1"/>
    <xf numFmtId="0" fontId="0" fillId="0" borderId="102" xfId="0" applyBorder="1"/>
    <xf numFmtId="165" fontId="0" fillId="0" borderId="102" xfId="0" applyNumberFormat="1" applyBorder="1"/>
    <xf numFmtId="165" fontId="0" fillId="0" borderId="103" xfId="0" applyNumberFormat="1" applyBorder="1"/>
    <xf numFmtId="0" fontId="0" fillId="0" borderId="77" xfId="0" applyBorder="1"/>
    <xf numFmtId="165" fontId="0" fillId="0" borderId="78" xfId="0" applyNumberFormat="1" applyBorder="1"/>
    <xf numFmtId="165" fontId="0" fillId="0" borderId="79" xfId="0" applyNumberFormat="1" applyBorder="1"/>
    <xf numFmtId="0" fontId="23" fillId="2" borderId="104" xfId="6" applyFont="1" applyFill="1" applyBorder="1"/>
    <xf numFmtId="0" fontId="23" fillId="2" borderId="105" xfId="0" applyFont="1" applyFill="1" applyBorder="1"/>
    <xf numFmtId="0" fontId="24" fillId="2" borderId="105" xfId="6" applyFont="1" applyFill="1" applyBorder="1"/>
    <xf numFmtId="0" fontId="27" fillId="6" borderId="105" xfId="7" applyFont="1" applyFill="1" applyBorder="1" applyAlignment="1">
      <alignment horizontal="center"/>
    </xf>
    <xf numFmtId="0" fontId="27" fillId="6" borderId="106" xfId="7" applyFont="1" applyFill="1" applyBorder="1" applyAlignment="1">
      <alignment horizontal="center"/>
    </xf>
    <xf numFmtId="0" fontId="0" fillId="0" borderId="107" xfId="0" applyBorder="1"/>
    <xf numFmtId="0" fontId="0" fillId="0" borderId="108" xfId="0" applyBorder="1"/>
    <xf numFmtId="165" fontId="0" fillId="0" borderId="108" xfId="0" applyNumberFormat="1" applyBorder="1"/>
    <xf numFmtId="165" fontId="0" fillId="0" borderId="109" xfId="0" applyNumberFormat="1" applyBorder="1"/>
    <xf numFmtId="0" fontId="0" fillId="0" borderId="83" xfId="0" applyBorder="1"/>
    <xf numFmtId="165" fontId="0" fillId="0" borderId="84" xfId="0" applyNumberFormat="1" applyBorder="1"/>
    <xf numFmtId="0" fontId="0" fillId="0" borderId="66" xfId="0" applyBorder="1"/>
    <xf numFmtId="0" fontId="0" fillId="0" borderId="67" xfId="0" applyBorder="1"/>
    <xf numFmtId="165" fontId="0" fillId="0" borderId="67" xfId="0" applyNumberFormat="1" applyBorder="1"/>
    <xf numFmtId="165" fontId="0" fillId="0" borderId="68" xfId="0" applyNumberFormat="1" applyBorder="1"/>
    <xf numFmtId="0" fontId="23" fillId="2" borderId="110" xfId="6" applyFont="1" applyFill="1" applyBorder="1"/>
    <xf numFmtId="0" fontId="23" fillId="2" borderId="111" xfId="0" applyFont="1" applyFill="1" applyBorder="1"/>
    <xf numFmtId="0" fontId="0" fillId="0" borderId="111" xfId="0" applyBorder="1"/>
    <xf numFmtId="174" fontId="2" fillId="2" borderId="111" xfId="0" applyNumberFormat="1" applyFont="1" applyFill="1" applyBorder="1" applyAlignment="1">
      <alignment horizontal="center"/>
    </xf>
    <xf numFmtId="0" fontId="27" fillId="6" borderId="111" xfId="7" applyFont="1" applyFill="1" applyBorder="1" applyAlignment="1">
      <alignment horizontal="center"/>
    </xf>
    <xf numFmtId="0" fontId="27" fillId="6" borderId="112" xfId="7" applyFont="1" applyFill="1" applyBorder="1" applyAlignment="1">
      <alignment horizontal="center"/>
    </xf>
    <xf numFmtId="0" fontId="0" fillId="0" borderId="113" xfId="0" applyBorder="1"/>
    <xf numFmtId="2" fontId="0" fillId="0" borderId="38" xfId="0" applyNumberFormat="1" applyBorder="1"/>
    <xf numFmtId="0" fontId="0" fillId="0" borderId="38" xfId="0" applyBorder="1"/>
    <xf numFmtId="165" fontId="0" fillId="0" borderId="38" xfId="0" applyNumberFormat="1" applyBorder="1"/>
    <xf numFmtId="165" fontId="0" fillId="0" borderId="114" xfId="0" applyNumberFormat="1" applyBorder="1"/>
    <xf numFmtId="0" fontId="0" fillId="0" borderId="115" xfId="0" applyBorder="1"/>
    <xf numFmtId="2" fontId="0" fillId="0" borderId="116" xfId="0" applyNumberFormat="1" applyBorder="1"/>
    <xf numFmtId="0" fontId="0" fillId="0" borderId="116" xfId="0" applyBorder="1"/>
    <xf numFmtId="165" fontId="0" fillId="0" borderId="116" xfId="0" applyNumberFormat="1" applyBorder="1"/>
    <xf numFmtId="165" fontId="0" fillId="0" borderId="117" xfId="0" applyNumberFormat="1" applyBorder="1"/>
    <xf numFmtId="172" fontId="0" fillId="0" borderId="108" xfId="0" applyNumberFormat="1" applyBorder="1"/>
    <xf numFmtId="172" fontId="0" fillId="0" borderId="109" xfId="0" applyNumberFormat="1" applyBorder="1"/>
    <xf numFmtId="172" fontId="0" fillId="0" borderId="84" xfId="0" applyNumberFormat="1" applyBorder="1"/>
    <xf numFmtId="172" fontId="0" fillId="0" borderId="67" xfId="0" applyNumberFormat="1" applyBorder="1"/>
    <xf numFmtId="172" fontId="0" fillId="0" borderId="68" xfId="0" applyNumberFormat="1" applyBorder="1"/>
    <xf numFmtId="0" fontId="0" fillId="0" borderId="89" xfId="0" applyBorder="1"/>
    <xf numFmtId="0" fontId="0" fillId="0" borderId="90" xfId="0" applyBorder="1"/>
    <xf numFmtId="0" fontId="0" fillId="0" borderId="91" xfId="0" applyBorder="1"/>
    <xf numFmtId="165" fontId="0" fillId="0" borderId="88" xfId="0" applyNumberFormat="1" applyBorder="1"/>
    <xf numFmtId="0" fontId="3" fillId="0" borderId="11" xfId="0" applyFont="1" applyBorder="1"/>
    <xf numFmtId="9" fontId="0" fillId="0" borderId="21" xfId="3" applyFont="1" applyBorder="1"/>
    <xf numFmtId="9" fontId="0" fillId="0" borderId="20" xfId="3" applyFont="1" applyBorder="1"/>
    <xf numFmtId="0" fontId="3" fillId="0" borderId="3" xfId="0" applyFont="1" applyBorder="1"/>
    <xf numFmtId="9" fontId="0" fillId="0" borderId="24" xfId="3" applyFont="1" applyBorder="1"/>
    <xf numFmtId="0" fontId="21" fillId="0" borderId="0" xfId="0" applyFont="1"/>
    <xf numFmtId="0" fontId="18" fillId="0" borderId="0" xfId="0" applyFont="1"/>
    <xf numFmtId="0" fontId="3" fillId="0" borderId="4" xfId="0" applyFont="1" applyBorder="1"/>
    <xf numFmtId="9" fontId="0" fillId="0" borderId="6" xfId="0" applyNumberFormat="1" applyBorder="1"/>
    <xf numFmtId="0" fontId="0" fillId="0" borderId="5" xfId="0" quotePrefix="1" applyBorder="1"/>
    <xf numFmtId="0" fontId="3" fillId="0" borderId="9" xfId="0" applyFont="1" applyBorder="1"/>
    <xf numFmtId="165" fontId="0" fillId="0" borderId="10" xfId="0" applyNumberFormat="1" applyBorder="1"/>
    <xf numFmtId="0" fontId="3" fillId="0" borderId="118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119" xfId="0" applyBorder="1"/>
    <xf numFmtId="165" fontId="0" fillId="0" borderId="17" xfId="0" applyNumberFormat="1" applyBorder="1"/>
    <xf numFmtId="9" fontId="0" fillId="0" borderId="17" xfId="0" applyNumberFormat="1" applyBorder="1"/>
    <xf numFmtId="165" fontId="0" fillId="0" borderId="18" xfId="0" applyNumberFormat="1" applyBorder="1"/>
    <xf numFmtId="0" fontId="0" fillId="0" borderId="28" xfId="0" applyBorder="1"/>
    <xf numFmtId="9" fontId="0" fillId="0" borderId="20" xfId="0" applyNumberFormat="1" applyBorder="1"/>
    <xf numFmtId="0" fontId="3" fillId="0" borderId="29" xfId="0" applyFont="1" applyBorder="1"/>
    <xf numFmtId="165" fontId="0" fillId="0" borderId="120" xfId="0" applyNumberFormat="1" applyBorder="1"/>
    <xf numFmtId="0" fontId="3" fillId="0" borderId="12" xfId="0" applyFont="1" applyBorder="1"/>
    <xf numFmtId="0" fontId="3" fillId="0" borderId="13" xfId="0" quotePrefix="1" applyFont="1" applyBorder="1"/>
    <xf numFmtId="0" fontId="0" fillId="0" borderId="15" xfId="0" quotePrefix="1" applyBorder="1"/>
    <xf numFmtId="165" fontId="0" fillId="0" borderId="16" xfId="0" quotePrefix="1" applyNumberFormat="1" applyBorder="1"/>
    <xf numFmtId="9" fontId="0" fillId="0" borderId="17" xfId="0" quotePrefix="1" applyNumberFormat="1" applyBorder="1"/>
    <xf numFmtId="9" fontId="0" fillId="0" borderId="5" xfId="0" applyNumberFormat="1" applyBorder="1"/>
    <xf numFmtId="165" fontId="0" fillId="0" borderId="19" xfId="0" quotePrefix="1" applyNumberFormat="1" applyBorder="1"/>
    <xf numFmtId="9" fontId="0" fillId="0" borderId="20" xfId="0" quotePrefix="1" applyNumberFormat="1" applyBorder="1"/>
    <xf numFmtId="165" fontId="0" fillId="0" borderId="22" xfId="0" applyNumberFormat="1" applyBorder="1"/>
    <xf numFmtId="9" fontId="0" fillId="0" borderId="9" xfId="0" applyNumberFormat="1" applyBorder="1"/>
    <xf numFmtId="175" fontId="12" fillId="0" borderId="18" xfId="1" applyNumberFormat="1" applyFont="1" applyBorder="1"/>
    <xf numFmtId="175" fontId="12" fillId="0" borderId="21" xfId="1" applyNumberFormat="1" applyFont="1" applyBorder="1"/>
    <xf numFmtId="175" fontId="12" fillId="0" borderId="24" xfId="1" applyNumberFormat="1" applyFont="1" applyBorder="1"/>
    <xf numFmtId="43" fontId="12" fillId="0" borderId="16" xfId="1" applyFont="1" applyBorder="1"/>
    <xf numFmtId="43" fontId="12" fillId="0" borderId="121" xfId="1" applyFont="1" applyBorder="1"/>
    <xf numFmtId="175" fontId="12" fillId="0" borderId="16" xfId="1" applyNumberFormat="1" applyFont="1" applyBorder="1"/>
    <xf numFmtId="175" fontId="0" fillId="0" borderId="0" xfId="0" applyNumberFormat="1"/>
    <xf numFmtId="43" fontId="0" fillId="0" borderId="0" xfId="1" applyFont="1"/>
    <xf numFmtId="0" fontId="15" fillId="3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</cellXfs>
  <cellStyles count="9">
    <cellStyle name="Comma" xfId="1" builtinId="3"/>
    <cellStyle name="Currency" xfId="2" builtinId="4"/>
    <cellStyle name="Currency 2" xfId="8" xr:uid="{02AADD72-57CB-4D46-BDA4-DE9BC65FA649}"/>
    <cellStyle name="Hyperlink" xfId="5" builtinId="8"/>
    <cellStyle name="Normal" xfId="0" builtinId="0"/>
    <cellStyle name="Normal_MO_GEN49 model_TL_v21" xfId="4" xr:uid="{5BEC7079-4601-4E19-9E4A-37FF7FDE507B}"/>
    <cellStyle name="Normal_Republic - Mesa Merger Model v.5 - Beta" xfId="7" xr:uid="{020583D8-39BD-4790-9166-F925A383EC08}"/>
    <cellStyle name="Normal_Simple LBO" xfId="6" xr:uid="{5E46F013-E8EB-499B-8957-2D671AD8DAC3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</a:t>
            </a:r>
            <a:r>
              <a:rPr lang="en-US" sz="1600"/>
              <a:t>Operating</a:t>
            </a:r>
            <a:r>
              <a:rPr lang="en-US" sz="1600" baseline="0"/>
              <a:t> Summary</a:t>
            </a:r>
            <a:endParaRPr lang="en-US" sz="1600"/>
          </a:p>
        </c:rich>
      </c:tx>
      <c:layout>
        <c:manualLayout>
          <c:xMode val="edge"/>
          <c:yMode val="edge"/>
          <c:x val="0.29584213681543181"/>
          <c:y val="8.965251927789794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9363517060367473E-2"/>
          <c:y val="0.17083075478185036"/>
          <c:w val="0.87008092738408016"/>
          <c:h val="0.74375219072056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'[1]Net Income Analysis'!$C$15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179555454118964E-2"/>
                  <c:y val="1.1666841644794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22-491F-BB6F-D2E77556ABDE}"/>
                </c:ext>
              </c:extLst>
            </c:dLbl>
            <c:dLbl>
              <c:idx val="1"/>
              <c:layout>
                <c:manualLayout>
                  <c:x val="-3.1399698226127612E-3"/>
                  <c:y val="1.962939632545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22-491F-BB6F-D2E77556ABDE}"/>
                </c:ext>
              </c:extLst>
            </c:dLbl>
            <c:dLbl>
              <c:idx val="2"/>
              <c:layout>
                <c:manualLayout>
                  <c:x val="-1.3687854235611942E-2"/>
                  <c:y val="1.1851968503937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22-491F-BB6F-D2E77556ABDE}"/>
                </c:ext>
              </c:extLst>
            </c:dLbl>
            <c:dLbl>
              <c:idx val="3"/>
              <c:layout>
                <c:manualLayout>
                  <c:x val="-1.4130371384736341E-2"/>
                  <c:y val="2.4073490813648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22-491F-BB6F-D2E77556ABDE}"/>
                </c:ext>
              </c:extLst>
            </c:dLbl>
            <c:dLbl>
              <c:idx val="4"/>
              <c:layout>
                <c:manualLayout>
                  <c:x val="-1.0909759468472309E-2"/>
                  <c:y val="1.1296237970253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22-491F-BB6F-D2E77556A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'[1]Net Income Analysis'!$D$14:$I$14</c:f>
              <c:strCache>
                <c:ptCount val="6"/>
                <c:pt idx="0">
                  <c:v>FY09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</c:strCache>
            </c:strRef>
          </c:cat>
          <c:val>
            <c:numRef>
              <c:f>'[1]Net Income Analysis'!$D$15:$I$15</c:f>
              <c:numCache>
                <c:formatCode>General</c:formatCode>
                <c:ptCount val="6"/>
                <c:pt idx="0">
                  <c:v>262.52703015867206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105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22-491F-BB6F-D2E77556ABDE}"/>
            </c:ext>
          </c:extLst>
        </c:ser>
        <c:ser>
          <c:idx val="1"/>
          <c:order val="1"/>
          <c:tx>
            <c:strRef>
              <c:f>'[1]Net Income Analysis'!$C$16</c:f>
              <c:strCache>
                <c:ptCount val="1"/>
                <c:pt idx="0">
                  <c:v>Expenses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5491777295954003E-3"/>
                  <c:y val="1.8888888888888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22-491F-BB6F-D2E77556ABDE}"/>
                </c:ext>
              </c:extLst>
            </c:dLbl>
            <c:dLbl>
              <c:idx val="1"/>
              <c:layout>
                <c:manualLayout>
                  <c:x val="7.7697896458595048E-3"/>
                  <c:y val="1.8703762029746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22-491F-BB6F-D2E77556ABDE}"/>
                </c:ext>
              </c:extLst>
            </c:dLbl>
            <c:dLbl>
              <c:idx val="2"/>
              <c:layout>
                <c:manualLayout>
                  <c:x val="0"/>
                  <c:y val="1.38888888888889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22-491F-BB6F-D2E77556ABDE}"/>
                </c:ext>
              </c:extLst>
            </c:dLbl>
            <c:dLbl>
              <c:idx val="3"/>
              <c:layout>
                <c:manualLayout>
                  <c:x val="5.981229313706345E-3"/>
                  <c:y val="1.5021290456132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22-491F-BB6F-D2E77556ABDE}"/>
                </c:ext>
              </c:extLst>
            </c:dLbl>
            <c:dLbl>
              <c:idx val="4"/>
              <c:layout>
                <c:manualLayout>
                  <c:x val="9.7424194336552684E-3"/>
                  <c:y val="1.5391897977944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22-491F-BB6F-D2E77556A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'[1]Net Income Analysis'!$D$14:$I$14</c:f>
              <c:strCache>
                <c:ptCount val="6"/>
                <c:pt idx="0">
                  <c:v>FY09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</c:strCache>
            </c:strRef>
          </c:cat>
          <c:val>
            <c:numRef>
              <c:f>'[1]Net Income Analysis'!$D$16:$I$16</c:f>
              <c:numCache>
                <c:formatCode>General</c:formatCode>
                <c:ptCount val="6"/>
                <c:pt idx="0">
                  <c:v>25.421749999999999</c:v>
                </c:pt>
                <c:pt idx="1">
                  <c:v>89</c:v>
                </c:pt>
                <c:pt idx="2">
                  <c:v>91</c:v>
                </c:pt>
                <c:pt idx="3">
                  <c:v>94</c:v>
                </c:pt>
                <c:pt idx="4">
                  <c:v>96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22-491F-BB6F-D2E77556ABDE}"/>
            </c:ext>
          </c:extLst>
        </c:ser>
        <c:ser>
          <c:idx val="2"/>
          <c:order val="2"/>
          <c:tx>
            <c:strRef>
              <c:f>'[1]Net Income Analysis'!$C$17</c:f>
              <c:strCache>
                <c:ptCount val="1"/>
                <c:pt idx="0">
                  <c:v>Profit Margin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1104322009740891E-3"/>
                  <c:y val="9.2495786269527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822-491F-BB6F-D2E77556ABDE}"/>
                </c:ext>
              </c:extLst>
            </c:dLbl>
            <c:dLbl>
              <c:idx val="1"/>
              <c:layout>
                <c:manualLayout>
                  <c:x val="4.3075050401308506E-3"/>
                  <c:y val="2.59247594050743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822-491F-BB6F-D2E77556ABDE}"/>
                </c:ext>
              </c:extLst>
            </c:dLbl>
            <c:dLbl>
              <c:idx val="2"/>
              <c:layout>
                <c:manualLayout>
                  <c:x val="7.7560759450523388E-3"/>
                  <c:y val="5.04545627448742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822-491F-BB6F-D2E77556ABDE}"/>
                </c:ext>
              </c:extLst>
            </c:dLbl>
            <c:dLbl>
              <c:idx val="3"/>
              <c:layout>
                <c:manualLayout>
                  <c:x val="2.8869118632898192E-3"/>
                  <c:y val="0.109316824527368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822-491F-BB6F-D2E77556ABDE}"/>
                </c:ext>
              </c:extLst>
            </c:dLbl>
            <c:dLbl>
              <c:idx val="4"/>
              <c:layout>
                <c:manualLayout>
                  <c:x val="1.109656747452023E-2"/>
                  <c:y val="8.8643539122827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822-491F-BB6F-D2E77556A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'[1]Net Income Analysis'!$D$14:$I$14</c:f>
              <c:strCache>
                <c:ptCount val="6"/>
                <c:pt idx="0">
                  <c:v>FY09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</c:strCache>
            </c:strRef>
          </c:cat>
          <c:val>
            <c:numRef>
              <c:f>'[1]Net Income Analysis'!$D$17:$I$17</c:f>
              <c:numCache>
                <c:formatCode>General</c:formatCode>
                <c:ptCount val="6"/>
                <c:pt idx="0">
                  <c:v>237.10528015867206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822-491F-BB6F-D2E77556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7415936"/>
        <c:axId val="380293120"/>
      </c:barChart>
      <c:catAx>
        <c:axId val="37741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380293120"/>
        <c:crosses val="autoZero"/>
        <c:auto val="1"/>
        <c:lblAlgn val="ctr"/>
        <c:lblOffset val="100"/>
        <c:noMultiLvlLbl val="0"/>
      </c:catAx>
      <c:valAx>
        <c:axId val="38029312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($Thousands)</a:t>
                </a:r>
              </a:p>
            </c:rich>
          </c:tx>
          <c:layout>
            <c:manualLayout>
              <c:xMode val="edge"/>
              <c:yMode val="edge"/>
              <c:x val="0.10177208618153517"/>
              <c:y val="0.1563734209482807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774159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0169895358009599"/>
          <c:y val="2.8416895172448551E-3"/>
          <c:w val="0.64649813184515381"/>
          <c:h val="7.7030514955598969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709004387155782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'[1]Expense Analysis'!$C$14</c:f>
              <c:strCache>
                <c:ptCount val="1"/>
                <c:pt idx="0">
                  <c:v>Total Expenses</c:v>
                </c:pt>
              </c:strCache>
            </c:strRef>
          </c:tx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'[1]Expense Analysis'!$D$7:$H$7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'[1]Expense Analysis'!$D$14:$H$14</c:f>
              <c:numCache>
                <c:formatCode>General</c:formatCode>
                <c:ptCount val="5"/>
                <c:pt idx="0">
                  <c:v>88695.62966398921</c:v>
                </c:pt>
                <c:pt idx="1">
                  <c:v>91148.092493528457</c:v>
                </c:pt>
                <c:pt idx="2">
                  <c:v>93700.472442696511</c:v>
                </c:pt>
                <c:pt idx="3">
                  <c:v>96356.840289111249</c:v>
                </c:pt>
                <c:pt idx="4">
                  <c:v>99121.432660151506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F-4786-89D2-7468E4512B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53398144"/>
        <c:axId val="353440896"/>
      </c:barChart>
      <c:catAx>
        <c:axId val="353398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3440896"/>
        <c:crosses val="autoZero"/>
        <c:auto val="1"/>
        <c:lblAlgn val="ctr"/>
        <c:lblOffset val="100"/>
        <c:noMultiLvlLbl val="0"/>
      </c:catAx>
      <c:valAx>
        <c:axId val="353440896"/>
        <c:scaling>
          <c:orientation val="minMax"/>
        </c:scaling>
        <c:delete val="0"/>
        <c:axPos val="l"/>
        <c:numFmt formatCode="&quot;$&quot;#,##0_);\(&quot;$&quot;#,##0\)" sourceLinked="0"/>
        <c:majorTickMark val="out"/>
        <c:minorTickMark val="none"/>
        <c:tickLblPos val="nextTo"/>
        <c:crossAx val="353398144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6938898971566849E-2"/>
                <c:y val="0.19988219976439972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en-SG"/>
                    <a:t>(Thousands)</a:t>
                  </a:r>
                </a:p>
              </c:rich>
            </c:tx>
          </c:dispUnitsLbl>
        </c:dispUnits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421517209987537"/>
          <c:y val="0.29165107368322568"/>
          <c:w val="0.42526483588007835"/>
          <c:h val="0.53127983425759528"/>
        </c:manualLayout>
      </c:layout>
      <c:pieChart>
        <c:varyColors val="1"/>
        <c:ser>
          <c:idx val="0"/>
          <c:order val="0"/>
          <c:dPt>
            <c:idx val="2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673-4740-8D15-2347D462F9B9}"/>
              </c:ext>
            </c:extLst>
          </c:dPt>
          <c:dLbls>
            <c:dLbl>
              <c:idx val="0"/>
              <c:layout>
                <c:manualLayout>
                  <c:x val="-0.20299505347663618"/>
                  <c:y val="-8.851587401152889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73-4740-8D15-2347D462F9B9}"/>
                </c:ext>
              </c:extLst>
            </c:dLbl>
            <c:dLbl>
              <c:idx val="1"/>
              <c:layout>
                <c:manualLayout>
                  <c:x val="1.7932278005183201E-2"/>
                  <c:y val="0.151750603600007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73-4740-8D15-2347D462F9B9}"/>
                </c:ext>
              </c:extLst>
            </c:dLbl>
            <c:dLbl>
              <c:idx val="2"/>
              <c:layout>
                <c:manualLayout>
                  <c:x val="-7.0958256180297413E-2"/>
                  <c:y val="-4.67196792665060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73-4740-8D15-2347D462F9B9}"/>
                </c:ext>
              </c:extLst>
            </c:dLbl>
            <c:dLbl>
              <c:idx val="3"/>
              <c:layout>
                <c:manualLayout>
                  <c:x val="-5.661481443038327E-2"/>
                  <c:y val="-5.389147708788281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73-4740-8D15-2347D462F9B9}"/>
                </c:ext>
              </c:extLst>
            </c:dLbl>
            <c:dLbl>
              <c:idx val="4"/>
              <c:layout>
                <c:manualLayout>
                  <c:x val="-6.9460348537302265E-3"/>
                  <c:y val="-8.10538340665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73-4740-8D15-2347D462F9B9}"/>
                </c:ext>
              </c:extLst>
            </c:dLbl>
            <c:dLbl>
              <c:idx val="5"/>
              <c:layout>
                <c:manualLayout>
                  <c:x val="7.3631730883227484E-2"/>
                  <c:y val="-6.3885693508570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73-4740-8D15-2347D462F9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'[1]Expense Analysis'!$C$29:$C$34</c:f>
              <c:strCache>
                <c:ptCount val="6"/>
                <c:pt idx="0">
                  <c:v>Salaries and Wages</c:v>
                </c:pt>
                <c:pt idx="1">
                  <c:v>Professional Services</c:v>
                </c:pt>
                <c:pt idx="2">
                  <c:v>Other Cash Expenses</c:v>
                </c:pt>
                <c:pt idx="3">
                  <c:v>Travel</c:v>
                </c:pt>
                <c:pt idx="4">
                  <c:v>Other Direct Costs</c:v>
                </c:pt>
                <c:pt idx="5">
                  <c:v>Miscellaneous</c:v>
                </c:pt>
              </c:strCache>
            </c:strRef>
          </c:cat>
          <c:val>
            <c:numRef>
              <c:f>'[1]Expense Analysis'!$D$29:$D$34</c:f>
              <c:numCache>
                <c:formatCode>General</c:formatCode>
                <c:ptCount val="6"/>
                <c:pt idx="0">
                  <c:v>48395.398015839855</c:v>
                </c:pt>
                <c:pt idx="1">
                  <c:v>1000.0000000000001</c:v>
                </c:pt>
                <c:pt idx="2">
                  <c:v>16999.999999999996</c:v>
                </c:pt>
                <c:pt idx="3">
                  <c:v>9000</c:v>
                </c:pt>
                <c:pt idx="4">
                  <c:v>600</c:v>
                </c:pt>
                <c:pt idx="5">
                  <c:v>23126.034644311661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73-4740-8D15-2347D462F9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ln>
      <a:noFill/>
    </a:ln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Total Revenue </a:t>
            </a:r>
          </a:p>
        </c:rich>
      </c:tx>
      <c:layout>
        <c:manualLayout>
          <c:xMode val="edge"/>
          <c:yMode val="edge"/>
          <c:x val="0.40578203076606534"/>
          <c:y val="4.20428315553835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9363517060367473E-2"/>
          <c:y val="0.19480351414406533"/>
          <c:w val="0.87008092738407994"/>
          <c:h val="0.591994386118401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'[1]Revenue Analysis'!$C$16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72-4F72-9D7A-B37961412598}"/>
                </c:ext>
              </c:extLst>
            </c:dLbl>
            <c:dLbl>
              <c:idx val="4"/>
              <c:layout>
                <c:manualLayout>
                  <c:x val="0"/>
                  <c:y val="1.388888888888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72-4F72-9D7A-B37961412598}"/>
                </c:ext>
              </c:extLst>
            </c:dLbl>
            <c:dLbl>
              <c:idx val="5"/>
              <c:layout>
                <c:manualLayout>
                  <c:x val="0"/>
                  <c:y val="1.388888888888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72-4F72-9D7A-B37961412598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'[1]Revenue Analysis'!$D$15:$H$15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'[1]Revenue Analysis'!$D$16:$H$16</c:f>
              <c:numCache>
                <c:formatCode>General</c:formatCode>
                <c:ptCount val="5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72-4F72-9D7A-B37961412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637440"/>
        <c:axId val="390638976"/>
      </c:barChart>
      <c:catAx>
        <c:axId val="39063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0638976"/>
        <c:crosses val="autoZero"/>
        <c:auto val="1"/>
        <c:lblAlgn val="ctr"/>
        <c:lblOffset val="100"/>
        <c:noMultiLvlLbl val="0"/>
      </c:catAx>
      <c:valAx>
        <c:axId val="39063897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($Thousands)</a:t>
                </a:r>
              </a:p>
            </c:rich>
          </c:tx>
          <c:layout>
            <c:manualLayout>
              <c:xMode val="edge"/>
              <c:yMode val="edge"/>
              <c:x val="1.3888931269591703E-2"/>
              <c:y val="7.839444697726089E-2"/>
            </c:manualLayout>
          </c:layout>
          <c:overlay val="0"/>
        </c:title>
        <c:numFmt formatCode="&quot;$&quot;#,##0_);\(&quot;$&quot;#,##0\)" sourceLinked="0"/>
        <c:majorTickMark val="out"/>
        <c:minorTickMark val="none"/>
        <c:tickLblPos val="nextTo"/>
        <c:crossAx val="3906374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32204364865337"/>
          <c:y val="0.21859938612719507"/>
          <c:w val="0.40564628051630525"/>
          <c:h val="0.63454620581461851"/>
        </c:manualLayout>
      </c:layout>
      <c:pieChart>
        <c:varyColors val="1"/>
        <c:ser>
          <c:idx val="0"/>
          <c:order val="0"/>
          <c:dPt>
            <c:idx val="1"/>
            <c:bubble3D val="0"/>
            <c:spPr>
              <a:solidFill>
                <a:srgbClr val="FFFF00">
                  <a:alpha val="99000"/>
                </a:srgbClr>
              </a:solidFill>
            </c:spPr>
            <c:extLst>
              <c:ext xmlns:c16="http://schemas.microsoft.com/office/drawing/2014/chart" uri="{C3380CC4-5D6E-409C-BE32-E72D297353CC}">
                <c16:uniqueId val="{00000001-D329-4B3C-A68A-A677F7FD1AE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D329-4B3C-A68A-A677F7FD1AEA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5-D329-4B3C-A68A-A677F7FD1AE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D329-4B3C-A68A-A677F7FD1AEA}"/>
              </c:ext>
            </c:extLst>
          </c:dPt>
          <c:dLbls>
            <c:dLbl>
              <c:idx val="0"/>
              <c:layout>
                <c:manualLayout>
                  <c:x val="-0.14039358093936891"/>
                  <c:y val="-0.22265862567782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329-4B3C-A68A-A677F7FD1AEA}"/>
                </c:ext>
              </c:extLst>
            </c:dLbl>
            <c:dLbl>
              <c:idx val="1"/>
              <c:layout>
                <c:manualLayout>
                  <c:x val="-8.7544193962056233E-3"/>
                  <c:y val="-5.362575656111239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29-4B3C-A68A-A677F7FD1AEA}"/>
                </c:ext>
              </c:extLst>
            </c:dLbl>
            <c:dLbl>
              <c:idx val="2"/>
              <c:layout>
                <c:manualLayout>
                  <c:x val="-5.4954397823559757E-2"/>
                  <c:y val="-9.33358880120826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29-4B3C-A68A-A677F7FD1AEA}"/>
                </c:ext>
              </c:extLst>
            </c:dLbl>
            <c:dLbl>
              <c:idx val="3"/>
              <c:layout>
                <c:manualLayout>
                  <c:x val="0.11307062644566694"/>
                  <c:y val="-1.58961260621476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29-4B3C-A68A-A677F7FD1AEA}"/>
                </c:ext>
              </c:extLst>
            </c:dLbl>
            <c:dLbl>
              <c:idx val="4"/>
              <c:layout>
                <c:manualLayout>
                  <c:x val="0.15251620944642216"/>
                  <c:y val="-1.30952282750444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29-4B3C-A68A-A677F7FD1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'[1]Revenue Analysis'!$D$20:$D$24</c:f>
              <c:strCache>
                <c:ptCount val="5"/>
                <c:pt idx="0">
                  <c:v>Medical Exams</c:v>
                </c:pt>
                <c:pt idx="1">
                  <c:v>Product Sales</c:v>
                </c:pt>
                <c:pt idx="2">
                  <c:v>Misc 1</c:v>
                </c:pt>
                <c:pt idx="3">
                  <c:v>Misc 2</c:v>
                </c:pt>
                <c:pt idx="4">
                  <c:v>Other Revenue</c:v>
                </c:pt>
              </c:strCache>
            </c:strRef>
          </c:cat>
          <c:val>
            <c:numRef>
              <c:f>'[1]Revenue Analysis'!$E$20:$E$24</c:f>
              <c:numCache>
                <c:formatCode>General</c:formatCode>
                <c:ptCount val="5"/>
                <c:pt idx="0">
                  <c:v>83000</c:v>
                </c:pt>
                <c:pt idx="1">
                  <c:v>8000.0000000000009</c:v>
                </c:pt>
                <c:pt idx="2">
                  <c:v>5000</c:v>
                </c:pt>
                <c:pt idx="3">
                  <c:v>9000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29-4B3C-A68A-A677F7FD1A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Year-end</a:t>
            </a:r>
            <a:r>
              <a:rPr lang="en-US" sz="1400" baseline="0"/>
              <a:t> Cash Balances</a:t>
            </a:r>
            <a:endParaRPr lang="en-US" sz="1400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744685039370079"/>
          <c:y val="0.18565981335666376"/>
          <c:w val="0.77170538057743043"/>
          <c:h val="0.69836030912802549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'[1]Cashflow Analysis'!$D$21:$H$21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'[1]Cashflow Analysis'!$D$22:$H$22</c:f>
              <c:numCache>
                <c:formatCode>General</c:formatCode>
                <c:ptCount val="5"/>
                <c:pt idx="0">
                  <c:v>2704.3703360107847</c:v>
                </c:pt>
                <c:pt idx="1">
                  <c:v>12456.277842482341</c:v>
                </c:pt>
                <c:pt idx="2">
                  <c:v>24655.80539978579</c:v>
                </c:pt>
                <c:pt idx="3">
                  <c:v>34198.965110674515</c:v>
                </c:pt>
                <c:pt idx="4">
                  <c:v>40977.532450523038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1-49C3-8CA9-226CF5DE9F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5323264"/>
        <c:axId val="375341440"/>
      </c:lineChart>
      <c:catAx>
        <c:axId val="37532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5341440"/>
        <c:crosses val="autoZero"/>
        <c:auto val="1"/>
        <c:lblAlgn val="ctr"/>
        <c:lblOffset val="100"/>
        <c:noMultiLvlLbl val="0"/>
      </c:catAx>
      <c:valAx>
        <c:axId val="375341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53232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'[1]Cashflow Analysis'!$E$25</c:f>
              <c:strCache>
                <c:ptCount val="1"/>
                <c:pt idx="0">
                  <c:v>End Points</c:v>
                </c:pt>
              </c:strCache>
            </c:strRef>
          </c:tx>
          <c:invertIfNegative val="0"/>
          <c:cat>
            <c:strRef>
              <c:f>'[1]Cashflow Analysis'!$C$26:$C$32</c:f>
              <c:strCache>
                <c:ptCount val="7"/>
                <c:pt idx="0">
                  <c:v>Beginning Cash</c:v>
                </c:pt>
                <c:pt idx="1">
                  <c:v>Net Income (Loss)</c:v>
                </c:pt>
                <c:pt idx="2">
                  <c:v>Depreciation</c:v>
                </c:pt>
                <c:pt idx="3">
                  <c:v>(Incr) Decr Current Assets</c:v>
                </c:pt>
                <c:pt idx="4">
                  <c:v>Incr (Decr) Current Liabilities</c:v>
                </c:pt>
                <c:pt idx="5">
                  <c:v>Other (net)</c:v>
                </c:pt>
                <c:pt idx="6">
                  <c:v>Ending Cash</c:v>
                </c:pt>
              </c:strCache>
            </c:strRef>
          </c:cat>
          <c:val>
            <c:numRef>
              <c:f>'[1]Cashflow Analysis'!$E$26:$E$32</c:f>
              <c:numCache>
                <c:formatCode>General</c:formatCode>
                <c:ptCount val="7"/>
                <c:pt idx="0">
                  <c:v>34198.965110674515</c:v>
                </c:pt>
                <c:pt idx="6">
                  <c:v>40977.532450523038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6-4D34-A019-4A4EFDF6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375384320"/>
        <c:axId val="375128064"/>
      </c:barChart>
      <c:lineChart>
        <c:grouping val="standard"/>
        <c:varyColors val="0"/>
        <c:ser>
          <c:idx val="1"/>
          <c:order val="1"/>
          <c:tx>
            <c:strRef>
              <c:f>'[1]Cashflow Analysis'!$F$25</c:f>
              <c:strCache>
                <c:ptCount val="1"/>
                <c:pt idx="0">
                  <c:v>Before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strRef>
              <c:f>'[1]Cashflow Analysis'!$C$26:$C$32</c:f>
              <c:strCache>
                <c:ptCount val="7"/>
                <c:pt idx="0">
                  <c:v>Beginning Cash</c:v>
                </c:pt>
                <c:pt idx="1">
                  <c:v>Net Income (Loss)</c:v>
                </c:pt>
                <c:pt idx="2">
                  <c:v>Depreciation</c:v>
                </c:pt>
                <c:pt idx="3">
                  <c:v>(Incr) Decr Current Assets</c:v>
                </c:pt>
                <c:pt idx="4">
                  <c:v>Incr (Decr) Current Liabilities</c:v>
                </c:pt>
                <c:pt idx="5">
                  <c:v>Other (net)</c:v>
                </c:pt>
                <c:pt idx="6">
                  <c:v>Ending Cash</c:v>
                </c:pt>
              </c:strCache>
            </c:strRef>
          </c:cat>
          <c:val>
            <c:numRef>
              <c:f>'[1]Cashflow Analysis'!$F$26:$F$32</c:f>
              <c:numCache>
                <c:formatCode>General</c:formatCode>
                <c:ptCount val="7"/>
                <c:pt idx="1">
                  <c:v>34198.965110674515</c:v>
                </c:pt>
                <c:pt idx="2">
                  <c:v>40077.532450523038</c:v>
                </c:pt>
                <c:pt idx="3">
                  <c:v>40977.532450523038</c:v>
                </c:pt>
                <c:pt idx="4">
                  <c:v>34198.965110674522</c:v>
                </c:pt>
                <c:pt idx="5">
                  <c:v>34198.965110674522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36-4D34-A019-4A4EFDF6DF4F}"/>
            </c:ext>
          </c:extLst>
        </c:ser>
        <c:ser>
          <c:idx val="2"/>
          <c:order val="2"/>
          <c:tx>
            <c:strRef>
              <c:f>'[1]Cashflow Analysis'!$G$25</c:f>
              <c:strCache>
                <c:ptCount val="1"/>
                <c:pt idx="0">
                  <c:v>After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strRef>
              <c:f>'[1]Cashflow Analysis'!$C$26:$C$32</c:f>
              <c:strCache>
                <c:ptCount val="7"/>
                <c:pt idx="0">
                  <c:v>Beginning Cash</c:v>
                </c:pt>
                <c:pt idx="1">
                  <c:v>Net Income (Loss)</c:v>
                </c:pt>
                <c:pt idx="2">
                  <c:v>Depreciation</c:v>
                </c:pt>
                <c:pt idx="3">
                  <c:v>(Incr) Decr Current Assets</c:v>
                </c:pt>
                <c:pt idx="4">
                  <c:v>Incr (Decr) Current Liabilities</c:v>
                </c:pt>
                <c:pt idx="5">
                  <c:v>Other (net)</c:v>
                </c:pt>
                <c:pt idx="6">
                  <c:v>Ending Cash</c:v>
                </c:pt>
              </c:strCache>
            </c:strRef>
          </c:cat>
          <c:val>
            <c:numRef>
              <c:f>'[1]Cashflow Analysis'!$G$26:$G$32</c:f>
              <c:numCache>
                <c:formatCode>General</c:formatCode>
                <c:ptCount val="7"/>
                <c:pt idx="1">
                  <c:v>40077.532450523038</c:v>
                </c:pt>
                <c:pt idx="2">
                  <c:v>40977.532450523038</c:v>
                </c:pt>
                <c:pt idx="3">
                  <c:v>34198.965110674522</c:v>
                </c:pt>
                <c:pt idx="4">
                  <c:v>34198.965110674522</c:v>
                </c:pt>
                <c:pt idx="5">
                  <c:v>40977.532450523038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36-4D34-A019-4A4EFDF6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75"/>
          <c:upBars>
            <c:spPr>
              <a:solidFill>
                <a:srgbClr val="00B050"/>
              </a:solidFill>
              <a:ln>
                <a:noFill/>
              </a:ln>
            </c:spPr>
          </c:upBars>
          <c:downBars>
            <c:spPr>
              <a:solidFill>
                <a:srgbClr val="FF0000"/>
              </a:solidFill>
              <a:ln>
                <a:noFill/>
              </a:ln>
            </c:spPr>
          </c:downBars>
        </c:upDownBars>
        <c:marker val="1"/>
        <c:smooth val="0"/>
        <c:axId val="375384320"/>
        <c:axId val="375128064"/>
      </c:lineChart>
      <c:catAx>
        <c:axId val="37538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75128064"/>
        <c:crosses val="autoZero"/>
        <c:auto val="1"/>
        <c:lblAlgn val="ctr"/>
        <c:lblOffset val="100"/>
        <c:noMultiLvlLbl val="0"/>
      </c:catAx>
      <c:valAx>
        <c:axId val="37512806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753843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Revenue Break-down</a:t>
            </a:r>
          </a:p>
        </c:rich>
      </c:tx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683E-2"/>
          <c:y val="0.27564377369495502"/>
          <c:w val="0.78055555555555567"/>
          <c:h val="0.61989319043452984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[1]Dashboard!$A$8:$A$9</c:f>
              <c:strCache>
                <c:ptCount val="2"/>
                <c:pt idx="0">
                  <c:v>Medical Exams</c:v>
                </c:pt>
                <c:pt idx="1">
                  <c:v>Product Sales</c:v>
                </c:pt>
              </c:strCache>
            </c:strRef>
          </c:cat>
          <c:val>
            <c:numRef>
              <c:f>[1]Dashboard!$D$8:$D$9</c:f>
              <c:numCache>
                <c:formatCode>General</c:formatCode>
                <c:ptCount val="2"/>
                <c:pt idx="0">
                  <c:v>0.47229959764778706</c:v>
                </c:pt>
                <c:pt idx="1">
                  <c:v>0.52770040235221305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5-4C37-BC86-AEC0D01CA9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Expenses</a:t>
            </a:r>
            <a:r>
              <a:rPr lang="en-SG" baseline="0"/>
              <a:t> Break-down</a:t>
            </a:r>
            <a:endParaRPr lang="en-SG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4593175853018366E-2"/>
          <c:y val="0.25601097445900856"/>
          <c:w val="0.76996755055508703"/>
          <c:h val="0.6449772026230873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[1]Dashboard!$E$13:$E$15</c:f>
              <c:strCache>
                <c:ptCount val="3"/>
                <c:pt idx="0">
                  <c:v>Cost of Good Sold</c:v>
                </c:pt>
                <c:pt idx="1">
                  <c:v>Operating Costs</c:v>
                </c:pt>
                <c:pt idx="2">
                  <c:v>Annual Expenses</c:v>
                </c:pt>
              </c:strCache>
            </c:strRef>
          </c:cat>
          <c:val>
            <c:numRef>
              <c:f>[1]Dashboard!$F$13:$F$15</c:f>
              <c:numCache>
                <c:formatCode>General</c:formatCode>
                <c:ptCount val="3"/>
                <c:pt idx="0">
                  <c:v>0.46961992384286094</c:v>
                </c:pt>
                <c:pt idx="1">
                  <c:v>0.51953990366043057</c:v>
                </c:pt>
                <c:pt idx="2">
                  <c:v>1.0840172496708529E-2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7-417D-B520-8AF3EADDE9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[1]Dashboard!$A$20:$A$23</c:f>
              <c:strCache>
                <c:ptCount val="4"/>
                <c:pt idx="0">
                  <c:v>Earnings before Interest, taxes and Dep. (EBITDA)</c:v>
                </c:pt>
                <c:pt idx="1">
                  <c:v>Earnings Before Interest and Taxes (EBIT)</c:v>
                </c:pt>
                <c:pt idx="2">
                  <c:v>Income Before Taxes (EBT)</c:v>
                </c:pt>
                <c:pt idx="3">
                  <c:v>Net Income</c:v>
                </c:pt>
              </c:strCache>
            </c:strRef>
          </c:cat>
          <c:val>
            <c:numRef>
              <c:f>[1]Dashboard!$D$20:$D$23</c:f>
              <c:numCache>
                <c:formatCode>General</c:formatCode>
                <c:ptCount val="4"/>
                <c:pt idx="0">
                  <c:v>0.562851413391107</c:v>
                </c:pt>
                <c:pt idx="1">
                  <c:v>0.54592553904879815</c:v>
                </c:pt>
                <c:pt idx="2">
                  <c:v>0.52831920259985754</c:v>
                </c:pt>
                <c:pt idx="3">
                  <c:v>0.34340748168990737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0-447C-B95B-4C3ADE02B5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91166592"/>
        <c:axId val="391194496"/>
      </c:barChart>
      <c:catAx>
        <c:axId val="39116659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91194496"/>
        <c:crosses val="autoZero"/>
        <c:auto val="1"/>
        <c:lblAlgn val="ctr"/>
        <c:lblOffset val="100"/>
        <c:noMultiLvlLbl val="0"/>
      </c:catAx>
      <c:valAx>
        <c:axId val="39119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1166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5</xdr:row>
      <xdr:rowOff>0</xdr:rowOff>
    </xdr:from>
    <xdr:ext cx="91884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C30997-8E2D-44C4-B035-C829E3E455E8}"/>
            </a:ext>
          </a:extLst>
        </xdr:cNvPr>
        <xdr:cNvSpPr txBox="1"/>
      </xdr:nvSpPr>
      <xdr:spPr>
        <a:xfrm>
          <a:off x="6454140" y="73914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5</xdr:row>
      <xdr:rowOff>0</xdr:rowOff>
    </xdr:from>
    <xdr:ext cx="91884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64E477-7AA0-4C06-832C-46F5CED15C94}"/>
            </a:ext>
          </a:extLst>
        </xdr:cNvPr>
        <xdr:cNvSpPr txBox="1"/>
      </xdr:nvSpPr>
      <xdr:spPr>
        <a:xfrm>
          <a:off x="6454140" y="73914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twoCellAnchor>
    <xdr:from>
      <xdr:col>0</xdr:col>
      <xdr:colOff>152400</xdr:colOff>
      <xdr:row>12</xdr:row>
      <xdr:rowOff>76200</xdr:rowOff>
    </xdr:from>
    <xdr:to>
      <xdr:col>6</xdr:col>
      <xdr:colOff>257175</xdr:colOff>
      <xdr:row>26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8F544C-D696-4631-89BB-B79D6BEC4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15</xdr:row>
      <xdr:rowOff>28575</xdr:rowOff>
    </xdr:from>
    <xdr:to>
      <xdr:col>16</xdr:col>
      <xdr:colOff>123824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3D3E3-562F-4AE0-8F2F-09B959E3A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1200149</xdr:colOff>
      <xdr:row>15</xdr:row>
      <xdr:rowOff>19050</xdr:rowOff>
    </xdr:from>
    <xdr:to>
      <xdr:col>5</xdr:col>
      <xdr:colOff>619125</xdr:colOff>
      <xdr:row>33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95846F-D77A-4B26-AA08-100682506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38100</xdr:colOff>
      <xdr:row>5</xdr:row>
      <xdr:rowOff>0</xdr:rowOff>
    </xdr:from>
    <xdr:ext cx="91884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86E4D2-0A8A-437A-8646-8C7C00667B2C}"/>
            </a:ext>
          </a:extLst>
        </xdr:cNvPr>
        <xdr:cNvSpPr txBox="1"/>
      </xdr:nvSpPr>
      <xdr:spPr>
        <a:xfrm>
          <a:off x="7018020" y="9220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5</xdr:row>
      <xdr:rowOff>0</xdr:rowOff>
    </xdr:from>
    <xdr:ext cx="91884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AAD756C-AD22-497D-ABA8-B4266B463117}"/>
            </a:ext>
          </a:extLst>
        </xdr:cNvPr>
        <xdr:cNvSpPr txBox="1"/>
      </xdr:nvSpPr>
      <xdr:spPr>
        <a:xfrm>
          <a:off x="7018020" y="9220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2</xdr:row>
      <xdr:rowOff>57150</xdr:rowOff>
    </xdr:from>
    <xdr:to>
      <xdr:col>17</xdr:col>
      <xdr:colOff>44617</xdr:colOff>
      <xdr:row>15</xdr:row>
      <xdr:rowOff>33086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EB91B-52F7-4BD5-9A97-C5175C7C1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438151</xdr:colOff>
      <xdr:row>17</xdr:row>
      <xdr:rowOff>9524</xdr:rowOff>
    </xdr:from>
    <xdr:to>
      <xdr:col>6</xdr:col>
      <xdr:colOff>200026</xdr:colOff>
      <xdr:row>31</xdr:row>
      <xdr:rowOff>9526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B0AE53-0DCB-4D5D-ADBF-0E2E03CF5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38100</xdr:colOff>
      <xdr:row>5</xdr:row>
      <xdr:rowOff>0</xdr:rowOff>
    </xdr:from>
    <xdr:ext cx="91884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F5E2D97-A394-4B01-B0F7-D49E10FEF351}"/>
            </a:ext>
          </a:extLst>
        </xdr:cNvPr>
        <xdr:cNvSpPr txBox="1"/>
      </xdr:nvSpPr>
      <xdr:spPr>
        <a:xfrm>
          <a:off x="6652260" y="91440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5</xdr:row>
      <xdr:rowOff>0</xdr:rowOff>
    </xdr:from>
    <xdr:ext cx="91884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E64402-DA0B-45D2-98F1-D1BAADD3F9B4}"/>
            </a:ext>
          </a:extLst>
        </xdr:cNvPr>
        <xdr:cNvSpPr txBox="1"/>
      </xdr:nvSpPr>
      <xdr:spPr>
        <a:xfrm>
          <a:off x="6652260" y="91440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86A3E6-E136-480E-8728-8D6A5BEBA8AA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24A29A-F881-4C9D-A19E-3F87F95E1A29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618E10-330A-4339-974E-7DF5702F9C35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38BF822-9201-4ABC-96EF-02B7D84C8143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C09A873-B874-4511-BEEA-B7F2D8CA54B7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704849</xdr:colOff>
      <xdr:row>4</xdr:row>
      <xdr:rowOff>171450</xdr:rowOff>
    </xdr:from>
    <xdr:to>
      <xdr:col>17</xdr:col>
      <xdr:colOff>561975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5312E-8E5E-4501-99C0-27ADBDDD4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1066799</xdr:colOff>
      <xdr:row>15</xdr:row>
      <xdr:rowOff>47625</xdr:rowOff>
    </xdr:from>
    <xdr:to>
      <xdr:col>8</xdr:col>
      <xdr:colOff>419099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12FAB8-28B1-4A76-B908-A72E9ABE5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D5C1EE-50EF-4F36-BBB3-E9975341096B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CA0E7C-0642-45F4-9513-685A0214F219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F944F3-D40C-489A-A1C8-23E8977F476F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463979-B892-476C-A8C1-78264FD62C99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4C9FE1-9A5A-4329-9586-34C941335A37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5</xdr:row>
      <xdr:rowOff>47625</xdr:rowOff>
    </xdr:from>
    <xdr:to>
      <xdr:col>14</xdr:col>
      <xdr:colOff>19050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56E9C-CB3A-4894-82A4-CA802A119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21</xdr:row>
      <xdr:rowOff>9526</xdr:rowOff>
    </xdr:from>
    <xdr:to>
      <xdr:col>14</xdr:col>
      <xdr:colOff>47625</xdr:colOff>
      <xdr:row>35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64389-AB10-4CE4-BB62-90CA61912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25</xdr:row>
      <xdr:rowOff>47625</xdr:rowOff>
    </xdr:from>
    <xdr:to>
      <xdr:col>3</xdr:col>
      <xdr:colOff>457200</xdr:colOff>
      <xdr:row>39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606FFC-E863-4D2A-BEAA-0D372A795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TS,%20Pilani,%20Off%20Campus\NPV%20Model%20srj.xlsx" TargetMode="External"/><Relationship Id="rId1" Type="http://schemas.openxmlformats.org/officeDocument/2006/relationships/externalLinkPath" Target="NPV%20Model%20srj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%20Bindumadhavan/Documents/srj%20Consulting/Files%20relating%20to%20BA%20fit/Copied%20from%20pen%20drive/BA_FIT_MODEL_REV-4%20updated%201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%20Bindumadhavan/Documents/srj%20Consulting/EN!/Backyard%20Gardners/Proforma%20Model%20for%20Backyard%20Gardner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%20Bindumadhavan/Documents/srj%20Consulting/EN!/Renaissance%20Project/Renaissance%20Analysis%20srj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%20Bindumadhavan/Documents/srj%20Consulting/EN!/BRYC/Historical%20Analysis/BRYC%20Historical%20Analysis%20sr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s"/>
      <sheetName val="Assumptions"/>
      <sheetName val="Net Income Analysis"/>
      <sheetName val="Expense Analysis"/>
      <sheetName val="Revenue Analysis"/>
      <sheetName val="Cashflow Analysis"/>
      <sheetName val="Income Statement"/>
      <sheetName val="Balance Sheet"/>
      <sheetName val="Cashflow Statement"/>
      <sheetName val="Valuation"/>
      <sheetName val="Loan Repayment Schedule"/>
      <sheetName val="Depreciation Schedule"/>
      <sheetName val="Dashboard"/>
      <sheetName val="Existing Practice Valuation"/>
    </sheetNames>
    <sheetDataSet>
      <sheetData sheetId="0"/>
      <sheetData sheetId="1">
        <row r="11">
          <cell r="D11">
            <v>0.03</v>
          </cell>
        </row>
        <row r="12">
          <cell r="D12">
            <v>0.35</v>
          </cell>
        </row>
        <row r="16">
          <cell r="D16">
            <v>10</v>
          </cell>
        </row>
      </sheetData>
      <sheetData sheetId="2">
        <row r="14">
          <cell r="D14" t="str">
            <v>FY09</v>
          </cell>
          <cell r="E14">
            <v>2009</v>
          </cell>
          <cell r="F14">
            <v>2010</v>
          </cell>
          <cell r="G14">
            <v>2011</v>
          </cell>
          <cell r="H14">
            <v>2012</v>
          </cell>
          <cell r="I14">
            <v>2013</v>
          </cell>
        </row>
        <row r="15">
          <cell r="C15" t="str">
            <v>Revenue</v>
          </cell>
          <cell r="D15">
            <v>262.52703015867206</v>
          </cell>
          <cell r="E15">
            <v>95</v>
          </cell>
          <cell r="F15">
            <v>100</v>
          </cell>
          <cell r="G15">
            <v>105</v>
          </cell>
          <cell r="H15">
            <v>105</v>
          </cell>
          <cell r="I15">
            <v>105</v>
          </cell>
        </row>
        <row r="16">
          <cell r="C16" t="str">
            <v>Expenses</v>
          </cell>
          <cell r="D16">
            <v>25.421749999999999</v>
          </cell>
          <cell r="E16">
            <v>89</v>
          </cell>
          <cell r="F16">
            <v>91</v>
          </cell>
          <cell r="G16">
            <v>94</v>
          </cell>
          <cell r="H16">
            <v>96</v>
          </cell>
          <cell r="I16">
            <v>99</v>
          </cell>
        </row>
        <row r="17">
          <cell r="C17" t="str">
            <v>Profit Margin</v>
          </cell>
          <cell r="D17">
            <v>237.10528015867206</v>
          </cell>
          <cell r="E17">
            <v>6</v>
          </cell>
          <cell r="F17">
            <v>9</v>
          </cell>
          <cell r="G17">
            <v>11</v>
          </cell>
          <cell r="H17">
            <v>9</v>
          </cell>
          <cell r="I17">
            <v>6</v>
          </cell>
        </row>
      </sheetData>
      <sheetData sheetId="3">
        <row r="7">
          <cell r="D7">
            <v>2015</v>
          </cell>
          <cell r="E7">
            <v>2016</v>
          </cell>
          <cell r="F7">
            <v>2017</v>
          </cell>
          <cell r="G7">
            <v>2018</v>
          </cell>
          <cell r="H7">
            <v>2019</v>
          </cell>
        </row>
        <row r="14">
          <cell r="C14" t="str">
            <v>Total Expenses</v>
          </cell>
          <cell r="D14">
            <v>88695.62966398921</v>
          </cell>
          <cell r="E14">
            <v>91148.092493528457</v>
          </cell>
          <cell r="F14">
            <v>93700.472442696511</v>
          </cell>
          <cell r="G14">
            <v>96356.840289111249</v>
          </cell>
          <cell r="H14">
            <v>99121.432660151506</v>
          </cell>
        </row>
        <row r="29">
          <cell r="C29" t="str">
            <v>Salaries and Wages</v>
          </cell>
          <cell r="D29">
            <v>48395.398015839855</v>
          </cell>
        </row>
        <row r="30">
          <cell r="C30" t="str">
            <v>Professional Services</v>
          </cell>
          <cell r="D30">
            <v>1000.0000000000001</v>
          </cell>
        </row>
        <row r="31">
          <cell r="C31" t="str">
            <v>Other Cash Expenses</v>
          </cell>
          <cell r="D31">
            <v>16999.999999999996</v>
          </cell>
        </row>
        <row r="32">
          <cell r="C32" t="str">
            <v>Travel</v>
          </cell>
          <cell r="D32">
            <v>9000</v>
          </cell>
        </row>
        <row r="33">
          <cell r="C33" t="str">
            <v>Other Direct Costs</v>
          </cell>
          <cell r="D33">
            <v>600</v>
          </cell>
        </row>
        <row r="34">
          <cell r="C34" t="str">
            <v>Miscellaneous</v>
          </cell>
          <cell r="D34">
            <v>23126.034644311661</v>
          </cell>
        </row>
      </sheetData>
      <sheetData sheetId="4">
        <row r="15">
          <cell r="D15">
            <v>2015</v>
          </cell>
          <cell r="E15">
            <v>2016</v>
          </cell>
          <cell r="F15">
            <v>2017</v>
          </cell>
          <cell r="G15">
            <v>2018</v>
          </cell>
          <cell r="H15">
            <v>2019</v>
          </cell>
        </row>
        <row r="16">
          <cell r="C16" t="str">
            <v>Total Revenue</v>
          </cell>
          <cell r="D16">
            <v>95</v>
          </cell>
          <cell r="E16">
            <v>100</v>
          </cell>
          <cell r="F16">
            <v>105</v>
          </cell>
          <cell r="G16">
            <v>105</v>
          </cell>
          <cell r="H16">
            <v>105</v>
          </cell>
        </row>
        <row r="20">
          <cell r="D20" t="str">
            <v>Medical Exams</v>
          </cell>
          <cell r="E20">
            <v>83000</v>
          </cell>
        </row>
        <row r="21">
          <cell r="D21" t="str">
            <v>Product Sales</v>
          </cell>
          <cell r="E21">
            <v>8000.0000000000009</v>
          </cell>
        </row>
        <row r="22">
          <cell r="D22" t="str">
            <v>Misc 1</v>
          </cell>
          <cell r="E22">
            <v>5000</v>
          </cell>
        </row>
        <row r="23">
          <cell r="D23" t="str">
            <v>Misc 2</v>
          </cell>
          <cell r="E23">
            <v>9000</v>
          </cell>
        </row>
        <row r="24">
          <cell r="D24" t="str">
            <v>Other Revenue</v>
          </cell>
          <cell r="E24">
            <v>0</v>
          </cell>
        </row>
      </sheetData>
      <sheetData sheetId="5">
        <row r="21">
          <cell r="D21">
            <v>2015</v>
          </cell>
          <cell r="E21">
            <v>2016</v>
          </cell>
          <cell r="F21">
            <v>2017</v>
          </cell>
          <cell r="G21">
            <v>2018</v>
          </cell>
          <cell r="H21">
            <v>2019</v>
          </cell>
        </row>
        <row r="22">
          <cell r="D22">
            <v>2704.3703360107847</v>
          </cell>
          <cell r="E22">
            <v>12456.277842482341</v>
          </cell>
          <cell r="F22">
            <v>24655.80539978579</v>
          </cell>
          <cell r="G22">
            <v>34198.965110674515</v>
          </cell>
          <cell r="H22">
            <v>40977.532450523038</v>
          </cell>
        </row>
        <row r="25">
          <cell r="E25" t="str">
            <v>End Points</v>
          </cell>
          <cell r="F25" t="str">
            <v>Before</v>
          </cell>
          <cell r="G25" t="str">
            <v>After</v>
          </cell>
        </row>
        <row r="26">
          <cell r="C26" t="str">
            <v>Beginning Cash</v>
          </cell>
          <cell r="E26">
            <v>34198.965110674515</v>
          </cell>
          <cell r="F26"/>
          <cell r="G26"/>
        </row>
        <row r="27">
          <cell r="C27" t="str">
            <v>Net Income (Loss)</v>
          </cell>
          <cell r="E27"/>
          <cell r="F27">
            <v>34198.965110674515</v>
          </cell>
          <cell r="G27">
            <v>40077.532450523038</v>
          </cell>
        </row>
        <row r="28">
          <cell r="C28" t="str">
            <v>Depreciation</v>
          </cell>
          <cell r="E28"/>
          <cell r="F28">
            <v>40077.532450523038</v>
          </cell>
          <cell r="G28">
            <v>40977.532450523038</v>
          </cell>
        </row>
        <row r="29">
          <cell r="C29" t="str">
            <v>(Incr) Decr Current Assets</v>
          </cell>
          <cell r="E29"/>
          <cell r="F29">
            <v>40977.532450523038</v>
          </cell>
          <cell r="G29">
            <v>34198.965110674522</v>
          </cell>
        </row>
        <row r="30">
          <cell r="C30" t="str">
            <v>Incr (Decr) Current Liabilities</v>
          </cell>
          <cell r="E30"/>
          <cell r="F30">
            <v>34198.965110674522</v>
          </cell>
          <cell r="G30">
            <v>34198.965110674522</v>
          </cell>
        </row>
        <row r="31">
          <cell r="C31" t="str">
            <v>Other (net)</v>
          </cell>
          <cell r="E31"/>
          <cell r="F31">
            <v>34198.965110674522</v>
          </cell>
          <cell r="G31">
            <v>40977.532450523038</v>
          </cell>
        </row>
        <row r="32">
          <cell r="C32" t="str">
            <v>Ending Cash</v>
          </cell>
          <cell r="E32">
            <v>40977.532450523038</v>
          </cell>
          <cell r="F32"/>
          <cell r="G32"/>
        </row>
      </sheetData>
      <sheetData sheetId="6">
        <row r="6">
          <cell r="C6" t="str">
            <v>Year 1</v>
          </cell>
        </row>
        <row r="70">
          <cell r="C70">
            <v>585984</v>
          </cell>
        </row>
        <row r="139">
          <cell r="C139">
            <v>654720.00000000012</v>
          </cell>
        </row>
        <row r="141">
          <cell r="C141">
            <v>1240704</v>
          </cell>
        </row>
        <row r="147">
          <cell r="A147" t="str">
            <v>Cost of Good Sold</v>
          </cell>
        </row>
        <row r="158">
          <cell r="C158">
            <v>238272.00000000003</v>
          </cell>
        </row>
        <row r="164">
          <cell r="A164" t="str">
            <v>Startup Costs</v>
          </cell>
        </row>
        <row r="174">
          <cell r="C174">
            <v>35000</v>
          </cell>
        </row>
        <row r="176">
          <cell r="A176" t="str">
            <v>Operating Costs</v>
          </cell>
        </row>
        <row r="193">
          <cell r="C193">
            <v>263600</v>
          </cell>
        </row>
        <row r="195">
          <cell r="A195" t="str">
            <v>Costs Occuring Once a Year</v>
          </cell>
        </row>
        <row r="199">
          <cell r="C199">
            <v>5500</v>
          </cell>
        </row>
        <row r="203">
          <cell r="A203" t="str">
            <v>Earnings before Interest, taxes and Dep. (EBITDA)</v>
          </cell>
        </row>
        <row r="208">
          <cell r="A208" t="str">
            <v>Earnings Before Interest and Taxes (EBIT)</v>
          </cell>
          <cell r="C208">
            <v>677332</v>
          </cell>
        </row>
        <row r="212">
          <cell r="A212" t="str">
            <v>Income Before Taxes (EBT)</v>
          </cell>
          <cell r="C212">
            <v>655487.7479424536</v>
          </cell>
        </row>
        <row r="216">
          <cell r="A216" t="str">
            <v>Net Income</v>
          </cell>
          <cell r="C216">
            <v>426067.03616259486</v>
          </cell>
        </row>
        <row r="218">
          <cell r="C218">
            <v>426067.03616259486</v>
          </cell>
          <cell r="D218">
            <v>898543.40938122838</v>
          </cell>
          <cell r="E218">
            <v>1395961.1552380896</v>
          </cell>
        </row>
      </sheetData>
      <sheetData sheetId="7">
        <row r="11"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H12">
            <v>110000</v>
          </cell>
          <cell r="I12">
            <v>110000</v>
          </cell>
          <cell r="J12">
            <v>110000</v>
          </cell>
          <cell r="K12">
            <v>110000</v>
          </cell>
          <cell r="L12">
            <v>110000</v>
          </cell>
          <cell r="M12">
            <v>110000</v>
          </cell>
          <cell r="N12">
            <v>110000</v>
          </cell>
          <cell r="O12">
            <v>110000</v>
          </cell>
          <cell r="P12">
            <v>110000</v>
          </cell>
          <cell r="Q12">
            <v>110000</v>
          </cell>
        </row>
        <row r="13"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27"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</sheetData>
      <sheetData sheetId="8"/>
      <sheetData sheetId="9"/>
      <sheetData sheetId="10"/>
      <sheetData sheetId="11">
        <row r="23">
          <cell r="F23">
            <v>210000</v>
          </cell>
        </row>
      </sheetData>
      <sheetData sheetId="12">
        <row r="8">
          <cell r="A8" t="str">
            <v>Medical Exams</v>
          </cell>
          <cell r="D8">
            <v>0.47229959764778706</v>
          </cell>
        </row>
        <row r="9">
          <cell r="A9" t="str">
            <v>Product Sales</v>
          </cell>
          <cell r="D9">
            <v>0.52770040235221305</v>
          </cell>
        </row>
        <row r="13">
          <cell r="E13" t="str">
            <v>Cost of Good Sold</v>
          </cell>
          <cell r="F13">
            <v>0.46961992384286094</v>
          </cell>
        </row>
        <row r="14">
          <cell r="E14" t="str">
            <v>Operating Costs</v>
          </cell>
          <cell r="F14">
            <v>0.51953990366043057</v>
          </cell>
        </row>
        <row r="15">
          <cell r="E15" t="str">
            <v>Annual Expenses</v>
          </cell>
          <cell r="F15">
            <v>1.0840172496708529E-2</v>
          </cell>
        </row>
        <row r="20">
          <cell r="A20" t="str">
            <v>Earnings before Interest, taxes and Dep. (EBITDA)</v>
          </cell>
          <cell r="D20">
            <v>0.562851413391107</v>
          </cell>
        </row>
        <row r="21">
          <cell r="A21" t="str">
            <v>Earnings Before Interest and Taxes (EBIT)</v>
          </cell>
          <cell r="D21">
            <v>0.54592553904879815</v>
          </cell>
        </row>
        <row r="22">
          <cell r="A22" t="str">
            <v>Income Before Taxes (EBT)</v>
          </cell>
          <cell r="D22">
            <v>0.52831920259985754</v>
          </cell>
        </row>
        <row r="23">
          <cell r="A23" t="str">
            <v>Net Income</v>
          </cell>
          <cell r="D23">
            <v>0.34340748168990737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Assumptions(Ops)"/>
      <sheetName val="Assumptions (Control)"/>
      <sheetName val="Income Statement"/>
      <sheetName val="Revenue, Expense Trend"/>
      <sheetName val="Revenue Drivers"/>
      <sheetName val="Expense Drivers"/>
      <sheetName val="Chart Data"/>
      <sheetName val="Balance Sheet"/>
      <sheetName val="Cash Flow Statement"/>
      <sheetName val="CF Waterfall"/>
      <sheetName val="ROE, ROA Trend"/>
      <sheetName val="Growth in Gym Locations"/>
      <sheetName val="Growth in Gym Members"/>
      <sheetName val="Concise Summary"/>
      <sheetName val="Valuation"/>
      <sheetName val="NPV Sensitivity Analysis"/>
      <sheetName val="Staffing"/>
      <sheetName val="CapEx &amp; Depreciation Schedule"/>
      <sheetName val="Working Capital"/>
      <sheetName val="Preferred Investment"/>
      <sheetName val="Indiv. Gym Openig Schdule&amp;Costs"/>
      <sheetName val="Gym Members Schedule"/>
      <sheetName val="Gym Classes &amp; Trainer Fee"/>
      <sheetName val="Single Gym Financials"/>
      <sheetName val="Roll up of Gyms - IS"/>
      <sheetName val="Corporate Expenses"/>
      <sheetName val="Trial Sheet"/>
      <sheetName val="Summary"/>
      <sheetName val="Dashboard"/>
    </sheetNames>
    <sheetDataSet>
      <sheetData sheetId="0"/>
      <sheetData sheetId="1">
        <row r="52">
          <cell r="C52">
            <v>0.04</v>
          </cell>
        </row>
        <row r="53">
          <cell r="C53">
            <v>0</v>
          </cell>
        </row>
      </sheetData>
      <sheetData sheetId="2">
        <row r="10">
          <cell r="O10">
            <v>0.1</v>
          </cell>
        </row>
      </sheetData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/>
      <sheetData sheetId="19"/>
      <sheetData sheetId="20">
        <row r="17">
          <cell r="F17">
            <v>8000000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BM17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 of Contents"/>
      <sheetName val="Assumptions"/>
      <sheetName val="Net Income Analysis"/>
      <sheetName val="Revenue Analysis"/>
      <sheetName val="Expense Analysis"/>
      <sheetName val="Cashflow Analysis"/>
      <sheetName val="Ratio Analysis"/>
      <sheetName val="Dashboard"/>
      <sheetName val="Income Statement"/>
      <sheetName val="Balance Sheet"/>
      <sheetName val="Cashflow Statement"/>
      <sheetName val="General and Admin Costs"/>
      <sheetName val="Capex and Depreciation"/>
    </sheetNames>
    <sheetDataSet>
      <sheetData sheetId="0"/>
      <sheetData sheetId="1"/>
      <sheetData sheetId="2"/>
      <sheetData sheetId="3"/>
      <sheetData sheetId="4">
        <row r="13">
          <cell r="D13">
            <v>95000</v>
          </cell>
          <cell r="E13">
            <v>100000</v>
          </cell>
          <cell r="F13">
            <v>105000</v>
          </cell>
          <cell r="G13">
            <v>105000</v>
          </cell>
          <cell r="H13">
            <v>105000</v>
          </cell>
        </row>
      </sheetData>
      <sheetData sheetId="5">
        <row r="14">
          <cell r="D14">
            <v>88695.62966398921</v>
          </cell>
          <cell r="E14">
            <v>91148.092493528457</v>
          </cell>
          <cell r="F14">
            <v>93700.472442696511</v>
          </cell>
          <cell r="G14">
            <v>96356.840289111249</v>
          </cell>
          <cell r="H14">
            <v>99121.432660151506</v>
          </cell>
        </row>
      </sheetData>
      <sheetData sheetId="6"/>
      <sheetData sheetId="7"/>
      <sheetData sheetId="8">
        <row r="10">
          <cell r="C10">
            <v>7204.3703360107847</v>
          </cell>
          <cell r="D10">
            <v>9751.9075064715562</v>
          </cell>
          <cell r="E10">
            <v>12199.527557303449</v>
          </cell>
          <cell r="F10">
            <v>9543.1597108887236</v>
          </cell>
          <cell r="G10">
            <v>6778.5673398485214</v>
          </cell>
        </row>
        <row r="11">
          <cell r="C11">
            <v>6304.3703360107847</v>
          </cell>
          <cell r="D11">
            <v>8851.9075064715562</v>
          </cell>
          <cell r="E11">
            <v>11299.527557303449</v>
          </cell>
          <cell r="F11">
            <v>8643.1597108887236</v>
          </cell>
          <cell r="G11">
            <v>5878.5673398485214</v>
          </cell>
        </row>
        <row r="12">
          <cell r="C12">
            <v>6304.3703360107847</v>
          </cell>
          <cell r="D12">
            <v>8851.9075064715562</v>
          </cell>
          <cell r="E12">
            <v>11299.527557303449</v>
          </cell>
          <cell r="F12">
            <v>8643.1597108887236</v>
          </cell>
          <cell r="G12">
            <v>5878.5673398485214</v>
          </cell>
        </row>
        <row r="18">
          <cell r="C18">
            <v>2704.3703360107847</v>
          </cell>
          <cell r="D18">
            <v>12456.277842482341</v>
          </cell>
          <cell r="E18">
            <v>24655.805399785786</v>
          </cell>
          <cell r="F18">
            <v>34198.965110674508</v>
          </cell>
          <cell r="G18">
            <v>40977.532450523024</v>
          </cell>
        </row>
        <row r="34">
          <cell r="C34">
            <v>2704.3703360107847</v>
          </cell>
          <cell r="D34">
            <v>12456.277842482341</v>
          </cell>
          <cell r="E34">
            <v>24655.80539978579</v>
          </cell>
          <cell r="F34">
            <v>34198.965110674515</v>
          </cell>
          <cell r="G34">
            <v>40977.532450523038</v>
          </cell>
        </row>
      </sheetData>
      <sheetData sheetId="9">
        <row r="17">
          <cell r="C17">
            <v>6083.333333333333</v>
          </cell>
          <cell r="D17">
            <v>6083.333333333333</v>
          </cell>
          <cell r="E17">
            <v>6083.333333333333</v>
          </cell>
          <cell r="F17">
            <v>6083.333333333333</v>
          </cell>
          <cell r="G17">
            <v>6083.333333333333</v>
          </cell>
          <cell r="H17">
            <v>6083.333333333333</v>
          </cell>
          <cell r="I17">
            <v>6083.333333333333</v>
          </cell>
          <cell r="J17">
            <v>6083.333333333333</v>
          </cell>
          <cell r="K17">
            <v>6083.333333333333</v>
          </cell>
          <cell r="L17">
            <v>6083.333333333333</v>
          </cell>
          <cell r="M17">
            <v>6083.333333333333</v>
          </cell>
          <cell r="N17">
            <v>6083.333333333333</v>
          </cell>
          <cell r="O17">
            <v>6500</v>
          </cell>
          <cell r="P17">
            <v>6500</v>
          </cell>
          <cell r="Q17">
            <v>6500</v>
          </cell>
          <cell r="R17">
            <v>6500</v>
          </cell>
          <cell r="S17">
            <v>6500</v>
          </cell>
          <cell r="T17">
            <v>6500</v>
          </cell>
          <cell r="U17">
            <v>6500</v>
          </cell>
          <cell r="V17">
            <v>6500</v>
          </cell>
          <cell r="W17">
            <v>6500</v>
          </cell>
          <cell r="X17">
            <v>6500</v>
          </cell>
          <cell r="Y17">
            <v>6500</v>
          </cell>
          <cell r="Z17">
            <v>6500</v>
          </cell>
          <cell r="AA17">
            <v>6916.666666666667</v>
          </cell>
          <cell r="AB17">
            <v>6916.666666666667</v>
          </cell>
          <cell r="AC17">
            <v>6916.666666666667</v>
          </cell>
          <cell r="AD17">
            <v>6916.666666666667</v>
          </cell>
          <cell r="AE17">
            <v>6916.666666666667</v>
          </cell>
          <cell r="AF17">
            <v>6916.666666666667</v>
          </cell>
          <cell r="AG17">
            <v>6916.666666666667</v>
          </cell>
          <cell r="AH17">
            <v>6916.666666666667</v>
          </cell>
          <cell r="AI17">
            <v>6916.666666666667</v>
          </cell>
          <cell r="AJ17">
            <v>6916.666666666667</v>
          </cell>
          <cell r="AK17">
            <v>6916.666666666667</v>
          </cell>
          <cell r="AL17">
            <v>6916.666666666667</v>
          </cell>
          <cell r="AM17">
            <v>6916.666666666667</v>
          </cell>
          <cell r="AN17">
            <v>6916.666666666667</v>
          </cell>
          <cell r="AO17">
            <v>6916.666666666667</v>
          </cell>
          <cell r="AP17">
            <v>6916.666666666667</v>
          </cell>
          <cell r="AQ17">
            <v>6916.666666666667</v>
          </cell>
          <cell r="AR17">
            <v>6916.666666666667</v>
          </cell>
          <cell r="AS17">
            <v>6916.666666666667</v>
          </cell>
          <cell r="AT17">
            <v>6916.666666666667</v>
          </cell>
          <cell r="AU17">
            <v>6916.666666666667</v>
          </cell>
          <cell r="AV17">
            <v>6916.666666666667</v>
          </cell>
          <cell r="AW17">
            <v>6916.666666666667</v>
          </cell>
          <cell r="AX17">
            <v>6916.666666666667</v>
          </cell>
          <cell r="AY17">
            <v>6916.666666666667</v>
          </cell>
          <cell r="AZ17">
            <v>6916.666666666667</v>
          </cell>
          <cell r="BA17">
            <v>6916.666666666667</v>
          </cell>
          <cell r="BB17">
            <v>6916.666666666667</v>
          </cell>
          <cell r="BC17">
            <v>6916.666666666667</v>
          </cell>
          <cell r="BD17">
            <v>6916.666666666667</v>
          </cell>
          <cell r="BE17">
            <v>6916.666666666667</v>
          </cell>
          <cell r="BF17">
            <v>6916.666666666667</v>
          </cell>
          <cell r="BG17">
            <v>6916.666666666667</v>
          </cell>
          <cell r="BH17">
            <v>6916.666666666667</v>
          </cell>
          <cell r="BI17">
            <v>6916.666666666667</v>
          </cell>
          <cell r="BJ17">
            <v>6916.666666666667</v>
          </cell>
        </row>
        <row r="23">
          <cell r="C23">
            <v>666.66666666666663</v>
          </cell>
          <cell r="D23">
            <v>666.66666666666663</v>
          </cell>
          <cell r="E23">
            <v>666.66666666666663</v>
          </cell>
          <cell r="F23">
            <v>666.66666666666663</v>
          </cell>
          <cell r="G23">
            <v>666.66666666666663</v>
          </cell>
          <cell r="H23">
            <v>666.66666666666663</v>
          </cell>
          <cell r="I23">
            <v>666.66666666666663</v>
          </cell>
          <cell r="J23">
            <v>666.66666666666663</v>
          </cell>
          <cell r="K23">
            <v>666.66666666666663</v>
          </cell>
          <cell r="L23">
            <v>666.66666666666663</v>
          </cell>
          <cell r="M23">
            <v>666.66666666666663</v>
          </cell>
          <cell r="N23">
            <v>666.66666666666663</v>
          </cell>
          <cell r="O23">
            <v>666.66666666666663</v>
          </cell>
          <cell r="P23">
            <v>666.66666666666663</v>
          </cell>
          <cell r="Q23">
            <v>666.66666666666663</v>
          </cell>
          <cell r="R23">
            <v>666.66666666666663</v>
          </cell>
          <cell r="S23">
            <v>666.66666666666663</v>
          </cell>
          <cell r="T23">
            <v>666.66666666666663</v>
          </cell>
          <cell r="U23">
            <v>666.66666666666663</v>
          </cell>
          <cell r="V23">
            <v>666.66666666666663</v>
          </cell>
          <cell r="W23">
            <v>666.66666666666663</v>
          </cell>
          <cell r="X23">
            <v>666.66666666666663</v>
          </cell>
          <cell r="Y23">
            <v>666.66666666666663</v>
          </cell>
          <cell r="Z23">
            <v>666.66666666666663</v>
          </cell>
          <cell r="AA23">
            <v>666.66666666666663</v>
          </cell>
          <cell r="AB23">
            <v>666.66666666666663</v>
          </cell>
          <cell r="AC23">
            <v>666.66666666666663</v>
          </cell>
          <cell r="AD23">
            <v>666.66666666666663</v>
          </cell>
          <cell r="AE23">
            <v>666.66666666666663</v>
          </cell>
          <cell r="AF23">
            <v>666.66666666666663</v>
          </cell>
          <cell r="AG23">
            <v>666.66666666666663</v>
          </cell>
          <cell r="AH23">
            <v>666.66666666666663</v>
          </cell>
          <cell r="AI23">
            <v>666.66666666666663</v>
          </cell>
          <cell r="AJ23">
            <v>666.66666666666663</v>
          </cell>
          <cell r="AK23">
            <v>666.66666666666663</v>
          </cell>
          <cell r="AL23">
            <v>666.66666666666663</v>
          </cell>
          <cell r="AM23">
            <v>666.66666666666663</v>
          </cell>
          <cell r="AN23">
            <v>666.66666666666663</v>
          </cell>
          <cell r="AO23">
            <v>666.66666666666663</v>
          </cell>
          <cell r="AP23">
            <v>666.66666666666663</v>
          </cell>
          <cell r="AQ23">
            <v>666.66666666666663</v>
          </cell>
          <cell r="AR23">
            <v>666.66666666666663</v>
          </cell>
          <cell r="AS23">
            <v>666.66666666666663</v>
          </cell>
          <cell r="AT23">
            <v>666.66666666666663</v>
          </cell>
          <cell r="AU23">
            <v>666.66666666666663</v>
          </cell>
          <cell r="AV23">
            <v>666.66666666666663</v>
          </cell>
          <cell r="AW23">
            <v>666.66666666666663</v>
          </cell>
          <cell r="AX23">
            <v>666.66666666666663</v>
          </cell>
          <cell r="AY23">
            <v>666.66666666666663</v>
          </cell>
          <cell r="AZ23">
            <v>666.66666666666663</v>
          </cell>
          <cell r="BA23">
            <v>666.66666666666663</v>
          </cell>
          <cell r="BB23">
            <v>666.66666666666663</v>
          </cell>
          <cell r="BC23">
            <v>666.66666666666663</v>
          </cell>
          <cell r="BD23">
            <v>666.66666666666663</v>
          </cell>
          <cell r="BE23">
            <v>666.66666666666663</v>
          </cell>
          <cell r="BF23">
            <v>666.66666666666663</v>
          </cell>
          <cell r="BG23">
            <v>666.66666666666663</v>
          </cell>
          <cell r="BH23">
            <v>666.66666666666663</v>
          </cell>
          <cell r="BI23">
            <v>666.66666666666663</v>
          </cell>
          <cell r="BJ23">
            <v>666.66666666666663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2500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2500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2500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2500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2500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2500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2500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2500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2500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2500</v>
          </cell>
        </row>
        <row r="35">
          <cell r="C35">
            <v>750</v>
          </cell>
          <cell r="D35">
            <v>750</v>
          </cell>
          <cell r="E35">
            <v>750</v>
          </cell>
          <cell r="F35">
            <v>750</v>
          </cell>
          <cell r="G35">
            <v>750</v>
          </cell>
          <cell r="H35">
            <v>750</v>
          </cell>
          <cell r="I35">
            <v>750</v>
          </cell>
          <cell r="J35">
            <v>750</v>
          </cell>
          <cell r="K35">
            <v>750</v>
          </cell>
          <cell r="L35">
            <v>750</v>
          </cell>
          <cell r="M35">
            <v>750</v>
          </cell>
          <cell r="N35">
            <v>750</v>
          </cell>
          <cell r="O35">
            <v>750</v>
          </cell>
          <cell r="P35">
            <v>750</v>
          </cell>
          <cell r="Q35">
            <v>750</v>
          </cell>
          <cell r="R35">
            <v>750</v>
          </cell>
          <cell r="S35">
            <v>750</v>
          </cell>
          <cell r="T35">
            <v>750</v>
          </cell>
          <cell r="U35">
            <v>750</v>
          </cell>
          <cell r="V35">
            <v>750</v>
          </cell>
          <cell r="W35">
            <v>750</v>
          </cell>
          <cell r="X35">
            <v>750</v>
          </cell>
          <cell r="Y35">
            <v>750</v>
          </cell>
          <cell r="Z35">
            <v>750</v>
          </cell>
          <cell r="AA35">
            <v>750</v>
          </cell>
          <cell r="AB35">
            <v>750</v>
          </cell>
          <cell r="AC35">
            <v>750</v>
          </cell>
          <cell r="AD35">
            <v>750</v>
          </cell>
          <cell r="AE35">
            <v>750</v>
          </cell>
          <cell r="AF35">
            <v>750</v>
          </cell>
          <cell r="AG35">
            <v>750</v>
          </cell>
          <cell r="AH35">
            <v>750</v>
          </cell>
          <cell r="AI35">
            <v>750</v>
          </cell>
          <cell r="AJ35">
            <v>750</v>
          </cell>
          <cell r="AK35">
            <v>750</v>
          </cell>
          <cell r="AL35">
            <v>750</v>
          </cell>
          <cell r="AM35">
            <v>750</v>
          </cell>
          <cell r="AN35">
            <v>750</v>
          </cell>
          <cell r="AO35">
            <v>750</v>
          </cell>
          <cell r="AP35">
            <v>750</v>
          </cell>
          <cell r="AQ35">
            <v>750</v>
          </cell>
          <cell r="AR35">
            <v>750</v>
          </cell>
          <cell r="AS35">
            <v>750</v>
          </cell>
          <cell r="AT35">
            <v>750</v>
          </cell>
          <cell r="AU35">
            <v>750</v>
          </cell>
          <cell r="AV35">
            <v>750</v>
          </cell>
          <cell r="AW35">
            <v>750</v>
          </cell>
          <cell r="AX35">
            <v>750</v>
          </cell>
          <cell r="AY35">
            <v>750</v>
          </cell>
          <cell r="AZ35">
            <v>750</v>
          </cell>
          <cell r="BA35">
            <v>750</v>
          </cell>
          <cell r="BB35">
            <v>750</v>
          </cell>
          <cell r="BC35">
            <v>750</v>
          </cell>
          <cell r="BD35">
            <v>750</v>
          </cell>
          <cell r="BE35">
            <v>750</v>
          </cell>
          <cell r="BF35">
            <v>750</v>
          </cell>
          <cell r="BG35">
            <v>750</v>
          </cell>
          <cell r="BH35">
            <v>750</v>
          </cell>
          <cell r="BI35">
            <v>750</v>
          </cell>
          <cell r="BJ35">
            <v>750</v>
          </cell>
        </row>
        <row r="37">
          <cell r="B37" t="str">
            <v>Other Revenue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68">
          <cell r="C68">
            <v>1416.6666666666667</v>
          </cell>
          <cell r="D68">
            <v>1416.6666666666667</v>
          </cell>
          <cell r="E68">
            <v>1416.6666666666667</v>
          </cell>
          <cell r="F68">
            <v>1416.6666666666667</v>
          </cell>
          <cell r="G68">
            <v>1416.6666666666667</v>
          </cell>
          <cell r="H68">
            <v>1416.6666666666667</v>
          </cell>
          <cell r="I68">
            <v>1416.6666666666667</v>
          </cell>
          <cell r="J68">
            <v>1416.6666666666667</v>
          </cell>
          <cell r="K68">
            <v>1416.6666666666667</v>
          </cell>
          <cell r="L68">
            <v>1416.6666666666667</v>
          </cell>
          <cell r="M68">
            <v>1416.6666666666667</v>
          </cell>
          <cell r="N68">
            <v>1416.6666666666667</v>
          </cell>
          <cell r="O68">
            <v>1416.6666666666667</v>
          </cell>
          <cell r="P68">
            <v>1416.6666666666667</v>
          </cell>
          <cell r="Q68">
            <v>1416.6666666666667</v>
          </cell>
          <cell r="R68">
            <v>1416.6666666666667</v>
          </cell>
          <cell r="S68">
            <v>1416.6666666666667</v>
          </cell>
          <cell r="T68">
            <v>1416.6666666666667</v>
          </cell>
          <cell r="U68">
            <v>1416.6666666666667</v>
          </cell>
          <cell r="V68">
            <v>1416.6666666666667</v>
          </cell>
          <cell r="W68">
            <v>1416.6666666666667</v>
          </cell>
          <cell r="X68">
            <v>1416.6666666666667</v>
          </cell>
          <cell r="Y68">
            <v>1416.6666666666667</v>
          </cell>
          <cell r="Z68">
            <v>1416.6666666666667</v>
          </cell>
          <cell r="AA68">
            <v>1416.6666666666667</v>
          </cell>
          <cell r="AB68">
            <v>1416.6666666666667</v>
          </cell>
          <cell r="AC68">
            <v>1416.6666666666667</v>
          </cell>
          <cell r="AD68">
            <v>1416.6666666666667</v>
          </cell>
          <cell r="AE68">
            <v>1416.6666666666667</v>
          </cell>
          <cell r="AF68">
            <v>1416.6666666666667</v>
          </cell>
          <cell r="AG68">
            <v>1416.6666666666667</v>
          </cell>
          <cell r="AH68">
            <v>1416.6666666666667</v>
          </cell>
          <cell r="AI68">
            <v>1416.6666666666667</v>
          </cell>
          <cell r="AJ68">
            <v>1416.6666666666667</v>
          </cell>
          <cell r="AK68">
            <v>1416.6666666666667</v>
          </cell>
          <cell r="AL68">
            <v>1416.6666666666667</v>
          </cell>
          <cell r="AM68">
            <v>1416.6666666666667</v>
          </cell>
          <cell r="AN68">
            <v>1416.6666666666667</v>
          </cell>
          <cell r="AO68">
            <v>1416.6666666666667</v>
          </cell>
          <cell r="AP68">
            <v>1416.6666666666667</v>
          </cell>
          <cell r="AQ68">
            <v>1416.6666666666667</v>
          </cell>
          <cell r="AR68">
            <v>1416.6666666666667</v>
          </cell>
          <cell r="AS68">
            <v>1416.6666666666667</v>
          </cell>
          <cell r="AT68">
            <v>1416.6666666666667</v>
          </cell>
          <cell r="AU68">
            <v>1416.6666666666667</v>
          </cell>
          <cell r="AV68">
            <v>1416.6666666666667</v>
          </cell>
          <cell r="AW68">
            <v>1416.6666666666667</v>
          </cell>
          <cell r="AX68">
            <v>1416.6666666666667</v>
          </cell>
          <cell r="AY68">
            <v>1416.6666666666667</v>
          </cell>
          <cell r="AZ68">
            <v>1416.6666666666667</v>
          </cell>
          <cell r="BA68">
            <v>1416.6666666666667</v>
          </cell>
          <cell r="BB68">
            <v>1416.6666666666667</v>
          </cell>
          <cell r="BC68">
            <v>1416.6666666666667</v>
          </cell>
          <cell r="BD68">
            <v>1416.6666666666667</v>
          </cell>
          <cell r="BE68">
            <v>1416.6666666666667</v>
          </cell>
          <cell r="BF68">
            <v>1416.6666666666667</v>
          </cell>
          <cell r="BG68">
            <v>1416.6666666666667</v>
          </cell>
          <cell r="BH68">
            <v>1416.6666666666667</v>
          </cell>
          <cell r="BI68">
            <v>1416.6666666666667</v>
          </cell>
          <cell r="BJ68">
            <v>1416.6666666666667</v>
          </cell>
        </row>
        <row r="69">
          <cell r="C69">
            <v>750</v>
          </cell>
          <cell r="D69">
            <v>750</v>
          </cell>
          <cell r="E69">
            <v>750</v>
          </cell>
          <cell r="F69">
            <v>750</v>
          </cell>
          <cell r="G69">
            <v>750</v>
          </cell>
          <cell r="H69">
            <v>750</v>
          </cell>
          <cell r="I69">
            <v>750</v>
          </cell>
          <cell r="J69">
            <v>750</v>
          </cell>
          <cell r="K69">
            <v>750</v>
          </cell>
          <cell r="L69">
            <v>750</v>
          </cell>
          <cell r="M69">
            <v>750</v>
          </cell>
          <cell r="N69">
            <v>750</v>
          </cell>
          <cell r="O69">
            <v>750</v>
          </cell>
          <cell r="P69">
            <v>750</v>
          </cell>
          <cell r="Q69">
            <v>750</v>
          </cell>
          <cell r="R69">
            <v>750</v>
          </cell>
          <cell r="S69">
            <v>750</v>
          </cell>
          <cell r="T69">
            <v>750</v>
          </cell>
          <cell r="U69">
            <v>750</v>
          </cell>
          <cell r="V69">
            <v>750</v>
          </cell>
          <cell r="W69">
            <v>750</v>
          </cell>
          <cell r="X69">
            <v>750</v>
          </cell>
          <cell r="Y69">
            <v>750</v>
          </cell>
          <cell r="Z69">
            <v>750</v>
          </cell>
          <cell r="AA69">
            <v>750</v>
          </cell>
          <cell r="AB69">
            <v>750</v>
          </cell>
          <cell r="AC69">
            <v>750</v>
          </cell>
          <cell r="AD69">
            <v>750</v>
          </cell>
          <cell r="AE69">
            <v>750</v>
          </cell>
          <cell r="AF69">
            <v>750</v>
          </cell>
          <cell r="AG69">
            <v>750</v>
          </cell>
          <cell r="AH69">
            <v>750</v>
          </cell>
          <cell r="AI69">
            <v>750</v>
          </cell>
          <cell r="AJ69">
            <v>750</v>
          </cell>
          <cell r="AK69">
            <v>750</v>
          </cell>
          <cell r="AL69">
            <v>750</v>
          </cell>
          <cell r="AM69">
            <v>750</v>
          </cell>
          <cell r="AN69">
            <v>750</v>
          </cell>
          <cell r="AO69">
            <v>750</v>
          </cell>
          <cell r="AP69">
            <v>750</v>
          </cell>
          <cell r="AQ69">
            <v>750</v>
          </cell>
          <cell r="AR69">
            <v>750</v>
          </cell>
          <cell r="AS69">
            <v>750</v>
          </cell>
          <cell r="AT69">
            <v>750</v>
          </cell>
          <cell r="AU69">
            <v>750</v>
          </cell>
          <cell r="AV69">
            <v>750</v>
          </cell>
          <cell r="AW69">
            <v>750</v>
          </cell>
          <cell r="AX69">
            <v>750</v>
          </cell>
          <cell r="AY69">
            <v>750</v>
          </cell>
          <cell r="AZ69">
            <v>750</v>
          </cell>
          <cell r="BA69">
            <v>750</v>
          </cell>
          <cell r="BB69">
            <v>750</v>
          </cell>
          <cell r="BC69">
            <v>750</v>
          </cell>
          <cell r="BD69">
            <v>750</v>
          </cell>
          <cell r="BE69">
            <v>750</v>
          </cell>
          <cell r="BF69">
            <v>750</v>
          </cell>
          <cell r="BG69">
            <v>750</v>
          </cell>
          <cell r="BH69">
            <v>750</v>
          </cell>
          <cell r="BI69">
            <v>750</v>
          </cell>
          <cell r="BJ69">
            <v>750</v>
          </cell>
        </row>
        <row r="77">
          <cell r="C77">
            <v>83.333333333333329</v>
          </cell>
          <cell r="D77">
            <v>83.333333333333329</v>
          </cell>
          <cell r="E77">
            <v>83.333333333333329</v>
          </cell>
          <cell r="F77">
            <v>83.333333333333329</v>
          </cell>
          <cell r="G77">
            <v>83.333333333333329</v>
          </cell>
          <cell r="H77">
            <v>83.333333333333329</v>
          </cell>
          <cell r="I77">
            <v>83.333333333333329</v>
          </cell>
          <cell r="J77">
            <v>83.333333333333329</v>
          </cell>
          <cell r="K77">
            <v>83.333333333333329</v>
          </cell>
          <cell r="L77">
            <v>83.333333333333329</v>
          </cell>
          <cell r="M77">
            <v>83.333333333333329</v>
          </cell>
          <cell r="N77">
            <v>83.333333333333329</v>
          </cell>
          <cell r="O77">
            <v>83.333333333333329</v>
          </cell>
          <cell r="P77">
            <v>83.333333333333329</v>
          </cell>
          <cell r="Q77">
            <v>83.333333333333329</v>
          </cell>
          <cell r="R77">
            <v>83.333333333333329</v>
          </cell>
          <cell r="S77">
            <v>83.333333333333329</v>
          </cell>
          <cell r="T77">
            <v>83.333333333333329</v>
          </cell>
          <cell r="U77">
            <v>83.333333333333329</v>
          </cell>
          <cell r="V77">
            <v>83.333333333333329</v>
          </cell>
          <cell r="W77">
            <v>83.333333333333329</v>
          </cell>
          <cell r="X77">
            <v>83.333333333333329</v>
          </cell>
          <cell r="Y77">
            <v>83.333333333333329</v>
          </cell>
          <cell r="Z77">
            <v>83.333333333333329</v>
          </cell>
          <cell r="AA77">
            <v>83.333333333333329</v>
          </cell>
          <cell r="AB77">
            <v>83.333333333333329</v>
          </cell>
          <cell r="AC77">
            <v>83.333333333333329</v>
          </cell>
          <cell r="AD77">
            <v>83.333333333333329</v>
          </cell>
          <cell r="AE77">
            <v>83.333333333333329</v>
          </cell>
          <cell r="AF77">
            <v>83.333333333333329</v>
          </cell>
          <cell r="AG77">
            <v>83.333333333333329</v>
          </cell>
          <cell r="AH77">
            <v>83.333333333333329</v>
          </cell>
          <cell r="AI77">
            <v>83.333333333333329</v>
          </cell>
          <cell r="AJ77">
            <v>83.333333333333329</v>
          </cell>
          <cell r="AK77">
            <v>83.333333333333329</v>
          </cell>
          <cell r="AL77">
            <v>83.333333333333329</v>
          </cell>
          <cell r="AM77">
            <v>83.333333333333329</v>
          </cell>
          <cell r="AN77">
            <v>83.333333333333329</v>
          </cell>
          <cell r="AO77">
            <v>83.333333333333329</v>
          </cell>
          <cell r="AP77">
            <v>83.333333333333329</v>
          </cell>
          <cell r="AQ77">
            <v>83.333333333333329</v>
          </cell>
          <cell r="AR77">
            <v>83.333333333333329</v>
          </cell>
          <cell r="AS77">
            <v>83.333333333333329</v>
          </cell>
          <cell r="AT77">
            <v>83.333333333333329</v>
          </cell>
          <cell r="AU77">
            <v>83.333333333333329</v>
          </cell>
          <cell r="AV77">
            <v>83.333333333333329</v>
          </cell>
          <cell r="AW77">
            <v>83.333333333333329</v>
          </cell>
          <cell r="AX77">
            <v>83.333333333333329</v>
          </cell>
          <cell r="AY77">
            <v>83.333333333333329</v>
          </cell>
          <cell r="AZ77">
            <v>83.333333333333329</v>
          </cell>
          <cell r="BA77">
            <v>83.333333333333329</v>
          </cell>
          <cell r="BB77">
            <v>83.333333333333329</v>
          </cell>
          <cell r="BC77">
            <v>83.333333333333329</v>
          </cell>
          <cell r="BD77">
            <v>83.333333333333329</v>
          </cell>
          <cell r="BE77">
            <v>83.333333333333329</v>
          </cell>
          <cell r="BF77">
            <v>83.333333333333329</v>
          </cell>
          <cell r="BG77">
            <v>83.333333333333329</v>
          </cell>
          <cell r="BH77">
            <v>83.333333333333329</v>
          </cell>
          <cell r="BI77">
            <v>83.333333333333329</v>
          </cell>
          <cell r="BJ77">
            <v>83.333333333333329</v>
          </cell>
        </row>
        <row r="84">
          <cell r="C84">
            <v>50</v>
          </cell>
          <cell r="D84">
            <v>50</v>
          </cell>
          <cell r="E84">
            <v>50</v>
          </cell>
          <cell r="F84">
            <v>50</v>
          </cell>
          <cell r="G84">
            <v>50</v>
          </cell>
          <cell r="H84">
            <v>50</v>
          </cell>
          <cell r="I84">
            <v>50</v>
          </cell>
          <cell r="J84">
            <v>50</v>
          </cell>
          <cell r="K84">
            <v>50</v>
          </cell>
          <cell r="L84">
            <v>50</v>
          </cell>
          <cell r="M84">
            <v>50</v>
          </cell>
          <cell r="N84">
            <v>50</v>
          </cell>
          <cell r="O84">
            <v>50</v>
          </cell>
          <cell r="P84">
            <v>50</v>
          </cell>
          <cell r="Q84">
            <v>50</v>
          </cell>
          <cell r="R84">
            <v>50</v>
          </cell>
          <cell r="S84">
            <v>50</v>
          </cell>
          <cell r="T84">
            <v>50</v>
          </cell>
          <cell r="U84">
            <v>50</v>
          </cell>
          <cell r="V84">
            <v>50</v>
          </cell>
          <cell r="W84">
            <v>50</v>
          </cell>
          <cell r="X84">
            <v>50</v>
          </cell>
          <cell r="Y84">
            <v>50</v>
          </cell>
          <cell r="Z84">
            <v>50</v>
          </cell>
          <cell r="AA84">
            <v>50</v>
          </cell>
          <cell r="AB84">
            <v>50</v>
          </cell>
          <cell r="AC84">
            <v>50</v>
          </cell>
          <cell r="AD84">
            <v>50</v>
          </cell>
          <cell r="AE84">
            <v>50</v>
          </cell>
          <cell r="AF84">
            <v>50</v>
          </cell>
          <cell r="AG84">
            <v>50</v>
          </cell>
          <cell r="AH84">
            <v>50</v>
          </cell>
          <cell r="AI84">
            <v>50</v>
          </cell>
          <cell r="AJ84">
            <v>50</v>
          </cell>
          <cell r="AK84">
            <v>50</v>
          </cell>
          <cell r="AL84">
            <v>50</v>
          </cell>
          <cell r="AM84">
            <v>50</v>
          </cell>
          <cell r="AN84">
            <v>50</v>
          </cell>
          <cell r="AO84">
            <v>50</v>
          </cell>
          <cell r="AP84">
            <v>50</v>
          </cell>
          <cell r="AQ84">
            <v>50</v>
          </cell>
          <cell r="AR84">
            <v>50</v>
          </cell>
          <cell r="AS84">
            <v>50</v>
          </cell>
          <cell r="AT84">
            <v>50</v>
          </cell>
          <cell r="AU84">
            <v>50</v>
          </cell>
          <cell r="AV84">
            <v>50</v>
          </cell>
          <cell r="AW84">
            <v>50</v>
          </cell>
          <cell r="AX84">
            <v>50</v>
          </cell>
          <cell r="AY84">
            <v>50</v>
          </cell>
          <cell r="AZ84">
            <v>50</v>
          </cell>
          <cell r="BA84">
            <v>50</v>
          </cell>
          <cell r="BB84">
            <v>50</v>
          </cell>
          <cell r="BC84">
            <v>50</v>
          </cell>
          <cell r="BD84">
            <v>50</v>
          </cell>
          <cell r="BE84">
            <v>50</v>
          </cell>
          <cell r="BF84">
            <v>50</v>
          </cell>
          <cell r="BG84">
            <v>50</v>
          </cell>
          <cell r="BH84">
            <v>50</v>
          </cell>
          <cell r="BI84">
            <v>50</v>
          </cell>
          <cell r="BJ84">
            <v>50</v>
          </cell>
        </row>
        <row r="92">
          <cell r="C92">
            <v>2500</v>
          </cell>
          <cell r="D92">
            <v>2508.3333333333335</v>
          </cell>
          <cell r="E92">
            <v>2516.6944444444448</v>
          </cell>
          <cell r="F92">
            <v>2525.0834259259263</v>
          </cell>
          <cell r="G92">
            <v>2533.500370679013</v>
          </cell>
          <cell r="H92">
            <v>2541.94537191461</v>
          </cell>
          <cell r="I92">
            <v>2550.4185231543256</v>
          </cell>
          <cell r="J92">
            <v>2558.9199182315069</v>
          </cell>
          <cell r="K92">
            <v>2567.4496512922788</v>
          </cell>
          <cell r="L92">
            <v>2576.0078167965867</v>
          </cell>
          <cell r="M92">
            <v>2584.5945095192424</v>
          </cell>
          <cell r="N92">
            <v>2593.2098245509733</v>
          </cell>
          <cell r="O92">
            <v>2601.8538572994767</v>
          </cell>
          <cell r="P92">
            <v>2610.526703490475</v>
          </cell>
          <cell r="Q92">
            <v>2619.2284591687767</v>
          </cell>
          <cell r="R92">
            <v>2627.9592206993393</v>
          </cell>
          <cell r="S92">
            <v>2636.7190847683373</v>
          </cell>
          <cell r="T92">
            <v>2645.5081483842318</v>
          </cell>
          <cell r="U92">
            <v>2654.3265088788462</v>
          </cell>
          <cell r="V92">
            <v>2663.1742639084428</v>
          </cell>
          <cell r="W92">
            <v>2672.0515114548043</v>
          </cell>
          <cell r="X92">
            <v>2680.9583498263205</v>
          </cell>
          <cell r="Y92">
            <v>2689.8948776590751</v>
          </cell>
          <cell r="Z92">
            <v>2698.8611939179386</v>
          </cell>
          <cell r="AA92">
            <v>2707.8573978976651</v>
          </cell>
          <cell r="AB92">
            <v>2716.8835892239908</v>
          </cell>
          <cell r="AC92">
            <v>2725.9398678547377</v>
          </cell>
          <cell r="AD92">
            <v>2735.0263340809206</v>
          </cell>
          <cell r="AE92">
            <v>2744.1430885278573</v>
          </cell>
          <cell r="AF92">
            <v>2753.2902321562838</v>
          </cell>
          <cell r="AG92">
            <v>2762.4678662634715</v>
          </cell>
          <cell r="AH92">
            <v>2771.6760924843497</v>
          </cell>
          <cell r="AI92">
            <v>2780.9150127926309</v>
          </cell>
          <cell r="AJ92">
            <v>2790.1847295019397</v>
          </cell>
          <cell r="AK92">
            <v>2799.4853452669463</v>
          </cell>
          <cell r="AL92">
            <v>2808.8169630845032</v>
          </cell>
          <cell r="AM92">
            <v>2818.1796862947849</v>
          </cell>
          <cell r="AN92">
            <v>2827.5736185824344</v>
          </cell>
          <cell r="AO92">
            <v>2836.9988639777093</v>
          </cell>
          <cell r="AP92">
            <v>2846.455526857635</v>
          </cell>
          <cell r="AQ92">
            <v>2855.9437119471609</v>
          </cell>
          <cell r="AR92">
            <v>2865.4635243203184</v>
          </cell>
          <cell r="AS92">
            <v>2875.0150694013864</v>
          </cell>
          <cell r="AT92">
            <v>2884.5984529660577</v>
          </cell>
          <cell r="AU92">
            <v>2894.2137811426114</v>
          </cell>
          <cell r="AV92">
            <v>2903.861160413087</v>
          </cell>
          <cell r="AW92">
            <v>2913.5406976144641</v>
          </cell>
          <cell r="AX92">
            <v>2923.2524999398461</v>
          </cell>
          <cell r="AY92">
            <v>2932.9966749396458</v>
          </cell>
          <cell r="AZ92">
            <v>2942.773330522778</v>
          </cell>
          <cell r="BA92">
            <v>2952.5825749578544</v>
          </cell>
          <cell r="BB92">
            <v>2962.424516874381</v>
          </cell>
          <cell r="BC92">
            <v>2972.2992652639623</v>
          </cell>
          <cell r="BD92">
            <v>2982.2069294815092</v>
          </cell>
          <cell r="BE92">
            <v>2992.1476192464479</v>
          </cell>
          <cell r="BF92">
            <v>3002.1214446439362</v>
          </cell>
          <cell r="BG92">
            <v>3012.128516126083</v>
          </cell>
          <cell r="BH92">
            <v>3022.1689445131701</v>
          </cell>
          <cell r="BI92">
            <v>3032.2428409948811</v>
          </cell>
          <cell r="BJ92">
            <v>3042.350317131531</v>
          </cell>
        </row>
        <row r="93">
          <cell r="C93">
            <v>875</v>
          </cell>
          <cell r="D93">
            <v>877.91666666666663</v>
          </cell>
          <cell r="E93">
            <v>880.84305555555568</v>
          </cell>
          <cell r="F93">
            <v>883.7791990740742</v>
          </cell>
          <cell r="G93">
            <v>886.72512973765447</v>
          </cell>
          <cell r="H93">
            <v>889.68088017011348</v>
          </cell>
          <cell r="I93">
            <v>892.6464831040139</v>
          </cell>
          <cell r="J93">
            <v>895.62197138102738</v>
          </cell>
          <cell r="K93">
            <v>898.6073779522975</v>
          </cell>
          <cell r="L93">
            <v>901.60273587880522</v>
          </cell>
          <cell r="M93">
            <v>904.60807833173476</v>
          </cell>
          <cell r="N93">
            <v>907.62343859284056</v>
          </cell>
          <cell r="O93">
            <v>910.64885005481676</v>
          </cell>
          <cell r="P93">
            <v>913.68434622166615</v>
          </cell>
          <cell r="Q93">
            <v>916.72996070907175</v>
          </cell>
          <cell r="R93">
            <v>919.78572724476874</v>
          </cell>
          <cell r="S93">
            <v>922.851679668918</v>
          </cell>
          <cell r="T93">
            <v>925.92785193448105</v>
          </cell>
          <cell r="U93">
            <v>929.01427810759606</v>
          </cell>
          <cell r="V93">
            <v>932.11099236795485</v>
          </cell>
          <cell r="W93">
            <v>935.21802900918146</v>
          </cell>
          <cell r="X93">
            <v>938.33542243921215</v>
          </cell>
          <cell r="Y93">
            <v>941.46320718067625</v>
          </cell>
          <cell r="Z93">
            <v>944.6014178712785</v>
          </cell>
          <cell r="AA93">
            <v>947.75008926418275</v>
          </cell>
          <cell r="AB93">
            <v>950.90925622839677</v>
          </cell>
          <cell r="AC93">
            <v>954.07895374915813</v>
          </cell>
          <cell r="AD93">
            <v>957.25921692832219</v>
          </cell>
          <cell r="AE93">
            <v>960.45008098475</v>
          </cell>
          <cell r="AF93">
            <v>963.65158125469929</v>
          </cell>
          <cell r="AG93">
            <v>966.86375319221497</v>
          </cell>
          <cell r="AH93">
            <v>970.08663236952236</v>
          </cell>
          <cell r="AI93">
            <v>973.3202544774208</v>
          </cell>
          <cell r="AJ93">
            <v>976.56465532567881</v>
          </cell>
          <cell r="AK93">
            <v>979.81987084343109</v>
          </cell>
          <cell r="AL93">
            <v>983.08593707957607</v>
          </cell>
          <cell r="AM93">
            <v>986.36289020317463</v>
          </cell>
          <cell r="AN93">
            <v>989.65076650385197</v>
          </cell>
          <cell r="AO93">
            <v>992.94960239219824</v>
          </cell>
          <cell r="AP93">
            <v>996.25943440017215</v>
          </cell>
          <cell r="AQ93">
            <v>999.58029918150623</v>
          </cell>
          <cell r="AR93">
            <v>1002.9122335121114</v>
          </cell>
          <cell r="AS93">
            <v>1006.2552742904852</v>
          </cell>
          <cell r="AT93">
            <v>1009.6094585381202</v>
          </cell>
          <cell r="AU93">
            <v>1012.9748233999139</v>
          </cell>
          <cell r="AV93">
            <v>1016.3514061445803</v>
          </cell>
          <cell r="AW93">
            <v>1019.7392441650624</v>
          </cell>
          <cell r="AX93">
            <v>1023.1383749789461</v>
          </cell>
          <cell r="AY93">
            <v>1026.5488362288759</v>
          </cell>
          <cell r="AZ93">
            <v>1029.9706656829721</v>
          </cell>
          <cell r="BA93">
            <v>1033.4039012352489</v>
          </cell>
          <cell r="BB93">
            <v>1036.8485809060332</v>
          </cell>
          <cell r="BC93">
            <v>1040.3047428423868</v>
          </cell>
          <cell r="BD93">
            <v>1043.7724253185281</v>
          </cell>
          <cell r="BE93">
            <v>1047.2516667362568</v>
          </cell>
          <cell r="BF93">
            <v>1050.7425056253776</v>
          </cell>
          <cell r="BG93">
            <v>1054.2449806441291</v>
          </cell>
          <cell r="BH93">
            <v>1057.7591305796095</v>
          </cell>
          <cell r="BI93">
            <v>1061.2849943482083</v>
          </cell>
          <cell r="BJ93">
            <v>1064.8226109960358</v>
          </cell>
        </row>
        <row r="94">
          <cell r="C94">
            <v>500</v>
          </cell>
          <cell r="D94">
            <v>501.66666666666669</v>
          </cell>
          <cell r="E94">
            <v>503.33888888888896</v>
          </cell>
          <cell r="F94">
            <v>505.01668518518528</v>
          </cell>
          <cell r="G94">
            <v>506.70007413580259</v>
          </cell>
          <cell r="H94">
            <v>508.38907438292199</v>
          </cell>
          <cell r="I94">
            <v>510.0837046308651</v>
          </cell>
          <cell r="J94">
            <v>511.78398364630135</v>
          </cell>
          <cell r="K94">
            <v>513.48993025845573</v>
          </cell>
          <cell r="L94">
            <v>515.20156335931733</v>
          </cell>
          <cell r="M94">
            <v>516.91890190384845</v>
          </cell>
          <cell r="N94">
            <v>518.6419649101947</v>
          </cell>
          <cell r="O94">
            <v>520.37077145989542</v>
          </cell>
          <cell r="P94">
            <v>522.10534069809512</v>
          </cell>
          <cell r="Q94">
            <v>523.8456918337555</v>
          </cell>
          <cell r="R94">
            <v>525.59184413986804</v>
          </cell>
          <cell r="S94">
            <v>527.34381695366767</v>
          </cell>
          <cell r="T94">
            <v>529.10162967684664</v>
          </cell>
          <cell r="U94">
            <v>530.86530177576947</v>
          </cell>
          <cell r="V94">
            <v>532.63485278168878</v>
          </cell>
          <cell r="W94">
            <v>534.41030229096111</v>
          </cell>
          <cell r="X94">
            <v>536.1916699652644</v>
          </cell>
          <cell r="Y94">
            <v>537.97897553181531</v>
          </cell>
          <cell r="Z94">
            <v>539.77223878358802</v>
          </cell>
          <cell r="AA94">
            <v>541.57147957953339</v>
          </cell>
          <cell r="AB94">
            <v>543.37671784479858</v>
          </cell>
          <cell r="AC94">
            <v>545.18797357094797</v>
          </cell>
          <cell r="AD94">
            <v>547.00526681618453</v>
          </cell>
          <cell r="AE94">
            <v>548.8286177055719</v>
          </cell>
          <cell r="AF94">
            <v>550.65804643125716</v>
          </cell>
          <cell r="AG94">
            <v>552.49357325269477</v>
          </cell>
          <cell r="AH94">
            <v>554.33521849687043</v>
          </cell>
          <cell r="AI94">
            <v>556.18300255852671</v>
          </cell>
          <cell r="AJ94">
            <v>558.03694590038856</v>
          </cell>
          <cell r="AK94">
            <v>559.89706905338994</v>
          </cell>
          <cell r="AL94">
            <v>561.76339261690123</v>
          </cell>
          <cell r="AM94">
            <v>563.6359372589576</v>
          </cell>
          <cell r="AN94">
            <v>565.51472371648754</v>
          </cell>
          <cell r="AO94">
            <v>567.3997727955425</v>
          </cell>
          <cell r="AP94">
            <v>569.29110537152769</v>
          </cell>
          <cell r="AQ94">
            <v>571.18874238943283</v>
          </cell>
          <cell r="AR94">
            <v>573.09270486406433</v>
          </cell>
          <cell r="AS94">
            <v>575.00301388027788</v>
          </cell>
          <cell r="AT94">
            <v>576.91969059321218</v>
          </cell>
          <cell r="AU94">
            <v>578.84275622852294</v>
          </cell>
          <cell r="AV94">
            <v>580.77223208261807</v>
          </cell>
          <cell r="AW94">
            <v>582.70813952289348</v>
          </cell>
          <cell r="AX94">
            <v>584.65049998796985</v>
          </cell>
          <cell r="AY94">
            <v>586.59933498792975</v>
          </cell>
          <cell r="AZ94">
            <v>588.55466610455619</v>
          </cell>
          <cell r="BA94">
            <v>590.5165149915714</v>
          </cell>
          <cell r="BB94">
            <v>592.48490337487669</v>
          </cell>
          <cell r="BC94">
            <v>594.45985305279305</v>
          </cell>
          <cell r="BD94">
            <v>596.44138589630245</v>
          </cell>
          <cell r="BE94">
            <v>598.42952384929015</v>
          </cell>
          <cell r="BF94">
            <v>600.42428892878786</v>
          </cell>
          <cell r="BG94">
            <v>602.42570322521715</v>
          </cell>
          <cell r="BH94">
            <v>604.43378890263455</v>
          </cell>
          <cell r="BI94">
            <v>606.44856819897666</v>
          </cell>
          <cell r="BJ94">
            <v>608.47006342630664</v>
          </cell>
        </row>
        <row r="95">
          <cell r="C95">
            <v>100</v>
          </cell>
          <cell r="D95">
            <v>100.33333333333334</v>
          </cell>
          <cell r="E95">
            <v>100.6677777777778</v>
          </cell>
          <cell r="F95">
            <v>101.00333703703707</v>
          </cell>
          <cell r="G95">
            <v>101.34001482716053</v>
          </cell>
          <cell r="H95">
            <v>101.67781487658441</v>
          </cell>
          <cell r="I95">
            <v>102.01674092617303</v>
          </cell>
          <cell r="J95">
            <v>102.35679672926028</v>
          </cell>
          <cell r="K95">
            <v>102.69798605169116</v>
          </cell>
          <cell r="L95">
            <v>103.04031267186348</v>
          </cell>
          <cell r="M95">
            <v>103.38378038076969</v>
          </cell>
          <cell r="N95">
            <v>103.72839298203893</v>
          </cell>
          <cell r="O95">
            <v>104.07415429197907</v>
          </cell>
          <cell r="P95">
            <v>104.42106813961901</v>
          </cell>
          <cell r="Q95">
            <v>104.76913836675108</v>
          </cell>
          <cell r="R95">
            <v>105.1183688279736</v>
          </cell>
          <cell r="S95">
            <v>105.46876339073351</v>
          </cell>
          <cell r="T95">
            <v>105.8203259353693</v>
          </cell>
          <cell r="U95">
            <v>106.17306035515386</v>
          </cell>
          <cell r="V95">
            <v>106.52697055633772</v>
          </cell>
          <cell r="W95">
            <v>106.88206045819219</v>
          </cell>
          <cell r="X95">
            <v>107.23833399305283</v>
          </cell>
          <cell r="Y95">
            <v>107.59579510636301</v>
          </cell>
          <cell r="Z95">
            <v>107.95444775671757</v>
          </cell>
          <cell r="AA95">
            <v>108.31429591590664</v>
          </cell>
          <cell r="AB95">
            <v>108.67534356895968</v>
          </cell>
          <cell r="AC95">
            <v>109.03759471418955</v>
          </cell>
          <cell r="AD95">
            <v>109.40105336323685</v>
          </cell>
          <cell r="AE95">
            <v>109.76572354111433</v>
          </cell>
          <cell r="AF95">
            <v>110.13160928625138</v>
          </cell>
          <cell r="AG95">
            <v>110.49871465053889</v>
          </cell>
          <cell r="AH95">
            <v>110.86704369937402</v>
          </cell>
          <cell r="AI95">
            <v>111.23660051170528</v>
          </cell>
          <cell r="AJ95">
            <v>111.60738918007763</v>
          </cell>
          <cell r="AK95">
            <v>111.9794138106779</v>
          </cell>
          <cell r="AL95">
            <v>112.35267852338016</v>
          </cell>
          <cell r="AM95">
            <v>112.72718745179144</v>
          </cell>
          <cell r="AN95">
            <v>113.10294474329741</v>
          </cell>
          <cell r="AO95">
            <v>113.47995455910841</v>
          </cell>
          <cell r="AP95">
            <v>113.85822107430545</v>
          </cell>
          <cell r="AQ95">
            <v>114.23774847788647</v>
          </cell>
          <cell r="AR95">
            <v>114.61854097281277</v>
          </cell>
          <cell r="AS95">
            <v>115.00060277605549</v>
          </cell>
          <cell r="AT95">
            <v>115.38393811864235</v>
          </cell>
          <cell r="AU95">
            <v>115.7685512457045</v>
          </cell>
          <cell r="AV95">
            <v>116.15444641652353</v>
          </cell>
          <cell r="AW95">
            <v>116.54162790457862</v>
          </cell>
          <cell r="AX95">
            <v>116.93009999759389</v>
          </cell>
          <cell r="AY95">
            <v>117.31986699758588</v>
          </cell>
          <cell r="AZ95">
            <v>117.71093322091117</v>
          </cell>
          <cell r="BA95">
            <v>118.10330299831422</v>
          </cell>
          <cell r="BB95">
            <v>118.49698067497528</v>
          </cell>
          <cell r="BC95">
            <v>118.89197061055853</v>
          </cell>
          <cell r="BD95">
            <v>119.2882771792604</v>
          </cell>
          <cell r="BE95">
            <v>119.68590476985794</v>
          </cell>
          <cell r="BF95">
            <v>120.08485778575748</v>
          </cell>
          <cell r="BG95">
            <v>120.48514064504334</v>
          </cell>
          <cell r="BH95">
            <v>120.88675778052684</v>
          </cell>
          <cell r="BI95">
            <v>121.28971363979527</v>
          </cell>
          <cell r="BJ95">
            <v>121.69401268526126</v>
          </cell>
        </row>
        <row r="96">
          <cell r="C96">
            <v>100</v>
          </cell>
          <cell r="D96">
            <v>100.33333333333334</v>
          </cell>
          <cell r="E96">
            <v>100.6677777777778</v>
          </cell>
          <cell r="F96">
            <v>101.00333703703707</v>
          </cell>
          <cell r="G96">
            <v>101.34001482716053</v>
          </cell>
          <cell r="H96">
            <v>101.67781487658441</v>
          </cell>
          <cell r="I96">
            <v>102.01674092617303</v>
          </cell>
          <cell r="J96">
            <v>102.35679672926028</v>
          </cell>
          <cell r="K96">
            <v>102.69798605169116</v>
          </cell>
          <cell r="L96">
            <v>103.04031267186348</v>
          </cell>
          <cell r="M96">
            <v>103.38378038076969</v>
          </cell>
          <cell r="N96">
            <v>103.72839298203893</v>
          </cell>
          <cell r="O96">
            <v>104.07415429197907</v>
          </cell>
          <cell r="P96">
            <v>104.42106813961901</v>
          </cell>
          <cell r="Q96">
            <v>104.76913836675108</v>
          </cell>
          <cell r="R96">
            <v>105.1183688279736</v>
          </cell>
          <cell r="S96">
            <v>105.46876339073351</v>
          </cell>
          <cell r="T96">
            <v>105.8203259353693</v>
          </cell>
          <cell r="U96">
            <v>106.17306035515386</v>
          </cell>
          <cell r="V96">
            <v>106.52697055633772</v>
          </cell>
          <cell r="W96">
            <v>106.88206045819219</v>
          </cell>
          <cell r="X96">
            <v>107.23833399305283</v>
          </cell>
          <cell r="Y96">
            <v>107.59579510636301</v>
          </cell>
          <cell r="Z96">
            <v>107.95444775671757</v>
          </cell>
          <cell r="AA96">
            <v>108.31429591590664</v>
          </cell>
          <cell r="AB96">
            <v>108.67534356895968</v>
          </cell>
          <cell r="AC96">
            <v>109.03759471418955</v>
          </cell>
          <cell r="AD96">
            <v>109.40105336323685</v>
          </cell>
          <cell r="AE96">
            <v>109.76572354111433</v>
          </cell>
          <cell r="AF96">
            <v>110.13160928625138</v>
          </cell>
          <cell r="AG96">
            <v>110.49871465053889</v>
          </cell>
          <cell r="AH96">
            <v>110.86704369937402</v>
          </cell>
          <cell r="AI96">
            <v>111.23660051170528</v>
          </cell>
          <cell r="AJ96">
            <v>111.60738918007763</v>
          </cell>
          <cell r="AK96">
            <v>111.9794138106779</v>
          </cell>
          <cell r="AL96">
            <v>112.35267852338016</v>
          </cell>
          <cell r="AM96">
            <v>112.72718745179144</v>
          </cell>
          <cell r="AN96">
            <v>113.10294474329741</v>
          </cell>
          <cell r="AO96">
            <v>113.47995455910841</v>
          </cell>
          <cell r="AP96">
            <v>113.85822107430545</v>
          </cell>
          <cell r="AQ96">
            <v>114.23774847788647</v>
          </cell>
          <cell r="AR96">
            <v>114.61854097281277</v>
          </cell>
          <cell r="AS96">
            <v>115.00060277605549</v>
          </cell>
          <cell r="AT96">
            <v>115.38393811864235</v>
          </cell>
          <cell r="AU96">
            <v>115.7685512457045</v>
          </cell>
          <cell r="AV96">
            <v>116.15444641652353</v>
          </cell>
          <cell r="AW96">
            <v>116.54162790457862</v>
          </cell>
          <cell r="AX96">
            <v>116.93009999759389</v>
          </cell>
          <cell r="AY96">
            <v>117.31986699758588</v>
          </cell>
          <cell r="AZ96">
            <v>117.71093322091117</v>
          </cell>
          <cell r="BA96">
            <v>118.10330299831422</v>
          </cell>
          <cell r="BB96">
            <v>118.49698067497528</v>
          </cell>
          <cell r="BC96">
            <v>118.89197061055853</v>
          </cell>
          <cell r="BD96">
            <v>119.2882771792604</v>
          </cell>
          <cell r="BE96">
            <v>119.68590476985794</v>
          </cell>
          <cell r="BF96">
            <v>120.08485778575748</v>
          </cell>
          <cell r="BG96">
            <v>120.48514064504334</v>
          </cell>
          <cell r="BH96">
            <v>120.88675778052684</v>
          </cell>
          <cell r="BI96">
            <v>121.28971363979527</v>
          </cell>
          <cell r="BJ96">
            <v>121.69401268526126</v>
          </cell>
        </row>
        <row r="97">
          <cell r="C97">
            <v>100</v>
          </cell>
          <cell r="D97">
            <v>100.33333333333334</v>
          </cell>
          <cell r="E97">
            <v>100.6677777777778</v>
          </cell>
          <cell r="F97">
            <v>101.00333703703707</v>
          </cell>
          <cell r="G97">
            <v>101.34001482716053</v>
          </cell>
          <cell r="H97">
            <v>101.67781487658441</v>
          </cell>
          <cell r="I97">
            <v>102.01674092617303</v>
          </cell>
          <cell r="J97">
            <v>102.35679672926028</v>
          </cell>
          <cell r="K97">
            <v>102.69798605169116</v>
          </cell>
          <cell r="L97">
            <v>103.04031267186348</v>
          </cell>
          <cell r="M97">
            <v>103.38378038076969</v>
          </cell>
          <cell r="N97">
            <v>103.72839298203893</v>
          </cell>
          <cell r="O97">
            <v>104.07415429197907</v>
          </cell>
          <cell r="P97">
            <v>104.42106813961901</v>
          </cell>
          <cell r="Q97">
            <v>104.76913836675108</v>
          </cell>
          <cell r="R97">
            <v>105.1183688279736</v>
          </cell>
          <cell r="S97">
            <v>105.46876339073351</v>
          </cell>
          <cell r="T97">
            <v>105.8203259353693</v>
          </cell>
          <cell r="U97">
            <v>106.17306035515386</v>
          </cell>
          <cell r="V97">
            <v>106.52697055633772</v>
          </cell>
          <cell r="W97">
            <v>106.88206045819219</v>
          </cell>
          <cell r="X97">
            <v>107.23833399305283</v>
          </cell>
          <cell r="Y97">
            <v>107.59579510636301</v>
          </cell>
          <cell r="Z97">
            <v>107.95444775671757</v>
          </cell>
          <cell r="AA97">
            <v>108.31429591590664</v>
          </cell>
          <cell r="AB97">
            <v>108.67534356895968</v>
          </cell>
          <cell r="AC97">
            <v>109.03759471418955</v>
          </cell>
          <cell r="AD97">
            <v>109.40105336323685</v>
          </cell>
          <cell r="AE97">
            <v>109.76572354111433</v>
          </cell>
          <cell r="AF97">
            <v>110.13160928625138</v>
          </cell>
          <cell r="AG97">
            <v>110.49871465053889</v>
          </cell>
          <cell r="AH97">
            <v>110.86704369937402</v>
          </cell>
          <cell r="AI97">
            <v>111.23660051170528</v>
          </cell>
          <cell r="AJ97">
            <v>111.60738918007763</v>
          </cell>
          <cell r="AK97">
            <v>111.9794138106779</v>
          </cell>
          <cell r="AL97">
            <v>112.35267852338016</v>
          </cell>
          <cell r="AM97">
            <v>112.72718745179144</v>
          </cell>
          <cell r="AN97">
            <v>113.10294474329741</v>
          </cell>
          <cell r="AO97">
            <v>113.47995455910841</v>
          </cell>
          <cell r="AP97">
            <v>113.85822107430545</v>
          </cell>
          <cell r="AQ97">
            <v>114.23774847788647</v>
          </cell>
          <cell r="AR97">
            <v>114.61854097281277</v>
          </cell>
          <cell r="AS97">
            <v>115.00060277605549</v>
          </cell>
          <cell r="AT97">
            <v>115.38393811864235</v>
          </cell>
          <cell r="AU97">
            <v>115.7685512457045</v>
          </cell>
          <cell r="AV97">
            <v>116.15444641652353</v>
          </cell>
          <cell r="AW97">
            <v>116.54162790457862</v>
          </cell>
          <cell r="AX97">
            <v>116.93009999759389</v>
          </cell>
          <cell r="AY97">
            <v>117.31986699758588</v>
          </cell>
          <cell r="AZ97">
            <v>117.71093322091117</v>
          </cell>
          <cell r="BA97">
            <v>118.10330299831422</v>
          </cell>
          <cell r="BB97">
            <v>118.49698067497528</v>
          </cell>
          <cell r="BC97">
            <v>118.89197061055853</v>
          </cell>
          <cell r="BD97">
            <v>119.2882771792604</v>
          </cell>
          <cell r="BE97">
            <v>119.68590476985794</v>
          </cell>
          <cell r="BF97">
            <v>120.08485778575748</v>
          </cell>
          <cell r="BG97">
            <v>120.48514064504334</v>
          </cell>
          <cell r="BH97">
            <v>120.88675778052684</v>
          </cell>
          <cell r="BI97">
            <v>121.28971363979527</v>
          </cell>
          <cell r="BJ97">
            <v>121.69401268526126</v>
          </cell>
        </row>
        <row r="98">
          <cell r="C98">
            <v>100</v>
          </cell>
          <cell r="D98">
            <v>100.33333333333334</v>
          </cell>
          <cell r="E98">
            <v>100.6677777777778</v>
          </cell>
          <cell r="F98">
            <v>101.00333703703707</v>
          </cell>
          <cell r="G98">
            <v>101.34001482716053</v>
          </cell>
          <cell r="H98">
            <v>101.67781487658441</v>
          </cell>
          <cell r="I98">
            <v>102.01674092617303</v>
          </cell>
          <cell r="J98">
            <v>102.35679672926028</v>
          </cell>
          <cell r="K98">
            <v>102.69798605169116</v>
          </cell>
          <cell r="L98">
            <v>103.04031267186348</v>
          </cell>
          <cell r="M98">
            <v>103.38378038076969</v>
          </cell>
          <cell r="N98">
            <v>103.72839298203893</v>
          </cell>
          <cell r="O98">
            <v>104.07415429197907</v>
          </cell>
          <cell r="P98">
            <v>104.42106813961901</v>
          </cell>
          <cell r="Q98">
            <v>104.76913836675108</v>
          </cell>
          <cell r="R98">
            <v>105.1183688279736</v>
          </cell>
          <cell r="S98">
            <v>105.46876339073351</v>
          </cell>
          <cell r="T98">
            <v>105.8203259353693</v>
          </cell>
          <cell r="U98">
            <v>106.17306035515386</v>
          </cell>
          <cell r="V98">
            <v>106.52697055633772</v>
          </cell>
          <cell r="W98">
            <v>106.88206045819219</v>
          </cell>
          <cell r="X98">
            <v>107.23833399305283</v>
          </cell>
          <cell r="Y98">
            <v>107.59579510636301</v>
          </cell>
          <cell r="Z98">
            <v>107.95444775671757</v>
          </cell>
          <cell r="AA98">
            <v>108.31429591590664</v>
          </cell>
          <cell r="AB98">
            <v>108.67534356895968</v>
          </cell>
          <cell r="AC98">
            <v>109.03759471418955</v>
          </cell>
          <cell r="AD98">
            <v>109.40105336323685</v>
          </cell>
          <cell r="AE98">
            <v>109.76572354111433</v>
          </cell>
          <cell r="AF98">
            <v>110.13160928625138</v>
          </cell>
          <cell r="AG98">
            <v>110.49871465053889</v>
          </cell>
          <cell r="AH98">
            <v>110.86704369937402</v>
          </cell>
          <cell r="AI98">
            <v>111.23660051170528</v>
          </cell>
          <cell r="AJ98">
            <v>111.60738918007763</v>
          </cell>
          <cell r="AK98">
            <v>111.9794138106779</v>
          </cell>
          <cell r="AL98">
            <v>112.35267852338016</v>
          </cell>
          <cell r="AM98">
            <v>112.72718745179144</v>
          </cell>
          <cell r="AN98">
            <v>113.10294474329741</v>
          </cell>
          <cell r="AO98">
            <v>113.47995455910841</v>
          </cell>
          <cell r="AP98">
            <v>113.85822107430545</v>
          </cell>
          <cell r="AQ98">
            <v>114.23774847788647</v>
          </cell>
          <cell r="AR98">
            <v>114.61854097281277</v>
          </cell>
          <cell r="AS98">
            <v>115.00060277605549</v>
          </cell>
          <cell r="AT98">
            <v>115.38393811864235</v>
          </cell>
          <cell r="AU98">
            <v>115.7685512457045</v>
          </cell>
          <cell r="AV98">
            <v>116.15444641652353</v>
          </cell>
          <cell r="AW98">
            <v>116.54162790457862</v>
          </cell>
          <cell r="AX98">
            <v>116.93009999759389</v>
          </cell>
          <cell r="AY98">
            <v>117.31986699758588</v>
          </cell>
          <cell r="AZ98">
            <v>117.71093322091117</v>
          </cell>
          <cell r="BA98">
            <v>118.10330299831422</v>
          </cell>
          <cell r="BB98">
            <v>118.49698067497528</v>
          </cell>
          <cell r="BC98">
            <v>118.89197061055853</v>
          </cell>
          <cell r="BD98">
            <v>119.2882771792604</v>
          </cell>
          <cell r="BE98">
            <v>119.68590476985794</v>
          </cell>
          <cell r="BF98">
            <v>120.08485778575748</v>
          </cell>
          <cell r="BG98">
            <v>120.48514064504334</v>
          </cell>
          <cell r="BH98">
            <v>120.88675778052684</v>
          </cell>
          <cell r="BI98">
            <v>121.28971363979527</v>
          </cell>
          <cell r="BJ98">
            <v>121.69401268526126</v>
          </cell>
        </row>
        <row r="99">
          <cell r="C99">
            <v>100</v>
          </cell>
          <cell r="D99">
            <v>100.33333333333334</v>
          </cell>
          <cell r="E99">
            <v>100.6677777777778</v>
          </cell>
          <cell r="F99">
            <v>101.00333703703707</v>
          </cell>
          <cell r="G99">
            <v>101.34001482716053</v>
          </cell>
          <cell r="H99">
            <v>101.67781487658441</v>
          </cell>
          <cell r="I99">
            <v>102.01674092617303</v>
          </cell>
          <cell r="J99">
            <v>102.35679672926028</v>
          </cell>
          <cell r="K99">
            <v>102.69798605169116</v>
          </cell>
          <cell r="L99">
            <v>103.04031267186348</v>
          </cell>
          <cell r="M99">
            <v>103.38378038076969</v>
          </cell>
          <cell r="N99">
            <v>103.72839298203893</v>
          </cell>
          <cell r="O99">
            <v>104.07415429197907</v>
          </cell>
          <cell r="P99">
            <v>104.42106813961901</v>
          </cell>
          <cell r="Q99">
            <v>104.76913836675108</v>
          </cell>
          <cell r="R99">
            <v>105.1183688279736</v>
          </cell>
          <cell r="S99">
            <v>105.46876339073351</v>
          </cell>
          <cell r="T99">
            <v>105.8203259353693</v>
          </cell>
          <cell r="U99">
            <v>106.17306035515386</v>
          </cell>
          <cell r="V99">
            <v>106.52697055633772</v>
          </cell>
          <cell r="W99">
            <v>106.88206045819219</v>
          </cell>
          <cell r="X99">
            <v>107.23833399305283</v>
          </cell>
          <cell r="Y99">
            <v>107.59579510636301</v>
          </cell>
          <cell r="Z99">
            <v>107.95444775671757</v>
          </cell>
          <cell r="AA99">
            <v>108.31429591590664</v>
          </cell>
          <cell r="AB99">
            <v>108.67534356895968</v>
          </cell>
          <cell r="AC99">
            <v>109.03759471418955</v>
          </cell>
          <cell r="AD99">
            <v>109.40105336323685</v>
          </cell>
          <cell r="AE99">
            <v>109.76572354111433</v>
          </cell>
          <cell r="AF99">
            <v>110.13160928625138</v>
          </cell>
          <cell r="AG99">
            <v>110.49871465053889</v>
          </cell>
          <cell r="AH99">
            <v>110.86704369937402</v>
          </cell>
          <cell r="AI99">
            <v>111.23660051170528</v>
          </cell>
          <cell r="AJ99">
            <v>111.60738918007763</v>
          </cell>
          <cell r="AK99">
            <v>111.9794138106779</v>
          </cell>
          <cell r="AL99">
            <v>112.35267852338016</v>
          </cell>
          <cell r="AM99">
            <v>112.72718745179144</v>
          </cell>
          <cell r="AN99">
            <v>113.10294474329741</v>
          </cell>
          <cell r="AO99">
            <v>113.47995455910841</v>
          </cell>
          <cell r="AP99">
            <v>113.85822107430545</v>
          </cell>
          <cell r="AQ99">
            <v>114.23774847788647</v>
          </cell>
          <cell r="AR99">
            <v>114.61854097281277</v>
          </cell>
          <cell r="AS99">
            <v>115.00060277605549</v>
          </cell>
          <cell r="AT99">
            <v>115.38393811864235</v>
          </cell>
          <cell r="AU99">
            <v>115.7685512457045</v>
          </cell>
          <cell r="AV99">
            <v>116.15444641652353</v>
          </cell>
          <cell r="AW99">
            <v>116.54162790457862</v>
          </cell>
          <cell r="AX99">
            <v>116.93009999759389</v>
          </cell>
          <cell r="AY99">
            <v>117.31986699758588</v>
          </cell>
          <cell r="AZ99">
            <v>117.71093322091117</v>
          </cell>
          <cell r="BA99">
            <v>118.10330299831422</v>
          </cell>
          <cell r="BB99">
            <v>118.49698067497528</v>
          </cell>
          <cell r="BC99">
            <v>118.89197061055853</v>
          </cell>
          <cell r="BD99">
            <v>119.2882771792604</v>
          </cell>
          <cell r="BE99">
            <v>119.68590476985794</v>
          </cell>
          <cell r="BF99">
            <v>120.08485778575748</v>
          </cell>
          <cell r="BG99">
            <v>120.48514064504334</v>
          </cell>
          <cell r="BH99">
            <v>120.88675778052684</v>
          </cell>
          <cell r="BI99">
            <v>121.28971363979527</v>
          </cell>
          <cell r="BJ99">
            <v>121.69401268526126</v>
          </cell>
        </row>
        <row r="100">
          <cell r="C100">
            <v>50</v>
          </cell>
          <cell r="D100">
            <v>50.166666666666671</v>
          </cell>
          <cell r="E100">
            <v>50.3338888888889</v>
          </cell>
          <cell r="F100">
            <v>50.501668518518535</v>
          </cell>
          <cell r="G100">
            <v>50.670007413580265</v>
          </cell>
          <cell r="H100">
            <v>50.838907438292203</v>
          </cell>
          <cell r="I100">
            <v>51.008370463086514</v>
          </cell>
          <cell r="J100">
            <v>51.178398364630141</v>
          </cell>
          <cell r="K100">
            <v>51.34899302584558</v>
          </cell>
          <cell r="L100">
            <v>51.520156335931738</v>
          </cell>
          <cell r="M100">
            <v>51.691890190384846</v>
          </cell>
          <cell r="N100">
            <v>51.864196491019463</v>
          </cell>
          <cell r="O100">
            <v>52.037077145989535</v>
          </cell>
          <cell r="P100">
            <v>52.210534069809505</v>
          </cell>
          <cell r="Q100">
            <v>52.38456918337554</v>
          </cell>
          <cell r="R100">
            <v>52.559184413986799</v>
          </cell>
          <cell r="S100">
            <v>52.734381695366757</v>
          </cell>
          <cell r="T100">
            <v>52.910162967684649</v>
          </cell>
          <cell r="U100">
            <v>53.086530177576932</v>
          </cell>
          <cell r="V100">
            <v>53.263485278168858</v>
          </cell>
          <cell r="W100">
            <v>53.441030229096093</v>
          </cell>
          <cell r="X100">
            <v>53.619166996526417</v>
          </cell>
          <cell r="Y100">
            <v>53.797897553181507</v>
          </cell>
          <cell r="Z100">
            <v>53.977223878358785</v>
          </cell>
          <cell r="AA100">
            <v>54.15714795795332</v>
          </cell>
          <cell r="AB100">
            <v>54.337671784479838</v>
          </cell>
          <cell r="AC100">
            <v>54.518797357094776</v>
          </cell>
          <cell r="AD100">
            <v>54.700526681618427</v>
          </cell>
          <cell r="AE100">
            <v>54.882861770557163</v>
          </cell>
          <cell r="AF100">
            <v>55.065804643125688</v>
          </cell>
          <cell r="AG100">
            <v>55.249357325269443</v>
          </cell>
          <cell r="AH100">
            <v>55.433521849687011</v>
          </cell>
          <cell r="AI100">
            <v>55.618300255852638</v>
          </cell>
          <cell r="AJ100">
            <v>55.803694590038816</v>
          </cell>
          <cell r="AK100">
            <v>55.989706905338949</v>
          </cell>
          <cell r="AL100">
            <v>56.176339261690082</v>
          </cell>
          <cell r="AM100">
            <v>56.363593725895718</v>
          </cell>
          <cell r="AN100">
            <v>56.551472371648707</v>
          </cell>
          <cell r="AO100">
            <v>56.739977279554203</v>
          </cell>
          <cell r="AP100">
            <v>56.929110537152724</v>
          </cell>
          <cell r="AQ100">
            <v>57.118874238943235</v>
          </cell>
          <cell r="AR100">
            <v>57.309270486406383</v>
          </cell>
          <cell r="AS100">
            <v>57.500301388027744</v>
          </cell>
          <cell r="AT100">
            <v>57.691969059321174</v>
          </cell>
          <cell r="AU100">
            <v>57.88427562285225</v>
          </cell>
          <cell r="AV100">
            <v>58.077223208261763</v>
          </cell>
          <cell r="AW100">
            <v>58.270813952289309</v>
          </cell>
          <cell r="AX100">
            <v>58.465049998796943</v>
          </cell>
          <cell r="AY100">
            <v>58.659933498792938</v>
          </cell>
          <cell r="AZ100">
            <v>58.855466610455586</v>
          </cell>
          <cell r="BA100">
            <v>59.05165149915711</v>
          </cell>
          <cell r="BB100">
            <v>59.248490337487638</v>
          </cell>
          <cell r="BC100">
            <v>59.445985305279265</v>
          </cell>
          <cell r="BD100">
            <v>59.644138589630202</v>
          </cell>
          <cell r="BE100">
            <v>59.842952384928971</v>
          </cell>
          <cell r="BF100">
            <v>60.042428892878739</v>
          </cell>
          <cell r="BG100">
            <v>60.242570322521672</v>
          </cell>
          <cell r="BH100">
            <v>60.443378890263418</v>
          </cell>
          <cell r="BI100">
            <v>60.644856819897633</v>
          </cell>
          <cell r="BJ100">
            <v>60.847006342630628</v>
          </cell>
        </row>
        <row r="101">
          <cell r="C101">
            <v>100</v>
          </cell>
          <cell r="D101">
            <v>100.33333333333334</v>
          </cell>
          <cell r="E101">
            <v>100.6677777777778</v>
          </cell>
          <cell r="F101">
            <v>101.00333703703707</v>
          </cell>
          <cell r="G101">
            <v>101.34001482716053</v>
          </cell>
          <cell r="H101">
            <v>101.67781487658441</v>
          </cell>
          <cell r="I101">
            <v>102.01674092617303</v>
          </cell>
          <cell r="J101">
            <v>102.35679672926028</v>
          </cell>
          <cell r="K101">
            <v>102.69798605169116</v>
          </cell>
          <cell r="L101">
            <v>103.04031267186348</v>
          </cell>
          <cell r="M101">
            <v>103.38378038076969</v>
          </cell>
          <cell r="N101">
            <v>103.72839298203893</v>
          </cell>
          <cell r="O101">
            <v>104.07415429197907</v>
          </cell>
          <cell r="P101">
            <v>104.42106813961901</v>
          </cell>
          <cell r="Q101">
            <v>104.76913836675108</v>
          </cell>
          <cell r="R101">
            <v>105.1183688279736</v>
          </cell>
          <cell r="S101">
            <v>105.46876339073351</v>
          </cell>
          <cell r="T101">
            <v>105.8203259353693</v>
          </cell>
          <cell r="U101">
            <v>106.17306035515386</v>
          </cell>
          <cell r="V101">
            <v>106.52697055633772</v>
          </cell>
          <cell r="W101">
            <v>106.88206045819219</v>
          </cell>
          <cell r="X101">
            <v>107.23833399305283</v>
          </cell>
          <cell r="Y101">
            <v>107.59579510636301</v>
          </cell>
          <cell r="Z101">
            <v>107.95444775671757</v>
          </cell>
          <cell r="AA101">
            <v>108.31429591590664</v>
          </cell>
          <cell r="AB101">
            <v>108.67534356895968</v>
          </cell>
          <cell r="AC101">
            <v>109.03759471418955</v>
          </cell>
          <cell r="AD101">
            <v>109.40105336323685</v>
          </cell>
          <cell r="AE101">
            <v>109.76572354111433</v>
          </cell>
          <cell r="AF101">
            <v>110.13160928625138</v>
          </cell>
          <cell r="AG101">
            <v>110.49871465053889</v>
          </cell>
          <cell r="AH101">
            <v>110.86704369937402</v>
          </cell>
          <cell r="AI101">
            <v>111.23660051170528</v>
          </cell>
          <cell r="AJ101">
            <v>111.60738918007763</v>
          </cell>
          <cell r="AK101">
            <v>111.9794138106779</v>
          </cell>
          <cell r="AL101">
            <v>112.35267852338016</v>
          </cell>
          <cell r="AM101">
            <v>112.72718745179144</v>
          </cell>
          <cell r="AN101">
            <v>113.10294474329741</v>
          </cell>
          <cell r="AO101">
            <v>113.47995455910841</v>
          </cell>
          <cell r="AP101">
            <v>113.85822107430545</v>
          </cell>
          <cell r="AQ101">
            <v>114.23774847788647</v>
          </cell>
          <cell r="AR101">
            <v>114.61854097281277</v>
          </cell>
          <cell r="AS101">
            <v>115.00060277605549</v>
          </cell>
          <cell r="AT101">
            <v>115.38393811864235</v>
          </cell>
          <cell r="AU101">
            <v>115.7685512457045</v>
          </cell>
          <cell r="AV101">
            <v>116.15444641652353</v>
          </cell>
          <cell r="AW101">
            <v>116.54162790457862</v>
          </cell>
          <cell r="AX101">
            <v>116.93009999759389</v>
          </cell>
          <cell r="AY101">
            <v>117.31986699758588</v>
          </cell>
          <cell r="AZ101">
            <v>117.71093322091117</v>
          </cell>
          <cell r="BA101">
            <v>118.10330299831422</v>
          </cell>
          <cell r="BB101">
            <v>118.49698067497528</v>
          </cell>
          <cell r="BC101">
            <v>118.89197061055853</v>
          </cell>
          <cell r="BD101">
            <v>119.2882771792604</v>
          </cell>
          <cell r="BE101">
            <v>119.68590476985794</v>
          </cell>
          <cell r="BF101">
            <v>120.08485778575748</v>
          </cell>
          <cell r="BG101">
            <v>120.48514064504334</v>
          </cell>
          <cell r="BH101">
            <v>120.88675778052684</v>
          </cell>
          <cell r="BI101">
            <v>121.28971363979527</v>
          </cell>
          <cell r="BJ101">
            <v>121.69401268526126</v>
          </cell>
        </row>
        <row r="102">
          <cell r="C102">
            <v>100</v>
          </cell>
          <cell r="D102">
            <v>100.33333333333334</v>
          </cell>
          <cell r="E102">
            <v>100.6677777777778</v>
          </cell>
          <cell r="F102">
            <v>101.00333703703707</v>
          </cell>
          <cell r="G102">
            <v>101.34001482716053</v>
          </cell>
          <cell r="H102">
            <v>101.67781487658441</v>
          </cell>
          <cell r="I102">
            <v>102.01674092617303</v>
          </cell>
          <cell r="J102">
            <v>102.35679672926028</v>
          </cell>
          <cell r="K102">
            <v>102.69798605169116</v>
          </cell>
          <cell r="L102">
            <v>103.04031267186348</v>
          </cell>
          <cell r="M102">
            <v>103.38378038076969</v>
          </cell>
          <cell r="N102">
            <v>103.72839298203893</v>
          </cell>
          <cell r="O102">
            <v>104.07415429197907</v>
          </cell>
          <cell r="P102">
            <v>104.42106813961901</v>
          </cell>
          <cell r="Q102">
            <v>104.76913836675108</v>
          </cell>
          <cell r="R102">
            <v>105.1183688279736</v>
          </cell>
          <cell r="S102">
            <v>105.46876339073351</v>
          </cell>
          <cell r="T102">
            <v>105.8203259353693</v>
          </cell>
          <cell r="U102">
            <v>106.17306035515386</v>
          </cell>
          <cell r="V102">
            <v>106.52697055633772</v>
          </cell>
          <cell r="W102">
            <v>106.88206045819219</v>
          </cell>
          <cell r="X102">
            <v>107.23833399305283</v>
          </cell>
          <cell r="Y102">
            <v>107.59579510636301</v>
          </cell>
          <cell r="Z102">
            <v>107.95444775671757</v>
          </cell>
          <cell r="AA102">
            <v>108.31429591590664</v>
          </cell>
          <cell r="AB102">
            <v>108.67534356895968</v>
          </cell>
          <cell r="AC102">
            <v>109.03759471418955</v>
          </cell>
          <cell r="AD102">
            <v>109.40105336323685</v>
          </cell>
          <cell r="AE102">
            <v>109.76572354111433</v>
          </cell>
          <cell r="AF102">
            <v>110.13160928625138</v>
          </cell>
          <cell r="AG102">
            <v>110.49871465053889</v>
          </cell>
          <cell r="AH102">
            <v>110.86704369937402</v>
          </cell>
          <cell r="AI102">
            <v>111.23660051170528</v>
          </cell>
          <cell r="AJ102">
            <v>111.60738918007763</v>
          </cell>
          <cell r="AK102">
            <v>111.9794138106779</v>
          </cell>
          <cell r="AL102">
            <v>112.35267852338016</v>
          </cell>
          <cell r="AM102">
            <v>112.72718745179144</v>
          </cell>
          <cell r="AN102">
            <v>113.10294474329741</v>
          </cell>
          <cell r="AO102">
            <v>113.47995455910841</v>
          </cell>
          <cell r="AP102">
            <v>113.85822107430545</v>
          </cell>
          <cell r="AQ102">
            <v>114.23774847788647</v>
          </cell>
          <cell r="AR102">
            <v>114.61854097281277</v>
          </cell>
          <cell r="AS102">
            <v>115.00060277605549</v>
          </cell>
          <cell r="AT102">
            <v>115.38393811864235</v>
          </cell>
          <cell r="AU102">
            <v>115.7685512457045</v>
          </cell>
          <cell r="AV102">
            <v>116.15444641652353</v>
          </cell>
          <cell r="AW102">
            <v>116.54162790457862</v>
          </cell>
          <cell r="AX102">
            <v>116.93009999759389</v>
          </cell>
          <cell r="AY102">
            <v>117.31986699758588</v>
          </cell>
          <cell r="AZ102">
            <v>117.71093322091117</v>
          </cell>
          <cell r="BA102">
            <v>118.10330299831422</v>
          </cell>
          <cell r="BB102">
            <v>118.49698067497528</v>
          </cell>
          <cell r="BC102">
            <v>118.89197061055853</v>
          </cell>
          <cell r="BD102">
            <v>119.2882771792604</v>
          </cell>
          <cell r="BE102">
            <v>119.68590476985794</v>
          </cell>
          <cell r="BF102">
            <v>120.08485778575748</v>
          </cell>
          <cell r="BG102">
            <v>120.48514064504334</v>
          </cell>
          <cell r="BH102">
            <v>120.88675778052684</v>
          </cell>
          <cell r="BI102">
            <v>121.28971363979527</v>
          </cell>
          <cell r="BJ102">
            <v>121.69401268526126</v>
          </cell>
        </row>
        <row r="103">
          <cell r="C103">
            <v>100</v>
          </cell>
          <cell r="D103">
            <v>100.33333333333334</v>
          </cell>
          <cell r="E103">
            <v>100.6677777777778</v>
          </cell>
          <cell r="F103">
            <v>101.00333703703707</v>
          </cell>
          <cell r="G103">
            <v>101.34001482716053</v>
          </cell>
          <cell r="H103">
            <v>101.67781487658441</v>
          </cell>
          <cell r="I103">
            <v>102.01674092617303</v>
          </cell>
          <cell r="J103">
            <v>102.35679672926028</v>
          </cell>
          <cell r="K103">
            <v>102.69798605169116</v>
          </cell>
          <cell r="L103">
            <v>103.04031267186348</v>
          </cell>
          <cell r="M103">
            <v>103.38378038076969</v>
          </cell>
          <cell r="N103">
            <v>103.72839298203893</v>
          </cell>
          <cell r="O103">
            <v>104.07415429197907</v>
          </cell>
          <cell r="P103">
            <v>104.42106813961901</v>
          </cell>
          <cell r="Q103">
            <v>104.76913836675108</v>
          </cell>
          <cell r="R103">
            <v>105.1183688279736</v>
          </cell>
          <cell r="S103">
            <v>105.46876339073351</v>
          </cell>
          <cell r="T103">
            <v>105.8203259353693</v>
          </cell>
          <cell r="U103">
            <v>106.17306035515386</v>
          </cell>
          <cell r="V103">
            <v>106.52697055633772</v>
          </cell>
          <cell r="W103">
            <v>106.88206045819219</v>
          </cell>
          <cell r="X103">
            <v>107.23833399305283</v>
          </cell>
          <cell r="Y103">
            <v>107.59579510636301</v>
          </cell>
          <cell r="Z103">
            <v>107.95444775671757</v>
          </cell>
          <cell r="AA103">
            <v>108.31429591590664</v>
          </cell>
          <cell r="AB103">
            <v>108.67534356895968</v>
          </cell>
          <cell r="AC103">
            <v>109.03759471418955</v>
          </cell>
          <cell r="AD103">
            <v>109.40105336323685</v>
          </cell>
          <cell r="AE103">
            <v>109.76572354111433</v>
          </cell>
          <cell r="AF103">
            <v>110.13160928625138</v>
          </cell>
          <cell r="AG103">
            <v>110.49871465053889</v>
          </cell>
          <cell r="AH103">
            <v>110.86704369937402</v>
          </cell>
          <cell r="AI103">
            <v>111.23660051170528</v>
          </cell>
          <cell r="AJ103">
            <v>111.60738918007763</v>
          </cell>
          <cell r="AK103">
            <v>111.9794138106779</v>
          </cell>
          <cell r="AL103">
            <v>112.35267852338016</v>
          </cell>
          <cell r="AM103">
            <v>112.72718745179144</v>
          </cell>
          <cell r="AN103">
            <v>113.10294474329741</v>
          </cell>
          <cell r="AO103">
            <v>113.47995455910841</v>
          </cell>
          <cell r="AP103">
            <v>113.85822107430545</v>
          </cell>
          <cell r="AQ103">
            <v>114.23774847788647</v>
          </cell>
          <cell r="AR103">
            <v>114.61854097281277</v>
          </cell>
          <cell r="AS103">
            <v>115.00060277605549</v>
          </cell>
          <cell r="AT103">
            <v>115.38393811864235</v>
          </cell>
          <cell r="AU103">
            <v>115.7685512457045</v>
          </cell>
          <cell r="AV103">
            <v>116.15444641652353</v>
          </cell>
          <cell r="AW103">
            <v>116.54162790457862</v>
          </cell>
          <cell r="AX103">
            <v>116.93009999759389</v>
          </cell>
          <cell r="AY103">
            <v>117.31986699758588</v>
          </cell>
          <cell r="AZ103">
            <v>117.71093322091117</v>
          </cell>
          <cell r="BA103">
            <v>118.10330299831422</v>
          </cell>
          <cell r="BB103">
            <v>118.49698067497528</v>
          </cell>
          <cell r="BC103">
            <v>118.89197061055853</v>
          </cell>
          <cell r="BD103">
            <v>119.2882771792604</v>
          </cell>
          <cell r="BE103">
            <v>119.68590476985794</v>
          </cell>
          <cell r="BF103">
            <v>120.08485778575748</v>
          </cell>
          <cell r="BG103">
            <v>120.48514064504334</v>
          </cell>
          <cell r="BH103">
            <v>120.88675778052684</v>
          </cell>
          <cell r="BI103">
            <v>121.28971363979527</v>
          </cell>
          <cell r="BJ103">
            <v>121.69401268526126</v>
          </cell>
        </row>
        <row r="104">
          <cell r="C104">
            <v>100</v>
          </cell>
          <cell r="D104">
            <v>100.33333333333334</v>
          </cell>
          <cell r="E104">
            <v>100.6677777777778</v>
          </cell>
          <cell r="F104">
            <v>101.00333703703707</v>
          </cell>
          <cell r="G104">
            <v>101.34001482716053</v>
          </cell>
          <cell r="H104">
            <v>101.67781487658441</v>
          </cell>
          <cell r="I104">
            <v>102.01674092617303</v>
          </cell>
          <cell r="J104">
            <v>102.35679672926028</v>
          </cell>
          <cell r="K104">
            <v>102.69798605169116</v>
          </cell>
          <cell r="L104">
            <v>103.04031267186348</v>
          </cell>
          <cell r="M104">
            <v>103.38378038076969</v>
          </cell>
          <cell r="N104">
            <v>103.72839298203893</v>
          </cell>
          <cell r="O104">
            <v>104.07415429197907</v>
          </cell>
          <cell r="P104">
            <v>104.42106813961901</v>
          </cell>
          <cell r="Q104">
            <v>104.76913836675108</v>
          </cell>
          <cell r="R104">
            <v>105.1183688279736</v>
          </cell>
          <cell r="S104">
            <v>105.46876339073351</v>
          </cell>
          <cell r="T104">
            <v>105.8203259353693</v>
          </cell>
          <cell r="U104">
            <v>106.17306035515386</v>
          </cell>
          <cell r="V104">
            <v>106.52697055633772</v>
          </cell>
          <cell r="W104">
            <v>106.88206045819219</v>
          </cell>
          <cell r="X104">
            <v>107.23833399305283</v>
          </cell>
          <cell r="Y104">
            <v>107.59579510636301</v>
          </cell>
          <cell r="Z104">
            <v>107.95444775671757</v>
          </cell>
          <cell r="AA104">
            <v>108.31429591590664</v>
          </cell>
          <cell r="AB104">
            <v>108.67534356895968</v>
          </cell>
          <cell r="AC104">
            <v>109.03759471418955</v>
          </cell>
          <cell r="AD104">
            <v>109.40105336323685</v>
          </cell>
          <cell r="AE104">
            <v>109.76572354111433</v>
          </cell>
          <cell r="AF104">
            <v>110.13160928625138</v>
          </cell>
          <cell r="AG104">
            <v>110.49871465053889</v>
          </cell>
          <cell r="AH104">
            <v>110.86704369937402</v>
          </cell>
          <cell r="AI104">
            <v>111.23660051170528</v>
          </cell>
          <cell r="AJ104">
            <v>111.60738918007763</v>
          </cell>
          <cell r="AK104">
            <v>111.9794138106779</v>
          </cell>
          <cell r="AL104">
            <v>112.35267852338016</v>
          </cell>
          <cell r="AM104">
            <v>112.72718745179144</v>
          </cell>
          <cell r="AN104">
            <v>113.10294474329741</v>
          </cell>
          <cell r="AO104">
            <v>113.47995455910841</v>
          </cell>
          <cell r="AP104">
            <v>113.85822107430545</v>
          </cell>
          <cell r="AQ104">
            <v>114.23774847788647</v>
          </cell>
          <cell r="AR104">
            <v>114.61854097281277</v>
          </cell>
          <cell r="AS104">
            <v>115.00060277605549</v>
          </cell>
          <cell r="AT104">
            <v>115.38393811864235</v>
          </cell>
          <cell r="AU104">
            <v>115.7685512457045</v>
          </cell>
          <cell r="AV104">
            <v>116.15444641652353</v>
          </cell>
          <cell r="AW104">
            <v>116.54162790457862</v>
          </cell>
          <cell r="AX104">
            <v>116.93009999759389</v>
          </cell>
          <cell r="AY104">
            <v>117.31986699758588</v>
          </cell>
          <cell r="AZ104">
            <v>117.71093322091117</v>
          </cell>
          <cell r="BA104">
            <v>118.10330299831422</v>
          </cell>
          <cell r="BB104">
            <v>118.49698067497528</v>
          </cell>
          <cell r="BC104">
            <v>118.89197061055853</v>
          </cell>
          <cell r="BD104">
            <v>119.2882771792604</v>
          </cell>
          <cell r="BE104">
            <v>119.68590476985794</v>
          </cell>
          <cell r="BF104">
            <v>120.08485778575748</v>
          </cell>
          <cell r="BG104">
            <v>120.48514064504334</v>
          </cell>
          <cell r="BH104">
            <v>120.88675778052684</v>
          </cell>
          <cell r="BI104">
            <v>121.28971363979527</v>
          </cell>
          <cell r="BJ104">
            <v>121.69401268526126</v>
          </cell>
        </row>
        <row r="105">
          <cell r="C105">
            <v>100</v>
          </cell>
          <cell r="D105">
            <v>100.33333333333334</v>
          </cell>
          <cell r="E105">
            <v>100.6677777777778</v>
          </cell>
          <cell r="F105">
            <v>101.00333703703707</v>
          </cell>
          <cell r="G105">
            <v>101.34001482716053</v>
          </cell>
          <cell r="H105">
            <v>101.67781487658441</v>
          </cell>
          <cell r="I105">
            <v>102.01674092617303</v>
          </cell>
          <cell r="J105">
            <v>102.35679672926028</v>
          </cell>
          <cell r="K105">
            <v>102.69798605169116</v>
          </cell>
          <cell r="L105">
            <v>103.04031267186348</v>
          </cell>
          <cell r="M105">
            <v>103.38378038076969</v>
          </cell>
          <cell r="N105">
            <v>103.72839298203893</v>
          </cell>
          <cell r="O105">
            <v>104.07415429197907</v>
          </cell>
          <cell r="P105">
            <v>104.42106813961901</v>
          </cell>
          <cell r="Q105">
            <v>104.76913836675108</v>
          </cell>
          <cell r="R105">
            <v>105.1183688279736</v>
          </cell>
          <cell r="S105">
            <v>105.46876339073351</v>
          </cell>
          <cell r="T105">
            <v>105.8203259353693</v>
          </cell>
          <cell r="U105">
            <v>106.17306035515386</v>
          </cell>
          <cell r="V105">
            <v>106.52697055633772</v>
          </cell>
          <cell r="W105">
            <v>106.88206045819219</v>
          </cell>
          <cell r="X105">
            <v>107.23833399305283</v>
          </cell>
          <cell r="Y105">
            <v>107.59579510636301</v>
          </cell>
          <cell r="Z105">
            <v>107.95444775671757</v>
          </cell>
          <cell r="AA105">
            <v>108.31429591590664</v>
          </cell>
          <cell r="AB105">
            <v>108.67534356895968</v>
          </cell>
          <cell r="AC105">
            <v>109.03759471418955</v>
          </cell>
          <cell r="AD105">
            <v>109.40105336323685</v>
          </cell>
          <cell r="AE105">
            <v>109.76572354111433</v>
          </cell>
          <cell r="AF105">
            <v>110.13160928625138</v>
          </cell>
          <cell r="AG105">
            <v>110.49871465053889</v>
          </cell>
          <cell r="AH105">
            <v>110.86704369937402</v>
          </cell>
          <cell r="AI105">
            <v>111.23660051170528</v>
          </cell>
          <cell r="AJ105">
            <v>111.60738918007763</v>
          </cell>
          <cell r="AK105">
            <v>111.9794138106779</v>
          </cell>
          <cell r="AL105">
            <v>112.35267852338016</v>
          </cell>
          <cell r="AM105">
            <v>112.72718745179144</v>
          </cell>
          <cell r="AN105">
            <v>113.10294474329741</v>
          </cell>
          <cell r="AO105">
            <v>113.47995455910841</v>
          </cell>
          <cell r="AP105">
            <v>113.85822107430545</v>
          </cell>
          <cell r="AQ105">
            <v>114.23774847788647</v>
          </cell>
          <cell r="AR105">
            <v>114.61854097281277</v>
          </cell>
          <cell r="AS105">
            <v>115.00060277605549</v>
          </cell>
          <cell r="AT105">
            <v>115.38393811864235</v>
          </cell>
          <cell r="AU105">
            <v>115.7685512457045</v>
          </cell>
          <cell r="AV105">
            <v>116.15444641652353</v>
          </cell>
          <cell r="AW105">
            <v>116.54162790457862</v>
          </cell>
          <cell r="AX105">
            <v>116.93009999759389</v>
          </cell>
          <cell r="AY105">
            <v>117.31986699758588</v>
          </cell>
          <cell r="AZ105">
            <v>117.71093322091117</v>
          </cell>
          <cell r="BA105">
            <v>118.10330299831422</v>
          </cell>
          <cell r="BB105">
            <v>118.49698067497528</v>
          </cell>
          <cell r="BC105">
            <v>118.89197061055853</v>
          </cell>
          <cell r="BD105">
            <v>119.2882771792604</v>
          </cell>
          <cell r="BE105">
            <v>119.68590476985794</v>
          </cell>
          <cell r="BF105">
            <v>120.08485778575748</v>
          </cell>
          <cell r="BG105">
            <v>120.48514064504334</v>
          </cell>
          <cell r="BH105">
            <v>120.88675778052684</v>
          </cell>
          <cell r="BI105">
            <v>121.28971363979527</v>
          </cell>
          <cell r="BJ105">
            <v>121.69401268526126</v>
          </cell>
        </row>
        <row r="113">
          <cell r="C113">
            <v>75</v>
          </cell>
          <cell r="D113">
            <v>75</v>
          </cell>
          <cell r="E113">
            <v>75</v>
          </cell>
          <cell r="F113">
            <v>75</v>
          </cell>
          <cell r="G113">
            <v>75</v>
          </cell>
          <cell r="H113">
            <v>75</v>
          </cell>
          <cell r="I113">
            <v>75</v>
          </cell>
          <cell r="J113">
            <v>75</v>
          </cell>
          <cell r="K113">
            <v>75</v>
          </cell>
          <cell r="L113">
            <v>75</v>
          </cell>
          <cell r="M113">
            <v>75</v>
          </cell>
          <cell r="N113">
            <v>75</v>
          </cell>
          <cell r="O113">
            <v>75</v>
          </cell>
          <cell r="P113">
            <v>75</v>
          </cell>
          <cell r="Q113">
            <v>75</v>
          </cell>
          <cell r="R113">
            <v>75</v>
          </cell>
          <cell r="S113">
            <v>75</v>
          </cell>
          <cell r="T113">
            <v>75</v>
          </cell>
          <cell r="U113">
            <v>75</v>
          </cell>
          <cell r="V113">
            <v>75</v>
          </cell>
          <cell r="W113">
            <v>75</v>
          </cell>
          <cell r="X113">
            <v>75</v>
          </cell>
          <cell r="Y113">
            <v>75</v>
          </cell>
          <cell r="Z113">
            <v>75</v>
          </cell>
          <cell r="AA113">
            <v>75</v>
          </cell>
          <cell r="AB113">
            <v>75</v>
          </cell>
          <cell r="AC113">
            <v>75</v>
          </cell>
          <cell r="AD113">
            <v>75</v>
          </cell>
          <cell r="AE113">
            <v>75</v>
          </cell>
          <cell r="AF113">
            <v>75</v>
          </cell>
          <cell r="AG113">
            <v>75</v>
          </cell>
          <cell r="AH113">
            <v>75</v>
          </cell>
          <cell r="AI113">
            <v>75</v>
          </cell>
          <cell r="AJ113">
            <v>75</v>
          </cell>
          <cell r="AK113">
            <v>75</v>
          </cell>
          <cell r="AL113">
            <v>75</v>
          </cell>
          <cell r="AM113">
            <v>75</v>
          </cell>
          <cell r="AN113">
            <v>75</v>
          </cell>
          <cell r="AO113">
            <v>75</v>
          </cell>
          <cell r="AP113">
            <v>75</v>
          </cell>
          <cell r="AQ113">
            <v>75</v>
          </cell>
          <cell r="AR113">
            <v>75</v>
          </cell>
          <cell r="AS113">
            <v>75</v>
          </cell>
          <cell r="AT113">
            <v>75</v>
          </cell>
          <cell r="AU113">
            <v>75</v>
          </cell>
          <cell r="AV113">
            <v>75</v>
          </cell>
          <cell r="AW113">
            <v>75</v>
          </cell>
          <cell r="AX113">
            <v>75</v>
          </cell>
          <cell r="AY113">
            <v>75</v>
          </cell>
          <cell r="AZ113">
            <v>75</v>
          </cell>
          <cell r="BA113">
            <v>75</v>
          </cell>
          <cell r="BB113">
            <v>75</v>
          </cell>
          <cell r="BC113">
            <v>75</v>
          </cell>
          <cell r="BD113">
            <v>75</v>
          </cell>
          <cell r="BE113">
            <v>75</v>
          </cell>
          <cell r="BF113">
            <v>75</v>
          </cell>
          <cell r="BG113">
            <v>75</v>
          </cell>
          <cell r="BH113">
            <v>75</v>
          </cell>
          <cell r="BI113">
            <v>75</v>
          </cell>
          <cell r="BJ113">
            <v>75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Income"/>
      <sheetName val="Revenue"/>
      <sheetName val="Expenses"/>
      <sheetName val="Balance Sheet"/>
      <sheetName val="Cashflow"/>
      <sheetName val="Cash Vs. In Kind"/>
      <sheetName val="Ratio Analysis"/>
    </sheetNames>
    <sheetDataSet>
      <sheetData sheetId="0">
        <row r="14">
          <cell r="E14">
            <v>2009</v>
          </cell>
        </row>
      </sheetData>
      <sheetData sheetId="1">
        <row r="6">
          <cell r="D6">
            <v>25421.75</v>
          </cell>
        </row>
        <row r="10">
          <cell r="D10">
            <v>262527.03015867207</v>
          </cell>
        </row>
      </sheetData>
      <sheetData sheetId="2"/>
      <sheetData sheetId="3" refreshError="1"/>
      <sheetData sheetId="4" refreshError="1"/>
      <sheetData sheetId="5">
        <row r="12">
          <cell r="D12">
            <v>0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Analysis"/>
      <sheetName val="Cashflow"/>
      <sheetName val="Balance Sheet"/>
      <sheetName val="Expenses"/>
      <sheetName val="Revenue"/>
      <sheetName val="Net Income"/>
      <sheetName val="IS 2008 -09"/>
      <sheetName val="IS 2009 - 10"/>
      <sheetName val="IS 2010 - 11"/>
      <sheetName val="IS 2011 - 12"/>
      <sheetName val="IS 2012 - 13"/>
      <sheetName val="BS 2009"/>
      <sheetName val="BS 2010"/>
      <sheetName val="BS 2011"/>
      <sheetName val="BS 2012"/>
      <sheetName val="BS 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2">
          <cell r="B3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95EC-DF1E-469B-ABF4-5AAE779C55CF}">
  <dimension ref="A1:U1048545"/>
  <sheetViews>
    <sheetView workbookViewId="0">
      <selection activeCell="C19" sqref="C19"/>
    </sheetView>
  </sheetViews>
  <sheetFormatPr defaultColWidth="8.88671875" defaultRowHeight="14.4"/>
  <cols>
    <col min="3" max="3" width="24.6640625" bestFit="1" customWidth="1"/>
    <col min="4" max="4" width="2.44140625" customWidth="1"/>
    <col min="5" max="5" width="12.33203125" customWidth="1"/>
    <col min="6" max="6" width="43.5546875" bestFit="1" customWidth="1"/>
  </cols>
  <sheetData>
    <row r="1" spans="1:21">
      <c r="A1" s="1" t="s">
        <v>0</v>
      </c>
      <c r="B1" s="2" t="s">
        <v>285</v>
      </c>
      <c r="C1" s="3"/>
      <c r="D1" s="3"/>
      <c r="E1" s="4" t="s">
        <v>1</v>
      </c>
      <c r="F1" s="5" t="s">
        <v>2</v>
      </c>
    </row>
    <row r="2" spans="1:21">
      <c r="A2" s="1" t="s">
        <v>3</v>
      </c>
      <c r="B2" s="2" t="s">
        <v>286</v>
      </c>
      <c r="C2" s="3"/>
      <c r="D2" s="3"/>
      <c r="E2" s="6" t="s">
        <v>4</v>
      </c>
      <c r="F2" s="5" t="s">
        <v>5</v>
      </c>
    </row>
    <row r="3" spans="1:21">
      <c r="A3" s="1" t="s">
        <v>6</v>
      </c>
      <c r="B3" s="2" t="s">
        <v>67</v>
      </c>
      <c r="C3" s="3"/>
      <c r="D3" s="3"/>
      <c r="E3" s="7" t="s">
        <v>8</v>
      </c>
      <c r="F3" s="5" t="s">
        <v>9</v>
      </c>
    </row>
    <row r="4" spans="1:21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6" spans="1:21" ht="15" thickBot="1">
      <c r="C6" s="50" t="s">
        <v>68</v>
      </c>
    </row>
    <row r="7" spans="1:21">
      <c r="C7" s="51" t="s">
        <v>69</v>
      </c>
      <c r="D7" s="52"/>
      <c r="E7" s="53" t="s">
        <v>70</v>
      </c>
      <c r="F7" s="54" t="s">
        <v>71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spans="1:21">
      <c r="C8" s="56" t="s">
        <v>7</v>
      </c>
      <c r="D8" s="57"/>
      <c r="E8" s="57" t="s">
        <v>72</v>
      </c>
      <c r="F8" s="58" t="s">
        <v>73</v>
      </c>
    </row>
    <row r="9" spans="1:21">
      <c r="C9" s="56" t="s">
        <v>74</v>
      </c>
      <c r="D9" s="57"/>
      <c r="E9" s="57" t="s">
        <v>75</v>
      </c>
      <c r="F9" s="58" t="s">
        <v>76</v>
      </c>
    </row>
    <row r="10" spans="1:21">
      <c r="C10" s="56" t="s">
        <v>77</v>
      </c>
      <c r="D10" s="57"/>
      <c r="E10" s="57" t="s">
        <v>75</v>
      </c>
      <c r="F10" s="58" t="s">
        <v>78</v>
      </c>
    </row>
    <row r="11" spans="1:21">
      <c r="C11" s="56" t="s">
        <v>79</v>
      </c>
      <c r="D11" s="57"/>
      <c r="E11" s="57" t="s">
        <v>75</v>
      </c>
      <c r="F11" s="58" t="s">
        <v>80</v>
      </c>
    </row>
    <row r="12" spans="1:21">
      <c r="C12" s="56" t="s">
        <v>81</v>
      </c>
      <c r="D12" s="57"/>
      <c r="E12" s="57" t="s">
        <v>75</v>
      </c>
      <c r="F12" s="58" t="s">
        <v>82</v>
      </c>
    </row>
    <row r="13" spans="1:21">
      <c r="C13" s="56" t="s">
        <v>83</v>
      </c>
      <c r="D13" s="57"/>
      <c r="E13" s="57" t="s">
        <v>75</v>
      </c>
      <c r="F13" s="58" t="s">
        <v>83</v>
      </c>
    </row>
    <row r="14" spans="1:21">
      <c r="C14" s="56" t="s">
        <v>84</v>
      </c>
      <c r="D14" s="57"/>
      <c r="E14" s="57" t="s">
        <v>75</v>
      </c>
      <c r="F14" s="58" t="s">
        <v>84</v>
      </c>
    </row>
    <row r="15" spans="1:21">
      <c r="C15" s="56" t="s">
        <v>85</v>
      </c>
      <c r="D15" s="57"/>
      <c r="E15" s="57" t="s">
        <v>75</v>
      </c>
      <c r="F15" s="58" t="s">
        <v>86</v>
      </c>
    </row>
    <row r="16" spans="1:21">
      <c r="C16" s="56" t="s">
        <v>87</v>
      </c>
      <c r="D16" s="57"/>
      <c r="E16" s="57" t="s">
        <v>72</v>
      </c>
      <c r="F16" s="58" t="s">
        <v>88</v>
      </c>
    </row>
    <row r="17" spans="3:6">
      <c r="C17" s="56" t="s">
        <v>89</v>
      </c>
      <c r="D17" s="57"/>
      <c r="E17" s="57" t="s">
        <v>75</v>
      </c>
      <c r="F17" s="58" t="s">
        <v>89</v>
      </c>
    </row>
    <row r="18" spans="3:6">
      <c r="C18" s="56" t="s">
        <v>90</v>
      </c>
      <c r="D18" s="57"/>
      <c r="E18" s="57" t="s">
        <v>75</v>
      </c>
      <c r="F18" s="58" t="s">
        <v>90</v>
      </c>
    </row>
    <row r="19" spans="3:6">
      <c r="C19" s="56" t="s">
        <v>91</v>
      </c>
      <c r="D19" s="57"/>
      <c r="E19" s="57" t="s">
        <v>75</v>
      </c>
      <c r="F19" s="58" t="s">
        <v>92</v>
      </c>
    </row>
    <row r="20" spans="3:6" ht="15" hidden="1" thickBot="1">
      <c r="C20" s="59" t="s">
        <v>93</v>
      </c>
      <c r="D20" s="60"/>
      <c r="E20" s="60" t="s">
        <v>72</v>
      </c>
      <c r="F20" s="61" t="s">
        <v>94</v>
      </c>
    </row>
    <row r="1048543" spans="1:1">
      <c r="A1048543" t="s">
        <v>95</v>
      </c>
    </row>
    <row r="1048544" spans="1:1">
      <c r="A1048544" t="s">
        <v>95</v>
      </c>
    </row>
    <row r="1048545" spans="1:1">
      <c r="A1048545" t="s">
        <v>95</v>
      </c>
    </row>
  </sheetData>
  <hyperlinks>
    <hyperlink ref="C8" location="Assumptions!A1" display="Assumptions" xr:uid="{D41D5753-D96A-49BD-87A4-A55081D7D794}"/>
    <hyperlink ref="C13" location="'Income Statement'!A1" display="Income Statement" xr:uid="{81E03BFF-C01A-479B-88E5-112E5235274F}"/>
    <hyperlink ref="C14" location="'Balance Sheet'!A1" display="Balance Sheet" xr:uid="{929073F4-6872-4504-904D-9FF7115C5475}"/>
    <hyperlink ref="C15" location="'Cashflow Statement'!A1" display="Casflow Statement" xr:uid="{EA729F5E-2E2F-40B3-A2EE-3044FAADBAD1}"/>
    <hyperlink ref="C16" location="Valuation!A1" display="Valuation" xr:uid="{BD669FE3-23F9-430F-AB48-8ED57D2E6E46}"/>
    <hyperlink ref="C17" location="'Loan Repayment Schedule'!A1" display="Loan Repayment Schedule" xr:uid="{A15B93C3-DCC0-4478-B2B4-B221F82B29F4}"/>
    <hyperlink ref="C18" location="'Depreciation Schedule'!A1" display="Depreciation Schedule" xr:uid="{0A2BDCC4-526E-4A5E-9946-ACBEE4D361CA}"/>
    <hyperlink ref="C19" location="Dashboard!A1" display="Dashboard" xr:uid="{E44A94C1-D7EE-47E8-801E-D8BECBF8D167}"/>
    <hyperlink ref="C20" location="'Existing Practice Valuation'!A1" display="Existing Practice Valuation" xr:uid="{DAA57AD0-D206-4913-8CAC-1E289AA280DB}"/>
    <hyperlink ref="C12" location="'Cashflow Analysis'!A1" display="Casflow Analysis" xr:uid="{2D4D1624-8316-4F0E-8454-EE6164298FA8}"/>
    <hyperlink ref="C11" location="'Expense Analysis'!A1" display="Expense Analysis" xr:uid="{82634334-F272-418E-9F3A-DCC3E38BB883}"/>
    <hyperlink ref="C10" location="'Revenue Analysis'!A1" display="Revenue Analysis" xr:uid="{907D1014-F81C-4E44-9377-9D37DA50CF4A}"/>
    <hyperlink ref="C9" location="'Net Income Analysis'!A1" display="Net Income Analysis" xr:uid="{889210F2-EA9C-40D6-B482-786290236E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E9AB-C17D-49DD-AE15-142874C354B9}">
  <dimension ref="C1:M27"/>
  <sheetViews>
    <sheetView topLeftCell="A6" workbookViewId="0">
      <selection activeCell="C15" sqref="C15:C19"/>
    </sheetView>
  </sheetViews>
  <sheetFormatPr defaultRowHeight="14.4"/>
  <cols>
    <col min="3" max="3" width="21.88671875" bestFit="1" customWidth="1"/>
  </cols>
  <sheetData>
    <row r="1" spans="3:13" hidden="1"/>
    <row r="2" spans="3:13" hidden="1"/>
    <row r="3" spans="3:13" hidden="1">
      <c r="C3" t="s">
        <v>297</v>
      </c>
    </row>
    <row r="4" spans="3:13" hidden="1"/>
    <row r="5" spans="3:13" hidden="1"/>
    <row r="7" spans="3:13">
      <c r="C7" t="s">
        <v>298</v>
      </c>
    </row>
    <row r="8" spans="3:13">
      <c r="C8" t="s">
        <v>299</v>
      </c>
      <c r="D8" t="s">
        <v>381</v>
      </c>
      <c r="E8" t="s">
        <v>382</v>
      </c>
    </row>
    <row r="9" spans="3:13">
      <c r="C9" t="s">
        <v>300</v>
      </c>
      <c r="D9" t="s">
        <v>383</v>
      </c>
    </row>
    <row r="10" spans="3:13">
      <c r="C10" t="s">
        <v>301</v>
      </c>
      <c r="D10" t="s">
        <v>384</v>
      </c>
    </row>
    <row r="11" spans="3:13">
      <c r="C11" t="s">
        <v>302</v>
      </c>
      <c r="D11" t="s">
        <v>385</v>
      </c>
    </row>
    <row r="13" spans="3:13">
      <c r="C13" t="s">
        <v>343</v>
      </c>
    </row>
    <row r="14" spans="3:13">
      <c r="D14" t="s">
        <v>142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 t="s">
        <v>150</v>
      </c>
      <c r="M14" t="s">
        <v>151</v>
      </c>
    </row>
    <row r="15" spans="3:13">
      <c r="C15" t="s">
        <v>381</v>
      </c>
      <c r="D15" s="325">
        <v>0.06</v>
      </c>
      <c r="E15" s="325">
        <f>D15</f>
        <v>0.06</v>
      </c>
      <c r="F15" s="325">
        <f t="shared" ref="F15:M15" si="0">E15</f>
        <v>0.06</v>
      </c>
      <c r="G15" s="325">
        <f t="shared" si="0"/>
        <v>0.06</v>
      </c>
      <c r="H15" s="325">
        <f t="shared" si="0"/>
        <v>0.06</v>
      </c>
      <c r="I15" s="325">
        <f t="shared" si="0"/>
        <v>0.06</v>
      </c>
      <c r="J15" s="325">
        <f t="shared" si="0"/>
        <v>0.06</v>
      </c>
      <c r="K15" s="325">
        <f t="shared" si="0"/>
        <v>0.06</v>
      </c>
      <c r="L15" s="325">
        <f t="shared" si="0"/>
        <v>0.06</v>
      </c>
      <c r="M15" s="325">
        <f t="shared" si="0"/>
        <v>0.06</v>
      </c>
    </row>
    <row r="16" spans="3:13">
      <c r="C16" t="s">
        <v>382</v>
      </c>
      <c r="D16" s="325">
        <v>0.06</v>
      </c>
      <c r="E16" s="325">
        <f t="shared" ref="E16:M16" si="1">D16</f>
        <v>0.06</v>
      </c>
      <c r="F16" s="325">
        <f t="shared" si="1"/>
        <v>0.06</v>
      </c>
      <c r="G16" s="325">
        <f t="shared" si="1"/>
        <v>0.06</v>
      </c>
      <c r="H16" s="325">
        <f t="shared" si="1"/>
        <v>0.06</v>
      </c>
      <c r="I16" s="325">
        <f t="shared" si="1"/>
        <v>0.06</v>
      </c>
      <c r="J16" s="325">
        <f t="shared" si="1"/>
        <v>0.06</v>
      </c>
      <c r="K16" s="325">
        <f t="shared" si="1"/>
        <v>0.06</v>
      </c>
      <c r="L16" s="325">
        <f t="shared" si="1"/>
        <v>0.06</v>
      </c>
      <c r="M16" s="325">
        <f t="shared" si="1"/>
        <v>0.06</v>
      </c>
    </row>
    <row r="17" spans="3:13">
      <c r="C17" t="s">
        <v>300</v>
      </c>
      <c r="D17" s="325">
        <v>0.06</v>
      </c>
      <c r="E17" s="325">
        <f t="shared" ref="E17:M17" si="2">D17</f>
        <v>0.06</v>
      </c>
      <c r="F17" s="325">
        <f t="shared" si="2"/>
        <v>0.06</v>
      </c>
      <c r="G17" s="325">
        <f t="shared" si="2"/>
        <v>0.06</v>
      </c>
      <c r="H17" s="325">
        <f t="shared" si="2"/>
        <v>0.06</v>
      </c>
      <c r="I17" s="325">
        <f t="shared" si="2"/>
        <v>0.06</v>
      </c>
      <c r="J17" s="325">
        <f t="shared" si="2"/>
        <v>0.06</v>
      </c>
      <c r="K17" s="325">
        <f t="shared" si="2"/>
        <v>0.06</v>
      </c>
      <c r="L17" s="325">
        <f t="shared" si="2"/>
        <v>0.06</v>
      </c>
      <c r="M17" s="325">
        <f t="shared" si="2"/>
        <v>0.06</v>
      </c>
    </row>
    <row r="18" spans="3:13">
      <c r="C18" t="s">
        <v>386</v>
      </c>
      <c r="D18" s="325">
        <v>0.06</v>
      </c>
      <c r="E18" s="325">
        <f t="shared" ref="E18:M18" si="3">D18</f>
        <v>0.06</v>
      </c>
      <c r="F18" s="325">
        <f t="shared" si="3"/>
        <v>0.06</v>
      </c>
      <c r="G18" s="325">
        <f t="shared" si="3"/>
        <v>0.06</v>
      </c>
      <c r="H18" s="325">
        <f t="shared" si="3"/>
        <v>0.06</v>
      </c>
      <c r="I18" s="325">
        <f t="shared" si="3"/>
        <v>0.06</v>
      </c>
      <c r="J18" s="325">
        <f t="shared" si="3"/>
        <v>0.06</v>
      </c>
      <c r="K18" s="325">
        <f t="shared" si="3"/>
        <v>0.06</v>
      </c>
      <c r="L18" s="325">
        <f t="shared" si="3"/>
        <v>0.06</v>
      </c>
      <c r="M18" s="325">
        <f t="shared" si="3"/>
        <v>0.06</v>
      </c>
    </row>
    <row r="19" spans="3:13">
      <c r="C19" t="s">
        <v>315</v>
      </c>
      <c r="D19" s="325">
        <v>0.06</v>
      </c>
      <c r="E19" s="325">
        <f t="shared" ref="E19:M19" si="4">D19</f>
        <v>0.06</v>
      </c>
      <c r="F19" s="325">
        <f t="shared" si="4"/>
        <v>0.06</v>
      </c>
      <c r="G19" s="325">
        <f t="shared" si="4"/>
        <v>0.06</v>
      </c>
      <c r="H19" s="325">
        <f t="shared" si="4"/>
        <v>0.06</v>
      </c>
      <c r="I19" s="325">
        <f t="shared" si="4"/>
        <v>0.06</v>
      </c>
      <c r="J19" s="325">
        <f t="shared" si="4"/>
        <v>0.06</v>
      </c>
      <c r="K19" s="325">
        <f t="shared" si="4"/>
        <v>0.06</v>
      </c>
      <c r="L19" s="325">
        <f t="shared" si="4"/>
        <v>0.06</v>
      </c>
      <c r="M19" s="325">
        <f t="shared" si="4"/>
        <v>0.06</v>
      </c>
    </row>
    <row r="21" spans="3:13">
      <c r="C21" t="s">
        <v>349</v>
      </c>
    </row>
    <row r="22" spans="3:13">
      <c r="D22" t="s">
        <v>142</v>
      </c>
      <c r="E22" t="s">
        <v>143</v>
      </c>
      <c r="F22" t="s">
        <v>144</v>
      </c>
      <c r="G22" t="s">
        <v>145</v>
      </c>
      <c r="H22" t="s">
        <v>146</v>
      </c>
      <c r="I22" t="s">
        <v>147</v>
      </c>
      <c r="J22" t="s">
        <v>148</v>
      </c>
      <c r="K22" t="s">
        <v>149</v>
      </c>
      <c r="L22" t="s">
        <v>150</v>
      </c>
      <c r="M22" t="s">
        <v>151</v>
      </c>
    </row>
    <row r="23" spans="3:13">
      <c r="C23" t="s">
        <v>381</v>
      </c>
    </row>
    <row r="24" spans="3:13">
      <c r="C24" t="s">
        <v>382</v>
      </c>
    </row>
    <row r="25" spans="3:13">
      <c r="C25" t="s">
        <v>300</v>
      </c>
    </row>
    <row r="26" spans="3:13">
      <c r="C26" t="s">
        <v>386</v>
      </c>
    </row>
    <row r="27" spans="3:13">
      <c r="C27" t="s">
        <v>315</v>
      </c>
    </row>
  </sheetData>
  <phoneticPr fontId="4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B9DB-A463-4D06-86A2-6BE2CAADB417}">
  <dimension ref="A1:K68"/>
  <sheetViews>
    <sheetView topLeftCell="A28" workbookViewId="0">
      <selection activeCell="F44" sqref="F44:F53"/>
    </sheetView>
  </sheetViews>
  <sheetFormatPr defaultRowHeight="14.4"/>
  <cols>
    <col min="2" max="2" width="10.33203125" customWidth="1"/>
    <col min="3" max="3" width="31.109375" bestFit="1" customWidth="1"/>
    <col min="4" max="4" width="23.6640625" style="11" customWidth="1"/>
    <col min="5" max="5" width="11.88671875" bestFit="1" customWidth="1"/>
    <col min="6" max="6" width="35.6640625" bestFit="1" customWidth="1"/>
    <col min="7" max="7" width="13.88671875" customWidth="1"/>
    <col min="8" max="8" width="11.5546875" bestFit="1" customWidth="1"/>
    <col min="9" max="9" width="35.6640625" bestFit="1" customWidth="1"/>
    <col min="11" max="11" width="35.6640625" bestFit="1" customWidth="1"/>
  </cols>
  <sheetData>
    <row r="1" spans="1: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</row>
    <row r="2" spans="1:7">
      <c r="A2" s="1" t="s">
        <v>3</v>
      </c>
      <c r="B2" s="2" t="str">
        <f>'Table of Contents'!B2</f>
        <v>Krishnamurthy Bindumadhavan</v>
      </c>
      <c r="C2" s="3"/>
      <c r="D2" s="3"/>
      <c r="E2" s="3"/>
      <c r="F2" s="6" t="s">
        <v>4</v>
      </c>
      <c r="G2" s="5" t="s">
        <v>5</v>
      </c>
    </row>
    <row r="3" spans="1:7">
      <c r="A3" s="1" t="s">
        <v>6</v>
      </c>
      <c r="B3" s="2" t="s">
        <v>7</v>
      </c>
      <c r="C3" s="3"/>
      <c r="D3" s="3"/>
      <c r="E3" s="3"/>
      <c r="F3" s="7" t="s">
        <v>8</v>
      </c>
      <c r="G3" s="5" t="s">
        <v>9</v>
      </c>
    </row>
    <row r="4" spans="1:7">
      <c r="A4" s="8" t="s">
        <v>10</v>
      </c>
      <c r="B4" s="9">
        <v>46033</v>
      </c>
      <c r="C4" s="3"/>
      <c r="D4" s="3"/>
      <c r="E4" s="3"/>
      <c r="F4" s="10" t="s">
        <v>11</v>
      </c>
      <c r="G4" s="5" t="s">
        <v>12</v>
      </c>
    </row>
    <row r="6" spans="1:7" ht="15" thickBot="1"/>
    <row r="7" spans="1:7">
      <c r="C7" s="12" t="s">
        <v>287</v>
      </c>
      <c r="D7" s="13">
        <f>12*(30 - 8) - 10</f>
        <v>254</v>
      </c>
      <c r="F7" s="12"/>
      <c r="G7" s="13"/>
    </row>
    <row r="8" spans="1:7">
      <c r="C8" s="14" t="s">
        <v>295</v>
      </c>
      <c r="D8" s="15"/>
      <c r="F8" s="14" t="s">
        <v>13</v>
      </c>
      <c r="G8" s="15"/>
    </row>
    <row r="9" spans="1:7">
      <c r="C9" s="14" t="s">
        <v>289</v>
      </c>
      <c r="D9" s="16">
        <v>0.06</v>
      </c>
      <c r="F9" s="14" t="s">
        <v>14</v>
      </c>
      <c r="G9" s="17">
        <f>5000*12</f>
        <v>60000</v>
      </c>
    </row>
    <row r="10" spans="1:7">
      <c r="C10" s="14"/>
      <c r="D10" s="15"/>
      <c r="F10" s="14" t="s">
        <v>15</v>
      </c>
      <c r="G10" s="17">
        <f>1000*12</f>
        <v>12000</v>
      </c>
    </row>
    <row r="11" spans="1:7">
      <c r="C11" s="14" t="s">
        <v>16</v>
      </c>
      <c r="D11" s="16">
        <v>0.03</v>
      </c>
      <c r="F11" s="14" t="s">
        <v>17</v>
      </c>
      <c r="G11" s="17">
        <f>100*12</f>
        <v>1200</v>
      </c>
    </row>
    <row r="12" spans="1:7">
      <c r="C12" s="14" t="s">
        <v>18</v>
      </c>
      <c r="D12" s="16">
        <v>0.35</v>
      </c>
      <c r="F12" s="14" t="s">
        <v>19</v>
      </c>
      <c r="G12" s="17">
        <f>1000*12</f>
        <v>12000</v>
      </c>
    </row>
    <row r="13" spans="1:7">
      <c r="C13" s="14"/>
      <c r="D13" s="15"/>
      <c r="F13" s="14" t="s">
        <v>20</v>
      </c>
      <c r="G13" s="17">
        <f>500*12</f>
        <v>6000</v>
      </c>
    </row>
    <row r="14" spans="1:7">
      <c r="C14" s="14" t="s">
        <v>21</v>
      </c>
      <c r="D14" s="16">
        <v>0.15</v>
      </c>
      <c r="F14" s="14" t="s">
        <v>22</v>
      </c>
      <c r="G14" s="17">
        <f>500*12</f>
        <v>6000</v>
      </c>
    </row>
    <row r="15" spans="1:7">
      <c r="C15" s="14" t="s">
        <v>23</v>
      </c>
      <c r="D15" s="15">
        <v>10</v>
      </c>
      <c r="E15" t="s">
        <v>24</v>
      </c>
      <c r="F15" s="14" t="s">
        <v>25</v>
      </c>
      <c r="G15" s="17">
        <v>1000</v>
      </c>
    </row>
    <row r="16" spans="1:7">
      <c r="C16" s="14" t="s">
        <v>26</v>
      </c>
      <c r="D16" s="15">
        <v>10</v>
      </c>
      <c r="E16" t="s">
        <v>24</v>
      </c>
      <c r="F16" s="14" t="s">
        <v>27</v>
      </c>
      <c r="G16" s="17">
        <v>1000</v>
      </c>
    </row>
    <row r="17" spans="3:7">
      <c r="C17" s="14"/>
      <c r="D17" s="15"/>
      <c r="F17" s="14" t="s">
        <v>293</v>
      </c>
      <c r="G17" s="17">
        <f>500*12</f>
        <v>6000</v>
      </c>
    </row>
    <row r="18" spans="3:7">
      <c r="C18" s="14" t="s">
        <v>28</v>
      </c>
      <c r="D18" s="15"/>
      <c r="F18" s="14" t="s">
        <v>29</v>
      </c>
      <c r="G18" s="17">
        <f>G28*G29*G30</f>
        <v>31200</v>
      </c>
    </row>
    <row r="19" spans="3:7">
      <c r="C19" s="14" t="s">
        <v>30</v>
      </c>
      <c r="D19" s="17">
        <v>120000</v>
      </c>
      <c r="F19" s="14" t="s">
        <v>294</v>
      </c>
      <c r="G19" s="17">
        <v>120000</v>
      </c>
    </row>
    <row r="20" spans="3:7">
      <c r="C20" s="14" t="s">
        <v>290</v>
      </c>
      <c r="D20" s="17">
        <v>75000</v>
      </c>
      <c r="F20" s="14" t="s">
        <v>31</v>
      </c>
      <c r="G20" s="17">
        <f>100*12</f>
        <v>1200</v>
      </c>
    </row>
    <row r="21" spans="3:7">
      <c r="C21" s="14" t="s">
        <v>32</v>
      </c>
      <c r="D21" s="17">
        <v>5000</v>
      </c>
      <c r="F21" s="14" t="s">
        <v>33</v>
      </c>
      <c r="G21" s="17">
        <v>1000</v>
      </c>
    </row>
    <row r="22" spans="3:7">
      <c r="C22" s="14" t="s">
        <v>34</v>
      </c>
      <c r="D22" s="17">
        <v>5000</v>
      </c>
      <c r="F22" s="14" t="s">
        <v>35</v>
      </c>
      <c r="G22" s="17">
        <v>5000</v>
      </c>
    </row>
    <row r="23" spans="3:7">
      <c r="C23" s="14" t="s">
        <v>291</v>
      </c>
      <c r="D23" s="17">
        <v>5000</v>
      </c>
      <c r="F23" s="14"/>
      <c r="G23" s="15"/>
    </row>
    <row r="24" spans="3:7" ht="15.6">
      <c r="C24" s="14"/>
      <c r="D24" s="17"/>
      <c r="F24" s="18" t="s">
        <v>36</v>
      </c>
      <c r="G24" s="15"/>
    </row>
    <row r="25" spans="3:7">
      <c r="C25" s="14" t="s">
        <v>37</v>
      </c>
      <c r="D25" s="17">
        <v>5000</v>
      </c>
      <c r="F25" s="14" t="s">
        <v>38</v>
      </c>
      <c r="G25" s="17">
        <v>5000</v>
      </c>
    </row>
    <row r="26" spans="3:7">
      <c r="C26" s="14" t="s">
        <v>292</v>
      </c>
      <c r="D26" s="17">
        <f>G9/12*3</f>
        <v>15000</v>
      </c>
      <c r="F26" s="19" t="s">
        <v>39</v>
      </c>
      <c r="G26" s="20">
        <v>500</v>
      </c>
    </row>
    <row r="27" spans="3:7">
      <c r="C27" s="14" t="s">
        <v>40</v>
      </c>
      <c r="D27" s="17">
        <v>1000</v>
      </c>
      <c r="F27" s="14"/>
      <c r="G27" s="21"/>
    </row>
    <row r="28" spans="3:7">
      <c r="C28" s="14" t="s">
        <v>41</v>
      </c>
      <c r="D28" s="17">
        <v>5000</v>
      </c>
      <c r="F28" s="14" t="s">
        <v>42</v>
      </c>
      <c r="G28" s="22">
        <v>15</v>
      </c>
    </row>
    <row r="29" spans="3:7">
      <c r="C29" s="14" t="s">
        <v>43</v>
      </c>
      <c r="D29" s="17">
        <v>1000</v>
      </c>
      <c r="F29" s="14" t="s">
        <v>44</v>
      </c>
      <c r="G29" s="21">
        <v>40</v>
      </c>
    </row>
    <row r="30" spans="3:7">
      <c r="C30" s="14" t="s">
        <v>45</v>
      </c>
      <c r="D30" s="17">
        <v>3000</v>
      </c>
      <c r="F30" s="14" t="s">
        <v>46</v>
      </c>
      <c r="G30" s="21">
        <v>52</v>
      </c>
    </row>
    <row r="31" spans="3:7" ht="15" thickBot="1">
      <c r="C31" s="23" t="s">
        <v>35</v>
      </c>
      <c r="D31" s="24">
        <v>5000</v>
      </c>
      <c r="F31" s="23"/>
      <c r="G31" s="25"/>
    </row>
    <row r="33" spans="3:11" ht="15" hidden="1" thickBot="1">
      <c r="C33" s="26" t="s">
        <v>296</v>
      </c>
      <c r="D33" s="27" t="s">
        <v>47</v>
      </c>
      <c r="E33" s="28" t="s">
        <v>48</v>
      </c>
      <c r="F33" s="28" t="s">
        <v>49</v>
      </c>
      <c r="G33" s="28" t="s">
        <v>50</v>
      </c>
      <c r="H33" s="28" t="s">
        <v>51</v>
      </c>
      <c r="I33" s="29" t="s">
        <v>52</v>
      </c>
    </row>
    <row r="34" spans="3:11" hidden="1">
      <c r="C34" s="30" t="s">
        <v>53</v>
      </c>
      <c r="D34" s="31">
        <v>1</v>
      </c>
      <c r="E34" s="32">
        <v>120</v>
      </c>
      <c r="F34" s="32">
        <f>2/3*E34</f>
        <v>80</v>
      </c>
      <c r="G34" s="33">
        <v>0.8</v>
      </c>
      <c r="H34" s="33">
        <f>1-G34</f>
        <v>0.19999999999999996</v>
      </c>
      <c r="I34" s="34">
        <f>SUMPRODUCT(E34:F34,G34:H34)</f>
        <v>112</v>
      </c>
    </row>
    <row r="35" spans="3:11" hidden="1">
      <c r="C35" s="14" t="s">
        <v>54</v>
      </c>
      <c r="D35" s="35">
        <v>0.2</v>
      </c>
      <c r="E35" s="36">
        <v>200</v>
      </c>
      <c r="F35" s="36">
        <f t="shared" ref="F35:F42" si="0">2/3*E35</f>
        <v>133.33333333333331</v>
      </c>
      <c r="G35" s="37">
        <v>0.8</v>
      </c>
      <c r="H35" s="37">
        <f t="shared" ref="H35:H42" si="1">1-G35</f>
        <v>0.19999999999999996</v>
      </c>
      <c r="I35" s="38">
        <f t="shared" ref="I35:I42" si="2">SUMPRODUCT(E35:F35,G35:H35)</f>
        <v>186.66666666666666</v>
      </c>
    </row>
    <row r="36" spans="3:11" hidden="1">
      <c r="C36" s="14" t="s">
        <v>55</v>
      </c>
      <c r="D36" s="35">
        <v>0.2</v>
      </c>
      <c r="E36" s="36">
        <v>200</v>
      </c>
      <c r="F36" s="36">
        <f t="shared" si="0"/>
        <v>133.33333333333331</v>
      </c>
      <c r="G36" s="37">
        <v>0.8</v>
      </c>
      <c r="H36" s="37">
        <f t="shared" si="1"/>
        <v>0.19999999999999996</v>
      </c>
      <c r="I36" s="38">
        <f t="shared" si="2"/>
        <v>186.66666666666666</v>
      </c>
    </row>
    <row r="37" spans="3:11" hidden="1">
      <c r="C37" s="14" t="s">
        <v>56</v>
      </c>
      <c r="D37" s="35">
        <v>0.1</v>
      </c>
      <c r="E37" s="36">
        <v>300</v>
      </c>
      <c r="F37" s="36">
        <f t="shared" si="0"/>
        <v>200</v>
      </c>
      <c r="G37" s="37">
        <v>0.8</v>
      </c>
      <c r="H37" s="37">
        <f t="shared" si="1"/>
        <v>0.19999999999999996</v>
      </c>
      <c r="I37" s="38">
        <f t="shared" si="2"/>
        <v>280</v>
      </c>
    </row>
    <row r="38" spans="3:11" hidden="1">
      <c r="C38" s="14" t="s">
        <v>57</v>
      </c>
      <c r="D38" s="35">
        <v>0.3</v>
      </c>
      <c r="E38" s="36">
        <v>120</v>
      </c>
      <c r="F38" s="36">
        <f t="shared" si="0"/>
        <v>80</v>
      </c>
      <c r="G38" s="37">
        <v>0.8</v>
      </c>
      <c r="H38" s="37">
        <f t="shared" si="1"/>
        <v>0.19999999999999996</v>
      </c>
      <c r="I38" s="38">
        <f t="shared" si="2"/>
        <v>112</v>
      </c>
    </row>
    <row r="39" spans="3:11" hidden="1">
      <c r="C39" s="14" t="s">
        <v>58</v>
      </c>
      <c r="D39" s="35">
        <v>0.05</v>
      </c>
      <c r="E39" s="36">
        <v>300</v>
      </c>
      <c r="F39" s="36">
        <f t="shared" si="0"/>
        <v>200</v>
      </c>
      <c r="G39" s="37">
        <v>0.8</v>
      </c>
      <c r="H39" s="37">
        <f t="shared" si="1"/>
        <v>0.19999999999999996</v>
      </c>
      <c r="I39" s="38">
        <f t="shared" si="2"/>
        <v>280</v>
      </c>
    </row>
    <row r="40" spans="3:11" hidden="1">
      <c r="C40" s="14" t="s">
        <v>59</v>
      </c>
      <c r="D40" s="35">
        <v>0.05</v>
      </c>
      <c r="E40" s="36">
        <v>120</v>
      </c>
      <c r="F40" s="36">
        <f t="shared" si="0"/>
        <v>80</v>
      </c>
      <c r="G40" s="37">
        <v>0.8</v>
      </c>
      <c r="H40" s="37">
        <f t="shared" si="1"/>
        <v>0.19999999999999996</v>
      </c>
      <c r="I40" s="38">
        <f t="shared" si="2"/>
        <v>112</v>
      </c>
    </row>
    <row r="41" spans="3:11" hidden="1">
      <c r="C41" s="14" t="s">
        <v>60</v>
      </c>
      <c r="D41" s="35">
        <v>0.05</v>
      </c>
      <c r="E41" s="36">
        <v>300</v>
      </c>
      <c r="F41" s="36">
        <f t="shared" si="0"/>
        <v>200</v>
      </c>
      <c r="G41" s="37">
        <v>0.8</v>
      </c>
      <c r="H41" s="37">
        <f t="shared" si="1"/>
        <v>0.19999999999999996</v>
      </c>
      <c r="I41" s="38">
        <f t="shared" si="2"/>
        <v>280</v>
      </c>
    </row>
    <row r="42" spans="3:11" ht="15" hidden="1" thickBot="1">
      <c r="C42" s="23" t="s">
        <v>61</v>
      </c>
      <c r="D42" s="39">
        <v>0.05</v>
      </c>
      <c r="E42" s="40">
        <v>500</v>
      </c>
      <c r="F42" s="40">
        <f t="shared" si="0"/>
        <v>333.33333333333331</v>
      </c>
      <c r="G42" s="41">
        <v>0.8</v>
      </c>
      <c r="H42" s="41">
        <f t="shared" si="1"/>
        <v>0.19999999999999996</v>
      </c>
      <c r="I42" s="42">
        <f t="shared" si="2"/>
        <v>466.66666666666663</v>
      </c>
    </row>
    <row r="43" spans="3:11" ht="15" thickBot="1"/>
    <row r="44" spans="3:11" ht="29.4" thickBot="1">
      <c r="C44" s="26" t="s">
        <v>62</v>
      </c>
      <c r="D44" s="43" t="s">
        <v>322</v>
      </c>
      <c r="E44" s="43" t="s">
        <v>321</v>
      </c>
      <c r="F44" s="43" t="s">
        <v>340</v>
      </c>
      <c r="G44" s="28" t="s">
        <v>63</v>
      </c>
      <c r="H44" s="28" t="s">
        <v>64</v>
      </c>
      <c r="I44" s="28" t="s">
        <v>65</v>
      </c>
      <c r="J44" s="29" t="s">
        <v>66</v>
      </c>
    </row>
    <row r="45" spans="3:11">
      <c r="C45" s="30" t="s">
        <v>299</v>
      </c>
      <c r="D45" s="424">
        <f>D46*2</f>
        <v>2540</v>
      </c>
      <c r="E45" s="44">
        <v>0.15</v>
      </c>
      <c r="F45" s="429">
        <v>2</v>
      </c>
      <c r="G45" s="45">
        <v>1000</v>
      </c>
      <c r="H45" s="33">
        <v>0.35</v>
      </c>
      <c r="I45" s="33">
        <v>0</v>
      </c>
      <c r="J45" s="46">
        <f>K45</f>
        <v>88900</v>
      </c>
      <c r="K45" s="430">
        <f>H45*G45*D45/10</f>
        <v>88900</v>
      </c>
    </row>
    <row r="46" spans="3:11">
      <c r="C46" s="14" t="s">
        <v>300</v>
      </c>
      <c r="D46" s="424">
        <f>5*$D$7</f>
        <v>1270</v>
      </c>
      <c r="E46" s="44">
        <v>0.15</v>
      </c>
      <c r="F46" s="429">
        <v>1</v>
      </c>
      <c r="G46" s="47">
        <v>2000</v>
      </c>
      <c r="H46" s="37">
        <v>0.35</v>
      </c>
      <c r="I46" s="37">
        <v>0</v>
      </c>
      <c r="J46" s="46">
        <f t="shared" ref="J46:J53" si="3">K46</f>
        <v>88900</v>
      </c>
      <c r="K46" s="430">
        <f t="shared" ref="K46:K53" si="4">H46*G46*D46/10</f>
        <v>88900</v>
      </c>
    </row>
    <row r="47" spans="3:11">
      <c r="C47" s="14" t="s">
        <v>301</v>
      </c>
      <c r="D47" s="424">
        <f>D46/2</f>
        <v>635</v>
      </c>
      <c r="E47" s="44">
        <v>0.1</v>
      </c>
      <c r="F47" s="429">
        <v>2</v>
      </c>
      <c r="G47" s="47">
        <v>3000</v>
      </c>
      <c r="H47" s="37">
        <v>0.4</v>
      </c>
      <c r="I47" s="37">
        <v>0</v>
      </c>
      <c r="J47" s="46">
        <f t="shared" si="3"/>
        <v>76200</v>
      </c>
      <c r="K47" s="430">
        <f t="shared" si="4"/>
        <v>76200</v>
      </c>
    </row>
    <row r="48" spans="3:11">
      <c r="C48" s="14" t="s">
        <v>315</v>
      </c>
      <c r="D48" s="424">
        <f>D47/2</f>
        <v>317.5</v>
      </c>
      <c r="E48" s="44">
        <v>0.1</v>
      </c>
      <c r="F48" s="429">
        <v>3</v>
      </c>
      <c r="G48" s="47">
        <v>10000</v>
      </c>
      <c r="H48" s="37">
        <v>0.4</v>
      </c>
      <c r="I48" s="37">
        <v>0</v>
      </c>
      <c r="J48" s="46">
        <f t="shared" si="3"/>
        <v>127000</v>
      </c>
      <c r="K48" s="430">
        <f t="shared" si="4"/>
        <v>127000</v>
      </c>
    </row>
    <row r="49" spans="2:11">
      <c r="C49" s="14" t="s">
        <v>316</v>
      </c>
      <c r="D49" s="425">
        <v>0</v>
      </c>
      <c r="E49" s="44">
        <v>0.1</v>
      </c>
      <c r="F49" s="427"/>
      <c r="G49" s="47">
        <v>0</v>
      </c>
      <c r="H49" s="37">
        <v>0.35</v>
      </c>
      <c r="I49" s="37">
        <v>0</v>
      </c>
      <c r="J49" s="46">
        <f t="shared" si="3"/>
        <v>0</v>
      </c>
      <c r="K49" s="430">
        <f t="shared" si="4"/>
        <v>0</v>
      </c>
    </row>
    <row r="50" spans="2:11">
      <c r="C50" s="14" t="s">
        <v>317</v>
      </c>
      <c r="D50" s="425">
        <v>0</v>
      </c>
      <c r="E50" s="44">
        <v>0.1</v>
      </c>
      <c r="F50" s="427"/>
      <c r="G50" s="47">
        <v>0</v>
      </c>
      <c r="H50" s="37">
        <v>0.35</v>
      </c>
      <c r="I50" s="37">
        <v>0</v>
      </c>
      <c r="J50" s="46">
        <f t="shared" si="3"/>
        <v>0</v>
      </c>
      <c r="K50" s="430">
        <f t="shared" si="4"/>
        <v>0</v>
      </c>
    </row>
    <row r="51" spans="2:11">
      <c r="C51" s="14" t="s">
        <v>318</v>
      </c>
      <c r="D51" s="425">
        <v>0</v>
      </c>
      <c r="E51" s="44">
        <v>0.1</v>
      </c>
      <c r="F51" s="427"/>
      <c r="G51" s="47">
        <v>0</v>
      </c>
      <c r="H51" s="37">
        <v>0.35</v>
      </c>
      <c r="I51" s="37">
        <v>0</v>
      </c>
      <c r="J51" s="46">
        <f t="shared" si="3"/>
        <v>0</v>
      </c>
      <c r="K51" s="430">
        <f t="shared" si="4"/>
        <v>0</v>
      </c>
    </row>
    <row r="52" spans="2:11">
      <c r="C52" s="14" t="s">
        <v>319</v>
      </c>
      <c r="D52" s="425">
        <v>0</v>
      </c>
      <c r="E52" s="44">
        <v>0.1</v>
      </c>
      <c r="F52" s="427"/>
      <c r="G52" s="47">
        <v>0</v>
      </c>
      <c r="H52" s="37">
        <v>0.35</v>
      </c>
      <c r="I52" s="37">
        <v>0</v>
      </c>
      <c r="J52" s="46">
        <f t="shared" si="3"/>
        <v>0</v>
      </c>
      <c r="K52" s="430">
        <f t="shared" si="4"/>
        <v>0</v>
      </c>
    </row>
    <row r="53" spans="2:11" ht="15" thickBot="1">
      <c r="C53" s="23" t="s">
        <v>320</v>
      </c>
      <c r="D53" s="426">
        <v>0</v>
      </c>
      <c r="E53" s="44">
        <v>0.1</v>
      </c>
      <c r="F53" s="428"/>
      <c r="G53" s="48">
        <v>0</v>
      </c>
      <c r="H53" s="41">
        <v>0.35</v>
      </c>
      <c r="I53" s="41">
        <v>0</v>
      </c>
      <c r="J53" s="46">
        <f t="shared" si="3"/>
        <v>0</v>
      </c>
      <c r="K53" s="430">
        <f t="shared" si="4"/>
        <v>0</v>
      </c>
    </row>
    <row r="55" spans="2:11">
      <c r="C55" t="s">
        <v>358</v>
      </c>
    </row>
    <row r="56" spans="2:11">
      <c r="C56" t="s">
        <v>342</v>
      </c>
      <c r="D56" t="s">
        <v>354</v>
      </c>
      <c r="E56" t="s">
        <v>356</v>
      </c>
      <c r="F56" t="s">
        <v>357</v>
      </c>
      <c r="G56" t="s">
        <v>355</v>
      </c>
      <c r="H56" t="s">
        <v>125</v>
      </c>
    </row>
    <row r="57" spans="2:11">
      <c r="B57" t="s">
        <v>341</v>
      </c>
      <c r="C57" t="s">
        <v>343</v>
      </c>
    </row>
    <row r="58" spans="2:11">
      <c r="C58" t="s">
        <v>344</v>
      </c>
    </row>
    <row r="59" spans="2:11">
      <c r="C59" t="s">
        <v>345</v>
      </c>
    </row>
    <row r="60" spans="2:11">
      <c r="C60" t="s">
        <v>346</v>
      </c>
    </row>
    <row r="61" spans="2:11">
      <c r="C61" t="s">
        <v>347</v>
      </c>
    </row>
    <row r="62" spans="2:11">
      <c r="C62" t="s">
        <v>348</v>
      </c>
      <c r="D62"/>
    </row>
    <row r="63" spans="2:11">
      <c r="C63" t="s">
        <v>349</v>
      </c>
      <c r="D63"/>
    </row>
    <row r="64" spans="2:11">
      <c r="C64" t="s">
        <v>352</v>
      </c>
      <c r="D64"/>
    </row>
    <row r="65" spans="3:5">
      <c r="C65" t="s">
        <v>350</v>
      </c>
      <c r="D65"/>
    </row>
    <row r="66" spans="3:5">
      <c r="C66" t="s">
        <v>351</v>
      </c>
      <c r="D66"/>
      <c r="E66" s="49"/>
    </row>
    <row r="67" spans="3:5">
      <c r="C67" t="s">
        <v>353</v>
      </c>
      <c r="D67"/>
    </row>
    <row r="68" spans="3:5">
      <c r="C68" t="s">
        <v>125</v>
      </c>
      <c r="D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7577-3BE9-4A04-89C8-92FE4453114B}">
  <dimension ref="A1:L149"/>
  <sheetViews>
    <sheetView topLeftCell="A143" workbookViewId="0">
      <selection activeCell="A149" sqref="A149"/>
    </sheetView>
  </sheetViews>
  <sheetFormatPr defaultRowHeight="14.4"/>
  <cols>
    <col min="1" max="1" width="66.6640625" bestFit="1" customWidth="1"/>
    <col min="3" max="12" width="12.77734375" customWidth="1"/>
  </cols>
  <sheetData>
    <row r="1" spans="1:12">
      <c r="A1" s="1" t="s">
        <v>0</v>
      </c>
      <c r="B1" s="2" t="str">
        <f>'Table of Contents'!B1</f>
        <v>Electronics Manufacturing Venture</v>
      </c>
      <c r="C1" s="3"/>
      <c r="D1" s="3"/>
      <c r="E1" s="4" t="s">
        <v>1</v>
      </c>
      <c r="F1" s="5" t="s">
        <v>2</v>
      </c>
    </row>
    <row r="2" spans="1:12">
      <c r="A2" s="1" t="s">
        <v>3</v>
      </c>
      <c r="B2" s="2" t="str">
        <f>'Table of Contents'!B2</f>
        <v>Krishnamurthy Bindumadhavan</v>
      </c>
      <c r="C2" s="3"/>
      <c r="D2" s="3"/>
      <c r="E2" s="6" t="s">
        <v>4</v>
      </c>
      <c r="F2" s="5" t="s">
        <v>5</v>
      </c>
    </row>
    <row r="3" spans="1:12">
      <c r="A3" s="1" t="s">
        <v>6</v>
      </c>
      <c r="B3" s="2" t="s">
        <v>83</v>
      </c>
      <c r="C3" s="3"/>
      <c r="D3" s="3"/>
      <c r="E3" s="7" t="s">
        <v>8</v>
      </c>
      <c r="F3" s="5" t="s">
        <v>9</v>
      </c>
    </row>
    <row r="4" spans="1:12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5" spans="1:12" ht="15" thickBot="1"/>
    <row r="6" spans="1:12" ht="18.600000000000001" thickBot="1">
      <c r="A6" s="135" t="s">
        <v>83</v>
      </c>
      <c r="B6" s="27"/>
      <c r="C6" s="28" t="s">
        <v>142</v>
      </c>
      <c r="D6" s="28" t="s">
        <v>143</v>
      </c>
      <c r="E6" s="28" t="s">
        <v>144</v>
      </c>
      <c r="F6" s="28" t="s">
        <v>145</v>
      </c>
      <c r="G6" s="28" t="s">
        <v>146</v>
      </c>
      <c r="H6" s="28" t="s">
        <v>147</v>
      </c>
      <c r="I6" s="28" t="s">
        <v>148</v>
      </c>
      <c r="J6" s="28" t="s">
        <v>149</v>
      </c>
      <c r="K6" s="28" t="s">
        <v>150</v>
      </c>
      <c r="L6" s="29" t="s">
        <v>151</v>
      </c>
    </row>
    <row r="7" spans="1:12" ht="18">
      <c r="A7" s="136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9"/>
    </row>
    <row r="8" spans="1:12" ht="18">
      <c r="A8" s="140" t="s">
        <v>98</v>
      </c>
      <c r="B8" s="141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>
      <c r="A9" s="14"/>
      <c r="B9" s="141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hidden="1">
      <c r="A10" s="14" t="s">
        <v>288</v>
      </c>
      <c r="B10" s="141"/>
      <c r="C10" s="57">
        <f>Assumptions!$D$7</f>
        <v>254</v>
      </c>
      <c r="D10" s="57">
        <f t="shared" ref="D10:L10" si="0">C10</f>
        <v>254</v>
      </c>
      <c r="E10" s="57">
        <f t="shared" si="0"/>
        <v>254</v>
      </c>
      <c r="F10" s="57">
        <f t="shared" si="0"/>
        <v>254</v>
      </c>
      <c r="G10" s="57">
        <f t="shared" si="0"/>
        <v>254</v>
      </c>
      <c r="H10" s="57">
        <f t="shared" si="0"/>
        <v>254</v>
      </c>
      <c r="I10" s="57">
        <f t="shared" si="0"/>
        <v>254</v>
      </c>
      <c r="J10" s="57">
        <f t="shared" si="0"/>
        <v>254</v>
      </c>
      <c r="K10" s="57">
        <f t="shared" si="0"/>
        <v>254</v>
      </c>
      <c r="L10" s="58">
        <f t="shared" si="0"/>
        <v>254</v>
      </c>
    </row>
    <row r="11" spans="1:12" ht="15.6" hidden="1">
      <c r="A11" s="143"/>
      <c r="B11" s="141"/>
      <c r="C11" s="144"/>
      <c r="D11" s="144"/>
      <c r="E11" s="144"/>
      <c r="F11" s="144"/>
      <c r="G11" s="144"/>
      <c r="H11" s="144"/>
      <c r="I11" s="144"/>
      <c r="J11" s="144"/>
      <c r="K11" s="144"/>
      <c r="L11" s="145"/>
    </row>
    <row r="12" spans="1:12" ht="18">
      <c r="A12" s="140" t="s">
        <v>303</v>
      </c>
      <c r="B12" s="141"/>
      <c r="C12" s="144"/>
      <c r="D12" s="144"/>
      <c r="E12" s="144"/>
      <c r="F12" s="144"/>
      <c r="G12" s="144"/>
      <c r="H12" s="144"/>
      <c r="I12" s="144"/>
      <c r="J12" s="144"/>
      <c r="K12" s="144"/>
      <c r="L12" s="145"/>
    </row>
    <row r="13" spans="1:12" ht="15.6">
      <c r="A13" s="143" t="s">
        <v>387</v>
      </c>
      <c r="B13" s="141"/>
      <c r="C13" s="144"/>
      <c r="D13" s="144"/>
      <c r="E13" s="144"/>
      <c r="F13" s="144"/>
      <c r="G13" s="144"/>
      <c r="H13" s="144"/>
      <c r="I13" s="144"/>
      <c r="J13" s="144"/>
      <c r="K13" s="144"/>
      <c r="L13" s="145"/>
    </row>
    <row r="14" spans="1:12" ht="15.6">
      <c r="A14" s="143" t="s">
        <v>304</v>
      </c>
      <c r="B14" s="141"/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>
      <c r="A15" s="14" t="s">
        <v>314</v>
      </c>
      <c r="B15" s="141"/>
      <c r="C15" s="142"/>
      <c r="D15" s="142">
        <f>Assumptions!D45</f>
        <v>2540</v>
      </c>
      <c r="E15" s="142">
        <f>D15*(1+Assumptions!$E$45)</f>
        <v>2921</v>
      </c>
      <c r="F15" s="142">
        <f>E15*(1+Assumptions!$E$45)</f>
        <v>3359.1499999999996</v>
      </c>
      <c r="G15" s="142">
        <f>F15*(1+Assumptions!$E$45)</f>
        <v>3863.0224999999991</v>
      </c>
      <c r="H15" s="142">
        <f>G15*(1+Assumptions!$E$45)</f>
        <v>4442.4758749999983</v>
      </c>
      <c r="I15" s="142">
        <f>H15*(1+Assumptions!$E$45)</f>
        <v>5108.8472562499974</v>
      </c>
      <c r="J15" s="142">
        <f>I15*(1+Assumptions!$E$45)</f>
        <v>5875.1743446874962</v>
      </c>
      <c r="K15" s="142">
        <f>J15*(1+Assumptions!$E$45)</f>
        <v>6756.4504963906202</v>
      </c>
      <c r="L15" s="142">
        <f>K15*(1+Assumptions!$E$45)</f>
        <v>7769.9180708492122</v>
      </c>
    </row>
    <row r="16" spans="1:12">
      <c r="A16" s="14" t="s">
        <v>63</v>
      </c>
      <c r="B16" s="141"/>
      <c r="C16" s="146"/>
      <c r="D16" s="144">
        <f>Assumptions!G45</f>
        <v>1000</v>
      </c>
      <c r="E16" s="144">
        <f>D16*(1+Assumptions!$D$11)</f>
        <v>1030</v>
      </c>
      <c r="F16" s="144">
        <f>E16*(1+Assumptions!$D$11)</f>
        <v>1060.9000000000001</v>
      </c>
      <c r="G16" s="144">
        <f>F16*(1+Assumptions!$D$11)</f>
        <v>1092.7270000000001</v>
      </c>
      <c r="H16" s="144">
        <f>G16*(1+Assumptions!$D$11)</f>
        <v>1125.50881</v>
      </c>
      <c r="I16" s="144">
        <f>H16*(1+Assumptions!$D$11)</f>
        <v>1159.2740743000002</v>
      </c>
      <c r="J16" s="144">
        <f>I16*(1+Assumptions!$D$11)</f>
        <v>1194.0522965290002</v>
      </c>
      <c r="K16" s="144">
        <f>J16*(1+Assumptions!$D$11)</f>
        <v>1229.8738654248702</v>
      </c>
      <c r="L16" s="144">
        <f>K16*(1+Assumptions!$D$11)</f>
        <v>1266.7700813876163</v>
      </c>
    </row>
    <row r="17" spans="1:12">
      <c r="A17" s="14"/>
      <c r="B17" s="141"/>
      <c r="C17" s="57"/>
      <c r="D17" s="57"/>
      <c r="E17" s="57"/>
      <c r="F17" s="57"/>
      <c r="G17" s="57"/>
      <c r="H17" s="57"/>
      <c r="I17" s="57"/>
      <c r="J17" s="57"/>
      <c r="K17" s="57"/>
      <c r="L17" s="58"/>
    </row>
    <row r="18" spans="1:12" ht="15.6">
      <c r="A18" s="143" t="s">
        <v>305</v>
      </c>
      <c r="B18" s="141"/>
      <c r="C18" s="144">
        <f t="shared" ref="C18:L18" si="1">C15*C16</f>
        <v>0</v>
      </c>
      <c r="D18" s="144">
        <f t="shared" si="1"/>
        <v>2540000</v>
      </c>
      <c r="E18" s="144">
        <f t="shared" si="1"/>
        <v>3008630</v>
      </c>
      <c r="F18" s="144">
        <f t="shared" si="1"/>
        <v>3563722.2349999999</v>
      </c>
      <c r="G18" s="144">
        <f t="shared" si="1"/>
        <v>4221228.9873574991</v>
      </c>
      <c r="H18" s="144">
        <f t="shared" si="1"/>
        <v>5000045.7355249571</v>
      </c>
      <c r="I18" s="144">
        <f t="shared" si="1"/>
        <v>5922554.1737293117</v>
      </c>
      <c r="J18" s="144">
        <f t="shared" si="1"/>
        <v>7015265.4187823683</v>
      </c>
      <c r="K18" s="144">
        <f t="shared" si="1"/>
        <v>8309581.8885477157</v>
      </c>
      <c r="L18" s="145">
        <f t="shared" si="1"/>
        <v>9842699.7469847668</v>
      </c>
    </row>
    <row r="19" spans="1:12">
      <c r="A19" s="14"/>
      <c r="B19" s="141"/>
      <c r="C19" s="57"/>
      <c r="D19" s="57"/>
      <c r="E19" s="57"/>
      <c r="F19" s="57"/>
      <c r="G19" s="57"/>
      <c r="H19" s="57"/>
      <c r="I19" s="57"/>
      <c r="J19" s="57"/>
      <c r="K19" s="57"/>
      <c r="L19" s="58"/>
    </row>
    <row r="20" spans="1:12" ht="15.6">
      <c r="A20" s="143" t="s">
        <v>323</v>
      </c>
      <c r="B20" s="141"/>
      <c r="C20" s="57"/>
      <c r="D20" s="57"/>
      <c r="E20" s="57"/>
      <c r="F20" s="57"/>
      <c r="G20" s="57"/>
      <c r="H20" s="57"/>
      <c r="I20" s="57"/>
      <c r="J20" s="57"/>
      <c r="K20" s="57"/>
      <c r="L20" s="58"/>
    </row>
    <row r="21" spans="1:12">
      <c r="A21" s="14" t="s">
        <v>314</v>
      </c>
      <c r="B21" s="141"/>
      <c r="C21" s="142">
        <f>Assumptions!D46</f>
        <v>1270</v>
      </c>
      <c r="D21" s="142">
        <f>C21*(1+Assumptions!$E$46)</f>
        <v>1460.5</v>
      </c>
      <c r="E21" s="142">
        <f>D21*(1+Assumptions!$E$46)</f>
        <v>1679.5749999999998</v>
      </c>
      <c r="F21" s="142">
        <f>E21*(1+Assumptions!$E$46)</f>
        <v>1931.5112499999996</v>
      </c>
      <c r="G21" s="142">
        <f>F21*(1+Assumptions!$E$46)</f>
        <v>2221.2379374999991</v>
      </c>
      <c r="H21" s="142">
        <f>G21*(1+Assumptions!$E$46)</f>
        <v>2554.4236281249987</v>
      </c>
      <c r="I21" s="142">
        <f>H21*(1+Assumptions!$E$46)</f>
        <v>2937.5871723437481</v>
      </c>
      <c r="J21" s="142">
        <f>I21*(1+Assumptions!$E$46)</f>
        <v>3378.2252481953101</v>
      </c>
      <c r="K21" s="142">
        <f>J21*(1+Assumptions!$E$46)</f>
        <v>3884.9590354246061</v>
      </c>
      <c r="L21" s="142">
        <f>K21*(1+Assumptions!$E$46)</f>
        <v>4467.7028907382964</v>
      </c>
    </row>
    <row r="22" spans="1:12">
      <c r="A22" s="14" t="s">
        <v>63</v>
      </c>
      <c r="B22" s="141"/>
      <c r="C22" s="146">
        <f>Assumptions!$G$46</f>
        <v>2000</v>
      </c>
      <c r="D22" s="144">
        <f>C22*(1+Assumptions!$D$11)</f>
        <v>2060</v>
      </c>
      <c r="E22" s="144">
        <f>D22*(1+Assumptions!$D$11)</f>
        <v>2121.8000000000002</v>
      </c>
      <c r="F22" s="144">
        <f>E22*(1+Assumptions!$D$11)</f>
        <v>2185.4540000000002</v>
      </c>
      <c r="G22" s="144">
        <f>F22*(1+Assumptions!$D$11)</f>
        <v>2251.0176200000001</v>
      </c>
      <c r="H22" s="144">
        <f>G22*(1+Assumptions!$D$11)</f>
        <v>2318.5481486000003</v>
      </c>
      <c r="I22" s="144">
        <f>H22*(1+Assumptions!$D$11)</f>
        <v>2388.1045930580003</v>
      </c>
      <c r="J22" s="144">
        <f>I22*(1+Assumptions!$D$11)</f>
        <v>2459.7477308497405</v>
      </c>
      <c r="K22" s="144">
        <f>J22*(1+Assumptions!$D$11)</f>
        <v>2533.5401627752326</v>
      </c>
      <c r="L22" s="144">
        <f>K22*(1+Assumptions!$D$11)</f>
        <v>2609.5463676584895</v>
      </c>
    </row>
    <row r="23" spans="1:12">
      <c r="A23" s="14"/>
      <c r="B23" s="141"/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ht="15.6">
      <c r="A24" s="143" t="s">
        <v>306</v>
      </c>
      <c r="B24" s="141"/>
      <c r="C24" s="144">
        <f t="shared" ref="C24:L24" si="2">C21*C22</f>
        <v>2540000</v>
      </c>
      <c r="D24" s="144">
        <f t="shared" si="2"/>
        <v>3008630</v>
      </c>
      <c r="E24" s="144">
        <f t="shared" si="2"/>
        <v>3563722.2349999999</v>
      </c>
      <c r="F24" s="144">
        <f t="shared" si="2"/>
        <v>4221228.9873574991</v>
      </c>
      <c r="G24" s="144">
        <f t="shared" si="2"/>
        <v>5000045.7355249571</v>
      </c>
      <c r="H24" s="144">
        <f t="shared" si="2"/>
        <v>5922554.1737293117</v>
      </c>
      <c r="I24" s="144">
        <f t="shared" si="2"/>
        <v>7015265.4187823683</v>
      </c>
      <c r="J24" s="144">
        <f t="shared" si="2"/>
        <v>8309581.8885477157</v>
      </c>
      <c r="K24" s="144">
        <f t="shared" si="2"/>
        <v>9842699.7469847668</v>
      </c>
      <c r="L24" s="145">
        <f t="shared" si="2"/>
        <v>11658677.850303454</v>
      </c>
    </row>
    <row r="25" spans="1:12" ht="15.6">
      <c r="A25" s="143"/>
      <c r="B25" s="141"/>
      <c r="C25" s="144"/>
      <c r="D25" s="144"/>
      <c r="E25" s="144"/>
      <c r="F25" s="144"/>
      <c r="G25" s="144"/>
      <c r="H25" s="144"/>
      <c r="I25" s="144"/>
      <c r="J25" s="144"/>
      <c r="K25" s="144"/>
      <c r="L25" s="145"/>
    </row>
    <row r="26" spans="1:12" ht="15.6">
      <c r="A26" s="143" t="s">
        <v>324</v>
      </c>
      <c r="B26" s="141"/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>
      <c r="A27" s="14" t="s">
        <v>314</v>
      </c>
      <c r="B27" s="141"/>
      <c r="C27" s="142"/>
      <c r="D27" s="142">
        <f>Assumptions!D47</f>
        <v>635</v>
      </c>
      <c r="E27" s="142">
        <f>D27*(1+Assumptions!$E$47)</f>
        <v>698.5</v>
      </c>
      <c r="F27" s="142">
        <f>E27*(1+Assumptions!$E$47)</f>
        <v>768.35</v>
      </c>
      <c r="G27" s="142">
        <f>F27*(1+Assumptions!$E$47)</f>
        <v>845.18500000000006</v>
      </c>
      <c r="H27" s="142">
        <f>G27*(1+Assumptions!$E$47)</f>
        <v>929.70350000000019</v>
      </c>
      <c r="I27" s="142">
        <f>H27*(1+Assumptions!$E$47)</f>
        <v>1022.6738500000002</v>
      </c>
      <c r="J27" s="142">
        <f>I27*(1+Assumptions!$E$47)</f>
        <v>1124.9412350000005</v>
      </c>
      <c r="K27" s="142">
        <f>J27*(1+Assumptions!$E$47)</f>
        <v>1237.4353585000006</v>
      </c>
      <c r="L27" s="142">
        <f>K27*(1+Assumptions!$E$47)</f>
        <v>1361.1788943500007</v>
      </c>
    </row>
    <row r="28" spans="1:12">
      <c r="A28" s="14" t="s">
        <v>63</v>
      </c>
      <c r="B28" s="141"/>
      <c r="C28" s="146"/>
      <c r="D28" s="144">
        <f>Assumptions!G47</f>
        <v>3000</v>
      </c>
      <c r="E28" s="144">
        <f>D28*(1+Assumptions!$D$11)</f>
        <v>3090</v>
      </c>
      <c r="F28" s="144">
        <f>E28*(1+Assumptions!$D$11)</f>
        <v>3182.7000000000003</v>
      </c>
      <c r="G28" s="144">
        <f>F28*(1+Assumptions!$D$11)</f>
        <v>3278.1810000000005</v>
      </c>
      <c r="H28" s="144">
        <f>G28*(1+Assumptions!$D$11)</f>
        <v>3376.5264300000008</v>
      </c>
      <c r="I28" s="144">
        <f>H28*(1+Assumptions!$D$11)</f>
        <v>3477.8222229000007</v>
      </c>
      <c r="J28" s="144">
        <f>I28*(1+Assumptions!$D$11)</f>
        <v>3582.1568895870009</v>
      </c>
      <c r="K28" s="144">
        <f>J28*(1+Assumptions!$D$11)</f>
        <v>3689.621596274611</v>
      </c>
      <c r="L28" s="144">
        <f>K28*(1+Assumptions!$D$11)</f>
        <v>3800.3102441628494</v>
      </c>
    </row>
    <row r="29" spans="1:12">
      <c r="A29" s="14"/>
      <c r="B29" s="141"/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ht="15.6">
      <c r="A30" s="143" t="s">
        <v>307</v>
      </c>
      <c r="B30" s="141"/>
      <c r="C30" s="144">
        <f t="shared" ref="C30:L30" si="3">C27*C28</f>
        <v>0</v>
      </c>
      <c r="D30" s="144">
        <f t="shared" si="3"/>
        <v>1905000</v>
      </c>
      <c r="E30" s="144">
        <f t="shared" si="3"/>
        <v>2158365</v>
      </c>
      <c r="F30" s="144">
        <f t="shared" si="3"/>
        <v>2445427.5450000004</v>
      </c>
      <c r="G30" s="144">
        <f t="shared" si="3"/>
        <v>2770669.4084850005</v>
      </c>
      <c r="H30" s="144">
        <f t="shared" si="3"/>
        <v>3139168.4398135063</v>
      </c>
      <c r="I30" s="144">
        <f t="shared" si="3"/>
        <v>3556677.8423087029</v>
      </c>
      <c r="J30" s="144">
        <f t="shared" si="3"/>
        <v>4029715.995335761</v>
      </c>
      <c r="K30" s="144">
        <f t="shared" si="3"/>
        <v>4565668.2227154179</v>
      </c>
      <c r="L30" s="145">
        <f t="shared" si="3"/>
        <v>5172902.0963365687</v>
      </c>
    </row>
    <row r="31" spans="1:12">
      <c r="A31" s="14"/>
      <c r="B31" s="141"/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ht="15.6">
      <c r="A32" s="143" t="s">
        <v>325</v>
      </c>
      <c r="B32" s="141"/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>
      <c r="A33" s="14" t="s">
        <v>314</v>
      </c>
      <c r="B33" s="141"/>
      <c r="C33" s="142"/>
      <c r="D33" s="142"/>
      <c r="E33" s="142">
        <f>Assumptions!D48</f>
        <v>317.5</v>
      </c>
      <c r="F33" s="142">
        <f>E33*(1+Assumptions!$E$48)</f>
        <v>349.25</v>
      </c>
      <c r="G33" s="142">
        <f>F33*(1+Assumptions!$E$48)</f>
        <v>384.17500000000001</v>
      </c>
      <c r="H33" s="142">
        <f>G33*(1+Assumptions!$E$48)</f>
        <v>422.59250000000003</v>
      </c>
      <c r="I33" s="142">
        <f>H33*(1+Assumptions!$E$48)</f>
        <v>464.8517500000001</v>
      </c>
      <c r="J33" s="142">
        <f>I33*(1+Assumptions!$E$48)</f>
        <v>511.33692500000012</v>
      </c>
      <c r="K33" s="142">
        <f>J33*(1+Assumptions!$E$48)</f>
        <v>562.47061750000023</v>
      </c>
      <c r="L33" s="142">
        <f>K33*(1+Assumptions!$E$48)</f>
        <v>618.71767925000029</v>
      </c>
    </row>
    <row r="34" spans="1:12">
      <c r="A34" s="14" t="s">
        <v>63</v>
      </c>
      <c r="B34" s="141"/>
      <c r="C34" s="146"/>
      <c r="D34" s="144"/>
      <c r="E34" s="144">
        <f>Assumptions!G48</f>
        <v>10000</v>
      </c>
      <c r="F34" s="144">
        <f>E34*(1+Assumptions!$D$11)</f>
        <v>10300</v>
      </c>
      <c r="G34" s="144">
        <f>F34*(1+Assumptions!$D$11)</f>
        <v>10609</v>
      </c>
      <c r="H34" s="144">
        <f>G34*(1+Assumptions!$D$11)</f>
        <v>10927.27</v>
      </c>
      <c r="I34" s="144">
        <f>H34*(1+Assumptions!$D$11)</f>
        <v>11255.088100000001</v>
      </c>
      <c r="J34" s="144">
        <f>I34*(1+Assumptions!$D$11)</f>
        <v>11592.740743</v>
      </c>
      <c r="K34" s="144">
        <f>J34*(1+Assumptions!$D$11)</f>
        <v>11940.52296529</v>
      </c>
      <c r="L34" s="144">
        <f>K34*(1+Assumptions!$D$11)</f>
        <v>12298.7386542487</v>
      </c>
    </row>
    <row r="35" spans="1:12">
      <c r="A35" s="14"/>
      <c r="B35" s="141"/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 ht="15.6">
      <c r="A36" s="143" t="s">
        <v>308</v>
      </c>
      <c r="B36" s="141"/>
      <c r="C36" s="144">
        <f t="shared" ref="C36:L36" si="4">C33*C34</f>
        <v>0</v>
      </c>
      <c r="D36" s="144">
        <f t="shared" si="4"/>
        <v>0</v>
      </c>
      <c r="E36" s="144">
        <f t="shared" si="4"/>
        <v>3175000</v>
      </c>
      <c r="F36" s="144">
        <f t="shared" si="4"/>
        <v>3597275</v>
      </c>
      <c r="G36" s="144">
        <f t="shared" si="4"/>
        <v>4075712.5750000002</v>
      </c>
      <c r="H36" s="144">
        <f t="shared" si="4"/>
        <v>4617782.3474750007</v>
      </c>
      <c r="I36" s="144">
        <f t="shared" si="4"/>
        <v>5231947.3996891761</v>
      </c>
      <c r="J36" s="144">
        <f t="shared" si="4"/>
        <v>5927796.4038478369</v>
      </c>
      <c r="K36" s="144">
        <f t="shared" si="4"/>
        <v>6716193.3255596003</v>
      </c>
      <c r="L36" s="145">
        <f t="shared" si="4"/>
        <v>7609447.0378590273</v>
      </c>
    </row>
    <row r="37" spans="1:12" ht="15.6">
      <c r="A37" s="143"/>
      <c r="B37" s="141"/>
      <c r="C37" s="144"/>
      <c r="D37" s="144"/>
      <c r="E37" s="144"/>
      <c r="F37" s="144"/>
      <c r="G37" s="144"/>
      <c r="H37" s="144"/>
      <c r="I37" s="144"/>
      <c r="J37" s="144"/>
      <c r="K37" s="144"/>
      <c r="L37" s="145"/>
    </row>
    <row r="38" spans="1:12" ht="15.6">
      <c r="A38" s="143" t="s">
        <v>326</v>
      </c>
      <c r="B38" s="141"/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>
      <c r="A39" s="14" t="s">
        <v>314</v>
      </c>
      <c r="B39" s="141"/>
      <c r="C39" s="142">
        <f>Assumptions!D49</f>
        <v>0</v>
      </c>
      <c r="D39" s="142">
        <f>C39*(1+Assumptions!$E$49)</f>
        <v>0</v>
      </c>
      <c r="E39" s="142">
        <f>D39*(1+Assumptions!$E$49)</f>
        <v>0</v>
      </c>
      <c r="F39" s="142">
        <f>E39*(1+Assumptions!$E$49)</f>
        <v>0</v>
      </c>
      <c r="G39" s="142">
        <f>F39*(1+Assumptions!$E$49)</f>
        <v>0</v>
      </c>
      <c r="H39" s="142">
        <f>G39*(1+Assumptions!$E$49)</f>
        <v>0</v>
      </c>
      <c r="I39" s="142">
        <f>H39*(1+Assumptions!$E$49)</f>
        <v>0</v>
      </c>
      <c r="J39" s="142">
        <f>I39*(1+Assumptions!$E$49)</f>
        <v>0</v>
      </c>
      <c r="K39" s="142">
        <f>J39*(1+Assumptions!$E$49)</f>
        <v>0</v>
      </c>
      <c r="L39" s="142">
        <f>K39*(1+Assumptions!$E$49)</f>
        <v>0</v>
      </c>
    </row>
    <row r="40" spans="1:12">
      <c r="A40" s="14" t="s">
        <v>63</v>
      </c>
      <c r="B40" s="141"/>
      <c r="C40" s="146">
        <f>Assumptions!$G$49</f>
        <v>0</v>
      </c>
      <c r="D40" s="144">
        <f>C40*(1+Assumptions!$D$11)</f>
        <v>0</v>
      </c>
      <c r="E40" s="144">
        <f>D40*(1+[1]Assumptions!$D$11)</f>
        <v>0</v>
      </c>
      <c r="F40" s="144">
        <f>E40*(1+[1]Assumptions!$D$11)</f>
        <v>0</v>
      </c>
      <c r="G40" s="144">
        <f>F40*(1+[1]Assumptions!$D$11)</f>
        <v>0</v>
      </c>
      <c r="H40" s="144">
        <f>G40*(1+[1]Assumptions!$D$11)</f>
        <v>0</v>
      </c>
      <c r="I40" s="144">
        <f>H40*(1+[1]Assumptions!$D$11)</f>
        <v>0</v>
      </c>
      <c r="J40" s="144">
        <f>I40*(1+[1]Assumptions!$D$11)</f>
        <v>0</v>
      </c>
      <c r="K40" s="144">
        <f>J40*(1+[1]Assumptions!$D$11)</f>
        <v>0</v>
      </c>
      <c r="L40" s="145">
        <f>K40*(1+[1]Assumptions!$D$11)</f>
        <v>0</v>
      </c>
    </row>
    <row r="41" spans="1:12">
      <c r="A41" s="14"/>
      <c r="B41" s="141"/>
      <c r="C41" s="57"/>
      <c r="D41" s="57"/>
      <c r="E41" s="57"/>
      <c r="F41" s="57"/>
      <c r="G41" s="57"/>
      <c r="H41" s="57"/>
      <c r="I41" s="57"/>
      <c r="J41" s="57"/>
      <c r="K41" s="57"/>
      <c r="L41" s="58"/>
    </row>
    <row r="42" spans="1:12" ht="15.6">
      <c r="A42" s="143" t="s">
        <v>309</v>
      </c>
      <c r="B42" s="141"/>
      <c r="C42" s="144">
        <f t="shared" ref="C42:L42" si="5">C39*C40</f>
        <v>0</v>
      </c>
      <c r="D42" s="144">
        <f t="shared" si="5"/>
        <v>0</v>
      </c>
      <c r="E42" s="144">
        <f t="shared" si="5"/>
        <v>0</v>
      </c>
      <c r="F42" s="144">
        <f t="shared" si="5"/>
        <v>0</v>
      </c>
      <c r="G42" s="144">
        <f t="shared" si="5"/>
        <v>0</v>
      </c>
      <c r="H42" s="144">
        <f t="shared" si="5"/>
        <v>0</v>
      </c>
      <c r="I42" s="144">
        <f t="shared" si="5"/>
        <v>0</v>
      </c>
      <c r="J42" s="144">
        <f t="shared" si="5"/>
        <v>0</v>
      </c>
      <c r="K42" s="144">
        <f t="shared" si="5"/>
        <v>0</v>
      </c>
      <c r="L42" s="145">
        <f t="shared" si="5"/>
        <v>0</v>
      </c>
    </row>
    <row r="43" spans="1:12" ht="15.6">
      <c r="A43" s="143"/>
      <c r="B43" s="141"/>
      <c r="C43" s="144"/>
      <c r="D43" s="144"/>
      <c r="E43" s="144"/>
      <c r="F43" s="144"/>
      <c r="G43" s="144"/>
      <c r="H43" s="144"/>
      <c r="I43" s="144"/>
      <c r="J43" s="144"/>
      <c r="K43" s="144"/>
      <c r="L43" s="145"/>
    </row>
    <row r="44" spans="1:12" ht="15.6">
      <c r="A44" s="143" t="s">
        <v>327</v>
      </c>
      <c r="B44" s="141"/>
      <c r="C44" s="57"/>
      <c r="D44" s="57"/>
      <c r="E44" s="57"/>
      <c r="F44" s="57"/>
      <c r="G44" s="57"/>
      <c r="H44" s="57"/>
      <c r="I44" s="57"/>
      <c r="J44" s="57"/>
      <c r="K44" s="57"/>
      <c r="L44" s="58"/>
    </row>
    <row r="45" spans="1:12">
      <c r="A45" s="14" t="s">
        <v>314</v>
      </c>
      <c r="B45" s="141"/>
      <c r="C45" s="142">
        <f>Assumptions!D50</f>
        <v>0</v>
      </c>
      <c r="D45" s="142">
        <f>C45*(1+Assumptions!$E$50)</f>
        <v>0</v>
      </c>
      <c r="E45" s="142">
        <f>D45*(1+Assumptions!$E$50)</f>
        <v>0</v>
      </c>
      <c r="F45" s="142">
        <f>E45*(1+Assumptions!$E$50)</f>
        <v>0</v>
      </c>
      <c r="G45" s="142">
        <f>F45*(1+Assumptions!$E$50)</f>
        <v>0</v>
      </c>
      <c r="H45" s="142">
        <f>G45*(1+Assumptions!$E$50)</f>
        <v>0</v>
      </c>
      <c r="I45" s="142">
        <f>H45*(1+Assumptions!$E$50)</f>
        <v>0</v>
      </c>
      <c r="J45" s="142">
        <f>I45*(1+Assumptions!$E$50)</f>
        <v>0</v>
      </c>
      <c r="K45" s="142">
        <f>J45*(1+Assumptions!$E$50)</f>
        <v>0</v>
      </c>
      <c r="L45" s="142">
        <f>K45*(1+Assumptions!$E$50)</f>
        <v>0</v>
      </c>
    </row>
    <row r="46" spans="1:12">
      <c r="A46" s="14" t="s">
        <v>63</v>
      </c>
      <c r="B46" s="141"/>
      <c r="C46" s="146">
        <f>Assumptions!$G$50</f>
        <v>0</v>
      </c>
      <c r="D46" s="144">
        <f>C46*(1+Assumptions!$D$11)</f>
        <v>0</v>
      </c>
      <c r="E46" s="144">
        <f>D46*(1+[1]Assumptions!$D$11)</f>
        <v>0</v>
      </c>
      <c r="F46" s="144">
        <f>E46*(1+[1]Assumptions!$D$11)</f>
        <v>0</v>
      </c>
      <c r="G46" s="144">
        <f>F46*(1+[1]Assumptions!$D$11)</f>
        <v>0</v>
      </c>
      <c r="H46" s="144">
        <f>G46*(1+[1]Assumptions!$D$11)</f>
        <v>0</v>
      </c>
      <c r="I46" s="144">
        <f>H46*(1+[1]Assumptions!$D$11)</f>
        <v>0</v>
      </c>
      <c r="J46" s="144">
        <f>I46*(1+[1]Assumptions!$D$11)</f>
        <v>0</v>
      </c>
      <c r="K46" s="144">
        <f>J46*(1+[1]Assumptions!$D$11)</f>
        <v>0</v>
      </c>
      <c r="L46" s="145">
        <f>K46*(1+[1]Assumptions!$D$11)</f>
        <v>0</v>
      </c>
    </row>
    <row r="47" spans="1:12">
      <c r="A47" s="14"/>
      <c r="B47" s="141"/>
      <c r="C47" s="57"/>
      <c r="D47" s="57"/>
      <c r="E47" s="57"/>
      <c r="F47" s="57"/>
      <c r="G47" s="57"/>
      <c r="H47" s="57"/>
      <c r="I47" s="57"/>
      <c r="J47" s="57"/>
      <c r="K47" s="57"/>
      <c r="L47" s="58"/>
    </row>
    <row r="48" spans="1:12" ht="15.6">
      <c r="A48" s="143" t="s">
        <v>310</v>
      </c>
      <c r="B48" s="141"/>
      <c r="C48" s="144">
        <f t="shared" ref="C48:L48" si="6">C45*C46</f>
        <v>0</v>
      </c>
      <c r="D48" s="144">
        <f t="shared" si="6"/>
        <v>0</v>
      </c>
      <c r="E48" s="144">
        <f t="shared" si="6"/>
        <v>0</v>
      </c>
      <c r="F48" s="144">
        <f t="shared" si="6"/>
        <v>0</v>
      </c>
      <c r="G48" s="144">
        <f t="shared" si="6"/>
        <v>0</v>
      </c>
      <c r="H48" s="144">
        <f t="shared" si="6"/>
        <v>0</v>
      </c>
      <c r="I48" s="144">
        <f t="shared" si="6"/>
        <v>0</v>
      </c>
      <c r="J48" s="144">
        <f t="shared" si="6"/>
        <v>0</v>
      </c>
      <c r="K48" s="144">
        <f t="shared" si="6"/>
        <v>0</v>
      </c>
      <c r="L48" s="145">
        <f t="shared" si="6"/>
        <v>0</v>
      </c>
    </row>
    <row r="49" spans="1:12" ht="15.6">
      <c r="A49" s="143"/>
      <c r="B49" s="141"/>
      <c r="C49" s="144"/>
      <c r="D49" s="144"/>
      <c r="E49" s="144"/>
      <c r="F49" s="144"/>
      <c r="G49" s="144"/>
      <c r="H49" s="144"/>
      <c r="I49" s="144"/>
      <c r="J49" s="144"/>
      <c r="K49" s="144"/>
      <c r="L49" s="145"/>
    </row>
    <row r="50" spans="1:12" ht="15.6">
      <c r="A50" s="143" t="s">
        <v>328</v>
      </c>
      <c r="B50" s="141"/>
      <c r="C50" s="57"/>
      <c r="D50" s="57"/>
      <c r="E50" s="57"/>
      <c r="F50" s="57"/>
      <c r="G50" s="57"/>
      <c r="H50" s="57"/>
      <c r="I50" s="57"/>
      <c r="J50" s="57"/>
      <c r="K50" s="57"/>
      <c r="L50" s="58"/>
    </row>
    <row r="51" spans="1:12">
      <c r="A51" s="14" t="s">
        <v>314</v>
      </c>
      <c r="B51" s="141"/>
      <c r="C51" s="142">
        <f>Assumptions!D51</f>
        <v>0</v>
      </c>
      <c r="D51" s="142">
        <f>C51*(1+Assumptions!$E$51)</f>
        <v>0</v>
      </c>
      <c r="E51" s="142">
        <f>D51*(1+Assumptions!$E$51)</f>
        <v>0</v>
      </c>
      <c r="F51" s="142">
        <f>E51*(1+Assumptions!$E$51)</f>
        <v>0</v>
      </c>
      <c r="G51" s="142">
        <f>F51*(1+Assumptions!$E$51)</f>
        <v>0</v>
      </c>
      <c r="H51" s="142">
        <f>G51*(1+Assumptions!$E$51)</f>
        <v>0</v>
      </c>
      <c r="I51" s="142">
        <f>H51*(1+Assumptions!$E$51)</f>
        <v>0</v>
      </c>
      <c r="J51" s="142">
        <f>I51*(1+Assumptions!$E$51)</f>
        <v>0</v>
      </c>
      <c r="K51" s="142">
        <f>J51*(1+Assumptions!$E$51)</f>
        <v>0</v>
      </c>
      <c r="L51" s="142">
        <f>K51*(1+Assumptions!$E$51)</f>
        <v>0</v>
      </c>
    </row>
    <row r="52" spans="1:12">
      <c r="A52" s="14" t="s">
        <v>63</v>
      </c>
      <c r="B52" s="141"/>
      <c r="C52" s="146">
        <f>Assumptions!$G$51</f>
        <v>0</v>
      </c>
      <c r="D52" s="144">
        <f>C52*(1+Assumptions!$D$11)</f>
        <v>0</v>
      </c>
      <c r="E52" s="144">
        <f>D52*(1+[1]Assumptions!$D$11)</f>
        <v>0</v>
      </c>
      <c r="F52" s="144">
        <f>E52*(1+[1]Assumptions!$D$11)</f>
        <v>0</v>
      </c>
      <c r="G52" s="144">
        <f>F52*(1+[1]Assumptions!$D$11)</f>
        <v>0</v>
      </c>
      <c r="H52" s="144">
        <f>G52*(1+[1]Assumptions!$D$11)</f>
        <v>0</v>
      </c>
      <c r="I52" s="144">
        <f>H52*(1+[1]Assumptions!$D$11)</f>
        <v>0</v>
      </c>
      <c r="J52" s="144">
        <f>I52*(1+[1]Assumptions!$D$11)</f>
        <v>0</v>
      </c>
      <c r="K52" s="144">
        <f>J52*(1+[1]Assumptions!$D$11)</f>
        <v>0</v>
      </c>
      <c r="L52" s="145">
        <f>K52*(1+[1]Assumptions!$D$11)</f>
        <v>0</v>
      </c>
    </row>
    <row r="53" spans="1:12">
      <c r="A53" s="14"/>
      <c r="B53" s="141"/>
      <c r="C53" s="57"/>
      <c r="D53" s="57"/>
      <c r="E53" s="57"/>
      <c r="F53" s="57"/>
      <c r="G53" s="57"/>
      <c r="H53" s="57"/>
      <c r="I53" s="57"/>
      <c r="J53" s="57"/>
      <c r="K53" s="57"/>
      <c r="L53" s="58"/>
    </row>
    <row r="54" spans="1:12" ht="15.6">
      <c r="A54" s="143" t="s">
        <v>311</v>
      </c>
      <c r="B54" s="141"/>
      <c r="C54" s="144">
        <f t="shared" ref="C54:L54" si="7">C51*C52</f>
        <v>0</v>
      </c>
      <c r="D54" s="144">
        <f t="shared" si="7"/>
        <v>0</v>
      </c>
      <c r="E54" s="144">
        <f t="shared" si="7"/>
        <v>0</v>
      </c>
      <c r="F54" s="144">
        <f t="shared" si="7"/>
        <v>0</v>
      </c>
      <c r="G54" s="144">
        <f t="shared" si="7"/>
        <v>0</v>
      </c>
      <c r="H54" s="144">
        <f t="shared" si="7"/>
        <v>0</v>
      </c>
      <c r="I54" s="144">
        <f t="shared" si="7"/>
        <v>0</v>
      </c>
      <c r="J54" s="144">
        <f t="shared" si="7"/>
        <v>0</v>
      </c>
      <c r="K54" s="144">
        <f t="shared" si="7"/>
        <v>0</v>
      </c>
      <c r="L54" s="145">
        <f t="shared" si="7"/>
        <v>0</v>
      </c>
    </row>
    <row r="55" spans="1:12" ht="15.6">
      <c r="A55" s="143"/>
      <c r="B55" s="141"/>
      <c r="C55" s="144"/>
      <c r="D55" s="144"/>
      <c r="E55" s="144"/>
      <c r="F55" s="144"/>
      <c r="G55" s="144"/>
      <c r="H55" s="144"/>
      <c r="I55" s="144"/>
      <c r="J55" s="144"/>
      <c r="K55" s="144"/>
      <c r="L55" s="145"/>
    </row>
    <row r="56" spans="1:12" ht="15.6">
      <c r="A56" s="143" t="s">
        <v>329</v>
      </c>
      <c r="B56" s="141"/>
      <c r="C56" s="57"/>
      <c r="D56" s="57"/>
      <c r="E56" s="57"/>
      <c r="F56" s="57"/>
      <c r="G56" s="57"/>
      <c r="H56" s="57"/>
      <c r="I56" s="57"/>
      <c r="J56" s="57"/>
      <c r="K56" s="57"/>
      <c r="L56" s="58"/>
    </row>
    <row r="57" spans="1:12">
      <c r="A57" s="14" t="s">
        <v>314</v>
      </c>
      <c r="B57" s="141"/>
      <c r="C57" s="142">
        <f>Assumptions!D52</f>
        <v>0</v>
      </c>
      <c r="D57" s="142">
        <f>C57*(1+Assumptions!$E$52)</f>
        <v>0</v>
      </c>
      <c r="E57" s="142">
        <f>D57*(1+Assumptions!$E$52)</f>
        <v>0</v>
      </c>
      <c r="F57" s="142">
        <f>E57*(1+Assumptions!$E$52)</f>
        <v>0</v>
      </c>
      <c r="G57" s="142">
        <f>F57*(1+Assumptions!$E$52)</f>
        <v>0</v>
      </c>
      <c r="H57" s="142">
        <f>G57*(1+Assumptions!$E$52)</f>
        <v>0</v>
      </c>
      <c r="I57" s="142">
        <f>H57*(1+Assumptions!$E$52)</f>
        <v>0</v>
      </c>
      <c r="J57" s="142">
        <f>I57*(1+Assumptions!$E$52)</f>
        <v>0</v>
      </c>
      <c r="K57" s="142">
        <f>J57*(1+Assumptions!$E$52)</f>
        <v>0</v>
      </c>
      <c r="L57" s="142">
        <f>K57*(1+Assumptions!$E$52)</f>
        <v>0</v>
      </c>
    </row>
    <row r="58" spans="1:12">
      <c r="A58" s="14" t="s">
        <v>63</v>
      </c>
      <c r="B58" s="141"/>
      <c r="C58" s="146">
        <f>Assumptions!$G$52</f>
        <v>0</v>
      </c>
      <c r="D58" s="144">
        <f>C58*(1+Assumptions!$D$11)</f>
        <v>0</v>
      </c>
      <c r="E58" s="144">
        <f>D58*(1+[1]Assumptions!$D$11)</f>
        <v>0</v>
      </c>
      <c r="F58" s="144">
        <f>E58*(1+[1]Assumptions!$D$11)</f>
        <v>0</v>
      </c>
      <c r="G58" s="144">
        <f>F58*(1+[1]Assumptions!$D$11)</f>
        <v>0</v>
      </c>
      <c r="H58" s="144">
        <f>G58*(1+[1]Assumptions!$D$11)</f>
        <v>0</v>
      </c>
      <c r="I58" s="144">
        <f>H58*(1+[1]Assumptions!$D$11)</f>
        <v>0</v>
      </c>
      <c r="J58" s="144">
        <f>I58*(1+[1]Assumptions!$D$11)</f>
        <v>0</v>
      </c>
      <c r="K58" s="144">
        <f>J58*(1+[1]Assumptions!$D$11)</f>
        <v>0</v>
      </c>
      <c r="L58" s="145">
        <f>K58*(1+[1]Assumptions!$D$11)</f>
        <v>0</v>
      </c>
    </row>
    <row r="59" spans="1:12">
      <c r="A59" s="14"/>
      <c r="B59" s="141"/>
      <c r="C59" s="57"/>
      <c r="D59" s="57"/>
      <c r="E59" s="57"/>
      <c r="F59" s="57"/>
      <c r="G59" s="57"/>
      <c r="H59" s="57"/>
      <c r="I59" s="57"/>
      <c r="J59" s="57"/>
      <c r="K59" s="57"/>
      <c r="L59" s="58"/>
    </row>
    <row r="60" spans="1:12" ht="15.6">
      <c r="A60" s="143" t="s">
        <v>312</v>
      </c>
      <c r="B60" s="141"/>
      <c r="C60" s="144">
        <f t="shared" ref="C60:L60" si="8">C57*C58</f>
        <v>0</v>
      </c>
      <c r="D60" s="144">
        <f t="shared" si="8"/>
        <v>0</v>
      </c>
      <c r="E60" s="144">
        <f t="shared" si="8"/>
        <v>0</v>
      </c>
      <c r="F60" s="144">
        <f t="shared" si="8"/>
        <v>0</v>
      </c>
      <c r="G60" s="144">
        <f t="shared" si="8"/>
        <v>0</v>
      </c>
      <c r="H60" s="144">
        <f t="shared" si="8"/>
        <v>0</v>
      </c>
      <c r="I60" s="144">
        <f t="shared" si="8"/>
        <v>0</v>
      </c>
      <c r="J60" s="144">
        <f t="shared" si="8"/>
        <v>0</v>
      </c>
      <c r="K60" s="144">
        <f t="shared" si="8"/>
        <v>0</v>
      </c>
      <c r="L60" s="145">
        <f t="shared" si="8"/>
        <v>0</v>
      </c>
    </row>
    <row r="61" spans="1:12" ht="15.6">
      <c r="A61" s="143"/>
      <c r="B61" s="141"/>
      <c r="C61" s="144"/>
      <c r="D61" s="144"/>
      <c r="E61" s="144"/>
      <c r="F61" s="144"/>
      <c r="G61" s="144"/>
      <c r="H61" s="144"/>
      <c r="I61" s="144"/>
      <c r="J61" s="144"/>
      <c r="K61" s="144"/>
      <c r="L61" s="145"/>
    </row>
    <row r="62" spans="1:12" ht="15.6">
      <c r="A62" s="143" t="s">
        <v>330</v>
      </c>
      <c r="B62" s="141"/>
      <c r="C62" s="57"/>
      <c r="D62" s="57"/>
      <c r="E62" s="57"/>
      <c r="F62" s="57"/>
      <c r="G62" s="57"/>
      <c r="H62" s="57"/>
      <c r="I62" s="57"/>
      <c r="J62" s="57"/>
      <c r="K62" s="57"/>
      <c r="L62" s="58"/>
    </row>
    <row r="63" spans="1:12">
      <c r="A63" s="14" t="s">
        <v>314</v>
      </c>
      <c r="B63" s="141"/>
      <c r="C63" s="142">
        <f>Assumptions!D53</f>
        <v>0</v>
      </c>
      <c r="D63" s="142">
        <f>C63*(1+Assumptions!$E$53)</f>
        <v>0</v>
      </c>
      <c r="E63" s="142">
        <f>D63*(1+Assumptions!$E$53)</f>
        <v>0</v>
      </c>
      <c r="F63" s="142">
        <f>E63*(1+Assumptions!$E$53)</f>
        <v>0</v>
      </c>
      <c r="G63" s="142">
        <f>F63*(1+Assumptions!$E$53)</f>
        <v>0</v>
      </c>
      <c r="H63" s="142">
        <f>G63*(1+Assumptions!$E$53)</f>
        <v>0</v>
      </c>
      <c r="I63" s="142">
        <f>H63*(1+Assumptions!$E$53)</f>
        <v>0</v>
      </c>
      <c r="J63" s="142">
        <f>I63*(1+Assumptions!$E$53)</f>
        <v>0</v>
      </c>
      <c r="K63" s="142">
        <f>J63*(1+Assumptions!$E$53)</f>
        <v>0</v>
      </c>
      <c r="L63" s="142">
        <f>K63*(1+Assumptions!$E$53)</f>
        <v>0</v>
      </c>
    </row>
    <row r="64" spans="1:12">
      <c r="A64" s="14" t="s">
        <v>63</v>
      </c>
      <c r="B64" s="141"/>
      <c r="C64" s="146">
        <f>Assumptions!$G$53</f>
        <v>0</v>
      </c>
      <c r="D64" s="144">
        <f>C64*(1+Assumptions!$D$11)</f>
        <v>0</v>
      </c>
      <c r="E64" s="144">
        <f>D64*(1+[1]Assumptions!$D$11)</f>
        <v>0</v>
      </c>
      <c r="F64" s="144">
        <f>E64*(1+[1]Assumptions!$D$11)</f>
        <v>0</v>
      </c>
      <c r="G64" s="144">
        <f>F64*(1+[1]Assumptions!$D$11)</f>
        <v>0</v>
      </c>
      <c r="H64" s="144">
        <f>G64*(1+[1]Assumptions!$D$11)</f>
        <v>0</v>
      </c>
      <c r="I64" s="144">
        <f>H64*(1+[1]Assumptions!$D$11)</f>
        <v>0</v>
      </c>
      <c r="J64" s="144">
        <f>I64*(1+[1]Assumptions!$D$11)</f>
        <v>0</v>
      </c>
      <c r="K64" s="144">
        <f>J64*(1+[1]Assumptions!$D$11)</f>
        <v>0</v>
      </c>
      <c r="L64" s="145">
        <f>K64*(1+[1]Assumptions!$D$11)</f>
        <v>0</v>
      </c>
    </row>
    <row r="65" spans="1:12">
      <c r="A65" s="14"/>
      <c r="B65" s="141"/>
      <c r="C65" s="57"/>
      <c r="D65" s="57"/>
      <c r="E65" s="57"/>
      <c r="F65" s="57"/>
      <c r="G65" s="57"/>
      <c r="H65" s="57"/>
      <c r="I65" s="57"/>
      <c r="J65" s="57"/>
      <c r="K65" s="57"/>
      <c r="L65" s="58"/>
    </row>
    <row r="66" spans="1:12" ht="15.6">
      <c r="A66" s="143" t="s">
        <v>313</v>
      </c>
      <c r="B66" s="141"/>
      <c r="C66" s="144">
        <f t="shared" ref="C66:L66" si="9">C63*C64</f>
        <v>0</v>
      </c>
      <c r="D66" s="144">
        <f t="shared" si="9"/>
        <v>0</v>
      </c>
      <c r="E66" s="144">
        <f t="shared" si="9"/>
        <v>0</v>
      </c>
      <c r="F66" s="144">
        <f t="shared" si="9"/>
        <v>0</v>
      </c>
      <c r="G66" s="144">
        <f t="shared" si="9"/>
        <v>0</v>
      </c>
      <c r="H66" s="144">
        <f t="shared" si="9"/>
        <v>0</v>
      </c>
      <c r="I66" s="144">
        <f t="shared" si="9"/>
        <v>0</v>
      </c>
      <c r="J66" s="144">
        <f t="shared" si="9"/>
        <v>0</v>
      </c>
      <c r="K66" s="144">
        <f t="shared" si="9"/>
        <v>0</v>
      </c>
      <c r="L66" s="145">
        <f t="shared" si="9"/>
        <v>0</v>
      </c>
    </row>
    <row r="67" spans="1:12">
      <c r="A67" s="14"/>
      <c r="B67" s="141"/>
      <c r="C67" s="57"/>
      <c r="D67" s="57"/>
      <c r="E67" s="57"/>
      <c r="F67" s="57"/>
      <c r="G67" s="57"/>
      <c r="H67" s="57"/>
      <c r="I67" s="57"/>
      <c r="J67" s="57"/>
      <c r="K67" s="57"/>
      <c r="L67" s="58"/>
    </row>
    <row r="68" spans="1:12" ht="15.6">
      <c r="A68" s="143" t="s">
        <v>152</v>
      </c>
      <c r="B68" s="141"/>
      <c r="C68" s="57">
        <f>-(Assumptions!$I$45*C18+Assumptions!$I$46*C24+Assumptions!$I$47*C30+Assumptions!$I$48*C36 +Assumptions!$I$49*C42 +Assumptions!$I$50*C48 +Assumptions!$I$51*C54 +Assumptions!$I$52*C60 + Assumptions!$I$53*C66)</f>
        <v>0</v>
      </c>
      <c r="D68" s="57">
        <f>-(Assumptions!$I$45*D18+Assumptions!$I$46*D24+Assumptions!$I$47*D30+Assumptions!$I$48*D36 +Assumptions!$I$49*D42 +Assumptions!$I$50*D48 +Assumptions!$I$51*D54 +Assumptions!$I$52*D60 + Assumptions!$I$53*D66)</f>
        <v>0</v>
      </c>
      <c r="E68" s="57">
        <f>-(Assumptions!$I$45*E18+Assumptions!$I$46*E24+Assumptions!$I$47*E30+Assumptions!$I$48*E36 +Assumptions!$I$49*E42 +Assumptions!$I$50*E48 +Assumptions!$I$51*E54 +Assumptions!$I$52*E60 + Assumptions!$I$53*E66)</f>
        <v>0</v>
      </c>
      <c r="F68" s="57">
        <f>-(Assumptions!$I$45*F18+Assumptions!$I$46*F24+Assumptions!$I$47*F30+Assumptions!$I$48*F36 +Assumptions!$I$49*F42 +Assumptions!$I$50*F48 +Assumptions!$I$51*F54 +Assumptions!$I$52*F60 + Assumptions!$I$53*F66)</f>
        <v>0</v>
      </c>
      <c r="G68" s="57">
        <f>-(Assumptions!$I$45*G18+Assumptions!$I$46*G24+Assumptions!$I$47*G30+Assumptions!$I$48*G36 +Assumptions!$I$49*G42 +Assumptions!$I$50*G48 +Assumptions!$I$51*G54 +Assumptions!$I$52*G60 + Assumptions!$I$53*G66)</f>
        <v>0</v>
      </c>
      <c r="H68" s="57">
        <f>-(Assumptions!$I$45*H18+Assumptions!$I$46*H24+Assumptions!$I$47*H30+Assumptions!$I$48*H36 +Assumptions!$I$49*H42 +Assumptions!$I$50*H48 +Assumptions!$I$51*H54 +Assumptions!$I$52*H60 + Assumptions!$I$53*H66)</f>
        <v>0</v>
      </c>
      <c r="I68" s="57">
        <f>-(Assumptions!$I$45*I18+Assumptions!$I$46*I24+Assumptions!$I$47*I30+Assumptions!$I$48*I36 +Assumptions!$I$49*I42 +Assumptions!$I$50*I48 +Assumptions!$I$51*I54 +Assumptions!$I$52*I60 + Assumptions!$I$53*I66)</f>
        <v>0</v>
      </c>
      <c r="J68" s="57">
        <f>-(Assumptions!$I$45*J18+Assumptions!$I$46*J24+Assumptions!$I$47*J30+Assumptions!$I$48*J36 +Assumptions!$I$49*J42 +Assumptions!$I$50*J48 +Assumptions!$I$51*J54 +Assumptions!$I$52*J60 + Assumptions!$I$53*J66)</f>
        <v>0</v>
      </c>
      <c r="K68" s="57">
        <f>-(Assumptions!$I$45*K18+Assumptions!$I$46*K24+Assumptions!$I$47*K30+Assumptions!$I$48*K36 +Assumptions!$I$49*K42 +Assumptions!$I$50*K48 +Assumptions!$I$51*K54 +Assumptions!$I$52*K60 + Assumptions!$I$53*K66)</f>
        <v>0</v>
      </c>
      <c r="L68" s="57">
        <f>-(Assumptions!$I$45*L18+Assumptions!$I$46*L24+Assumptions!$I$47*L30+Assumptions!$I$48*L36 +Assumptions!$I$49*L42 +Assumptions!$I$50*L48 +Assumptions!$I$51*L54 +Assumptions!$I$52*L60 + Assumptions!$I$53*L66)</f>
        <v>0</v>
      </c>
    </row>
    <row r="69" spans="1:12" ht="15.6">
      <c r="A69" s="143"/>
      <c r="B69" s="141"/>
      <c r="C69" s="57"/>
      <c r="D69" s="57"/>
      <c r="E69" s="57"/>
      <c r="F69" s="57"/>
      <c r="G69" s="57"/>
      <c r="H69" s="57"/>
      <c r="I69" s="57"/>
      <c r="J69" s="57"/>
      <c r="K69" s="57"/>
      <c r="L69" s="147"/>
    </row>
    <row r="70" spans="1:12" ht="15.6">
      <c r="A70" s="143" t="s">
        <v>153</v>
      </c>
      <c r="B70" s="141"/>
      <c r="C70" s="144">
        <f t="shared" ref="C70:L70" si="10">C18+C24+C30+C36+C42+C48+C54+C60+C66-C68</f>
        <v>2540000</v>
      </c>
      <c r="D70" s="144">
        <f t="shared" si="10"/>
        <v>7453630</v>
      </c>
      <c r="E70" s="144">
        <f t="shared" si="10"/>
        <v>11905717.234999999</v>
      </c>
      <c r="F70" s="144">
        <f t="shared" si="10"/>
        <v>13827653.767357498</v>
      </c>
      <c r="G70" s="144">
        <f t="shared" si="10"/>
        <v>16067656.706367459</v>
      </c>
      <c r="H70" s="144">
        <f t="shared" si="10"/>
        <v>18679550.696542773</v>
      </c>
      <c r="I70" s="144">
        <f t="shared" si="10"/>
        <v>21726444.834509559</v>
      </c>
      <c r="J70" s="144">
        <f t="shared" si="10"/>
        <v>25282359.706513681</v>
      </c>
      <c r="K70" s="144">
        <f t="shared" si="10"/>
        <v>29434143.183807503</v>
      </c>
      <c r="L70" s="144">
        <f t="shared" si="10"/>
        <v>34283726.731483817</v>
      </c>
    </row>
    <row r="71" spans="1:12">
      <c r="A71" s="14"/>
      <c r="B71" s="141"/>
      <c r="C71" s="57"/>
      <c r="D71" s="57"/>
      <c r="E71" s="57"/>
      <c r="F71" s="57"/>
      <c r="G71" s="57"/>
      <c r="H71" s="57"/>
      <c r="I71" s="57"/>
      <c r="J71" s="57"/>
      <c r="K71" s="57"/>
      <c r="L71" s="58"/>
    </row>
    <row r="72" spans="1:12" ht="18">
      <c r="A72" s="140" t="s">
        <v>154</v>
      </c>
      <c r="B72" s="141"/>
      <c r="C72" s="144">
        <f>C70</f>
        <v>2540000</v>
      </c>
      <c r="D72" s="144">
        <f t="shared" ref="D72:L72" si="11">D70</f>
        <v>7453630</v>
      </c>
      <c r="E72" s="144">
        <f t="shared" si="11"/>
        <v>11905717.234999999</v>
      </c>
      <c r="F72" s="144">
        <f t="shared" si="11"/>
        <v>13827653.767357498</v>
      </c>
      <c r="G72" s="144">
        <f t="shared" si="11"/>
        <v>16067656.706367459</v>
      </c>
      <c r="H72" s="144">
        <f t="shared" si="11"/>
        <v>18679550.696542773</v>
      </c>
      <c r="I72" s="144">
        <f t="shared" si="11"/>
        <v>21726444.834509559</v>
      </c>
      <c r="J72" s="144">
        <f t="shared" si="11"/>
        <v>25282359.706513681</v>
      </c>
      <c r="K72" s="144">
        <f t="shared" si="11"/>
        <v>29434143.183807503</v>
      </c>
      <c r="L72" s="144">
        <f t="shared" si="11"/>
        <v>34283726.731483817</v>
      </c>
    </row>
    <row r="73" spans="1:12">
      <c r="A73" s="14"/>
      <c r="B73" s="141"/>
      <c r="C73" s="57"/>
      <c r="D73" s="57"/>
      <c r="E73" s="57"/>
      <c r="F73" s="57"/>
      <c r="G73" s="57"/>
      <c r="H73" s="57"/>
      <c r="I73" s="57"/>
      <c r="J73" s="57"/>
      <c r="K73" s="57"/>
      <c r="L73" s="58"/>
    </row>
    <row r="74" spans="1:12" hidden="1">
      <c r="A74" s="14" t="s">
        <v>155</v>
      </c>
      <c r="B74" s="141"/>
      <c r="C74" s="57"/>
      <c r="D74" s="57">
        <v>24776</v>
      </c>
      <c r="E74" s="57"/>
      <c r="F74" s="57"/>
      <c r="G74" s="57"/>
      <c r="H74" s="57"/>
      <c r="I74" s="57"/>
      <c r="J74" s="57"/>
      <c r="K74" s="57"/>
      <c r="L74" s="58"/>
    </row>
    <row r="75" spans="1:12" hidden="1">
      <c r="A75" s="14" t="s">
        <v>156</v>
      </c>
      <c r="B75" s="141"/>
      <c r="C75" s="57"/>
      <c r="D75" s="57">
        <v>4</v>
      </c>
      <c r="E75" s="57"/>
      <c r="F75" s="57"/>
      <c r="G75" s="57"/>
      <c r="H75" s="57"/>
      <c r="I75" s="57"/>
      <c r="J75" s="57"/>
      <c r="K75" s="57"/>
      <c r="L75" s="58"/>
    </row>
    <row r="76" spans="1:12" hidden="1">
      <c r="A76" s="14" t="s">
        <v>157</v>
      </c>
      <c r="B76" s="141"/>
      <c r="C76" s="57"/>
      <c r="D76" s="57"/>
      <c r="E76" s="57"/>
      <c r="F76" s="57"/>
      <c r="G76" s="57"/>
      <c r="H76" s="57"/>
      <c r="I76" s="57"/>
      <c r="J76" s="57"/>
      <c r="K76" s="57"/>
      <c r="L76" s="58"/>
    </row>
    <row r="77" spans="1:12" hidden="1">
      <c r="A77" s="14"/>
      <c r="B77" s="141"/>
      <c r="C77" s="57"/>
      <c r="D77" s="57"/>
      <c r="E77" s="57"/>
      <c r="F77" s="57"/>
      <c r="G77" s="57"/>
      <c r="H77" s="57"/>
      <c r="I77" s="57"/>
      <c r="J77" s="57"/>
      <c r="K77" s="57"/>
      <c r="L77" s="58"/>
    </row>
    <row r="78" spans="1:12" ht="18">
      <c r="A78" s="140" t="s">
        <v>158</v>
      </c>
      <c r="B78" s="141"/>
      <c r="C78" s="57"/>
      <c r="D78" s="57"/>
      <c r="E78" s="57"/>
      <c r="F78" s="57"/>
      <c r="G78" s="57"/>
      <c r="H78" s="57"/>
      <c r="I78" s="57"/>
      <c r="J78" s="57"/>
      <c r="K78" s="57"/>
      <c r="L78" s="58"/>
    </row>
    <row r="79" spans="1:12" ht="15.6">
      <c r="A79" s="143" t="s">
        <v>331</v>
      </c>
      <c r="B79" s="141"/>
      <c r="C79" s="144">
        <f>Assumptions!$H$45*C18</f>
        <v>0</v>
      </c>
      <c r="D79" s="144">
        <f>Assumptions!$H$45*D18</f>
        <v>889000</v>
      </c>
      <c r="E79" s="144">
        <f>Assumptions!$H$45*E18</f>
        <v>1053020.5</v>
      </c>
      <c r="F79" s="144">
        <f>Assumptions!$H$45*F18</f>
        <v>1247302.7822499999</v>
      </c>
      <c r="G79" s="144">
        <f>Assumptions!$H$45*G18</f>
        <v>1477430.1455751245</v>
      </c>
      <c r="H79" s="144">
        <f>Assumptions!$H$45*H18</f>
        <v>1750016.0074337348</v>
      </c>
      <c r="I79" s="144">
        <f>Assumptions!$H$45*I18</f>
        <v>2072893.9608052589</v>
      </c>
      <c r="J79" s="144">
        <f>Assumptions!$H$45*J18</f>
        <v>2455342.8965738285</v>
      </c>
      <c r="K79" s="144">
        <f>Assumptions!$H$45*K18</f>
        <v>2908353.6609917004</v>
      </c>
      <c r="L79" s="144">
        <f>Assumptions!$H$45*L18</f>
        <v>3444944.9114446682</v>
      </c>
    </row>
    <row r="80" spans="1:12" ht="15.6">
      <c r="A80" s="143" t="s">
        <v>332</v>
      </c>
      <c r="B80" s="141"/>
      <c r="C80" s="144">
        <f>Assumptions!$H$46*C24</f>
        <v>889000</v>
      </c>
      <c r="D80" s="144">
        <f>Assumptions!$H$46*D24</f>
        <v>1053020.5</v>
      </c>
      <c r="E80" s="144">
        <f>Assumptions!$H$46*E24</f>
        <v>1247302.7822499999</v>
      </c>
      <c r="F80" s="144">
        <f>Assumptions!$H$46*F24</f>
        <v>1477430.1455751245</v>
      </c>
      <c r="G80" s="144">
        <f>Assumptions!$H$46*G24</f>
        <v>1750016.0074337348</v>
      </c>
      <c r="H80" s="144">
        <f>Assumptions!$H$46*H24</f>
        <v>2072893.9608052589</v>
      </c>
      <c r="I80" s="144">
        <f>Assumptions!$H$46*I24</f>
        <v>2455342.8965738285</v>
      </c>
      <c r="J80" s="144">
        <f>Assumptions!$H$46*J24</f>
        <v>2908353.6609917004</v>
      </c>
      <c r="K80" s="144">
        <f>Assumptions!$H$46*K24</f>
        <v>3444944.9114446682</v>
      </c>
      <c r="L80" s="144">
        <f>Assumptions!$H$46*L24</f>
        <v>4080537.2476062085</v>
      </c>
    </row>
    <row r="81" spans="1:12" ht="15.6">
      <c r="A81" s="143" t="s">
        <v>333</v>
      </c>
      <c r="B81" s="141"/>
      <c r="C81" s="144">
        <f>Assumptions!$H$47*C30</f>
        <v>0</v>
      </c>
      <c r="D81" s="144">
        <f>Assumptions!$H$47*D30</f>
        <v>762000</v>
      </c>
      <c r="E81" s="144">
        <f>Assumptions!$H$47*E30</f>
        <v>863346</v>
      </c>
      <c r="F81" s="144">
        <f>Assumptions!$H$47*F30</f>
        <v>978171.01800000016</v>
      </c>
      <c r="G81" s="144">
        <f>Assumptions!$H$47*G30</f>
        <v>1108267.7633940002</v>
      </c>
      <c r="H81" s="144">
        <f>Assumptions!$H$47*H30</f>
        <v>1255667.3759254026</v>
      </c>
      <c r="I81" s="144">
        <f>Assumptions!$H$47*I30</f>
        <v>1422671.1369234812</v>
      </c>
      <c r="J81" s="144">
        <f>Assumptions!$H$47*J30</f>
        <v>1611886.3981343044</v>
      </c>
      <c r="K81" s="144">
        <f>Assumptions!$H$47*K30</f>
        <v>1826267.2890861672</v>
      </c>
      <c r="L81" s="144">
        <f>Assumptions!$H$47*L30</f>
        <v>2069160.8385346276</v>
      </c>
    </row>
    <row r="82" spans="1:12" ht="15.6">
      <c r="A82" s="143" t="s">
        <v>334</v>
      </c>
      <c r="B82" s="141"/>
      <c r="C82" s="144">
        <f>Assumptions!$H$48*C36</f>
        <v>0</v>
      </c>
      <c r="D82" s="144">
        <f>Assumptions!$H$48*D36</f>
        <v>0</v>
      </c>
      <c r="E82" s="144">
        <f>Assumptions!$H$48*E36</f>
        <v>1270000</v>
      </c>
      <c r="F82" s="144">
        <f>Assumptions!$H$48*F36</f>
        <v>1438910</v>
      </c>
      <c r="G82" s="144">
        <f>Assumptions!$H$48*G36</f>
        <v>1630285.0300000003</v>
      </c>
      <c r="H82" s="144">
        <f>Assumptions!$H$48*H36</f>
        <v>1847112.9389900004</v>
      </c>
      <c r="I82" s="144">
        <f>Assumptions!$H$48*I36</f>
        <v>2092778.9598756705</v>
      </c>
      <c r="J82" s="144">
        <f>Assumptions!$H$48*J36</f>
        <v>2371118.5615391349</v>
      </c>
      <c r="K82" s="144">
        <f>Assumptions!$H$48*K36</f>
        <v>2686477.3302238402</v>
      </c>
      <c r="L82" s="144">
        <f>Assumptions!$H$48*L36</f>
        <v>3043778.8151436113</v>
      </c>
    </row>
    <row r="83" spans="1:12" ht="15.6">
      <c r="A83" s="143" t="s">
        <v>335</v>
      </c>
      <c r="B83" s="141"/>
      <c r="C83" s="144">
        <f>Assumptions!$H$49*C42</f>
        <v>0</v>
      </c>
      <c r="D83" s="144">
        <f>Assumptions!$H$49*D42</f>
        <v>0</v>
      </c>
      <c r="E83" s="144">
        <f>Assumptions!$H$49*E42</f>
        <v>0</v>
      </c>
      <c r="F83" s="144">
        <f>Assumptions!$H$49*F42</f>
        <v>0</v>
      </c>
      <c r="G83" s="144">
        <f>Assumptions!$H$49*G42</f>
        <v>0</v>
      </c>
      <c r="H83" s="144">
        <f>Assumptions!$H$49*H42</f>
        <v>0</v>
      </c>
      <c r="I83" s="144">
        <f>Assumptions!$H$49*I42</f>
        <v>0</v>
      </c>
      <c r="J83" s="144">
        <f>Assumptions!$H$49*J42</f>
        <v>0</v>
      </c>
      <c r="K83" s="144">
        <f>Assumptions!$H$49*K42</f>
        <v>0</v>
      </c>
      <c r="L83" s="144">
        <f>Assumptions!$H$49*L42</f>
        <v>0</v>
      </c>
    </row>
    <row r="84" spans="1:12" ht="15.6">
      <c r="A84" s="143" t="s">
        <v>336</v>
      </c>
      <c r="B84" s="141"/>
      <c r="C84" s="144">
        <f>Assumptions!$H$50*C48</f>
        <v>0</v>
      </c>
      <c r="D84" s="144">
        <f>Assumptions!$H$50*D48</f>
        <v>0</v>
      </c>
      <c r="E84" s="144">
        <f>Assumptions!$H$50*E48</f>
        <v>0</v>
      </c>
      <c r="F84" s="144">
        <f>Assumptions!$H$50*F48</f>
        <v>0</v>
      </c>
      <c r="G84" s="144">
        <f>Assumptions!$H$50*G48</f>
        <v>0</v>
      </c>
      <c r="H84" s="144">
        <f>Assumptions!$H$50*H48</f>
        <v>0</v>
      </c>
      <c r="I84" s="144">
        <f>Assumptions!$H$50*I48</f>
        <v>0</v>
      </c>
      <c r="J84" s="144">
        <f>Assumptions!$H$50*J48</f>
        <v>0</v>
      </c>
      <c r="K84" s="144">
        <f>Assumptions!$H$50*K48</f>
        <v>0</v>
      </c>
      <c r="L84" s="144">
        <f>Assumptions!$H$50*L48</f>
        <v>0</v>
      </c>
    </row>
    <row r="85" spans="1:12" ht="15.6">
      <c r="A85" s="143" t="s">
        <v>337</v>
      </c>
      <c r="B85" s="141"/>
      <c r="C85" s="144">
        <f>Assumptions!$H$51*C54</f>
        <v>0</v>
      </c>
      <c r="D85" s="144">
        <f>Assumptions!$H$51*D54</f>
        <v>0</v>
      </c>
      <c r="E85" s="144">
        <f>Assumptions!$H$51*E54</f>
        <v>0</v>
      </c>
      <c r="F85" s="144">
        <f>Assumptions!$H$51*F54</f>
        <v>0</v>
      </c>
      <c r="G85" s="144">
        <f>Assumptions!$H$51*G54</f>
        <v>0</v>
      </c>
      <c r="H85" s="144">
        <f>Assumptions!$H$51*H54</f>
        <v>0</v>
      </c>
      <c r="I85" s="144">
        <f>Assumptions!$H$51*I54</f>
        <v>0</v>
      </c>
      <c r="J85" s="144">
        <f>Assumptions!$H$51*J54</f>
        <v>0</v>
      </c>
      <c r="K85" s="144">
        <f>Assumptions!$H$51*K54</f>
        <v>0</v>
      </c>
      <c r="L85" s="144">
        <f>Assumptions!$H$51*L54</f>
        <v>0</v>
      </c>
    </row>
    <row r="86" spans="1:12" ht="15.6">
      <c r="A86" s="143" t="s">
        <v>338</v>
      </c>
      <c r="B86" s="141"/>
      <c r="C86" s="144">
        <f>Assumptions!$H$52*C60</f>
        <v>0</v>
      </c>
      <c r="D86" s="144">
        <f>Assumptions!$H$52*D60</f>
        <v>0</v>
      </c>
      <c r="E86" s="144">
        <f>Assumptions!$H$52*E60</f>
        <v>0</v>
      </c>
      <c r="F86" s="144">
        <f>Assumptions!$H$52*F60</f>
        <v>0</v>
      </c>
      <c r="G86" s="144">
        <f>Assumptions!$H$52*G60</f>
        <v>0</v>
      </c>
      <c r="H86" s="144">
        <f>Assumptions!$H$52*H60</f>
        <v>0</v>
      </c>
      <c r="I86" s="144">
        <f>Assumptions!$H$52*I60</f>
        <v>0</v>
      </c>
      <c r="J86" s="144">
        <f>Assumptions!$H$52*J60</f>
        <v>0</v>
      </c>
      <c r="K86" s="144">
        <f>Assumptions!$H$52*K60</f>
        <v>0</v>
      </c>
      <c r="L86" s="144">
        <f>Assumptions!$H$52*L60</f>
        <v>0</v>
      </c>
    </row>
    <row r="87" spans="1:12" ht="15.6">
      <c r="A87" s="143" t="s">
        <v>339</v>
      </c>
      <c r="B87" s="141"/>
      <c r="C87" s="144">
        <f>Assumptions!$H$53*C66</f>
        <v>0</v>
      </c>
      <c r="D87" s="144">
        <f>Assumptions!$H$53*D66</f>
        <v>0</v>
      </c>
      <c r="E87" s="144">
        <f>Assumptions!$H$53*E66</f>
        <v>0</v>
      </c>
      <c r="F87" s="144">
        <f>Assumptions!$H$53*F66</f>
        <v>0</v>
      </c>
      <c r="G87" s="144">
        <f>Assumptions!$H$53*G66</f>
        <v>0</v>
      </c>
      <c r="H87" s="144">
        <f>Assumptions!$H$53*H66</f>
        <v>0</v>
      </c>
      <c r="I87" s="144">
        <f>Assumptions!$H$53*I66</f>
        <v>0</v>
      </c>
      <c r="J87" s="144">
        <f>Assumptions!$H$53*J66</f>
        <v>0</v>
      </c>
      <c r="K87" s="144">
        <f>Assumptions!$H$53*K66</f>
        <v>0</v>
      </c>
      <c r="L87" s="144">
        <f>Assumptions!$H$53*L66</f>
        <v>0</v>
      </c>
    </row>
    <row r="88" spans="1:12" ht="15.6">
      <c r="A88" s="143"/>
      <c r="B88" s="141"/>
      <c r="C88" s="144"/>
      <c r="D88" s="144"/>
      <c r="E88" s="144"/>
      <c r="F88" s="144"/>
      <c r="G88" s="144"/>
      <c r="H88" s="144"/>
      <c r="I88" s="144"/>
      <c r="J88" s="144"/>
      <c r="K88" s="144"/>
      <c r="L88" s="145"/>
    </row>
    <row r="89" spans="1:12" ht="15.6">
      <c r="A89" s="143" t="s">
        <v>159</v>
      </c>
      <c r="B89" s="141"/>
      <c r="C89" s="144">
        <f>SUM(C79:C87)</f>
        <v>889000</v>
      </c>
      <c r="D89" s="144">
        <f t="shared" ref="D89:K89" si="12">SUM(D79:D87)</f>
        <v>2704020.5</v>
      </c>
      <c r="E89" s="144">
        <f t="shared" si="12"/>
        <v>4433669.2822500002</v>
      </c>
      <c r="F89" s="144">
        <f t="shared" si="12"/>
        <v>5141813.9458251242</v>
      </c>
      <c r="G89" s="144">
        <f t="shared" si="12"/>
        <v>5965998.9464028599</v>
      </c>
      <c r="H89" s="144">
        <f t="shared" si="12"/>
        <v>6925690.2831543963</v>
      </c>
      <c r="I89" s="144">
        <f>SUM(I79:I87)</f>
        <v>8043686.9541782392</v>
      </c>
      <c r="J89" s="144">
        <f t="shared" si="12"/>
        <v>9346701.5172389671</v>
      </c>
      <c r="K89" s="144">
        <f t="shared" si="12"/>
        <v>10866043.191746375</v>
      </c>
      <c r="L89" s="144">
        <f>SUM(L79:L87)</f>
        <v>12638421.812729115</v>
      </c>
    </row>
    <row r="90" spans="1:12">
      <c r="A90" s="14"/>
      <c r="B90" s="141"/>
      <c r="C90" s="57"/>
      <c r="D90" s="57"/>
      <c r="E90" s="57"/>
      <c r="F90" s="57"/>
      <c r="G90" s="57"/>
      <c r="H90" s="57"/>
      <c r="I90" s="57"/>
      <c r="J90" s="57"/>
      <c r="K90" s="57"/>
      <c r="L90" s="58"/>
    </row>
    <row r="91" spans="1:12" ht="18">
      <c r="A91" s="140" t="s">
        <v>160</v>
      </c>
      <c r="B91" s="141"/>
      <c r="C91" s="144">
        <f t="shared" ref="C91:L91" si="13">C72-C89</f>
        <v>1651000</v>
      </c>
      <c r="D91" s="144">
        <f t="shared" si="13"/>
        <v>4749609.5</v>
      </c>
      <c r="E91" s="144">
        <f t="shared" si="13"/>
        <v>7472047.9527499992</v>
      </c>
      <c r="F91" s="144">
        <f t="shared" si="13"/>
        <v>8685839.8215323742</v>
      </c>
      <c r="G91" s="144">
        <f t="shared" si="13"/>
        <v>10101657.7599646</v>
      </c>
      <c r="H91" s="144">
        <f t="shared" si="13"/>
        <v>11753860.413388377</v>
      </c>
      <c r="I91" s="144">
        <f t="shared" si="13"/>
        <v>13682757.880331319</v>
      </c>
      <c r="J91" s="144">
        <f t="shared" si="13"/>
        <v>15935658.189274713</v>
      </c>
      <c r="K91" s="144">
        <f t="shared" si="13"/>
        <v>18568099.992061131</v>
      </c>
      <c r="L91" s="145">
        <f t="shared" si="13"/>
        <v>21645304.918754704</v>
      </c>
    </row>
    <row r="92" spans="1:12">
      <c r="A92" s="14"/>
      <c r="B92" s="141"/>
      <c r="C92" s="57"/>
      <c r="D92" s="57"/>
      <c r="E92" s="57"/>
      <c r="F92" s="57"/>
      <c r="G92" s="57"/>
      <c r="H92" s="57"/>
      <c r="I92" s="57"/>
      <c r="J92" s="57"/>
      <c r="K92" s="57"/>
      <c r="L92" s="58"/>
    </row>
    <row r="93" spans="1:12" ht="18">
      <c r="A93" s="140" t="s">
        <v>99</v>
      </c>
      <c r="B93" s="141"/>
      <c r="C93" s="57"/>
      <c r="D93" s="57"/>
      <c r="E93" s="57"/>
      <c r="F93" s="57"/>
      <c r="G93" s="57"/>
      <c r="H93" s="57"/>
      <c r="I93" s="57"/>
      <c r="J93" s="57"/>
      <c r="K93" s="57"/>
      <c r="L93" s="58"/>
    </row>
    <row r="94" spans="1:12">
      <c r="A94" s="14"/>
      <c r="B94" s="141"/>
      <c r="C94" s="57"/>
      <c r="D94" s="57"/>
      <c r="E94" s="57"/>
      <c r="F94" s="57"/>
      <c r="G94" s="57"/>
      <c r="H94" s="57"/>
      <c r="I94" s="57"/>
      <c r="J94" s="57"/>
      <c r="K94" s="57"/>
      <c r="L94" s="58"/>
    </row>
    <row r="95" spans="1:12" ht="15.6">
      <c r="A95" s="143" t="s">
        <v>28</v>
      </c>
      <c r="B95" s="141"/>
      <c r="C95" s="57"/>
      <c r="D95" s="57"/>
      <c r="E95" s="57"/>
      <c r="F95" s="57"/>
      <c r="G95" s="57"/>
      <c r="H95" s="57"/>
      <c r="I95" s="57"/>
      <c r="J95" s="57"/>
      <c r="K95" s="57"/>
      <c r="L95" s="58"/>
    </row>
    <row r="96" spans="1:12" ht="15.6">
      <c r="A96" s="143"/>
      <c r="B96" s="141"/>
      <c r="C96" s="57"/>
      <c r="D96" s="57"/>
      <c r="E96" s="57"/>
      <c r="F96" s="57"/>
      <c r="G96" s="57"/>
      <c r="H96" s="57"/>
      <c r="I96" s="57"/>
      <c r="J96" s="57"/>
      <c r="K96" s="57"/>
      <c r="L96" s="58"/>
    </row>
    <row r="97" spans="1:12">
      <c r="A97" s="14" t="s">
        <v>37</v>
      </c>
      <c r="B97" s="141"/>
      <c r="C97" s="144">
        <f>Assumptions!D25</f>
        <v>5000</v>
      </c>
      <c r="D97" s="144">
        <v>0</v>
      </c>
      <c r="E97" s="144">
        <v>0</v>
      </c>
      <c r="F97" s="144">
        <v>0</v>
      </c>
      <c r="G97" s="144">
        <v>0</v>
      </c>
      <c r="H97" s="144">
        <v>0</v>
      </c>
      <c r="I97" s="144">
        <v>0</v>
      </c>
      <c r="J97" s="144">
        <v>0</v>
      </c>
      <c r="K97" s="144">
        <v>0</v>
      </c>
      <c r="L97" s="145">
        <v>0</v>
      </c>
    </row>
    <row r="98" spans="1:12">
      <c r="A98" s="14" t="s">
        <v>359</v>
      </c>
      <c r="B98" s="141"/>
      <c r="C98" s="144">
        <f>Assumptions!D26</f>
        <v>15000</v>
      </c>
      <c r="D98" s="144">
        <v>0</v>
      </c>
      <c r="E98" s="144">
        <v>0</v>
      </c>
      <c r="F98" s="144">
        <v>0</v>
      </c>
      <c r="G98" s="144">
        <v>0</v>
      </c>
      <c r="H98" s="144">
        <v>0</v>
      </c>
      <c r="I98" s="144">
        <v>0</v>
      </c>
      <c r="J98" s="144">
        <v>0</v>
      </c>
      <c r="K98" s="144">
        <v>0</v>
      </c>
      <c r="L98" s="145">
        <v>0</v>
      </c>
    </row>
    <row r="99" spans="1:12">
      <c r="A99" s="14" t="s">
        <v>40</v>
      </c>
      <c r="B99" s="141"/>
      <c r="C99" s="144">
        <f>Assumptions!D27</f>
        <v>1000</v>
      </c>
      <c r="D99" s="144">
        <v>0</v>
      </c>
      <c r="E99" s="144">
        <v>0</v>
      </c>
      <c r="F99" s="144">
        <v>0</v>
      </c>
      <c r="G99" s="144">
        <v>0</v>
      </c>
      <c r="H99" s="144">
        <v>0</v>
      </c>
      <c r="I99" s="144">
        <v>0</v>
      </c>
      <c r="J99" s="144">
        <v>0</v>
      </c>
      <c r="K99" s="144">
        <v>0</v>
      </c>
      <c r="L99" s="145">
        <v>0</v>
      </c>
    </row>
    <row r="100" spans="1:12">
      <c r="A100" s="14" t="s">
        <v>41</v>
      </c>
      <c r="B100" s="141"/>
      <c r="C100" s="144">
        <f>Assumptions!D28</f>
        <v>5000</v>
      </c>
      <c r="D100" s="144">
        <v>0</v>
      </c>
      <c r="E100" s="144">
        <v>0</v>
      </c>
      <c r="F100" s="144">
        <v>0</v>
      </c>
      <c r="G100" s="144">
        <v>0</v>
      </c>
      <c r="H100" s="144">
        <v>0</v>
      </c>
      <c r="I100" s="144">
        <v>0</v>
      </c>
      <c r="J100" s="144">
        <v>0</v>
      </c>
      <c r="K100" s="144">
        <v>0</v>
      </c>
      <c r="L100" s="145">
        <v>0</v>
      </c>
    </row>
    <row r="101" spans="1:12">
      <c r="A101" s="14" t="s">
        <v>43</v>
      </c>
      <c r="B101" s="141"/>
      <c r="C101" s="144">
        <f>Assumptions!D29</f>
        <v>1000</v>
      </c>
      <c r="D101" s="144">
        <v>0</v>
      </c>
      <c r="E101" s="144">
        <v>0</v>
      </c>
      <c r="F101" s="144">
        <v>0</v>
      </c>
      <c r="G101" s="144">
        <v>0</v>
      </c>
      <c r="H101" s="144">
        <v>0</v>
      </c>
      <c r="I101" s="144">
        <v>0</v>
      </c>
      <c r="J101" s="144">
        <v>0</v>
      </c>
      <c r="K101" s="144">
        <v>0</v>
      </c>
      <c r="L101" s="145">
        <v>0</v>
      </c>
    </row>
    <row r="102" spans="1:12">
      <c r="A102" s="14" t="s">
        <v>45</v>
      </c>
      <c r="B102" s="141"/>
      <c r="C102" s="144">
        <f>Assumptions!D30</f>
        <v>3000</v>
      </c>
      <c r="D102" s="144">
        <v>0</v>
      </c>
      <c r="E102" s="144">
        <v>0</v>
      </c>
      <c r="F102" s="144">
        <v>0</v>
      </c>
      <c r="G102" s="144">
        <v>0</v>
      </c>
      <c r="H102" s="144">
        <v>0</v>
      </c>
      <c r="I102" s="144">
        <v>0</v>
      </c>
      <c r="J102" s="144">
        <v>0</v>
      </c>
      <c r="K102" s="144">
        <v>0</v>
      </c>
      <c r="L102" s="145">
        <v>0</v>
      </c>
    </row>
    <row r="103" spans="1:12">
      <c r="A103" s="14" t="s">
        <v>35</v>
      </c>
      <c r="B103" s="141"/>
      <c r="C103" s="144">
        <f>Assumptions!D31</f>
        <v>5000</v>
      </c>
      <c r="D103" s="144">
        <v>0</v>
      </c>
      <c r="E103" s="144">
        <v>0</v>
      </c>
      <c r="F103" s="144">
        <v>0</v>
      </c>
      <c r="G103" s="144">
        <v>0</v>
      </c>
      <c r="H103" s="144">
        <v>0</v>
      </c>
      <c r="I103" s="144">
        <v>0</v>
      </c>
      <c r="J103" s="144">
        <v>0</v>
      </c>
      <c r="K103" s="144">
        <v>0</v>
      </c>
      <c r="L103" s="145">
        <v>0</v>
      </c>
    </row>
    <row r="104" spans="1:12">
      <c r="A104" s="14"/>
      <c r="B104" s="141"/>
      <c r="C104" s="57"/>
      <c r="D104" s="57"/>
      <c r="E104" s="57"/>
      <c r="F104" s="57"/>
      <c r="G104" s="57"/>
      <c r="H104" s="57"/>
      <c r="I104" s="57"/>
      <c r="J104" s="57"/>
      <c r="K104" s="57"/>
      <c r="L104" s="58"/>
    </row>
    <row r="105" spans="1:12" ht="15.6">
      <c r="A105" s="143" t="s">
        <v>161</v>
      </c>
      <c r="B105" s="141"/>
      <c r="C105" s="144">
        <f t="shared" ref="C105:L105" si="14">SUM(C97:C103)</f>
        <v>35000</v>
      </c>
      <c r="D105" s="144">
        <f t="shared" si="14"/>
        <v>0</v>
      </c>
      <c r="E105" s="144">
        <f t="shared" si="14"/>
        <v>0</v>
      </c>
      <c r="F105" s="144">
        <f t="shared" si="14"/>
        <v>0</v>
      </c>
      <c r="G105" s="144">
        <f t="shared" si="14"/>
        <v>0</v>
      </c>
      <c r="H105" s="144">
        <f t="shared" si="14"/>
        <v>0</v>
      </c>
      <c r="I105" s="144">
        <f t="shared" si="14"/>
        <v>0</v>
      </c>
      <c r="J105" s="144">
        <f t="shared" si="14"/>
        <v>0</v>
      </c>
      <c r="K105" s="144">
        <f t="shared" si="14"/>
        <v>0</v>
      </c>
      <c r="L105" s="145">
        <f t="shared" si="14"/>
        <v>0</v>
      </c>
    </row>
    <row r="106" spans="1:12">
      <c r="A106" s="14"/>
      <c r="B106" s="141"/>
      <c r="C106" s="57"/>
      <c r="D106" s="57"/>
      <c r="E106" s="57"/>
      <c r="F106" s="57"/>
      <c r="G106" s="57"/>
      <c r="H106" s="57"/>
      <c r="I106" s="57"/>
      <c r="J106" s="57"/>
      <c r="K106" s="57"/>
      <c r="L106" s="58"/>
    </row>
    <row r="107" spans="1:12" ht="15.6">
      <c r="A107" s="143" t="s">
        <v>13</v>
      </c>
      <c r="B107" s="141"/>
      <c r="C107" s="57"/>
      <c r="D107" s="57"/>
      <c r="E107" s="57"/>
      <c r="F107" s="57"/>
      <c r="G107" s="57"/>
      <c r="H107" s="57"/>
      <c r="I107" s="57"/>
      <c r="J107" s="57"/>
      <c r="K107" s="57"/>
      <c r="L107" s="58"/>
    </row>
    <row r="108" spans="1:12">
      <c r="A108" s="14"/>
      <c r="B108" s="141"/>
      <c r="C108" s="57"/>
      <c r="D108" s="57"/>
      <c r="E108" s="57"/>
      <c r="F108" s="57"/>
      <c r="G108" s="57"/>
      <c r="H108" s="57"/>
      <c r="I108" s="57"/>
      <c r="J108" s="57"/>
      <c r="K108" s="57"/>
      <c r="L108" s="58"/>
    </row>
    <row r="109" spans="1:12">
      <c r="A109" s="14" t="s">
        <v>14</v>
      </c>
      <c r="B109" s="141"/>
      <c r="C109" s="144">
        <f>Assumptions!G9</f>
        <v>60000</v>
      </c>
      <c r="D109" s="144">
        <f>C109*(1+Assumptions!$D$11)</f>
        <v>61800</v>
      </c>
      <c r="E109" s="144">
        <f>D109*(1+Assumptions!$D$11)</f>
        <v>63654</v>
      </c>
      <c r="F109" s="144">
        <f>E109*(1+Assumptions!$D$11)</f>
        <v>65563.62</v>
      </c>
      <c r="G109" s="144">
        <f>F109*(1+Assumptions!$D$11)</f>
        <v>67530.528599999991</v>
      </c>
      <c r="H109" s="144">
        <f>G109*(1+Assumptions!$D$11)</f>
        <v>69556.444457999998</v>
      </c>
      <c r="I109" s="144">
        <f>H109*(1+Assumptions!$D$11)</f>
        <v>71643.137791739995</v>
      </c>
      <c r="J109" s="144">
        <f>I109*(1+Assumptions!$D$11)</f>
        <v>73792.431925492201</v>
      </c>
      <c r="K109" s="144">
        <f>J109*(1+Assumptions!$D$11)</f>
        <v>76006.204883256971</v>
      </c>
      <c r="L109" s="144">
        <f>K109*(1+Assumptions!$D$11)</f>
        <v>78286.391029754683</v>
      </c>
    </row>
    <row r="110" spans="1:12">
      <c r="A110" s="14" t="s">
        <v>15</v>
      </c>
      <c r="B110" s="141"/>
      <c r="C110" s="144">
        <f>Assumptions!G10</f>
        <v>12000</v>
      </c>
      <c r="D110" s="144">
        <f>C110*(1+Assumptions!$D$11)</f>
        <v>12360</v>
      </c>
      <c r="E110" s="144">
        <f>D110*(1+Assumptions!$D$11)</f>
        <v>12730.800000000001</v>
      </c>
      <c r="F110" s="144">
        <f>E110*(1+Assumptions!$D$11)</f>
        <v>13112.724000000002</v>
      </c>
      <c r="G110" s="144">
        <f>F110*(1+Assumptions!$D$11)</f>
        <v>13506.105720000003</v>
      </c>
      <c r="H110" s="144">
        <f>G110*(1+Assumptions!$D$11)</f>
        <v>13911.288891600003</v>
      </c>
      <c r="I110" s="144">
        <f>H110*(1+Assumptions!$D$11)</f>
        <v>14328.627558348004</v>
      </c>
      <c r="J110" s="144">
        <f>I110*(1+Assumptions!$D$11)</f>
        <v>14758.486385098444</v>
      </c>
      <c r="K110" s="144">
        <f>J110*(1+Assumptions!$D$11)</f>
        <v>15201.240976651397</v>
      </c>
      <c r="L110" s="144">
        <f>K110*(1+Assumptions!$D$11)</f>
        <v>15657.278205950939</v>
      </c>
    </row>
    <row r="111" spans="1:12">
      <c r="A111" s="14" t="s">
        <v>17</v>
      </c>
      <c r="B111" s="141"/>
      <c r="C111" s="144">
        <f>Assumptions!G11</f>
        <v>1200</v>
      </c>
      <c r="D111" s="144">
        <f>C111*(1+Assumptions!$D$11)</f>
        <v>1236</v>
      </c>
      <c r="E111" s="144">
        <f>D111*(1+Assumptions!$D$11)</f>
        <v>1273.08</v>
      </c>
      <c r="F111" s="144">
        <f>E111*(1+Assumptions!$D$11)</f>
        <v>1311.2724000000001</v>
      </c>
      <c r="G111" s="144">
        <f>F111*(1+Assumptions!$D$11)</f>
        <v>1350.610572</v>
      </c>
      <c r="H111" s="144">
        <f>G111*(1+Assumptions!$D$11)</f>
        <v>1391.12888916</v>
      </c>
      <c r="I111" s="144">
        <f>H111*(1+Assumptions!$D$11)</f>
        <v>1432.8627558348001</v>
      </c>
      <c r="J111" s="144">
        <f>I111*(1+Assumptions!$D$11)</f>
        <v>1475.848638509844</v>
      </c>
      <c r="K111" s="144">
        <f>J111*(1+Assumptions!$D$11)</f>
        <v>1520.1240976651393</v>
      </c>
      <c r="L111" s="144">
        <f>K111*(1+Assumptions!$D$11)</f>
        <v>1565.7278205950936</v>
      </c>
    </row>
    <row r="112" spans="1:12">
      <c r="A112" s="14" t="s">
        <v>19</v>
      </c>
      <c r="B112" s="141"/>
      <c r="C112" s="144">
        <f>Assumptions!G12</f>
        <v>12000</v>
      </c>
      <c r="D112" s="144">
        <f>C112*(1+Assumptions!$D$11)</f>
        <v>12360</v>
      </c>
      <c r="E112" s="144">
        <f>D112*(1+Assumptions!$D$11)</f>
        <v>12730.800000000001</v>
      </c>
      <c r="F112" s="144">
        <f>E112*(1+Assumptions!$D$11)</f>
        <v>13112.724000000002</v>
      </c>
      <c r="G112" s="144">
        <f>F112*(1+Assumptions!$D$11)</f>
        <v>13506.105720000003</v>
      </c>
      <c r="H112" s="144">
        <f>G112*(1+Assumptions!$D$11)</f>
        <v>13911.288891600003</v>
      </c>
      <c r="I112" s="144">
        <f>H112*(1+Assumptions!$D$11)</f>
        <v>14328.627558348004</v>
      </c>
      <c r="J112" s="144">
        <f>I112*(1+Assumptions!$D$11)</f>
        <v>14758.486385098444</v>
      </c>
      <c r="K112" s="144">
        <f>J112*(1+Assumptions!$D$11)</f>
        <v>15201.240976651397</v>
      </c>
      <c r="L112" s="144">
        <f>K112*(1+Assumptions!$D$11)</f>
        <v>15657.278205950939</v>
      </c>
    </row>
    <row r="113" spans="1:12">
      <c r="A113" s="14" t="s">
        <v>20</v>
      </c>
      <c r="B113" s="141"/>
      <c r="C113" s="144">
        <f>Assumptions!G13</f>
        <v>6000</v>
      </c>
      <c r="D113" s="144">
        <f>C113*(1+Assumptions!$D$11)</f>
        <v>6180</v>
      </c>
      <c r="E113" s="144">
        <f>D113*(1+Assumptions!$D$11)</f>
        <v>6365.4000000000005</v>
      </c>
      <c r="F113" s="144">
        <f>E113*(1+Assumptions!$D$11)</f>
        <v>6556.362000000001</v>
      </c>
      <c r="G113" s="144">
        <f>F113*(1+Assumptions!$D$11)</f>
        <v>6753.0528600000016</v>
      </c>
      <c r="H113" s="144">
        <f>G113*(1+Assumptions!$D$11)</f>
        <v>6955.6444458000014</v>
      </c>
      <c r="I113" s="144">
        <f>H113*(1+Assumptions!$D$11)</f>
        <v>7164.3137791740019</v>
      </c>
      <c r="J113" s="144">
        <f>I113*(1+Assumptions!$D$11)</f>
        <v>7379.2431925492219</v>
      </c>
      <c r="K113" s="144">
        <f>J113*(1+Assumptions!$D$11)</f>
        <v>7600.6204883256987</v>
      </c>
      <c r="L113" s="144">
        <f>K113*(1+Assumptions!$D$11)</f>
        <v>7828.6391029754695</v>
      </c>
    </row>
    <row r="114" spans="1:12">
      <c r="A114" s="14" t="s">
        <v>22</v>
      </c>
      <c r="B114" s="141"/>
      <c r="C114" s="144">
        <f>Assumptions!G14</f>
        <v>6000</v>
      </c>
      <c r="D114" s="144">
        <f>C114*(1+Assumptions!$D$11)</f>
        <v>6180</v>
      </c>
      <c r="E114" s="144">
        <f>D114*(1+Assumptions!$D$11)</f>
        <v>6365.4000000000005</v>
      </c>
      <c r="F114" s="144">
        <f>E114*(1+Assumptions!$D$11)</f>
        <v>6556.362000000001</v>
      </c>
      <c r="G114" s="144">
        <f>F114*(1+Assumptions!$D$11)</f>
        <v>6753.0528600000016</v>
      </c>
      <c r="H114" s="144">
        <f>G114*(1+Assumptions!$D$11)</f>
        <v>6955.6444458000014</v>
      </c>
      <c r="I114" s="144">
        <f>H114*(1+Assumptions!$D$11)</f>
        <v>7164.3137791740019</v>
      </c>
      <c r="J114" s="144">
        <f>I114*(1+Assumptions!$D$11)</f>
        <v>7379.2431925492219</v>
      </c>
      <c r="K114" s="144">
        <f>J114*(1+Assumptions!$D$11)</f>
        <v>7600.6204883256987</v>
      </c>
      <c r="L114" s="144">
        <f>K114*(1+Assumptions!$D$11)</f>
        <v>7828.6391029754695</v>
      </c>
    </row>
    <row r="115" spans="1:12">
      <c r="A115" s="14" t="s">
        <v>25</v>
      </c>
      <c r="B115" s="141"/>
      <c r="C115" s="144">
        <f>Assumptions!G15</f>
        <v>1000</v>
      </c>
      <c r="D115" s="144">
        <f>C115*(1+Assumptions!$D$11)</f>
        <v>1030</v>
      </c>
      <c r="E115" s="144">
        <f>D115*(1+Assumptions!$D$11)</f>
        <v>1060.9000000000001</v>
      </c>
      <c r="F115" s="144">
        <f>E115*(1+Assumptions!$D$11)</f>
        <v>1092.7270000000001</v>
      </c>
      <c r="G115" s="144">
        <f>F115*(1+Assumptions!$D$11)</f>
        <v>1125.50881</v>
      </c>
      <c r="H115" s="144">
        <f>G115*(1+Assumptions!$D$11)</f>
        <v>1159.2740743000002</v>
      </c>
      <c r="I115" s="144">
        <f>H115*(1+Assumptions!$D$11)</f>
        <v>1194.0522965290002</v>
      </c>
      <c r="J115" s="144">
        <f>I115*(1+Assumptions!$D$11)</f>
        <v>1229.8738654248702</v>
      </c>
      <c r="K115" s="144">
        <f>J115*(1+Assumptions!$D$11)</f>
        <v>1266.7700813876163</v>
      </c>
      <c r="L115" s="144">
        <f>K115*(1+Assumptions!$D$11)</f>
        <v>1304.7731838292448</v>
      </c>
    </row>
    <row r="116" spans="1:12">
      <c r="A116" s="14" t="s">
        <v>27</v>
      </c>
      <c r="B116" s="141"/>
      <c r="C116" s="144">
        <f>Assumptions!G16</f>
        <v>1000</v>
      </c>
      <c r="D116" s="144">
        <f>C116*(1+Assumptions!$D$11)</f>
        <v>1030</v>
      </c>
      <c r="E116" s="144">
        <f>D116*(1+Assumptions!$D$11)</f>
        <v>1060.9000000000001</v>
      </c>
      <c r="F116" s="144">
        <f>E116*(1+Assumptions!$D$11)</f>
        <v>1092.7270000000001</v>
      </c>
      <c r="G116" s="144">
        <f>F116*(1+Assumptions!$D$11)</f>
        <v>1125.50881</v>
      </c>
      <c r="H116" s="144">
        <f>G116*(1+Assumptions!$D$11)</f>
        <v>1159.2740743000002</v>
      </c>
      <c r="I116" s="144">
        <f>H116*(1+Assumptions!$D$11)</f>
        <v>1194.0522965290002</v>
      </c>
      <c r="J116" s="144">
        <f>I116*(1+Assumptions!$D$11)</f>
        <v>1229.8738654248702</v>
      </c>
      <c r="K116" s="144">
        <f>J116*(1+Assumptions!$D$11)</f>
        <v>1266.7700813876163</v>
      </c>
      <c r="L116" s="144">
        <f>K116*(1+Assumptions!$D$11)</f>
        <v>1304.7731838292448</v>
      </c>
    </row>
    <row r="117" spans="1:12">
      <c r="A117" s="14" t="s">
        <v>293</v>
      </c>
      <c r="B117" s="141"/>
      <c r="C117" s="144">
        <f>Assumptions!G17</f>
        <v>6000</v>
      </c>
      <c r="D117" s="144">
        <f>C117*(1+Assumptions!$D$11)</f>
        <v>6180</v>
      </c>
      <c r="E117" s="144">
        <f>D117*(1+Assumptions!$D$11)</f>
        <v>6365.4000000000005</v>
      </c>
      <c r="F117" s="144">
        <f>E117*(1+Assumptions!$D$11)</f>
        <v>6556.362000000001</v>
      </c>
      <c r="G117" s="144">
        <f>F117*(1+Assumptions!$D$11)</f>
        <v>6753.0528600000016</v>
      </c>
      <c r="H117" s="144">
        <f>G117*(1+Assumptions!$D$11)</f>
        <v>6955.6444458000014</v>
      </c>
      <c r="I117" s="144">
        <f>H117*(1+Assumptions!$D$11)</f>
        <v>7164.3137791740019</v>
      </c>
      <c r="J117" s="144">
        <f>I117*(1+Assumptions!$D$11)</f>
        <v>7379.2431925492219</v>
      </c>
      <c r="K117" s="144">
        <f>J117*(1+Assumptions!$D$11)</f>
        <v>7600.6204883256987</v>
      </c>
      <c r="L117" s="144">
        <f>K117*(1+Assumptions!$D$11)</f>
        <v>7828.6391029754695</v>
      </c>
    </row>
    <row r="118" spans="1:12">
      <c r="A118" s="14" t="s">
        <v>29</v>
      </c>
      <c r="B118" s="141"/>
      <c r="C118" s="144">
        <f>Assumptions!G18</f>
        <v>31200</v>
      </c>
      <c r="D118" s="144">
        <f>C118*(1+Assumptions!$D$11)</f>
        <v>32136</v>
      </c>
      <c r="E118" s="144">
        <f>D118*(1+Assumptions!$D$11)</f>
        <v>33100.080000000002</v>
      </c>
      <c r="F118" s="144">
        <f>E118*(1+Assumptions!$D$11)</f>
        <v>34093.082399999999</v>
      </c>
      <c r="G118" s="144">
        <f>F118*(1+Assumptions!$D$11)</f>
        <v>35115.874872</v>
      </c>
      <c r="H118" s="144">
        <f>G118*(1+Assumptions!$D$11)</f>
        <v>36169.351118160004</v>
      </c>
      <c r="I118" s="144">
        <f>H118*(1+Assumptions!$D$11)</f>
        <v>37254.431651704806</v>
      </c>
      <c r="J118" s="144">
        <f>I118*(1+Assumptions!$D$11)</f>
        <v>38372.064601255952</v>
      </c>
      <c r="K118" s="144">
        <f>J118*(1+Assumptions!$D$11)</f>
        <v>39523.226539293632</v>
      </c>
      <c r="L118" s="144">
        <f>K118*(1+Assumptions!$D$11)</f>
        <v>40708.923335472442</v>
      </c>
    </row>
    <row r="119" spans="1:12">
      <c r="A119" s="14" t="s">
        <v>294</v>
      </c>
      <c r="B119" s="141"/>
      <c r="C119" s="144">
        <f>Assumptions!G19</f>
        <v>120000</v>
      </c>
      <c r="D119" s="144">
        <f>C119*(1+Assumptions!$D$11)</f>
        <v>123600</v>
      </c>
      <c r="E119" s="144">
        <f>D119*(1+Assumptions!$D$11)</f>
        <v>127308</v>
      </c>
      <c r="F119" s="144">
        <f>E119*(1+Assumptions!$D$11)</f>
        <v>131127.24</v>
      </c>
      <c r="G119" s="144">
        <f>F119*(1+Assumptions!$D$11)</f>
        <v>135061.05719999998</v>
      </c>
      <c r="H119" s="144">
        <f>G119*(1+Assumptions!$D$11)</f>
        <v>139112.888916</v>
      </c>
      <c r="I119" s="144">
        <f>H119*(1+Assumptions!$D$11)</f>
        <v>143286.27558347999</v>
      </c>
      <c r="J119" s="144">
        <f>I119*(1+Assumptions!$D$11)</f>
        <v>147584.8638509844</v>
      </c>
      <c r="K119" s="144">
        <f>J119*(1+Assumptions!$D$11)</f>
        <v>152012.40976651394</v>
      </c>
      <c r="L119" s="144">
        <f>K119*(1+Assumptions!$D$11)</f>
        <v>156572.78205950937</v>
      </c>
    </row>
    <row r="120" spans="1:12">
      <c r="A120" s="14" t="s">
        <v>31</v>
      </c>
      <c r="B120" s="141"/>
      <c r="C120" s="144">
        <f>Assumptions!G20</f>
        <v>1200</v>
      </c>
      <c r="D120" s="144">
        <f>C120*(1+Assumptions!$D$11)</f>
        <v>1236</v>
      </c>
      <c r="E120" s="144">
        <f>D120*(1+Assumptions!$D$11)</f>
        <v>1273.08</v>
      </c>
      <c r="F120" s="144">
        <f>E120*(1+Assumptions!$D$11)</f>
        <v>1311.2724000000001</v>
      </c>
      <c r="G120" s="144">
        <f>F120*(1+Assumptions!$D$11)</f>
        <v>1350.610572</v>
      </c>
      <c r="H120" s="144">
        <f>G120*(1+Assumptions!$D$11)</f>
        <v>1391.12888916</v>
      </c>
      <c r="I120" s="144">
        <f>H120*(1+Assumptions!$D$11)</f>
        <v>1432.8627558348001</v>
      </c>
      <c r="J120" s="144">
        <f>I120*(1+Assumptions!$D$11)</f>
        <v>1475.848638509844</v>
      </c>
      <c r="K120" s="144">
        <f>J120*(1+Assumptions!$D$11)</f>
        <v>1520.1240976651393</v>
      </c>
      <c r="L120" s="144">
        <f>K120*(1+Assumptions!$D$11)</f>
        <v>1565.7278205950936</v>
      </c>
    </row>
    <row r="121" spans="1:12">
      <c r="A121" s="14" t="s">
        <v>33</v>
      </c>
      <c r="B121" s="141"/>
      <c r="C121" s="144">
        <f>Assumptions!G21</f>
        <v>1000</v>
      </c>
      <c r="D121" s="144">
        <f>C121*(1+Assumptions!$D$11)</f>
        <v>1030</v>
      </c>
      <c r="E121" s="144">
        <f>D121*(1+Assumptions!$D$11)</f>
        <v>1060.9000000000001</v>
      </c>
      <c r="F121" s="144">
        <f>E121*(1+Assumptions!$D$11)</f>
        <v>1092.7270000000001</v>
      </c>
      <c r="G121" s="144">
        <f>F121*(1+Assumptions!$D$11)</f>
        <v>1125.50881</v>
      </c>
      <c r="H121" s="144">
        <f>G121*(1+Assumptions!$D$11)</f>
        <v>1159.2740743000002</v>
      </c>
      <c r="I121" s="144">
        <f>H121*(1+Assumptions!$D$11)</f>
        <v>1194.0522965290002</v>
      </c>
      <c r="J121" s="144">
        <f>I121*(1+Assumptions!$D$11)</f>
        <v>1229.8738654248702</v>
      </c>
      <c r="K121" s="144">
        <f>J121*(1+Assumptions!$D$11)</f>
        <v>1266.7700813876163</v>
      </c>
      <c r="L121" s="144">
        <f>K121*(1+Assumptions!$D$11)</f>
        <v>1304.7731838292448</v>
      </c>
    </row>
    <row r="122" spans="1:12">
      <c r="A122" s="14" t="s">
        <v>35</v>
      </c>
      <c r="B122" s="141"/>
      <c r="C122" s="144">
        <f>Assumptions!G22</f>
        <v>5000</v>
      </c>
      <c r="D122" s="144">
        <f>C122*(1+Assumptions!$D$11)</f>
        <v>5150</v>
      </c>
      <c r="E122" s="144">
        <f>D122*(1+Assumptions!$D$11)</f>
        <v>5304.5</v>
      </c>
      <c r="F122" s="144">
        <f>E122*(1+Assumptions!$D$11)</f>
        <v>5463.6350000000002</v>
      </c>
      <c r="G122" s="144">
        <f>F122*(1+Assumptions!$D$11)</f>
        <v>5627.5440500000004</v>
      </c>
      <c r="H122" s="144">
        <f>G122*(1+Assumptions!$D$11)</f>
        <v>5796.3703715000001</v>
      </c>
      <c r="I122" s="144">
        <f>H122*(1+Assumptions!$D$11)</f>
        <v>5970.2614826449999</v>
      </c>
      <c r="J122" s="144">
        <f>I122*(1+Assumptions!$D$11)</f>
        <v>6149.3693271243501</v>
      </c>
      <c r="K122" s="144">
        <f>J122*(1+Assumptions!$D$11)</f>
        <v>6333.8504069380806</v>
      </c>
      <c r="L122" s="144">
        <f>K122*(1+Assumptions!$D$11)</f>
        <v>6523.865919146223</v>
      </c>
    </row>
    <row r="123" spans="1:12">
      <c r="A123" s="14"/>
      <c r="B123" s="141"/>
      <c r="C123" s="57"/>
      <c r="D123" s="57"/>
      <c r="E123" s="57"/>
      <c r="F123" s="57"/>
      <c r="G123" s="57"/>
      <c r="H123" s="57"/>
      <c r="I123" s="57"/>
      <c r="J123" s="57"/>
      <c r="K123" s="57"/>
      <c r="L123" s="58"/>
    </row>
    <row r="124" spans="1:12" ht="15.6">
      <c r="A124" s="143" t="s">
        <v>162</v>
      </c>
      <c r="B124" s="141"/>
      <c r="C124" s="144">
        <f t="shared" ref="C124:L124" si="15">SUM(C109:C122)</f>
        <v>263600</v>
      </c>
      <c r="D124" s="144">
        <f t="shared" si="15"/>
        <v>271508</v>
      </c>
      <c r="E124" s="144">
        <f t="shared" si="15"/>
        <v>279653.24000000005</v>
      </c>
      <c r="F124" s="144">
        <f t="shared" si="15"/>
        <v>288042.83720000001</v>
      </c>
      <c r="G124" s="144">
        <f t="shared" si="15"/>
        <v>296684.12231599999</v>
      </c>
      <c r="H124" s="144">
        <f t="shared" si="15"/>
        <v>305584.64598548005</v>
      </c>
      <c r="I124" s="144">
        <f t="shared" si="15"/>
        <v>314752.1853650444</v>
      </c>
      <c r="J124" s="144">
        <f t="shared" si="15"/>
        <v>324194.75092599576</v>
      </c>
      <c r="K124" s="144">
        <f t="shared" si="15"/>
        <v>333920.59345377563</v>
      </c>
      <c r="L124" s="145">
        <f t="shared" si="15"/>
        <v>343938.21125738893</v>
      </c>
    </row>
    <row r="125" spans="1:12" ht="15.6">
      <c r="A125" s="143"/>
      <c r="B125" s="141"/>
      <c r="C125" s="57"/>
      <c r="D125" s="57"/>
      <c r="E125" s="57"/>
      <c r="F125" s="57"/>
      <c r="G125" s="57"/>
      <c r="H125" s="57"/>
      <c r="I125" s="57"/>
      <c r="J125" s="57"/>
      <c r="K125" s="57"/>
      <c r="L125" s="58"/>
    </row>
    <row r="126" spans="1:12" ht="15.6">
      <c r="A126" s="143" t="s">
        <v>36</v>
      </c>
      <c r="B126" s="141"/>
      <c r="C126" s="57"/>
      <c r="D126" s="57"/>
      <c r="E126" s="57"/>
      <c r="F126" s="57"/>
      <c r="G126" s="57"/>
      <c r="H126" s="57"/>
      <c r="I126" s="57"/>
      <c r="J126" s="57"/>
      <c r="K126" s="57"/>
      <c r="L126" s="58"/>
    </row>
    <row r="127" spans="1:12">
      <c r="A127" s="14" t="s">
        <v>38</v>
      </c>
      <c r="B127" s="141"/>
      <c r="C127" s="144">
        <f>Assumptions!G25</f>
        <v>5000</v>
      </c>
      <c r="D127" s="144">
        <f>C127*(1+Assumptions!$D$11)</f>
        <v>5150</v>
      </c>
      <c r="E127" s="144">
        <f>D127*(1+Assumptions!$D$11)</f>
        <v>5304.5</v>
      </c>
      <c r="F127" s="144">
        <f>E127*(1+Assumptions!$D$11)</f>
        <v>5463.6350000000002</v>
      </c>
      <c r="G127" s="144">
        <f>F127*(1+Assumptions!$D$11)</f>
        <v>5627.5440500000004</v>
      </c>
      <c r="H127" s="144">
        <f>G127*(1+Assumptions!$D$11)</f>
        <v>5796.3703715000001</v>
      </c>
      <c r="I127" s="144">
        <f>H127*(1+Assumptions!$D$11)</f>
        <v>5970.2614826449999</v>
      </c>
      <c r="J127" s="144">
        <f>I127*(1+Assumptions!$D$11)</f>
        <v>6149.3693271243501</v>
      </c>
      <c r="K127" s="144">
        <f>J127*(1+Assumptions!$D$11)</f>
        <v>6333.8504069380806</v>
      </c>
      <c r="L127" s="144">
        <f>K127*(1+Assumptions!$D$11)</f>
        <v>6523.865919146223</v>
      </c>
    </row>
    <row r="128" spans="1:12">
      <c r="A128" s="14" t="s">
        <v>39</v>
      </c>
      <c r="B128" s="141"/>
      <c r="C128" s="144">
        <f>Assumptions!G26</f>
        <v>500</v>
      </c>
      <c r="D128" s="144">
        <f t="shared" ref="D128:L128" si="16">C128</f>
        <v>500</v>
      </c>
      <c r="E128" s="144">
        <f t="shared" si="16"/>
        <v>500</v>
      </c>
      <c r="F128" s="144">
        <f t="shared" si="16"/>
        <v>500</v>
      </c>
      <c r="G128" s="144">
        <f t="shared" si="16"/>
        <v>500</v>
      </c>
      <c r="H128" s="144">
        <f t="shared" si="16"/>
        <v>500</v>
      </c>
      <c r="I128" s="144">
        <f t="shared" si="16"/>
        <v>500</v>
      </c>
      <c r="J128" s="144">
        <f t="shared" si="16"/>
        <v>500</v>
      </c>
      <c r="K128" s="144">
        <f t="shared" si="16"/>
        <v>500</v>
      </c>
      <c r="L128" s="145">
        <f t="shared" si="16"/>
        <v>500</v>
      </c>
    </row>
    <row r="129" spans="1:12">
      <c r="A129" s="14"/>
      <c r="B129" s="141"/>
      <c r="C129" s="57"/>
      <c r="D129" s="57"/>
      <c r="E129" s="57"/>
      <c r="F129" s="57"/>
      <c r="G129" s="57"/>
      <c r="H129" s="57"/>
      <c r="I129" s="57"/>
      <c r="J129" s="57"/>
      <c r="K129" s="57"/>
      <c r="L129" s="58"/>
    </row>
    <row r="130" spans="1:12" ht="15.6">
      <c r="A130" s="143" t="s">
        <v>163</v>
      </c>
      <c r="B130" s="141"/>
      <c r="C130" s="144">
        <f t="shared" ref="C130:L130" si="17">SUM(C127:C128)</f>
        <v>5500</v>
      </c>
      <c r="D130" s="144">
        <f t="shared" si="17"/>
        <v>5650</v>
      </c>
      <c r="E130" s="144">
        <f t="shared" si="17"/>
        <v>5804.5</v>
      </c>
      <c r="F130" s="144">
        <f t="shared" si="17"/>
        <v>5963.6350000000002</v>
      </c>
      <c r="G130" s="144">
        <f t="shared" si="17"/>
        <v>6127.5440500000004</v>
      </c>
      <c r="H130" s="144">
        <f t="shared" si="17"/>
        <v>6296.3703715000001</v>
      </c>
      <c r="I130" s="144">
        <f t="shared" si="17"/>
        <v>6470.2614826449999</v>
      </c>
      <c r="J130" s="144">
        <f t="shared" si="17"/>
        <v>6649.3693271243501</v>
      </c>
      <c r="K130" s="144">
        <f t="shared" si="17"/>
        <v>6833.8504069380806</v>
      </c>
      <c r="L130" s="145">
        <f t="shared" si="17"/>
        <v>7023.865919146223</v>
      </c>
    </row>
    <row r="131" spans="1:12">
      <c r="A131" s="14"/>
      <c r="B131" s="141"/>
      <c r="C131" s="57"/>
      <c r="D131" s="57"/>
      <c r="E131" s="57"/>
      <c r="F131" s="57"/>
      <c r="G131" s="57"/>
      <c r="H131" s="57"/>
      <c r="I131" s="57"/>
      <c r="J131" s="57"/>
      <c r="K131" s="57"/>
      <c r="L131" s="58"/>
    </row>
    <row r="132" spans="1:12" ht="15.6">
      <c r="A132" s="143" t="s">
        <v>115</v>
      </c>
      <c r="B132" s="141"/>
      <c r="C132" s="144">
        <f t="shared" ref="C132:L132" si="18">C105+C124+C130</f>
        <v>304100</v>
      </c>
      <c r="D132" s="144">
        <f t="shared" si="18"/>
        <v>277158</v>
      </c>
      <c r="E132" s="144">
        <f t="shared" si="18"/>
        <v>285457.74000000005</v>
      </c>
      <c r="F132" s="144">
        <f t="shared" si="18"/>
        <v>294006.47220000002</v>
      </c>
      <c r="G132" s="144">
        <f t="shared" si="18"/>
        <v>302811.66636600002</v>
      </c>
      <c r="H132" s="144">
        <f t="shared" si="18"/>
        <v>311881.01635698002</v>
      </c>
      <c r="I132" s="144">
        <f t="shared" si="18"/>
        <v>321222.4468476894</v>
      </c>
      <c r="J132" s="144">
        <f t="shared" si="18"/>
        <v>330844.12025312008</v>
      </c>
      <c r="K132" s="144">
        <f t="shared" si="18"/>
        <v>340754.44386071368</v>
      </c>
      <c r="L132" s="145">
        <f t="shared" si="18"/>
        <v>350962.07717653515</v>
      </c>
    </row>
    <row r="133" spans="1:12">
      <c r="A133" s="14"/>
      <c r="B133" s="141"/>
      <c r="C133" s="57"/>
      <c r="D133" s="57"/>
      <c r="E133" s="57"/>
      <c r="F133" s="57"/>
      <c r="G133" s="57"/>
      <c r="H133" s="57"/>
      <c r="I133" s="57"/>
      <c r="J133" s="57"/>
      <c r="K133" s="57"/>
      <c r="L133" s="58"/>
    </row>
    <row r="134" spans="1:12" ht="15.6">
      <c r="A134" s="143" t="s">
        <v>164</v>
      </c>
      <c r="B134" s="141"/>
      <c r="C134" s="144">
        <f t="shared" ref="C134:L134" si="19">C91-C132</f>
        <v>1346900</v>
      </c>
      <c r="D134" s="144">
        <f t="shared" si="19"/>
        <v>4472451.5</v>
      </c>
      <c r="E134" s="144">
        <f t="shared" si="19"/>
        <v>7186590.212749999</v>
      </c>
      <c r="F134" s="144">
        <f t="shared" si="19"/>
        <v>8391833.3493323736</v>
      </c>
      <c r="G134" s="144">
        <f t="shared" si="19"/>
        <v>9798846.0935986005</v>
      </c>
      <c r="H134" s="144">
        <f t="shared" si="19"/>
        <v>11441979.397031397</v>
      </c>
      <c r="I134" s="144">
        <f t="shared" si="19"/>
        <v>13361535.433483629</v>
      </c>
      <c r="J134" s="144">
        <f t="shared" si="19"/>
        <v>15604814.069021594</v>
      </c>
      <c r="K134" s="144">
        <f t="shared" si="19"/>
        <v>18227345.548200417</v>
      </c>
      <c r="L134" s="145">
        <f t="shared" si="19"/>
        <v>21294342.841578171</v>
      </c>
    </row>
    <row r="135" spans="1:12">
      <c r="A135" s="14"/>
      <c r="B135" s="141"/>
      <c r="C135" s="57"/>
      <c r="D135" s="57"/>
      <c r="E135" s="57"/>
      <c r="F135" s="57"/>
      <c r="G135" s="57"/>
      <c r="H135" s="57"/>
      <c r="I135" s="57"/>
      <c r="J135" s="57"/>
      <c r="K135" s="57"/>
      <c r="L135" s="58"/>
    </row>
    <row r="136" spans="1:12">
      <c r="A136" s="14" t="s">
        <v>165</v>
      </c>
      <c r="B136" s="141"/>
      <c r="C136" s="57">
        <f>'Depreciation Schedule'!G10</f>
        <v>20611.111111111113</v>
      </c>
      <c r="D136" s="57">
        <f>'Depreciation Schedule'!H10</f>
        <v>20611.111111111113</v>
      </c>
      <c r="E136" s="57">
        <f>'Depreciation Schedule'!I10</f>
        <v>20611.111111111113</v>
      </c>
      <c r="F136" s="57">
        <f>'Depreciation Schedule'!J10</f>
        <v>20611.111111111113</v>
      </c>
      <c r="G136" s="57">
        <f>'Depreciation Schedule'!K10</f>
        <v>20611.111111111113</v>
      </c>
      <c r="H136" s="57">
        <f>'Depreciation Schedule'!L10</f>
        <v>20611.111111111113</v>
      </c>
      <c r="I136" s="57">
        <f>'Depreciation Schedule'!M10</f>
        <v>20611.111111111113</v>
      </c>
      <c r="J136" s="57">
        <f>'Depreciation Schedule'!N10</f>
        <v>20611.111111111113</v>
      </c>
      <c r="K136" s="57">
        <f>'Depreciation Schedule'!O10</f>
        <v>20611.111111111113</v>
      </c>
      <c r="L136" s="57">
        <f>'Depreciation Schedule'!P10</f>
        <v>20611.111111111113</v>
      </c>
    </row>
    <row r="137" spans="1:12">
      <c r="A137" s="14" t="s">
        <v>166</v>
      </c>
      <c r="B137" s="141"/>
      <c r="C137" s="57">
        <v>0</v>
      </c>
      <c r="D137" s="57">
        <v>0</v>
      </c>
      <c r="E137" s="57">
        <v>0</v>
      </c>
      <c r="F137" s="57">
        <v>0</v>
      </c>
      <c r="G137" s="57">
        <v>0</v>
      </c>
      <c r="H137" s="57">
        <v>0</v>
      </c>
      <c r="I137" s="57">
        <v>0</v>
      </c>
      <c r="J137" s="57">
        <v>0</v>
      </c>
      <c r="K137" s="57">
        <v>0</v>
      </c>
      <c r="L137" s="58">
        <v>0</v>
      </c>
    </row>
    <row r="138" spans="1:12">
      <c r="A138" s="14"/>
      <c r="B138" s="141"/>
      <c r="C138" s="57"/>
      <c r="D138" s="57"/>
      <c r="E138" s="57"/>
      <c r="F138" s="57"/>
      <c r="G138" s="57"/>
      <c r="H138" s="57"/>
      <c r="I138" s="57"/>
      <c r="J138" s="57"/>
      <c r="K138" s="57"/>
      <c r="L138" s="58"/>
    </row>
    <row r="139" spans="1:12" ht="15.6">
      <c r="A139" s="143" t="s">
        <v>167</v>
      </c>
      <c r="B139" s="141"/>
      <c r="C139" s="144">
        <f t="shared" ref="C139:L139" si="20">C134-SUM(C136:C137)</f>
        <v>1326288.888888889</v>
      </c>
      <c r="D139" s="144">
        <f t="shared" si="20"/>
        <v>4451840.388888889</v>
      </c>
      <c r="E139" s="144">
        <f t="shared" si="20"/>
        <v>7165979.101638888</v>
      </c>
      <c r="F139" s="144">
        <f t="shared" si="20"/>
        <v>8371222.2382212626</v>
      </c>
      <c r="G139" s="144">
        <f t="shared" si="20"/>
        <v>9778234.9824874885</v>
      </c>
      <c r="H139" s="144">
        <f t="shared" si="20"/>
        <v>11421368.285920285</v>
      </c>
      <c r="I139" s="144">
        <f t="shared" si="20"/>
        <v>13340924.322372517</v>
      </c>
      <c r="J139" s="144">
        <f t="shared" si="20"/>
        <v>15584202.957910482</v>
      </c>
      <c r="K139" s="144">
        <f t="shared" si="20"/>
        <v>18206734.437089305</v>
      </c>
      <c r="L139" s="145">
        <f t="shared" si="20"/>
        <v>21273731.730467059</v>
      </c>
    </row>
    <row r="140" spans="1:12">
      <c r="A140" s="148"/>
      <c r="B140" s="141"/>
      <c r="C140" s="57"/>
      <c r="D140" s="57"/>
      <c r="E140" s="57"/>
      <c r="F140" s="57"/>
      <c r="G140" s="57"/>
      <c r="H140" s="57"/>
      <c r="I140" s="57"/>
      <c r="J140" s="57"/>
      <c r="K140" s="57"/>
      <c r="L140" s="58"/>
    </row>
    <row r="141" spans="1:12">
      <c r="A141" s="14" t="s">
        <v>168</v>
      </c>
      <c r="B141" s="141"/>
      <c r="C141" s="144">
        <f>'Loan Repayment Schedule'!H24</f>
        <v>78887.593138586235</v>
      </c>
      <c r="D141" s="144">
        <f>'Loan Repayment Schedule'!I24</f>
        <v>74852.949804201286</v>
      </c>
      <c r="E141" s="144">
        <f>'Loan Repayment Schedule'!J24</f>
        <v>70169.719326413004</v>
      </c>
      <c r="F141" s="144">
        <f>'Loan Repayment Schedule'!K24</f>
        <v>64733.63839178221</v>
      </c>
      <c r="G141" s="144">
        <f>'Loan Repayment Schedule'!L24</f>
        <v>58423.682888201663</v>
      </c>
      <c r="H141" s="144">
        <f>'Loan Repayment Schedule'!M24</f>
        <v>51099.373530789453</v>
      </c>
      <c r="I141" s="144">
        <f>'Loan Repayment Schedule'!N24</f>
        <v>42597.648354972385</v>
      </c>
      <c r="J141" s="144">
        <f>'Loan Repayment Schedule'!O24</f>
        <v>32729.232448703373</v>
      </c>
      <c r="K141" s="144">
        <f>'Loan Repayment Schedule'!P24</f>
        <v>21274.424102732115</v>
      </c>
      <c r="L141" s="144">
        <f>'Loan Repayment Schedule'!Q24</f>
        <v>7978.2035654948695</v>
      </c>
    </row>
    <row r="142" spans="1:12">
      <c r="A142" s="14"/>
      <c r="B142" s="141"/>
      <c r="C142" s="149"/>
      <c r="D142" s="57"/>
      <c r="E142" s="57"/>
      <c r="F142" s="57"/>
      <c r="G142" s="57"/>
      <c r="H142" s="57"/>
      <c r="I142" s="57"/>
      <c r="J142" s="57"/>
      <c r="K142" s="57"/>
      <c r="L142" s="58"/>
    </row>
    <row r="143" spans="1:12" ht="15.6">
      <c r="A143" s="143" t="s">
        <v>169</v>
      </c>
      <c r="B143" s="141"/>
      <c r="C143" s="144">
        <f t="shared" ref="C143:L143" si="21">C139-C141</f>
        <v>1247401.2957503027</v>
      </c>
      <c r="D143" s="144">
        <f t="shared" si="21"/>
        <v>4376987.4390846873</v>
      </c>
      <c r="E143" s="144">
        <f t="shared" si="21"/>
        <v>7095809.3823124748</v>
      </c>
      <c r="F143" s="144">
        <f t="shared" si="21"/>
        <v>8306488.5998294801</v>
      </c>
      <c r="G143" s="144">
        <f t="shared" si="21"/>
        <v>9719811.2995992862</v>
      </c>
      <c r="H143" s="144">
        <f t="shared" si="21"/>
        <v>11370268.912389494</v>
      </c>
      <c r="I143" s="144">
        <f t="shared" si="21"/>
        <v>13298326.674017545</v>
      </c>
      <c r="J143" s="144">
        <f t="shared" si="21"/>
        <v>15551473.725461779</v>
      </c>
      <c r="K143" s="144">
        <f t="shared" si="21"/>
        <v>18185460.012986574</v>
      </c>
      <c r="L143" s="145">
        <f t="shared" si="21"/>
        <v>21265753.526901565</v>
      </c>
    </row>
    <row r="144" spans="1:12">
      <c r="A144" s="148"/>
      <c r="B144" s="141"/>
      <c r="C144" s="57"/>
      <c r="D144" s="57"/>
      <c r="E144" s="57"/>
      <c r="F144" s="57"/>
      <c r="G144" s="57"/>
      <c r="H144" s="57"/>
      <c r="I144" s="57"/>
      <c r="J144" s="57"/>
      <c r="K144" s="57"/>
      <c r="L144" s="58"/>
    </row>
    <row r="145" spans="1:12">
      <c r="A145" s="14" t="s">
        <v>170</v>
      </c>
      <c r="B145" s="141"/>
      <c r="C145" s="144">
        <f>C143*Assumptions!$D$12</f>
        <v>436590.45351260592</v>
      </c>
      <c r="D145" s="144">
        <f>D143*Assumptions!$D$12</f>
        <v>1531945.6036796405</v>
      </c>
      <c r="E145" s="144">
        <f>E143*Assumptions!$D$12</f>
        <v>2483533.2838093662</v>
      </c>
      <c r="F145" s="144">
        <f>F143*Assumptions!$D$12</f>
        <v>2907271.0099403178</v>
      </c>
      <c r="G145" s="144">
        <f>G143*Assumptions!$D$12</f>
        <v>3401933.9548597499</v>
      </c>
      <c r="H145" s="144">
        <f>H143*Assumptions!$D$12</f>
        <v>3979594.1193363229</v>
      </c>
      <c r="I145" s="144">
        <f>I143*Assumptions!$D$12</f>
        <v>4654414.3359061405</v>
      </c>
      <c r="J145" s="144">
        <f>J143*Assumptions!$D$12</f>
        <v>5443015.8039116226</v>
      </c>
      <c r="K145" s="144">
        <f>K143*Assumptions!$D$12</f>
        <v>6364911.0045453003</v>
      </c>
      <c r="L145" s="144">
        <f>L143*Assumptions!$D$12</f>
        <v>7443013.734415547</v>
      </c>
    </row>
    <row r="146" spans="1:12">
      <c r="A146" s="14"/>
      <c r="B146" s="141"/>
      <c r="C146" s="57"/>
      <c r="D146" s="57"/>
      <c r="E146" s="57"/>
      <c r="F146" s="57"/>
      <c r="G146" s="57"/>
      <c r="H146" s="57"/>
      <c r="I146" s="57"/>
      <c r="J146" s="57"/>
      <c r="K146" s="57"/>
      <c r="L146" s="58"/>
    </row>
    <row r="147" spans="1:12" ht="15.6">
      <c r="A147" s="143" t="s">
        <v>100</v>
      </c>
      <c r="B147" s="141"/>
      <c r="C147" s="144">
        <f t="shared" ref="C147:L147" si="22">C143-C145</f>
        <v>810810.84223769675</v>
      </c>
      <c r="D147" s="144">
        <f t="shared" si="22"/>
        <v>2845041.8354050471</v>
      </c>
      <c r="E147" s="144">
        <f t="shared" si="22"/>
        <v>4612276.0985031091</v>
      </c>
      <c r="F147" s="144">
        <f t="shared" si="22"/>
        <v>5399217.5898891622</v>
      </c>
      <c r="G147" s="144">
        <f t="shared" si="22"/>
        <v>6317877.3447395358</v>
      </c>
      <c r="H147" s="144">
        <f t="shared" si="22"/>
        <v>7390674.7930531716</v>
      </c>
      <c r="I147" s="144">
        <f t="shared" si="22"/>
        <v>8643912.3381114043</v>
      </c>
      <c r="J147" s="144">
        <f t="shared" si="22"/>
        <v>10108457.921550157</v>
      </c>
      <c r="K147" s="144">
        <f t="shared" si="22"/>
        <v>11820549.008441273</v>
      </c>
      <c r="L147" s="145">
        <f t="shared" si="22"/>
        <v>13822739.792486019</v>
      </c>
    </row>
    <row r="148" spans="1:12">
      <c r="A148" s="148"/>
      <c r="B148" s="141"/>
      <c r="C148" s="57"/>
      <c r="D148" s="57"/>
      <c r="E148" s="57"/>
      <c r="F148" s="57"/>
      <c r="G148" s="57"/>
      <c r="H148" s="57"/>
      <c r="I148" s="57"/>
      <c r="J148" s="57"/>
      <c r="K148" s="57"/>
      <c r="L148" s="58"/>
    </row>
    <row r="149" spans="1:12" ht="16.2" thickBot="1">
      <c r="A149" s="150" t="s">
        <v>171</v>
      </c>
      <c r="B149" s="151"/>
      <c r="C149" s="152">
        <f>C147</f>
        <v>810810.84223769675</v>
      </c>
      <c r="D149" s="152">
        <f>C149+D147</f>
        <v>3655852.677642744</v>
      </c>
      <c r="E149" s="152">
        <f t="shared" ref="E149:L149" si="23">D149+E147</f>
        <v>8268128.7761458531</v>
      </c>
      <c r="F149" s="152">
        <f t="shared" si="23"/>
        <v>13667346.366035014</v>
      </c>
      <c r="G149" s="152">
        <f t="shared" si="23"/>
        <v>19985223.710774548</v>
      </c>
      <c r="H149" s="152">
        <f t="shared" si="23"/>
        <v>27375898.503827721</v>
      </c>
      <c r="I149" s="152">
        <f t="shared" si="23"/>
        <v>36019810.841939121</v>
      </c>
      <c r="J149" s="152">
        <f t="shared" si="23"/>
        <v>46128268.763489276</v>
      </c>
      <c r="K149" s="152">
        <f t="shared" si="23"/>
        <v>57948817.771930546</v>
      </c>
      <c r="L149" s="153">
        <f t="shared" si="23"/>
        <v>71771557.564416558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D90F-C5E8-408B-9D23-F608EA8BB7C9}">
  <dimension ref="A1:Q44"/>
  <sheetViews>
    <sheetView topLeftCell="A7" workbookViewId="0">
      <selection activeCell="H10" sqref="H10"/>
    </sheetView>
  </sheetViews>
  <sheetFormatPr defaultRowHeight="14.4"/>
  <cols>
    <col min="8" max="13" width="12.77734375" customWidth="1"/>
    <col min="14" max="17" width="13.5546875" bestFit="1" customWidth="1"/>
  </cols>
  <sheetData>
    <row r="1" spans="1:1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</row>
    <row r="2" spans="1:17">
      <c r="A2" s="1" t="s">
        <v>3</v>
      </c>
      <c r="B2" s="2" t="str">
        <f>'Table of Contents'!B2</f>
        <v>Krishnamurthy Bindumadhavan</v>
      </c>
      <c r="C2" s="3"/>
      <c r="D2" s="3"/>
      <c r="E2" s="3"/>
      <c r="F2" s="6" t="s">
        <v>4</v>
      </c>
      <c r="G2" s="5" t="s">
        <v>5</v>
      </c>
    </row>
    <row r="3" spans="1:17">
      <c r="A3" s="1" t="s">
        <v>6</v>
      </c>
      <c r="B3" s="2" t="s">
        <v>84</v>
      </c>
      <c r="C3" s="3"/>
      <c r="D3" s="3"/>
      <c r="E3" s="3"/>
      <c r="F3" s="7" t="s">
        <v>8</v>
      </c>
      <c r="G3" s="5" t="s">
        <v>9</v>
      </c>
    </row>
    <row r="4" spans="1:17">
      <c r="A4" s="8" t="s">
        <v>10</v>
      </c>
      <c r="B4" s="9">
        <v>46033</v>
      </c>
      <c r="C4" s="3"/>
      <c r="D4" s="3"/>
      <c r="E4" s="3"/>
      <c r="F4" s="10" t="s">
        <v>11</v>
      </c>
      <c r="G4" s="5" t="s">
        <v>12</v>
      </c>
    </row>
    <row r="6" spans="1:17" ht="15" thickBot="1"/>
    <row r="7" spans="1:17">
      <c r="C7" s="154" t="s">
        <v>84</v>
      </c>
      <c r="D7" s="155"/>
      <c r="E7" s="155"/>
      <c r="F7" s="155"/>
      <c r="G7" s="156"/>
      <c r="H7" s="157" t="s">
        <v>172</v>
      </c>
      <c r="I7" s="157"/>
      <c r="J7" s="157"/>
      <c r="K7" s="157"/>
      <c r="L7" s="157"/>
      <c r="M7" s="157"/>
      <c r="N7" s="157"/>
      <c r="O7" s="157"/>
      <c r="P7" s="157"/>
      <c r="Q7" s="158"/>
    </row>
    <row r="8" spans="1:17" ht="15" thickBot="1">
      <c r="C8" s="159"/>
      <c r="D8" s="160"/>
      <c r="E8" s="161"/>
      <c r="F8" s="161"/>
      <c r="G8" s="162"/>
      <c r="H8" s="163" t="s">
        <v>142</v>
      </c>
      <c r="I8" s="163" t="s">
        <v>143</v>
      </c>
      <c r="J8" s="163" t="s">
        <v>144</v>
      </c>
      <c r="K8" s="163" t="s">
        <v>145</v>
      </c>
      <c r="L8" s="163" t="s">
        <v>146</v>
      </c>
      <c r="M8" s="163" t="s">
        <v>147</v>
      </c>
      <c r="N8" s="163" t="s">
        <v>148</v>
      </c>
      <c r="O8" s="163" t="s">
        <v>149</v>
      </c>
      <c r="P8" s="163" t="s">
        <v>150</v>
      </c>
      <c r="Q8" s="164" t="s">
        <v>151</v>
      </c>
    </row>
    <row r="9" spans="1:17">
      <c r="C9" s="165"/>
      <c r="D9" s="166" t="s">
        <v>173</v>
      </c>
      <c r="E9" s="167"/>
      <c r="F9" s="167"/>
      <c r="G9" s="168"/>
      <c r="H9" s="169"/>
      <c r="I9" s="170"/>
      <c r="J9" s="170"/>
      <c r="K9" s="170"/>
      <c r="L9" s="170"/>
      <c r="M9" s="170"/>
      <c r="N9" s="170"/>
      <c r="O9" s="170"/>
      <c r="P9" s="170"/>
      <c r="Q9" s="171"/>
    </row>
    <row r="10" spans="1:17">
      <c r="C10" s="172"/>
      <c r="D10" s="173"/>
      <c r="E10" s="173" t="s">
        <v>174</v>
      </c>
      <c r="F10" s="173"/>
      <c r="G10" s="174"/>
      <c r="H10" s="175">
        <f>'Cashflow Statement'!H36</f>
        <v>806323.78882109525</v>
      </c>
      <c r="I10" s="175">
        <f>'Cashflow Statement'!I36</f>
        <v>4453654.7697128532</v>
      </c>
      <c r="J10" s="175">
        <f>'Cashflow Statement'!J36</f>
        <v>12708578.618629932</v>
      </c>
      <c r="K10" s="175">
        <f>'Cashflow Statement'!K36</f>
        <v>26357283.976501539</v>
      </c>
      <c r="L10" s="175">
        <f>'Cashflow Statement'!L36</f>
        <v>46317556.723609105</v>
      </c>
      <c r="M10" s="175">
        <f>'Cashflow Statement'!M36</f>
        <v>73661179.954412431</v>
      </c>
      <c r="N10" s="175">
        <f>'Cashflow Statement'!N36</f>
        <v>109640213.79815134</v>
      </c>
      <c r="O10" s="175">
        <f>'Cashflow Statement'!O36</f>
        <v>155717837.14753413</v>
      </c>
      <c r="P10" s="175">
        <f>'Cashflow Statement'!P36</f>
        <v>213604554.69701222</v>
      </c>
      <c r="Q10" s="175">
        <f>'Cashflow Statement'!Q36</f>
        <v>285300715.81843907</v>
      </c>
    </row>
    <row r="11" spans="1:17">
      <c r="C11" s="172"/>
      <c r="D11" s="173"/>
      <c r="E11" s="173" t="s">
        <v>175</v>
      </c>
      <c r="F11" s="173"/>
      <c r="G11" s="174"/>
      <c r="H11" s="175">
        <v>0</v>
      </c>
      <c r="I11" s="176">
        <v>0</v>
      </c>
      <c r="J11" s="176">
        <v>0</v>
      </c>
      <c r="K11" s="176">
        <v>0</v>
      </c>
      <c r="L11" s="176">
        <v>0</v>
      </c>
      <c r="M11" s="176">
        <v>0</v>
      </c>
      <c r="N11" s="176">
        <v>0</v>
      </c>
      <c r="O11" s="176">
        <v>0</v>
      </c>
      <c r="P11" s="176">
        <v>0</v>
      </c>
      <c r="Q11" s="177">
        <v>0</v>
      </c>
    </row>
    <row r="12" spans="1:17">
      <c r="C12" s="172"/>
      <c r="D12" s="173"/>
      <c r="E12" s="173" t="s">
        <v>66</v>
      </c>
      <c r="F12" s="173"/>
      <c r="G12" s="174"/>
      <c r="H12" s="175">
        <f>SUM(Assumptions!J45:J53)</f>
        <v>381000</v>
      </c>
      <c r="I12" s="176">
        <f>H12</f>
        <v>381000</v>
      </c>
      <c r="J12" s="176">
        <f t="shared" ref="J12:Q12" si="0">I12</f>
        <v>381000</v>
      </c>
      <c r="K12" s="176">
        <f t="shared" si="0"/>
        <v>381000</v>
      </c>
      <c r="L12" s="176">
        <f t="shared" si="0"/>
        <v>381000</v>
      </c>
      <c r="M12" s="176">
        <f t="shared" si="0"/>
        <v>381000</v>
      </c>
      <c r="N12" s="176">
        <f t="shared" si="0"/>
        <v>381000</v>
      </c>
      <c r="O12" s="176">
        <f t="shared" si="0"/>
        <v>381000</v>
      </c>
      <c r="P12" s="176">
        <f>O12</f>
        <v>381000</v>
      </c>
      <c r="Q12" s="177">
        <f t="shared" si="0"/>
        <v>381000</v>
      </c>
    </row>
    <row r="13" spans="1:17">
      <c r="C13" s="172"/>
      <c r="D13" s="173"/>
      <c r="E13" s="173" t="s">
        <v>176</v>
      </c>
      <c r="F13" s="173"/>
      <c r="G13" s="174"/>
      <c r="H13" s="175">
        <v>0</v>
      </c>
      <c r="I13" s="176">
        <v>0</v>
      </c>
      <c r="J13" s="176">
        <v>0</v>
      </c>
      <c r="K13" s="176">
        <v>0</v>
      </c>
      <c r="L13" s="176">
        <v>0</v>
      </c>
      <c r="M13" s="176">
        <v>0</v>
      </c>
      <c r="N13" s="176">
        <v>0</v>
      </c>
      <c r="O13" s="176">
        <v>0</v>
      </c>
      <c r="P13" s="176">
        <v>0</v>
      </c>
      <c r="Q13" s="177">
        <v>0</v>
      </c>
    </row>
    <row r="14" spans="1:17">
      <c r="C14" s="172"/>
      <c r="D14" s="178" t="s">
        <v>177</v>
      </c>
      <c r="E14" s="179"/>
      <c r="F14" s="179"/>
      <c r="G14" s="174"/>
      <c r="H14" s="175">
        <f>SUM(H10:H13)</f>
        <v>1187323.7888210951</v>
      </c>
      <c r="I14" s="176">
        <f t="shared" ref="I14:Q14" si="1">SUM(I10:I13)</f>
        <v>4834654.7697128532</v>
      </c>
      <c r="J14" s="176">
        <f t="shared" si="1"/>
        <v>13089578.618629932</v>
      </c>
      <c r="K14" s="176">
        <f t="shared" si="1"/>
        <v>26738283.976501539</v>
      </c>
      <c r="L14" s="176">
        <f t="shared" si="1"/>
        <v>46698556.723609105</v>
      </c>
      <c r="M14" s="176">
        <f t="shared" si="1"/>
        <v>74042179.954412431</v>
      </c>
      <c r="N14" s="176">
        <f t="shared" si="1"/>
        <v>110021213.79815134</v>
      </c>
      <c r="O14" s="176">
        <f t="shared" si="1"/>
        <v>156098837.14753413</v>
      </c>
      <c r="P14" s="176">
        <f t="shared" si="1"/>
        <v>213985554.69701222</v>
      </c>
      <c r="Q14" s="177">
        <f t="shared" si="1"/>
        <v>285681715.81843907</v>
      </c>
    </row>
    <row r="15" spans="1:17">
      <c r="C15" s="172"/>
      <c r="D15" s="173"/>
      <c r="E15" s="179"/>
      <c r="F15" s="179"/>
      <c r="G15" s="174"/>
      <c r="H15" s="175"/>
      <c r="I15" s="176"/>
      <c r="J15" s="176"/>
      <c r="K15" s="176"/>
      <c r="L15" s="176"/>
      <c r="M15" s="176"/>
      <c r="N15" s="176"/>
      <c r="O15" s="176"/>
      <c r="P15" s="176"/>
      <c r="Q15" s="177"/>
    </row>
    <row r="16" spans="1:17">
      <c r="C16" s="172"/>
      <c r="D16" s="173"/>
      <c r="E16" s="179"/>
      <c r="F16" s="179"/>
      <c r="G16" s="174"/>
      <c r="H16" s="175"/>
      <c r="I16" s="176"/>
      <c r="J16" s="176"/>
      <c r="K16" s="176"/>
      <c r="L16" s="176"/>
      <c r="M16" s="176"/>
      <c r="N16" s="176"/>
      <c r="O16" s="176"/>
      <c r="P16" s="176"/>
      <c r="Q16" s="177"/>
    </row>
    <row r="17" spans="3:17">
      <c r="C17" s="172"/>
      <c r="D17" s="173"/>
      <c r="E17" s="179" t="s">
        <v>178</v>
      </c>
      <c r="F17" s="179"/>
      <c r="G17" s="174"/>
      <c r="H17" s="175">
        <f>'Depreciation Schedule'!G12</f>
        <v>185500</v>
      </c>
      <c r="I17" s="175">
        <f>'Depreciation Schedule'!H12</f>
        <v>164888.88888888888</v>
      </c>
      <c r="J17" s="175">
        <f>'Depreciation Schedule'!I12</f>
        <v>144277.77777777775</v>
      </c>
      <c r="K17" s="175">
        <f>'Depreciation Schedule'!J12</f>
        <v>123666.66666666664</v>
      </c>
      <c r="L17" s="175">
        <f>'Depreciation Schedule'!K12</f>
        <v>103055.55555555553</v>
      </c>
      <c r="M17" s="175">
        <f>'Depreciation Schedule'!L12</f>
        <v>82444.444444444423</v>
      </c>
      <c r="N17" s="175">
        <f>'Depreciation Schedule'!M12</f>
        <v>61833.333333333314</v>
      </c>
      <c r="O17" s="175">
        <f>'Depreciation Schedule'!N12</f>
        <v>41222.222222222204</v>
      </c>
      <c r="P17" s="175">
        <f>'Depreciation Schedule'!O12</f>
        <v>20611.111111111091</v>
      </c>
      <c r="Q17" s="175">
        <f>'Depreciation Schedule'!P12</f>
        <v>0</v>
      </c>
    </row>
    <row r="18" spans="3:17">
      <c r="C18" s="172"/>
      <c r="D18" s="173"/>
      <c r="E18" s="179" t="s">
        <v>179</v>
      </c>
      <c r="F18" s="179"/>
      <c r="G18" s="174"/>
      <c r="H18" s="175">
        <v>0</v>
      </c>
      <c r="I18" s="176">
        <v>0</v>
      </c>
      <c r="J18" s="176">
        <v>0</v>
      </c>
      <c r="K18" s="176">
        <v>0</v>
      </c>
      <c r="L18" s="176">
        <v>0</v>
      </c>
      <c r="M18" s="176">
        <v>0</v>
      </c>
      <c r="N18" s="176">
        <v>0</v>
      </c>
      <c r="O18" s="176">
        <v>0</v>
      </c>
      <c r="P18" s="176">
        <v>0</v>
      </c>
      <c r="Q18" s="177">
        <v>0</v>
      </c>
    </row>
    <row r="19" spans="3:17">
      <c r="C19" s="172"/>
      <c r="D19" s="178" t="s">
        <v>180</v>
      </c>
      <c r="E19" s="57"/>
      <c r="F19" s="180"/>
      <c r="G19" s="174"/>
      <c r="H19" s="175">
        <f>H17+H18</f>
        <v>185500</v>
      </c>
      <c r="I19" s="176">
        <f t="shared" ref="I19:Q19" si="2">I17+I18</f>
        <v>164888.88888888888</v>
      </c>
      <c r="J19" s="176">
        <f t="shared" si="2"/>
        <v>144277.77777777775</v>
      </c>
      <c r="K19" s="176">
        <f t="shared" si="2"/>
        <v>123666.66666666664</v>
      </c>
      <c r="L19" s="176">
        <f t="shared" si="2"/>
        <v>103055.55555555553</v>
      </c>
      <c r="M19" s="176">
        <f t="shared" si="2"/>
        <v>82444.444444444423</v>
      </c>
      <c r="N19" s="176">
        <f t="shared" si="2"/>
        <v>61833.333333333314</v>
      </c>
      <c r="O19" s="176">
        <f t="shared" si="2"/>
        <v>41222.222222222204</v>
      </c>
      <c r="P19" s="176">
        <f t="shared" si="2"/>
        <v>20611.111111111091</v>
      </c>
      <c r="Q19" s="177">
        <f t="shared" si="2"/>
        <v>0</v>
      </c>
    </row>
    <row r="20" spans="3:17">
      <c r="C20" s="172"/>
      <c r="D20" s="178"/>
      <c r="E20" s="179"/>
      <c r="F20" s="180"/>
      <c r="G20" s="174"/>
      <c r="H20" s="175"/>
      <c r="I20" s="176"/>
      <c r="J20" s="176"/>
      <c r="K20" s="176"/>
      <c r="L20" s="176"/>
      <c r="M20" s="176"/>
      <c r="N20" s="176"/>
      <c r="O20" s="176"/>
      <c r="P20" s="176"/>
      <c r="Q20" s="177"/>
    </row>
    <row r="21" spans="3:17">
      <c r="C21" s="172"/>
      <c r="D21" s="178"/>
      <c r="E21" s="178" t="s">
        <v>181</v>
      </c>
      <c r="F21" s="180"/>
      <c r="G21" s="174"/>
      <c r="H21" s="175">
        <f>H19+H14</f>
        <v>1372823.7888210951</v>
      </c>
      <c r="I21" s="176">
        <f t="shared" ref="I21:Q21" si="3">I19+I14</f>
        <v>4999543.6586017422</v>
      </c>
      <c r="J21" s="176">
        <f t="shared" si="3"/>
        <v>13233856.39640771</v>
      </c>
      <c r="K21" s="176">
        <f t="shared" si="3"/>
        <v>26861950.643168207</v>
      </c>
      <c r="L21" s="176">
        <f t="shared" si="3"/>
        <v>46801612.279164657</v>
      </c>
      <c r="M21" s="176">
        <f t="shared" si="3"/>
        <v>74124624.398856878</v>
      </c>
      <c r="N21" s="176">
        <f t="shared" si="3"/>
        <v>110083047.13148467</v>
      </c>
      <c r="O21" s="176">
        <f t="shared" si="3"/>
        <v>156140059.36975634</v>
      </c>
      <c r="P21" s="176">
        <f t="shared" si="3"/>
        <v>214006165.80812332</v>
      </c>
      <c r="Q21" s="177">
        <f t="shared" si="3"/>
        <v>285681715.81843907</v>
      </c>
    </row>
    <row r="22" spans="3:17">
      <c r="C22" s="172"/>
      <c r="D22" s="178"/>
      <c r="E22" s="179"/>
      <c r="F22" s="180"/>
      <c r="G22" s="174"/>
      <c r="H22" s="141"/>
      <c r="I22" s="57"/>
      <c r="J22" s="57"/>
      <c r="K22" s="57"/>
      <c r="L22" s="57"/>
      <c r="M22" s="57"/>
      <c r="N22" s="57"/>
      <c r="O22" s="57"/>
      <c r="P22" s="57"/>
      <c r="Q22" s="58"/>
    </row>
    <row r="23" spans="3:17">
      <c r="C23" s="172"/>
      <c r="D23" s="180" t="s">
        <v>182</v>
      </c>
      <c r="E23" s="179"/>
      <c r="F23" s="179"/>
      <c r="G23" s="174"/>
      <c r="H23" s="141"/>
      <c r="I23" s="57"/>
      <c r="J23" s="57"/>
      <c r="K23" s="57"/>
      <c r="L23" s="57"/>
      <c r="M23" s="57"/>
      <c r="N23" s="57"/>
      <c r="O23" s="57"/>
      <c r="P23" s="57"/>
      <c r="Q23" s="58"/>
    </row>
    <row r="24" spans="3:17">
      <c r="C24" s="172"/>
      <c r="D24" s="180"/>
      <c r="E24" s="179" t="s">
        <v>183</v>
      </c>
      <c r="F24" s="179"/>
      <c r="G24" s="174"/>
      <c r="H24" s="175">
        <v>0</v>
      </c>
      <c r="I24" s="176">
        <v>0</v>
      </c>
      <c r="J24" s="176">
        <v>0</v>
      </c>
      <c r="K24" s="176">
        <v>0</v>
      </c>
      <c r="L24" s="176">
        <v>0</v>
      </c>
      <c r="M24" s="176">
        <v>0</v>
      </c>
      <c r="N24" s="176">
        <v>0</v>
      </c>
      <c r="O24" s="176">
        <v>0</v>
      </c>
      <c r="P24" s="176">
        <v>0</v>
      </c>
      <c r="Q24" s="177">
        <v>0</v>
      </c>
    </row>
    <row r="25" spans="3:17">
      <c r="C25" s="172"/>
      <c r="D25" s="180"/>
      <c r="E25" s="179" t="s">
        <v>184</v>
      </c>
      <c r="F25" s="179"/>
      <c r="G25" s="174"/>
      <c r="H25" s="175">
        <v>0</v>
      </c>
      <c r="I25" s="176">
        <v>0</v>
      </c>
      <c r="J25" s="176">
        <v>0</v>
      </c>
      <c r="K25" s="176">
        <v>0</v>
      </c>
      <c r="L25" s="176">
        <v>0</v>
      </c>
      <c r="M25" s="176">
        <v>0</v>
      </c>
      <c r="N25" s="176">
        <v>0</v>
      </c>
      <c r="O25" s="176">
        <v>0</v>
      </c>
      <c r="P25" s="176">
        <v>0</v>
      </c>
      <c r="Q25" s="177">
        <v>0</v>
      </c>
    </row>
    <row r="26" spans="3:17">
      <c r="C26" s="172"/>
      <c r="D26" s="180"/>
      <c r="E26" s="179" t="s">
        <v>185</v>
      </c>
      <c r="F26" s="179"/>
      <c r="G26" s="174"/>
      <c r="H26" s="175">
        <v>0</v>
      </c>
      <c r="I26" s="176">
        <v>0</v>
      </c>
      <c r="J26" s="176">
        <v>0</v>
      </c>
      <c r="K26" s="176">
        <v>0</v>
      </c>
      <c r="L26" s="176">
        <v>0</v>
      </c>
      <c r="M26" s="176">
        <v>0</v>
      </c>
      <c r="N26" s="176">
        <v>0</v>
      </c>
      <c r="O26" s="176">
        <v>0</v>
      </c>
      <c r="P26" s="176">
        <v>0</v>
      </c>
      <c r="Q26" s="177">
        <v>0</v>
      </c>
    </row>
    <row r="27" spans="3:17">
      <c r="C27" s="172"/>
      <c r="D27" s="180"/>
      <c r="E27" s="178" t="s">
        <v>136</v>
      </c>
      <c r="F27" s="179"/>
      <c r="G27" s="174"/>
      <c r="H27" s="175">
        <f>SUM(H24:H26)</f>
        <v>0</v>
      </c>
      <c r="I27" s="176">
        <f t="shared" ref="I27:Q27" si="4">SUM(I24:I26)</f>
        <v>0</v>
      </c>
      <c r="J27" s="176">
        <f t="shared" si="4"/>
        <v>0</v>
      </c>
      <c r="K27" s="176">
        <f t="shared" si="4"/>
        <v>0</v>
      </c>
      <c r="L27" s="176">
        <f t="shared" si="4"/>
        <v>0</v>
      </c>
      <c r="M27" s="176">
        <f t="shared" si="4"/>
        <v>0</v>
      </c>
      <c r="N27" s="176">
        <f t="shared" si="4"/>
        <v>0</v>
      </c>
      <c r="O27" s="176">
        <f t="shared" si="4"/>
        <v>0</v>
      </c>
      <c r="P27" s="176">
        <f t="shared" si="4"/>
        <v>0</v>
      </c>
      <c r="Q27" s="177">
        <f t="shared" si="4"/>
        <v>0</v>
      </c>
    </row>
    <row r="28" spans="3:17">
      <c r="C28" s="172"/>
      <c r="D28" s="180"/>
      <c r="E28" s="179"/>
      <c r="F28" s="179"/>
      <c r="G28" s="174"/>
      <c r="H28" s="175"/>
      <c r="I28" s="176"/>
      <c r="J28" s="176"/>
      <c r="K28" s="176"/>
      <c r="L28" s="176"/>
      <c r="M28" s="176"/>
      <c r="N28" s="176"/>
      <c r="O28" s="176"/>
      <c r="P28" s="176"/>
      <c r="Q28" s="177"/>
    </row>
    <row r="29" spans="3:17">
      <c r="C29" s="172"/>
      <c r="D29" s="179"/>
      <c r="E29" s="173" t="s">
        <v>186</v>
      </c>
      <c r="F29" s="179"/>
      <c r="G29" s="174"/>
      <c r="H29" s="175">
        <f>'Loan Repayment Schedule'!H26</f>
        <v>512012.9465833985</v>
      </c>
      <c r="I29" s="175">
        <f>'Loan Repayment Schedule'!I26</f>
        <v>482880.13872130093</v>
      </c>
      <c r="J29" s="175">
        <f>'Loan Repayment Schedule'!J26</f>
        <v>449064.1003814151</v>
      </c>
      <c r="K29" s="175">
        <f>'Loan Repayment Schedule'!K26</f>
        <v>409811.98110689846</v>
      </c>
      <c r="L29" s="175">
        <f>'Loan Repayment Schedule'!L26</f>
        <v>364249.90632880124</v>
      </c>
      <c r="M29" s="175">
        <f>'Loan Repayment Schedule'!M26</f>
        <v>311363.52219329181</v>
      </c>
      <c r="N29" s="175">
        <f>'Loan Repayment Schedule'!N26</f>
        <v>249975.41288196534</v>
      </c>
      <c r="O29" s="175">
        <f>'Loan Repayment Schedule'!O26</f>
        <v>178718.88766436986</v>
      </c>
      <c r="P29" s="175">
        <f>'Loan Repayment Schedule'!P26</f>
        <v>96007.554100803129</v>
      </c>
      <c r="Q29" s="175">
        <f>'Loan Repayment Schedule'!Q26</f>
        <v>-8.7311491370201111E-10</v>
      </c>
    </row>
    <row r="30" spans="3:17">
      <c r="C30" s="172"/>
      <c r="D30" s="179"/>
      <c r="E30" s="181" t="s">
        <v>187</v>
      </c>
      <c r="F30" s="181"/>
      <c r="G30" s="174"/>
      <c r="H30" s="175">
        <f>H29</f>
        <v>512012.9465833985</v>
      </c>
      <c r="I30" s="176">
        <f t="shared" ref="I30:Q30" si="5">I29</f>
        <v>482880.13872130093</v>
      </c>
      <c r="J30" s="176">
        <f t="shared" si="5"/>
        <v>449064.1003814151</v>
      </c>
      <c r="K30" s="176">
        <f t="shared" si="5"/>
        <v>409811.98110689846</v>
      </c>
      <c r="L30" s="176">
        <f t="shared" si="5"/>
        <v>364249.90632880124</v>
      </c>
      <c r="M30" s="176">
        <f t="shared" si="5"/>
        <v>311363.52219329181</v>
      </c>
      <c r="N30" s="176">
        <f t="shared" si="5"/>
        <v>249975.41288196534</v>
      </c>
      <c r="O30" s="176">
        <f t="shared" si="5"/>
        <v>178718.88766436986</v>
      </c>
      <c r="P30" s="176">
        <f t="shared" si="5"/>
        <v>96007.554100803129</v>
      </c>
      <c r="Q30" s="177">
        <f t="shared" si="5"/>
        <v>-8.7311491370201111E-10</v>
      </c>
    </row>
    <row r="31" spans="3:17">
      <c r="C31" s="172"/>
      <c r="D31" s="179"/>
      <c r="E31" s="181"/>
      <c r="F31" s="181"/>
      <c r="G31" s="174"/>
      <c r="H31" s="175"/>
      <c r="I31" s="176"/>
      <c r="J31" s="176"/>
      <c r="K31" s="176"/>
      <c r="L31" s="176"/>
      <c r="M31" s="176"/>
      <c r="N31" s="176"/>
      <c r="O31" s="176"/>
      <c r="P31" s="176"/>
      <c r="Q31" s="177"/>
    </row>
    <row r="32" spans="3:17">
      <c r="C32" s="172"/>
      <c r="D32" s="179"/>
      <c r="E32" s="181" t="s">
        <v>188</v>
      </c>
      <c r="F32" s="181"/>
      <c r="G32" s="174"/>
      <c r="H32" s="175">
        <f>H30+H27</f>
        <v>512012.9465833985</v>
      </c>
      <c r="I32" s="176">
        <f t="shared" ref="I32:Q32" si="6">I30+I27</f>
        <v>482880.13872130093</v>
      </c>
      <c r="J32" s="176">
        <f t="shared" si="6"/>
        <v>449064.1003814151</v>
      </c>
      <c r="K32" s="176">
        <f t="shared" si="6"/>
        <v>409811.98110689846</v>
      </c>
      <c r="L32" s="176">
        <f t="shared" si="6"/>
        <v>364249.90632880124</v>
      </c>
      <c r="M32" s="176">
        <f t="shared" si="6"/>
        <v>311363.52219329181</v>
      </c>
      <c r="N32" s="176">
        <f t="shared" si="6"/>
        <v>249975.41288196534</v>
      </c>
      <c r="O32" s="176">
        <f t="shared" si="6"/>
        <v>178718.88766436986</v>
      </c>
      <c r="P32" s="176">
        <f t="shared" si="6"/>
        <v>96007.554100803129</v>
      </c>
      <c r="Q32" s="177">
        <f t="shared" si="6"/>
        <v>-8.7311491370201111E-10</v>
      </c>
    </row>
    <row r="33" spans="3:17">
      <c r="C33" s="172"/>
      <c r="D33" s="182"/>
      <c r="E33" s="179"/>
      <c r="F33" s="179"/>
      <c r="G33" s="174"/>
      <c r="H33" s="175"/>
      <c r="I33" s="176"/>
      <c r="J33" s="176"/>
      <c r="K33" s="176"/>
      <c r="L33" s="176"/>
      <c r="M33" s="176"/>
      <c r="N33" s="176"/>
      <c r="O33" s="176"/>
      <c r="P33" s="176"/>
      <c r="Q33" s="177"/>
    </row>
    <row r="34" spans="3:17">
      <c r="C34" s="172"/>
      <c r="D34" s="180" t="s">
        <v>189</v>
      </c>
      <c r="E34" s="179"/>
      <c r="F34" s="179"/>
      <c r="G34" s="174"/>
      <c r="H34" s="175"/>
      <c r="I34" s="176"/>
      <c r="J34" s="176"/>
      <c r="K34" s="176"/>
      <c r="L34" s="176"/>
      <c r="M34" s="176"/>
      <c r="N34" s="176"/>
      <c r="O34" s="176"/>
      <c r="P34" s="176"/>
      <c r="Q34" s="177"/>
    </row>
    <row r="35" spans="3:17">
      <c r="C35" s="172"/>
      <c r="D35" s="180"/>
      <c r="E35" s="179" t="s">
        <v>190</v>
      </c>
      <c r="F35" s="179"/>
      <c r="G35" s="174"/>
      <c r="H35" s="175">
        <v>50000</v>
      </c>
      <c r="I35" s="176">
        <f>H35</f>
        <v>50000</v>
      </c>
      <c r="J35" s="176">
        <f t="shared" ref="J35:Q35" si="7">I35</f>
        <v>50000</v>
      </c>
      <c r="K35" s="176">
        <f t="shared" si="7"/>
        <v>50000</v>
      </c>
      <c r="L35" s="176">
        <f t="shared" si="7"/>
        <v>50000</v>
      </c>
      <c r="M35" s="176">
        <f t="shared" si="7"/>
        <v>50000</v>
      </c>
      <c r="N35" s="176">
        <f t="shared" si="7"/>
        <v>50000</v>
      </c>
      <c r="O35" s="176">
        <f>N35</f>
        <v>50000</v>
      </c>
      <c r="P35" s="176">
        <f t="shared" si="7"/>
        <v>50000</v>
      </c>
      <c r="Q35" s="177">
        <f t="shared" si="7"/>
        <v>50000</v>
      </c>
    </row>
    <row r="36" spans="3:17">
      <c r="C36" s="172"/>
      <c r="D36" s="180"/>
      <c r="E36" s="179" t="s">
        <v>191</v>
      </c>
      <c r="F36" s="179"/>
      <c r="G36" s="174"/>
      <c r="H36" s="175">
        <v>0</v>
      </c>
      <c r="I36" s="176">
        <v>0</v>
      </c>
      <c r="J36" s="176"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7">
        <v>0</v>
      </c>
    </row>
    <row r="37" spans="3:17">
      <c r="C37" s="172"/>
      <c r="D37" s="180"/>
      <c r="E37" s="179" t="s">
        <v>192</v>
      </c>
      <c r="F37" s="179"/>
      <c r="G37" s="174"/>
      <c r="H37" s="175">
        <f>'Income Statement'!C149</f>
        <v>810810.84223769675</v>
      </c>
      <c r="I37" s="175">
        <f>'Income Statement'!D149</f>
        <v>3655852.677642744</v>
      </c>
      <c r="J37" s="175">
        <f>'Income Statement'!E149</f>
        <v>8268128.7761458531</v>
      </c>
      <c r="K37" s="175">
        <f>'Income Statement'!F149</f>
        <v>13667346.366035014</v>
      </c>
      <c r="L37" s="175">
        <f>'Income Statement'!G149</f>
        <v>19985223.710774548</v>
      </c>
      <c r="M37" s="175">
        <f>'Income Statement'!H149</f>
        <v>27375898.503827721</v>
      </c>
      <c r="N37" s="175">
        <f>'Income Statement'!I149</f>
        <v>36019810.841939121</v>
      </c>
      <c r="O37" s="175">
        <f>'Income Statement'!J149</f>
        <v>46128268.763489276</v>
      </c>
      <c r="P37" s="175">
        <f>'Income Statement'!K149</f>
        <v>57948817.771930546</v>
      </c>
      <c r="Q37" s="175">
        <f>'Income Statement'!L149</f>
        <v>71771557.564416558</v>
      </c>
    </row>
    <row r="38" spans="3:17">
      <c r="C38" s="172"/>
      <c r="D38" s="181" t="s">
        <v>193</v>
      </c>
      <c r="E38" s="179"/>
      <c r="F38" s="179"/>
      <c r="G38" s="174"/>
      <c r="H38" s="175">
        <f>SUM(H35:H37)</f>
        <v>860810.84223769675</v>
      </c>
      <c r="I38" s="176">
        <f>H38+I37</f>
        <v>4516663.519880441</v>
      </c>
      <c r="J38" s="176">
        <f t="shared" ref="J38:Q38" si="8">I38+J37</f>
        <v>12784792.296026293</v>
      </c>
      <c r="K38" s="176">
        <f t="shared" si="8"/>
        <v>26452138.662061308</v>
      </c>
      <c r="L38" s="176">
        <f t="shared" si="8"/>
        <v>46437362.37283586</v>
      </c>
      <c r="M38" s="176">
        <f t="shared" si="8"/>
        <v>73813260.876663581</v>
      </c>
      <c r="N38" s="176">
        <f t="shared" si="8"/>
        <v>109833071.7186027</v>
      </c>
      <c r="O38" s="176">
        <f t="shared" si="8"/>
        <v>155961340.48209196</v>
      </c>
      <c r="P38" s="176">
        <f t="shared" si="8"/>
        <v>213910158.25402251</v>
      </c>
      <c r="Q38" s="176">
        <f t="shared" si="8"/>
        <v>285681715.81843907</v>
      </c>
    </row>
    <row r="39" spans="3:17">
      <c r="C39" s="172"/>
      <c r="D39" s="179"/>
      <c r="E39" s="179"/>
      <c r="F39" s="179"/>
      <c r="G39" s="174"/>
      <c r="H39" s="175"/>
      <c r="I39" s="176"/>
      <c r="J39" s="176"/>
      <c r="K39" s="176"/>
      <c r="L39" s="176"/>
      <c r="M39" s="176"/>
      <c r="N39" s="176"/>
      <c r="O39" s="176"/>
      <c r="P39" s="176"/>
      <c r="Q39" s="177"/>
    </row>
    <row r="40" spans="3:17">
      <c r="C40" s="172"/>
      <c r="D40" s="181" t="s">
        <v>194</v>
      </c>
      <c r="E40" s="178"/>
      <c r="F40" s="178"/>
      <c r="G40" s="183"/>
      <c r="H40" s="175">
        <f>H38+H32</f>
        <v>1372823.7888210951</v>
      </c>
      <c r="I40" s="176">
        <f t="shared" ref="I40:O40" si="9">I38+I32</f>
        <v>4999543.6586017422</v>
      </c>
      <c r="J40" s="176">
        <f t="shared" si="9"/>
        <v>13233856.396407709</v>
      </c>
      <c r="K40" s="176">
        <f t="shared" si="9"/>
        <v>26861950.643168207</v>
      </c>
      <c r="L40" s="176">
        <f t="shared" si="9"/>
        <v>46801612.279164664</v>
      </c>
      <c r="M40" s="176">
        <f t="shared" si="9"/>
        <v>74124624.398856878</v>
      </c>
      <c r="N40" s="176">
        <f>N38+N32</f>
        <v>110083047.13148467</v>
      </c>
      <c r="O40" s="176">
        <f t="shared" si="9"/>
        <v>156140059.36975634</v>
      </c>
      <c r="P40" s="176">
        <f>P38+P32</f>
        <v>214006165.80812332</v>
      </c>
      <c r="Q40" s="177">
        <f>Q38+Q32</f>
        <v>285681715.81843907</v>
      </c>
    </row>
    <row r="41" spans="3:17">
      <c r="C41" s="172"/>
      <c r="D41" s="181"/>
      <c r="E41" s="179"/>
      <c r="F41" s="179"/>
      <c r="G41" s="174"/>
      <c r="H41" s="175"/>
      <c r="I41" s="176"/>
      <c r="J41" s="176"/>
      <c r="K41" s="176"/>
      <c r="L41" s="176"/>
      <c r="M41" s="176"/>
      <c r="N41" s="176"/>
      <c r="O41" s="176"/>
      <c r="P41" s="176"/>
      <c r="Q41" s="177"/>
    </row>
    <row r="42" spans="3:17" ht="15" thickBot="1">
      <c r="C42" s="184"/>
      <c r="D42" s="185" t="s">
        <v>195</v>
      </c>
      <c r="E42" s="185"/>
      <c r="F42" s="186"/>
      <c r="G42" s="187"/>
      <c r="H42" s="188" t="str">
        <f>IF(ROUNDUP(H21, 0) = ROUNDUP(H40, 0), "OK", "Error")</f>
        <v>OK</v>
      </c>
      <c r="I42" s="189" t="str">
        <f t="shared" ref="I42:Q42" si="10">IF(ROUNDUP(I21, 0) = ROUNDUP(I40, 0), "OK", "Error")</f>
        <v>OK</v>
      </c>
      <c r="J42" s="189" t="str">
        <f t="shared" si="10"/>
        <v>OK</v>
      </c>
      <c r="K42" s="189" t="str">
        <f t="shared" si="10"/>
        <v>OK</v>
      </c>
      <c r="L42" s="189" t="str">
        <f t="shared" si="10"/>
        <v>OK</v>
      </c>
      <c r="M42" s="189" t="str">
        <f t="shared" si="10"/>
        <v>OK</v>
      </c>
      <c r="N42" s="189" t="str">
        <f t="shared" si="10"/>
        <v>OK</v>
      </c>
      <c r="O42" s="189" t="str">
        <f t="shared" si="10"/>
        <v>OK</v>
      </c>
      <c r="P42" s="189" t="str">
        <f t="shared" si="10"/>
        <v>OK</v>
      </c>
      <c r="Q42" s="190" t="str">
        <f t="shared" si="10"/>
        <v>OK</v>
      </c>
    </row>
    <row r="44" spans="3:17">
      <c r="I44" s="290"/>
      <c r="J44" s="29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5EF5-85E1-4522-8E25-98D15E3D7E21}">
  <dimension ref="A1:Q36"/>
  <sheetViews>
    <sheetView topLeftCell="A4" workbookViewId="0">
      <selection activeCell="H20" sqref="H20"/>
    </sheetView>
  </sheetViews>
  <sheetFormatPr defaultRowHeight="14.4"/>
  <cols>
    <col min="8" max="17" width="12.77734375" customWidth="1"/>
  </cols>
  <sheetData>
    <row r="1" spans="1:1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</row>
    <row r="2" spans="1:17">
      <c r="A2" s="1" t="s">
        <v>3</v>
      </c>
      <c r="B2" s="2" t="str">
        <f>'Table of Contents'!B2</f>
        <v>Krishnamurthy Bindumadhavan</v>
      </c>
      <c r="C2" s="3"/>
      <c r="D2" s="3"/>
      <c r="E2" s="3"/>
      <c r="F2" s="6" t="s">
        <v>4</v>
      </c>
      <c r="G2" s="5" t="s">
        <v>5</v>
      </c>
    </row>
    <row r="3" spans="1:17">
      <c r="A3" s="1" t="s">
        <v>6</v>
      </c>
      <c r="B3" s="2" t="s">
        <v>196</v>
      </c>
      <c r="C3" s="3"/>
      <c r="D3" s="3"/>
      <c r="E3" s="3"/>
      <c r="F3" s="7" t="s">
        <v>8</v>
      </c>
      <c r="G3" s="5" t="s">
        <v>9</v>
      </c>
    </row>
    <row r="4" spans="1:17">
      <c r="A4" s="8" t="s">
        <v>10</v>
      </c>
      <c r="B4" s="9">
        <v>41730</v>
      </c>
      <c r="C4" s="3"/>
      <c r="D4" s="3"/>
      <c r="E4" s="3"/>
      <c r="F4" s="10" t="s">
        <v>11</v>
      </c>
      <c r="G4" s="5" t="s">
        <v>12</v>
      </c>
    </row>
    <row r="5" spans="1:17" ht="15" thickBot="1"/>
    <row r="6" spans="1:17">
      <c r="C6" s="191" t="s">
        <v>197</v>
      </c>
      <c r="D6" s="192"/>
      <c r="E6" s="192"/>
      <c r="F6" s="192"/>
      <c r="G6" s="193"/>
      <c r="H6" s="194" t="s">
        <v>172</v>
      </c>
      <c r="I6" s="194"/>
      <c r="J6" s="194"/>
      <c r="K6" s="194"/>
      <c r="L6" s="195"/>
      <c r="M6" s="195"/>
      <c r="N6" s="195"/>
      <c r="O6" s="195"/>
      <c r="P6" s="195"/>
      <c r="Q6" s="196"/>
    </row>
    <row r="7" spans="1:17" ht="15" thickBot="1">
      <c r="C7" s="197"/>
      <c r="D7" s="198"/>
      <c r="E7" s="199"/>
      <c r="F7" s="199"/>
      <c r="G7" s="200"/>
      <c r="H7" s="201" t="s">
        <v>142</v>
      </c>
      <c r="I7" s="201" t="s">
        <v>143</v>
      </c>
      <c r="J7" s="201" t="s">
        <v>144</v>
      </c>
      <c r="K7" s="201" t="s">
        <v>145</v>
      </c>
      <c r="L7" s="201" t="s">
        <v>146</v>
      </c>
      <c r="M7" s="201" t="s">
        <v>147</v>
      </c>
      <c r="N7" s="201" t="s">
        <v>148</v>
      </c>
      <c r="O7" s="201" t="s">
        <v>149</v>
      </c>
      <c r="P7" s="201" t="s">
        <v>150</v>
      </c>
      <c r="Q7" s="202" t="s">
        <v>151</v>
      </c>
    </row>
    <row r="8" spans="1:17">
      <c r="C8" s="203"/>
      <c r="D8" s="204"/>
      <c r="E8" s="204"/>
      <c r="F8" s="205"/>
      <c r="G8" s="206"/>
      <c r="H8" s="207"/>
      <c r="I8" s="205"/>
      <c r="J8" s="205"/>
      <c r="K8" s="205"/>
      <c r="L8" s="205"/>
      <c r="M8" s="205"/>
      <c r="N8" s="205"/>
      <c r="O8" s="205"/>
      <c r="P8" s="205"/>
      <c r="Q8" s="206"/>
    </row>
    <row r="9" spans="1:17">
      <c r="C9" s="208" t="s">
        <v>100</v>
      </c>
      <c r="D9" s="209"/>
      <c r="E9" s="210"/>
      <c r="F9" s="211"/>
      <c r="G9" s="212"/>
      <c r="H9" s="213">
        <f>'Income Statement'!C149</f>
        <v>810810.84223769675</v>
      </c>
      <c r="I9" s="213">
        <f>'Income Statement'!D149</f>
        <v>3655852.677642744</v>
      </c>
      <c r="J9" s="213">
        <f>'Income Statement'!E149</f>
        <v>8268128.7761458531</v>
      </c>
      <c r="K9" s="213">
        <f>'Income Statement'!F149</f>
        <v>13667346.366035014</v>
      </c>
      <c r="L9" s="213">
        <f>'Income Statement'!G149</f>
        <v>19985223.710774548</v>
      </c>
      <c r="M9" s="213">
        <f>'Income Statement'!H149</f>
        <v>27375898.503827721</v>
      </c>
      <c r="N9" s="213">
        <f>'Income Statement'!I149</f>
        <v>36019810.841939121</v>
      </c>
      <c r="O9" s="213">
        <f>'Income Statement'!J149</f>
        <v>46128268.763489276</v>
      </c>
      <c r="P9" s="213">
        <f>'Income Statement'!K149</f>
        <v>57948817.771930546</v>
      </c>
      <c r="Q9" s="213">
        <f>'Income Statement'!L149</f>
        <v>71771557.564416558</v>
      </c>
    </row>
    <row r="10" spans="1:17">
      <c r="C10" s="208" t="s">
        <v>198</v>
      </c>
      <c r="D10" s="209"/>
      <c r="E10" s="210"/>
      <c r="F10" s="211"/>
      <c r="G10" s="212"/>
      <c r="H10" s="216">
        <f>'Income Statement'!C136+'Income Statement'!C137</f>
        <v>20611.111111111113</v>
      </c>
      <c r="I10" s="216">
        <f>'Income Statement'!D136+'Income Statement'!D137</f>
        <v>20611.111111111113</v>
      </c>
      <c r="J10" s="216">
        <f>'Income Statement'!E136+'Income Statement'!E137</f>
        <v>20611.111111111113</v>
      </c>
      <c r="K10" s="216">
        <f>'Income Statement'!F136+'Income Statement'!F137</f>
        <v>20611.111111111113</v>
      </c>
      <c r="L10" s="216">
        <f>'Income Statement'!G136+'Income Statement'!G137</f>
        <v>20611.111111111113</v>
      </c>
      <c r="M10" s="216">
        <f>'Income Statement'!H136+'Income Statement'!H137</f>
        <v>20611.111111111113</v>
      </c>
      <c r="N10" s="216">
        <f>'Income Statement'!I136+'Income Statement'!I137</f>
        <v>20611.111111111113</v>
      </c>
      <c r="O10" s="216">
        <f>'Income Statement'!J136+'Income Statement'!J137</f>
        <v>20611.111111111113</v>
      </c>
      <c r="P10" s="216">
        <f>'Income Statement'!K136+'Income Statement'!K137</f>
        <v>20611.111111111113</v>
      </c>
      <c r="Q10" s="216">
        <f>'Income Statement'!L136+'Income Statement'!L137</f>
        <v>20611.111111111113</v>
      </c>
    </row>
    <row r="11" spans="1:17" hidden="1">
      <c r="C11" s="208" t="s">
        <v>199</v>
      </c>
      <c r="D11" s="209"/>
      <c r="E11" s="210"/>
      <c r="F11" s="211"/>
      <c r="G11" s="212"/>
      <c r="H11" s="219"/>
      <c r="I11" s="211"/>
      <c r="J11" s="211"/>
      <c r="K11" s="211"/>
      <c r="L11" s="211"/>
      <c r="M11" s="211"/>
      <c r="N11" s="211"/>
      <c r="O11" s="211"/>
      <c r="P11" s="211"/>
      <c r="Q11" s="212"/>
    </row>
    <row r="12" spans="1:17">
      <c r="C12" s="208" t="s">
        <v>200</v>
      </c>
      <c r="D12" s="209"/>
      <c r="E12" s="210"/>
      <c r="F12" s="211"/>
      <c r="G12" s="212"/>
      <c r="H12" s="216">
        <f>0-'Balance Sheet'!H12</f>
        <v>-381000</v>
      </c>
      <c r="I12" s="217">
        <f>'Balance Sheet'!I12-'Balance Sheet'!H12</f>
        <v>0</v>
      </c>
      <c r="J12" s="217">
        <f>'Balance Sheet'!J12-'Balance Sheet'!I12</f>
        <v>0</v>
      </c>
      <c r="K12" s="217">
        <f>'Balance Sheet'!K12-'Balance Sheet'!J12</f>
        <v>0</v>
      </c>
      <c r="L12" s="217">
        <f>'Balance Sheet'!L12-'Balance Sheet'!K12</f>
        <v>0</v>
      </c>
      <c r="M12" s="217">
        <f>'Balance Sheet'!M12-'Balance Sheet'!L12</f>
        <v>0</v>
      </c>
      <c r="N12" s="217">
        <f>'Balance Sheet'!N12-'Balance Sheet'!M12</f>
        <v>0</v>
      </c>
      <c r="O12" s="217">
        <f>'Balance Sheet'!O12-'Balance Sheet'!N12</f>
        <v>0</v>
      </c>
      <c r="P12" s="217">
        <f>'Balance Sheet'!P12-'Balance Sheet'!O12</f>
        <v>0</v>
      </c>
      <c r="Q12" s="217">
        <f>'Balance Sheet'!Q12-'Balance Sheet'!P12</f>
        <v>0</v>
      </c>
    </row>
    <row r="13" spans="1:17" hidden="1">
      <c r="C13" s="208" t="s">
        <v>201</v>
      </c>
      <c r="D13" s="209"/>
      <c r="E13" s="210"/>
      <c r="F13" s="211"/>
      <c r="G13" s="212"/>
      <c r="H13" s="219"/>
      <c r="I13" s="211"/>
      <c r="J13" s="211"/>
      <c r="K13" s="211"/>
      <c r="L13" s="211"/>
      <c r="M13" s="211"/>
      <c r="N13" s="211"/>
      <c r="O13" s="211"/>
      <c r="P13" s="211"/>
      <c r="Q13" s="212"/>
    </row>
    <row r="14" spans="1:17" hidden="1">
      <c r="C14" s="208" t="s">
        <v>202</v>
      </c>
      <c r="D14" s="209"/>
      <c r="E14" s="210"/>
      <c r="F14" s="211"/>
      <c r="G14" s="212"/>
      <c r="H14" s="219"/>
      <c r="I14" s="211"/>
      <c r="J14" s="211"/>
      <c r="K14" s="211"/>
      <c r="L14" s="211"/>
      <c r="M14" s="211"/>
      <c r="N14" s="211"/>
      <c r="O14" s="211"/>
      <c r="P14" s="211"/>
      <c r="Q14" s="212"/>
    </row>
    <row r="15" spans="1:17" hidden="1">
      <c r="C15" s="208"/>
      <c r="D15" s="209"/>
      <c r="E15" s="210"/>
      <c r="F15" s="211"/>
      <c r="G15" s="212"/>
      <c r="H15" s="219"/>
      <c r="I15" s="211"/>
      <c r="J15" s="211"/>
      <c r="K15" s="211"/>
      <c r="L15" s="211"/>
      <c r="M15" s="211"/>
      <c r="N15" s="211"/>
      <c r="O15" s="211"/>
      <c r="P15" s="211"/>
      <c r="Q15" s="212"/>
    </row>
    <row r="16" spans="1:17" hidden="1">
      <c r="C16" s="208" t="s">
        <v>203</v>
      </c>
      <c r="D16" s="209"/>
      <c r="E16" s="210"/>
      <c r="F16" s="211"/>
      <c r="G16" s="212"/>
      <c r="H16" s="219"/>
      <c r="I16" s="211"/>
      <c r="J16" s="211"/>
      <c r="K16" s="211"/>
      <c r="L16" s="211"/>
      <c r="M16" s="211"/>
      <c r="N16" s="211"/>
      <c r="O16" s="211"/>
      <c r="P16" s="211"/>
      <c r="Q16" s="212"/>
    </row>
    <row r="17" spans="3:17">
      <c r="C17" s="220" t="s">
        <v>204</v>
      </c>
      <c r="D17" s="210"/>
      <c r="E17" s="210"/>
      <c r="F17" s="211"/>
      <c r="G17" s="212"/>
      <c r="H17" s="213">
        <f>H9+H10+H12</f>
        <v>450421.95334880787</v>
      </c>
      <c r="I17" s="214">
        <f t="shared" ref="I17:P17" si="0">I9+I10+I12</f>
        <v>3676463.788753855</v>
      </c>
      <c r="J17" s="214">
        <f t="shared" si="0"/>
        <v>8288739.8872569641</v>
      </c>
      <c r="K17" s="214">
        <f>K9+K10+K12</f>
        <v>13687957.477146126</v>
      </c>
      <c r="L17" s="214">
        <f t="shared" si="0"/>
        <v>20005834.82188566</v>
      </c>
      <c r="M17" s="214">
        <f t="shared" si="0"/>
        <v>27396509.614938833</v>
      </c>
      <c r="N17" s="214">
        <f>N9+N10+N12</f>
        <v>36040421.953050233</v>
      </c>
      <c r="O17" s="214">
        <f t="shared" si="0"/>
        <v>46148879.874600388</v>
      </c>
      <c r="P17" s="214">
        <f t="shared" si="0"/>
        <v>57969428.883041658</v>
      </c>
      <c r="Q17" s="215">
        <f>Q9+Q10+Q12</f>
        <v>71792168.675527662</v>
      </c>
    </row>
    <row r="18" spans="3:17">
      <c r="C18" s="221"/>
      <c r="D18" s="210"/>
      <c r="E18" s="210"/>
      <c r="F18" s="211"/>
      <c r="G18" s="212"/>
      <c r="H18" s="219"/>
      <c r="I18" s="211"/>
      <c r="J18" s="211"/>
      <c r="K18" s="211"/>
      <c r="L18" s="211"/>
      <c r="M18" s="211"/>
      <c r="N18" s="211"/>
      <c r="O18" s="211"/>
      <c r="P18" s="211"/>
      <c r="Q18" s="212"/>
    </row>
    <row r="19" spans="3:17">
      <c r="C19" s="221"/>
      <c r="D19" s="210"/>
      <c r="E19" s="210"/>
      <c r="F19" s="211"/>
      <c r="G19" s="212"/>
      <c r="H19" s="219"/>
      <c r="I19" s="211"/>
      <c r="J19" s="211"/>
      <c r="K19" s="211"/>
      <c r="L19" s="211"/>
      <c r="M19" s="211"/>
      <c r="N19" s="211"/>
      <c r="O19" s="211"/>
      <c r="P19" s="211"/>
      <c r="Q19" s="212"/>
    </row>
    <row r="20" spans="3:17">
      <c r="C20" s="221" t="s">
        <v>205</v>
      </c>
      <c r="D20" s="210"/>
      <c r="E20" s="210"/>
      <c r="F20" s="211"/>
      <c r="G20" s="212"/>
      <c r="H20" s="216">
        <f>-'Depreciation Schedule'!G9</f>
        <v>-206111.11111111112</v>
      </c>
      <c r="I20" s="217">
        <v>0</v>
      </c>
      <c r="J20" s="217">
        <v>0</v>
      </c>
      <c r="K20" s="217">
        <v>0</v>
      </c>
      <c r="L20" s="217">
        <v>0</v>
      </c>
      <c r="M20" s="217">
        <v>0</v>
      </c>
      <c r="N20" s="217">
        <v>0</v>
      </c>
      <c r="O20" s="217">
        <v>0</v>
      </c>
      <c r="P20" s="217">
        <v>0</v>
      </c>
      <c r="Q20" s="218">
        <v>0</v>
      </c>
    </row>
    <row r="21" spans="3:17" hidden="1">
      <c r="C21" s="221" t="s">
        <v>206</v>
      </c>
      <c r="D21" s="210"/>
      <c r="E21" s="210"/>
      <c r="F21" s="211"/>
      <c r="G21" s="212"/>
      <c r="H21" s="219"/>
      <c r="I21" s="211"/>
      <c r="J21" s="211"/>
      <c r="K21" s="211"/>
      <c r="L21" s="211"/>
      <c r="M21" s="211"/>
      <c r="N21" s="211"/>
      <c r="O21" s="211"/>
      <c r="P21" s="211"/>
      <c r="Q21" s="212"/>
    </row>
    <row r="22" spans="3:17">
      <c r="C22" s="220" t="s">
        <v>207</v>
      </c>
      <c r="D22" s="222"/>
      <c r="E22" s="210"/>
      <c r="F22" s="211"/>
      <c r="G22" s="212"/>
      <c r="H22" s="216">
        <f>H20</f>
        <v>-206111.11111111112</v>
      </c>
      <c r="I22" s="217">
        <f t="shared" ref="I22:Q22" si="1">I20</f>
        <v>0</v>
      </c>
      <c r="J22" s="217">
        <f t="shared" si="1"/>
        <v>0</v>
      </c>
      <c r="K22" s="217">
        <f t="shared" si="1"/>
        <v>0</v>
      </c>
      <c r="L22" s="217">
        <f t="shared" si="1"/>
        <v>0</v>
      </c>
      <c r="M22" s="217">
        <f t="shared" si="1"/>
        <v>0</v>
      </c>
      <c r="N22" s="217">
        <f t="shared" si="1"/>
        <v>0</v>
      </c>
      <c r="O22" s="217">
        <f t="shared" si="1"/>
        <v>0</v>
      </c>
      <c r="P22" s="217">
        <f t="shared" si="1"/>
        <v>0</v>
      </c>
      <c r="Q22" s="218">
        <f t="shared" si="1"/>
        <v>0</v>
      </c>
    </row>
    <row r="23" spans="3:17">
      <c r="C23" s="221"/>
      <c r="D23" s="222"/>
      <c r="E23" s="210"/>
      <c r="F23" s="211"/>
      <c r="G23" s="212"/>
      <c r="H23" s="219"/>
      <c r="I23" s="211"/>
      <c r="J23" s="211"/>
      <c r="K23" s="211"/>
      <c r="L23" s="211"/>
      <c r="M23" s="211"/>
      <c r="N23" s="211"/>
      <c r="O23" s="211"/>
      <c r="P23" s="211"/>
      <c r="Q23" s="212"/>
    </row>
    <row r="24" spans="3:17">
      <c r="C24" s="221" t="s">
        <v>208</v>
      </c>
      <c r="D24" s="210"/>
      <c r="E24" s="210"/>
      <c r="F24" s="211"/>
      <c r="G24" s="212"/>
      <c r="H24" s="223">
        <f>'Loan Repayment Schedule'!H13</f>
        <v>537111.11111111112</v>
      </c>
      <c r="I24" s="224">
        <v>0</v>
      </c>
      <c r="J24" s="224">
        <v>0</v>
      </c>
      <c r="K24" s="224">
        <v>0</v>
      </c>
      <c r="L24" s="224">
        <v>0</v>
      </c>
      <c r="M24" s="224">
        <v>0</v>
      </c>
      <c r="N24" s="224">
        <v>0</v>
      </c>
      <c r="O24" s="224">
        <v>0</v>
      </c>
      <c r="P24" s="224">
        <v>0</v>
      </c>
      <c r="Q24" s="225">
        <v>0</v>
      </c>
    </row>
    <row r="25" spans="3:17">
      <c r="C25" s="221" t="s">
        <v>209</v>
      </c>
      <c r="D25" s="210"/>
      <c r="E25" s="210"/>
      <c r="F25" s="211"/>
      <c r="G25" s="212"/>
      <c r="H25" s="223">
        <f>-'Loan Repayment Schedule'!H25</f>
        <v>-25098.164527712634</v>
      </c>
      <c r="I25" s="223">
        <f>-'Loan Repayment Schedule'!I25</f>
        <v>-29132.807862097565</v>
      </c>
      <c r="J25" s="223">
        <f>-'Loan Repayment Schedule'!J25</f>
        <v>-33816.038339885847</v>
      </c>
      <c r="K25" s="223">
        <f>-'Loan Repayment Schedule'!K25</f>
        <v>-39252.119274516655</v>
      </c>
      <c r="L25" s="223">
        <f>-'Loan Repayment Schedule'!L25</f>
        <v>-45562.074778097201</v>
      </c>
      <c r="M25" s="223">
        <f>-'Loan Repayment Schedule'!M25</f>
        <v>-52886.384135509405</v>
      </c>
      <c r="N25" s="223">
        <f>-'Loan Repayment Schedule'!N25</f>
        <v>-61388.109311326472</v>
      </c>
      <c r="O25" s="223">
        <f>-'Loan Repayment Schedule'!O25</f>
        <v>-71256.525217595481</v>
      </c>
      <c r="P25" s="223">
        <f>-'Loan Repayment Schedule'!P25</f>
        <v>-82711.333563566732</v>
      </c>
      <c r="Q25" s="223">
        <f>-'Loan Repayment Schedule'!Q25</f>
        <v>-96007.554100804002</v>
      </c>
    </row>
    <row r="26" spans="3:17" hidden="1">
      <c r="C26" s="221" t="s">
        <v>210</v>
      </c>
      <c r="D26" s="210"/>
      <c r="E26" s="210"/>
      <c r="F26" s="211"/>
      <c r="G26" s="212"/>
      <c r="H26" s="219"/>
      <c r="I26" s="211"/>
      <c r="J26" s="211"/>
      <c r="K26" s="211"/>
      <c r="L26" s="211"/>
      <c r="M26" s="211"/>
      <c r="N26" s="211"/>
      <c r="O26" s="211"/>
      <c r="P26" s="211"/>
      <c r="Q26" s="212"/>
    </row>
    <row r="27" spans="3:17">
      <c r="C27" s="208" t="s">
        <v>211</v>
      </c>
      <c r="D27" s="210"/>
      <c r="E27" s="210"/>
      <c r="F27" s="211"/>
      <c r="G27" s="212"/>
      <c r="H27" s="226">
        <f>'Balance Sheet'!H35</f>
        <v>50000</v>
      </c>
      <c r="I27" s="227">
        <v>0</v>
      </c>
      <c r="J27" s="227">
        <v>0</v>
      </c>
      <c r="K27" s="227">
        <v>0</v>
      </c>
      <c r="L27" s="227">
        <v>0</v>
      </c>
      <c r="M27" s="227">
        <v>0</v>
      </c>
      <c r="N27" s="227">
        <v>0</v>
      </c>
      <c r="O27" s="227">
        <v>0</v>
      </c>
      <c r="P27" s="227">
        <v>0</v>
      </c>
      <c r="Q27" s="228">
        <v>0</v>
      </c>
    </row>
    <row r="28" spans="3:17">
      <c r="C28" s="208" t="s">
        <v>212</v>
      </c>
      <c r="D28" s="210"/>
      <c r="E28" s="210"/>
      <c r="F28" s="211"/>
      <c r="G28" s="212"/>
      <c r="H28" s="216">
        <v>0</v>
      </c>
      <c r="I28" s="217">
        <v>0</v>
      </c>
      <c r="J28" s="217">
        <v>0</v>
      </c>
      <c r="K28" s="217">
        <v>0</v>
      </c>
      <c r="L28" s="217">
        <v>0</v>
      </c>
      <c r="M28" s="217">
        <v>0</v>
      </c>
      <c r="N28" s="217">
        <v>0</v>
      </c>
      <c r="O28" s="217">
        <v>0</v>
      </c>
      <c r="P28" s="217">
        <v>0</v>
      </c>
      <c r="Q28" s="218">
        <v>0</v>
      </c>
    </row>
    <row r="29" spans="3:17" hidden="1">
      <c r="C29" s="221" t="s">
        <v>213</v>
      </c>
      <c r="D29" s="210"/>
      <c r="E29" s="210"/>
      <c r="F29" s="211"/>
      <c r="G29" s="212"/>
      <c r="H29" s="219"/>
      <c r="I29" s="211"/>
      <c r="J29" s="211"/>
      <c r="K29" s="211"/>
      <c r="L29" s="211"/>
      <c r="M29" s="211"/>
      <c r="N29" s="211"/>
      <c r="O29" s="211"/>
      <c r="P29" s="211"/>
      <c r="Q29" s="212"/>
    </row>
    <row r="30" spans="3:17">
      <c r="C30" s="220" t="s">
        <v>214</v>
      </c>
      <c r="D30" s="210"/>
      <c r="E30" s="210"/>
      <c r="F30" s="211"/>
      <c r="G30" s="212"/>
      <c r="H30" s="226">
        <f>SUM(H24:H29)</f>
        <v>562012.9465833985</v>
      </c>
      <c r="I30" s="227">
        <f t="shared" ref="I30:K30" si="2">SUM(I24:I29)</f>
        <v>-29132.807862097565</v>
      </c>
      <c r="J30" s="227">
        <f t="shared" si="2"/>
        <v>-33816.038339885847</v>
      </c>
      <c r="K30" s="227">
        <f t="shared" si="2"/>
        <v>-39252.119274516655</v>
      </c>
      <c r="L30" s="227">
        <f>SUM(L24:L29)</f>
        <v>-45562.074778097201</v>
      </c>
      <c r="M30" s="227">
        <f t="shared" ref="M30" si="3">SUM(M24:M29)</f>
        <v>-52886.384135509405</v>
      </c>
      <c r="N30" s="227">
        <f>SUM(N24:N29)</f>
        <v>-61388.109311326472</v>
      </c>
      <c r="O30" s="227">
        <f t="shared" ref="O30:Q30" si="4">SUM(O24:O29)</f>
        <v>-71256.525217595481</v>
      </c>
      <c r="P30" s="227">
        <f t="shared" si="4"/>
        <v>-82711.333563566732</v>
      </c>
      <c r="Q30" s="228">
        <f t="shared" si="4"/>
        <v>-96007.554100804002</v>
      </c>
    </row>
    <row r="31" spans="3:17">
      <c r="C31" s="221"/>
      <c r="D31" s="210"/>
      <c r="E31" s="210"/>
      <c r="F31" s="211"/>
      <c r="G31" s="212"/>
      <c r="H31" s="219"/>
      <c r="I31" s="211"/>
      <c r="J31" s="211"/>
      <c r="K31" s="211"/>
      <c r="L31" s="211"/>
      <c r="M31" s="211"/>
      <c r="N31" s="211"/>
      <c r="O31" s="211"/>
      <c r="P31" s="211"/>
      <c r="Q31" s="212"/>
    </row>
    <row r="32" spans="3:17">
      <c r="C32" s="220" t="s">
        <v>215</v>
      </c>
      <c r="D32" s="210"/>
      <c r="E32" s="210"/>
      <c r="F32" s="211"/>
      <c r="G32" s="212"/>
      <c r="H32" s="213">
        <f t="shared" ref="H32:Q32" si="5">H17+H22+H30</f>
        <v>806323.78882109525</v>
      </c>
      <c r="I32" s="214">
        <f t="shared" si="5"/>
        <v>3647330.9808917576</v>
      </c>
      <c r="J32" s="214">
        <f t="shared" si="5"/>
        <v>8254923.8489170782</v>
      </c>
      <c r="K32" s="214">
        <f t="shared" si="5"/>
        <v>13648705.357871609</v>
      </c>
      <c r="L32" s="214">
        <f t="shared" si="5"/>
        <v>19960272.747107562</v>
      </c>
      <c r="M32" s="214">
        <f t="shared" si="5"/>
        <v>27343623.230803322</v>
      </c>
      <c r="N32" s="214">
        <f t="shared" si="5"/>
        <v>35979033.843738906</v>
      </c>
      <c r="O32" s="214">
        <f t="shared" si="5"/>
        <v>46077623.349382795</v>
      </c>
      <c r="P32" s="214">
        <f t="shared" si="5"/>
        <v>57886717.549478091</v>
      </c>
      <c r="Q32" s="215">
        <f t="shared" si="5"/>
        <v>71696161.121426865</v>
      </c>
    </row>
    <row r="33" spans="3:17">
      <c r="C33" s="229"/>
      <c r="D33" s="230"/>
      <c r="E33" s="230"/>
      <c r="F33" s="211"/>
      <c r="G33" s="212"/>
      <c r="H33" s="219"/>
      <c r="I33" s="211"/>
      <c r="J33" s="211"/>
      <c r="K33" s="211"/>
      <c r="L33" s="211"/>
      <c r="M33" s="211"/>
      <c r="N33" s="211"/>
      <c r="O33" s="211"/>
      <c r="P33" s="211"/>
      <c r="Q33" s="212"/>
    </row>
    <row r="34" spans="3:17">
      <c r="C34" s="231" t="s">
        <v>216</v>
      </c>
      <c r="D34" s="230"/>
      <c r="E34" s="230"/>
      <c r="F34" s="211"/>
      <c r="G34" s="212"/>
      <c r="H34" s="219">
        <v>0</v>
      </c>
      <c r="I34" s="214">
        <f>H36</f>
        <v>806323.78882109525</v>
      </c>
      <c r="J34" s="214">
        <f t="shared" ref="J34:Q34" si="6">I36</f>
        <v>4453654.7697128532</v>
      </c>
      <c r="K34" s="214">
        <f t="shared" si="6"/>
        <v>12708578.618629932</v>
      </c>
      <c r="L34" s="214">
        <f t="shared" si="6"/>
        <v>26357283.976501539</v>
      </c>
      <c r="M34" s="214">
        <f t="shared" si="6"/>
        <v>46317556.723609105</v>
      </c>
      <c r="N34" s="214">
        <f t="shared" si="6"/>
        <v>73661179.954412431</v>
      </c>
      <c r="O34" s="214">
        <f t="shared" si="6"/>
        <v>109640213.79815134</v>
      </c>
      <c r="P34" s="214">
        <f t="shared" si="6"/>
        <v>155717837.14753413</v>
      </c>
      <c r="Q34" s="215">
        <f t="shared" si="6"/>
        <v>213604554.69701222</v>
      </c>
    </row>
    <row r="35" spans="3:17">
      <c r="C35" s="232"/>
      <c r="D35" s="230"/>
      <c r="E35" s="230"/>
      <c r="F35" s="211"/>
      <c r="G35" s="212"/>
      <c r="H35" s="219"/>
      <c r="I35" s="211"/>
      <c r="J35" s="211"/>
      <c r="K35" s="211"/>
      <c r="L35" s="211"/>
      <c r="M35" s="211"/>
      <c r="N35" s="211"/>
      <c r="O35" s="211"/>
      <c r="P35" s="211"/>
      <c r="Q35" s="212"/>
    </row>
    <row r="36" spans="3:17" ht="15" thickBot="1">
      <c r="C36" s="233" t="s">
        <v>133</v>
      </c>
      <c r="D36" s="234"/>
      <c r="E36" s="234"/>
      <c r="F36" s="235"/>
      <c r="G36" s="236"/>
      <c r="H36" s="237">
        <f>H32-H34</f>
        <v>806323.78882109525</v>
      </c>
      <c r="I36" s="238">
        <f>I32+I34</f>
        <v>4453654.7697128532</v>
      </c>
      <c r="J36" s="238">
        <f t="shared" ref="J36:Q36" si="7">J32+J34</f>
        <v>12708578.618629932</v>
      </c>
      <c r="K36" s="238">
        <f t="shared" si="7"/>
        <v>26357283.976501539</v>
      </c>
      <c r="L36" s="238">
        <f t="shared" si="7"/>
        <v>46317556.723609105</v>
      </c>
      <c r="M36" s="238">
        <f t="shared" si="7"/>
        <v>73661179.954412431</v>
      </c>
      <c r="N36" s="238">
        <f t="shared" si="7"/>
        <v>109640213.79815134</v>
      </c>
      <c r="O36" s="238">
        <f t="shared" si="7"/>
        <v>155717837.14753413</v>
      </c>
      <c r="P36" s="238">
        <f t="shared" si="7"/>
        <v>213604554.69701222</v>
      </c>
      <c r="Q36" s="239">
        <f t="shared" si="7"/>
        <v>285300715.81843907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93C7-B573-418A-9B73-3E97F1B8711C}">
  <dimension ref="A1:S30"/>
  <sheetViews>
    <sheetView workbookViewId="0">
      <selection activeCell="G21" sqref="G21"/>
    </sheetView>
  </sheetViews>
  <sheetFormatPr defaultColWidth="8.88671875" defaultRowHeight="14.4"/>
  <cols>
    <col min="3" max="3" width="24" customWidth="1"/>
    <col min="4" max="4" width="14.5546875" bestFit="1" customWidth="1"/>
    <col min="5" max="5" width="11.5546875" customWidth="1"/>
    <col min="6" max="6" width="18.5546875" customWidth="1"/>
    <col min="7" max="7" width="13" customWidth="1"/>
    <col min="8" max="8" width="12.44140625" customWidth="1"/>
    <col min="9" max="9" width="16" bestFit="1" customWidth="1"/>
    <col min="10" max="10" width="14.6640625" bestFit="1" customWidth="1"/>
    <col min="11" max="11" width="18.5546875" bestFit="1" customWidth="1"/>
    <col min="12" max="15" width="14.6640625" bestFit="1" customWidth="1"/>
    <col min="16" max="16" width="15.6640625" bestFit="1" customWidth="1"/>
    <col min="17" max="17" width="12" bestFit="1" customWidth="1"/>
    <col min="18" max="18" width="19.109375" bestFit="1" customWidth="1"/>
  </cols>
  <sheetData>
    <row r="1" spans="1:1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  <c r="H1" s="240"/>
      <c r="I1" s="240"/>
      <c r="K1" s="241" t="s">
        <v>217</v>
      </c>
      <c r="L1" s="242">
        <v>0.15</v>
      </c>
    </row>
    <row r="2" spans="1:17">
      <c r="A2" s="1" t="s">
        <v>3</v>
      </c>
      <c r="B2" s="2" t="str">
        <f>'Table of Contents'!B2</f>
        <v>Krishnamurthy Bindumadhavan</v>
      </c>
      <c r="C2" s="3"/>
      <c r="D2" s="3"/>
      <c r="E2" s="3"/>
      <c r="F2" s="6" t="s">
        <v>4</v>
      </c>
      <c r="G2" s="5" t="s">
        <v>5</v>
      </c>
      <c r="H2" s="243"/>
      <c r="I2" s="243"/>
      <c r="K2" s="244" t="s">
        <v>218</v>
      </c>
      <c r="L2" s="245">
        <v>0.03</v>
      </c>
    </row>
    <row r="3" spans="1:17" ht="15" thickBot="1">
      <c r="A3" s="1" t="s">
        <v>6</v>
      </c>
      <c r="B3" s="2" t="s">
        <v>87</v>
      </c>
      <c r="C3" s="3"/>
      <c r="D3" s="3"/>
      <c r="E3" s="3"/>
      <c r="F3" s="7" t="s">
        <v>8</v>
      </c>
      <c r="G3" s="5" t="s">
        <v>9</v>
      </c>
      <c r="H3" s="246"/>
      <c r="I3" s="246"/>
      <c r="K3" s="247" t="s">
        <v>219</v>
      </c>
      <c r="L3" s="248" t="str">
        <f>IF('[2]Assumptions(Ops)'!C53=1, "Yes", "No")</f>
        <v>No</v>
      </c>
    </row>
    <row r="4" spans="1:17">
      <c r="A4" s="8" t="s">
        <v>10</v>
      </c>
      <c r="B4" s="9">
        <v>46033</v>
      </c>
      <c r="C4" s="3"/>
      <c r="D4" s="3"/>
      <c r="E4" s="3"/>
      <c r="F4" s="10" t="s">
        <v>11</v>
      </c>
      <c r="G4" s="5" t="s">
        <v>12</v>
      </c>
      <c r="H4" s="249"/>
      <c r="I4" s="249"/>
    </row>
    <row r="7" spans="1:17" ht="15" thickBot="1">
      <c r="G7">
        <v>0</v>
      </c>
      <c r="H7">
        <v>1</v>
      </c>
      <c r="I7">
        <f t="shared" ref="I7:Q7" si="0">H7+1</f>
        <v>2</v>
      </c>
      <c r="J7">
        <f t="shared" si="0"/>
        <v>3</v>
      </c>
      <c r="K7">
        <f t="shared" si="0"/>
        <v>4</v>
      </c>
      <c r="L7">
        <f t="shared" si="0"/>
        <v>5</v>
      </c>
      <c r="M7">
        <f t="shared" si="0"/>
        <v>6</v>
      </c>
      <c r="N7">
        <f t="shared" si="0"/>
        <v>7</v>
      </c>
      <c r="O7">
        <f t="shared" si="0"/>
        <v>8</v>
      </c>
      <c r="P7">
        <f t="shared" si="0"/>
        <v>9</v>
      </c>
      <c r="Q7">
        <f t="shared" si="0"/>
        <v>10</v>
      </c>
    </row>
    <row r="8" spans="1:17">
      <c r="C8" s="250" t="s">
        <v>220</v>
      </c>
      <c r="D8" s="251"/>
      <c r="E8" s="251"/>
      <c r="F8" s="252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3"/>
    </row>
    <row r="9" spans="1:17" ht="15" thickBot="1">
      <c r="C9" s="254" t="s">
        <v>221</v>
      </c>
      <c r="D9" s="255"/>
      <c r="E9" s="255"/>
      <c r="F9" s="256"/>
      <c r="G9" s="257" t="s">
        <v>222</v>
      </c>
      <c r="H9" s="201" t="s">
        <v>142</v>
      </c>
      <c r="I9" s="201" t="s">
        <v>143</v>
      </c>
      <c r="J9" s="201" t="s">
        <v>144</v>
      </c>
      <c r="K9" s="201" t="s">
        <v>145</v>
      </c>
      <c r="L9" s="201" t="s">
        <v>146</v>
      </c>
      <c r="M9" s="201" t="s">
        <v>147</v>
      </c>
      <c r="N9" s="201" t="s">
        <v>148</v>
      </c>
      <c r="O9" s="201" t="s">
        <v>149</v>
      </c>
      <c r="P9" s="201" t="s">
        <v>150</v>
      </c>
      <c r="Q9" s="202" t="s">
        <v>151</v>
      </c>
    </row>
    <row r="10" spans="1:17" ht="15" hidden="1" thickBot="1">
      <c r="C10" s="258"/>
      <c r="D10" s="259"/>
      <c r="E10" s="259"/>
      <c r="F10" s="260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2"/>
    </row>
    <row r="11" spans="1:17" ht="15" hidden="1" thickBot="1">
      <c r="C11" s="263" t="s">
        <v>223</v>
      </c>
      <c r="D11" s="259"/>
      <c r="E11" s="259"/>
      <c r="F11" s="264"/>
      <c r="G11" s="265"/>
      <c r="H11" s="265">
        <f>'[2]Preferred Investment'!F17</f>
        <v>8000000</v>
      </c>
      <c r="I11" s="265">
        <f>'[2]Preferred Investment'!G17</f>
        <v>0</v>
      </c>
      <c r="J11" s="265">
        <f>'[2]Preferred Investment'!H17</f>
        <v>0</v>
      </c>
      <c r="K11" s="265">
        <f>'[2]Preferred Investment'!I17</f>
        <v>0</v>
      </c>
      <c r="L11" s="265">
        <f>'[2]Preferred Investment'!J17</f>
        <v>0</v>
      </c>
      <c r="M11" s="265">
        <f>'[2]Preferred Investment'!K17</f>
        <v>0</v>
      </c>
      <c r="N11" s="265">
        <f>'[2]Preferred Investment'!L17</f>
        <v>0</v>
      </c>
      <c r="O11" s="265">
        <f>'[2]Preferred Investment'!M17</f>
        <v>0</v>
      </c>
      <c r="P11" s="265">
        <f>'[2]Preferred Investment'!N17</f>
        <v>0</v>
      </c>
      <c r="Q11" s="266">
        <f>'[2]Preferred Investment'!BM17</f>
        <v>0</v>
      </c>
    </row>
    <row r="12" spans="1:17">
      <c r="C12" s="267" t="s">
        <v>224</v>
      </c>
      <c r="D12" s="205"/>
      <c r="E12" s="205"/>
      <c r="F12" s="268"/>
      <c r="G12" s="269">
        <v>0</v>
      </c>
      <c r="H12" s="270">
        <f>'Income Statement'!C147</f>
        <v>810810.84223769675</v>
      </c>
      <c r="I12" s="270">
        <f>'Income Statement'!D147</f>
        <v>2845041.8354050471</v>
      </c>
      <c r="J12" s="270">
        <f>'Income Statement'!E147</f>
        <v>4612276.0985031091</v>
      </c>
      <c r="K12" s="270">
        <f>'Income Statement'!F147</f>
        <v>5399217.5898891622</v>
      </c>
      <c r="L12" s="270">
        <f>'Income Statement'!G147</f>
        <v>6317877.3447395358</v>
      </c>
      <c r="M12" s="270">
        <f>'Income Statement'!H147</f>
        <v>7390674.7930531716</v>
      </c>
      <c r="N12" s="270">
        <f>'Income Statement'!I147</f>
        <v>8643912.3381114043</v>
      </c>
      <c r="O12" s="270">
        <f>'Income Statement'!J147</f>
        <v>10108457.921550157</v>
      </c>
      <c r="P12" s="270">
        <f>'Income Statement'!K147</f>
        <v>11820549.008441273</v>
      </c>
      <c r="Q12" s="270">
        <f>'Income Statement'!L147</f>
        <v>13822739.792486019</v>
      </c>
    </row>
    <row r="13" spans="1:17">
      <c r="C13" s="271" t="s">
        <v>129</v>
      </c>
      <c r="D13" s="211"/>
      <c r="E13" s="211"/>
      <c r="F13" s="272"/>
      <c r="G13" s="273">
        <v>0</v>
      </c>
      <c r="H13" s="274">
        <f>'Depreciation Schedule'!G10</f>
        <v>20611.111111111113</v>
      </c>
      <c r="I13" s="274">
        <f>'Depreciation Schedule'!H10</f>
        <v>20611.111111111113</v>
      </c>
      <c r="J13" s="274">
        <f>'Depreciation Schedule'!I10</f>
        <v>20611.111111111113</v>
      </c>
      <c r="K13" s="274">
        <f>'Depreciation Schedule'!J10</f>
        <v>20611.111111111113</v>
      </c>
      <c r="L13" s="274">
        <f>'Depreciation Schedule'!K10</f>
        <v>20611.111111111113</v>
      </c>
      <c r="M13" s="274">
        <f>'Depreciation Schedule'!L10</f>
        <v>20611.111111111113</v>
      </c>
      <c r="N13" s="274">
        <f>'Depreciation Schedule'!M10</f>
        <v>20611.111111111113</v>
      </c>
      <c r="O13" s="274">
        <f>'Depreciation Schedule'!N10</f>
        <v>20611.111111111113</v>
      </c>
      <c r="P13" s="274">
        <f>'Depreciation Schedule'!O10</f>
        <v>20611.111111111113</v>
      </c>
      <c r="Q13" s="274">
        <f>'Depreciation Schedule'!P10</f>
        <v>20611.111111111113</v>
      </c>
    </row>
    <row r="14" spans="1:17">
      <c r="C14" s="271" t="s">
        <v>225</v>
      </c>
      <c r="D14" s="211"/>
      <c r="E14" s="211"/>
      <c r="F14" s="276"/>
      <c r="G14" s="277">
        <f>SUM('Balance Sheet'!H11:H13)-'Balance Sheet'!H27</f>
        <v>381000</v>
      </c>
      <c r="H14" s="224">
        <f>(SUM('Balance Sheet'!H11:H13)-'Balance Sheet'!H27)-G14</f>
        <v>0</v>
      </c>
      <c r="I14" s="278">
        <f>(SUM('Balance Sheet'!I11:I13)-'Balance Sheet'!I27)-(SUM('Balance Sheet'!H11:H13)-'Balance Sheet'!H27)</f>
        <v>0</v>
      </c>
      <c r="J14" s="278">
        <f>(SUM('[1]Balance Sheet'!J11:J13)-'[1]Balance Sheet'!J27)-(SUM('[1]Balance Sheet'!I11:I13)-'[1]Balance Sheet'!I27)</f>
        <v>0</v>
      </c>
      <c r="K14" s="278">
        <f>(SUM('[1]Balance Sheet'!K11:K13)-'[1]Balance Sheet'!K27)-(SUM('[1]Balance Sheet'!J11:J13)-'[1]Balance Sheet'!J27)</f>
        <v>0</v>
      </c>
      <c r="L14" s="278">
        <f>(SUM('[1]Balance Sheet'!L11:L13)-'[1]Balance Sheet'!L27)-(SUM('[1]Balance Sheet'!K11:K13)-'[1]Balance Sheet'!K27)</f>
        <v>0</v>
      </c>
      <c r="M14" s="278">
        <f>(SUM('[1]Balance Sheet'!M11:M13)-'[1]Balance Sheet'!M27)-(SUM('[1]Balance Sheet'!L11:L13)-'[1]Balance Sheet'!L27)</f>
        <v>0</v>
      </c>
      <c r="N14" s="278">
        <f>(SUM('[1]Balance Sheet'!N11:N13)-'[1]Balance Sheet'!N27)-(SUM('[1]Balance Sheet'!M11:M13)-'[1]Balance Sheet'!M27)</f>
        <v>0</v>
      </c>
      <c r="O14" s="278">
        <f>(SUM('[1]Balance Sheet'!O11:O13)-'[1]Balance Sheet'!O27)-(SUM('[1]Balance Sheet'!N11:N13)-'[1]Balance Sheet'!N27)</f>
        <v>0</v>
      </c>
      <c r="P14" s="278">
        <f>(SUM('[1]Balance Sheet'!P11:P13)-'[1]Balance Sheet'!P27)-(SUM('[1]Balance Sheet'!O11:O13)-'[1]Balance Sheet'!O27)</f>
        <v>0</v>
      </c>
      <c r="Q14" s="279">
        <f>(SUM('[1]Balance Sheet'!Q11:Q13)-'[1]Balance Sheet'!Q27)-(SUM('[1]Balance Sheet'!P11:P13)-'[1]Balance Sheet'!P27)</f>
        <v>0</v>
      </c>
    </row>
    <row r="15" spans="1:17">
      <c r="C15" s="271" t="s">
        <v>226</v>
      </c>
      <c r="D15" s="211"/>
      <c r="E15" s="211"/>
      <c r="F15" s="280"/>
      <c r="G15" s="281">
        <f>'Depreciation Schedule'!G9</f>
        <v>206111.11111111112</v>
      </c>
      <c r="H15" s="274">
        <v>0</v>
      </c>
      <c r="I15" s="274">
        <v>0</v>
      </c>
      <c r="J15" s="274">
        <v>0</v>
      </c>
      <c r="K15" s="274">
        <v>0</v>
      </c>
      <c r="L15" s="274">
        <v>0</v>
      </c>
      <c r="M15" s="274">
        <v>0</v>
      </c>
      <c r="N15" s="274">
        <v>0</v>
      </c>
      <c r="O15" s="274">
        <v>0</v>
      </c>
      <c r="P15" s="274">
        <v>0</v>
      </c>
      <c r="Q15" s="275">
        <v>0</v>
      </c>
    </row>
    <row r="16" spans="1:17">
      <c r="C16" s="271" t="s">
        <v>227</v>
      </c>
      <c r="D16" s="211"/>
      <c r="E16" s="211"/>
      <c r="F16" s="280"/>
      <c r="G16" s="282">
        <f>'Loan Repayment Schedule'!G34</f>
        <v>537111.11111111112</v>
      </c>
      <c r="H16" s="282">
        <f>'Loan Repayment Schedule'!H34</f>
        <v>512012.9465833985</v>
      </c>
      <c r="I16" s="282">
        <f>'Loan Repayment Schedule'!I34</f>
        <v>482880.13872130093</v>
      </c>
      <c r="J16" s="282">
        <f>'Loan Repayment Schedule'!J34</f>
        <v>449064.1003814151</v>
      </c>
      <c r="K16" s="282">
        <f>'Loan Repayment Schedule'!K34</f>
        <v>409811.98110689846</v>
      </c>
      <c r="L16" s="282">
        <f>'Loan Repayment Schedule'!L34</f>
        <v>364249.90632880124</v>
      </c>
      <c r="M16" s="282">
        <f>'Loan Repayment Schedule'!M34</f>
        <v>311363.52219329181</v>
      </c>
      <c r="N16" s="282">
        <f>'Loan Repayment Schedule'!N34</f>
        <v>249975.41288196534</v>
      </c>
      <c r="O16" s="282">
        <f>'Loan Repayment Schedule'!O34</f>
        <v>178718.88766436986</v>
      </c>
      <c r="P16" s="282">
        <f>'Loan Repayment Schedule'!P34</f>
        <v>96007.554100803129</v>
      </c>
      <c r="Q16" s="282">
        <f>'Loan Repayment Schedule'!Q34</f>
        <v>-8.7311491370201111E-10</v>
      </c>
    </row>
    <row r="17" spans="3:19">
      <c r="C17" s="271"/>
      <c r="D17" s="211"/>
      <c r="E17" s="211"/>
      <c r="F17" s="280"/>
      <c r="G17" s="282"/>
      <c r="H17" s="284"/>
      <c r="I17" s="284"/>
      <c r="J17" s="284"/>
      <c r="K17" s="284"/>
      <c r="L17" s="284"/>
      <c r="M17" s="284"/>
      <c r="N17" s="284"/>
      <c r="O17" s="284"/>
      <c r="P17" s="284"/>
      <c r="Q17" s="285"/>
    </row>
    <row r="18" spans="3:19">
      <c r="C18" s="271" t="s">
        <v>228</v>
      </c>
      <c r="D18" s="286"/>
      <c r="E18" s="286"/>
      <c r="F18" s="287"/>
      <c r="G18" s="288">
        <f t="shared" ref="G18:Q18" si="1">G12+G13-G14-G15+G16</f>
        <v>-50000</v>
      </c>
      <c r="H18" s="284">
        <f t="shared" si="1"/>
        <v>1343434.8999322064</v>
      </c>
      <c r="I18" s="284">
        <f t="shared" si="1"/>
        <v>3348533.0852374588</v>
      </c>
      <c r="J18" s="284">
        <f t="shared" si="1"/>
        <v>5081951.3099956354</v>
      </c>
      <c r="K18" s="284">
        <f t="shared" si="1"/>
        <v>5829640.682107172</v>
      </c>
      <c r="L18" s="284">
        <f t="shared" si="1"/>
        <v>6702738.3621794479</v>
      </c>
      <c r="M18" s="284">
        <f t="shared" si="1"/>
        <v>7722649.4263575748</v>
      </c>
      <c r="N18" s="284">
        <f t="shared" si="1"/>
        <v>8914498.8621044811</v>
      </c>
      <c r="O18" s="284">
        <f t="shared" si="1"/>
        <v>10307787.920325639</v>
      </c>
      <c r="P18" s="284">
        <f t="shared" si="1"/>
        <v>11937167.673653189</v>
      </c>
      <c r="Q18" s="289">
        <f t="shared" si="1"/>
        <v>13843350.903597131</v>
      </c>
      <c r="S18" s="290"/>
    </row>
    <row r="19" spans="3:19">
      <c r="C19" s="271" t="s">
        <v>229</v>
      </c>
      <c r="D19" s="211"/>
      <c r="E19" s="211"/>
      <c r="F19" s="280"/>
      <c r="G19" s="282"/>
      <c r="H19" s="284"/>
      <c r="I19" s="284"/>
      <c r="J19" s="284"/>
      <c r="K19" s="284"/>
      <c r="L19" s="284"/>
      <c r="M19" s="284"/>
      <c r="N19" s="284"/>
      <c r="O19" s="284"/>
      <c r="P19" s="284"/>
      <c r="Q19" s="285">
        <f>IF('[2]Assumptions(Ops)'!C53=0, 0, AVERAGE(Q18:Q18)*(1+($L$2/12))/(($L$1/12)-($L$2/12)))</f>
        <v>0</v>
      </c>
      <c r="S19" s="291"/>
    </row>
    <row r="20" spans="3:19">
      <c r="C20" s="271"/>
      <c r="D20" s="211"/>
      <c r="E20" s="211"/>
      <c r="F20" s="276"/>
      <c r="G20" s="292"/>
      <c r="H20" s="293"/>
      <c r="I20" s="293"/>
      <c r="J20" s="293"/>
      <c r="K20" s="293"/>
      <c r="L20" s="293"/>
      <c r="M20" s="293"/>
      <c r="N20" s="293"/>
      <c r="O20" s="293"/>
      <c r="P20" s="293"/>
      <c r="Q20" s="285"/>
    </row>
    <row r="21" spans="3:19">
      <c r="C21" s="294" t="s">
        <v>230</v>
      </c>
      <c r="D21" s="295"/>
      <c r="E21" s="295"/>
      <c r="F21" s="296"/>
      <c r="G21" s="297">
        <f t="shared" ref="G21:Q21" si="2">G18+G19</f>
        <v>-50000</v>
      </c>
      <c r="H21" s="298">
        <f t="shared" si="2"/>
        <v>1343434.8999322064</v>
      </c>
      <c r="I21" s="298">
        <f t="shared" si="2"/>
        <v>3348533.0852374588</v>
      </c>
      <c r="J21" s="298">
        <f t="shared" si="2"/>
        <v>5081951.3099956354</v>
      </c>
      <c r="K21" s="298">
        <f t="shared" si="2"/>
        <v>5829640.682107172</v>
      </c>
      <c r="L21" s="298">
        <f t="shared" si="2"/>
        <v>6702738.3621794479</v>
      </c>
      <c r="M21" s="298">
        <f t="shared" si="2"/>
        <v>7722649.4263575748</v>
      </c>
      <c r="N21" s="298">
        <f t="shared" si="2"/>
        <v>8914498.8621044811</v>
      </c>
      <c r="O21" s="298">
        <f t="shared" si="2"/>
        <v>10307787.920325639</v>
      </c>
      <c r="P21" s="298">
        <f t="shared" si="2"/>
        <v>11937167.673653189</v>
      </c>
      <c r="Q21" s="299">
        <f t="shared" si="2"/>
        <v>13843350.903597131</v>
      </c>
    </row>
    <row r="22" spans="3:19">
      <c r="C22" s="271"/>
      <c r="D22" s="211"/>
      <c r="E22" s="211"/>
      <c r="F22" s="280"/>
      <c r="G22" s="282"/>
      <c r="H22" s="284"/>
      <c r="I22" s="284"/>
      <c r="J22" s="284"/>
      <c r="K22" s="284"/>
      <c r="L22" s="284"/>
      <c r="M22" s="284"/>
      <c r="N22" s="284"/>
      <c r="O22" s="284"/>
      <c r="P22" s="284"/>
      <c r="Q22" s="285"/>
    </row>
    <row r="23" spans="3:19">
      <c r="C23" s="300" t="s">
        <v>231</v>
      </c>
      <c r="D23" s="211"/>
      <c r="E23" s="211"/>
      <c r="F23" s="280"/>
      <c r="G23" s="288">
        <f t="shared" ref="G23:Q23" si="3">G21/((1+($L$1))^G7)</f>
        <v>-50000</v>
      </c>
      <c r="H23" s="284">
        <f t="shared" si="3"/>
        <v>1168204.2608106143</v>
      </c>
      <c r="I23" s="284">
        <f t="shared" si="3"/>
        <v>2531972.0871360749</v>
      </c>
      <c r="J23" s="284">
        <f t="shared" si="3"/>
        <v>3341465.4787511379</v>
      </c>
      <c r="K23" s="284">
        <f t="shared" si="3"/>
        <v>3333115.9806359606</v>
      </c>
      <c r="L23" s="284">
        <f t="shared" si="3"/>
        <v>3332445.5764669846</v>
      </c>
      <c r="M23" s="284">
        <f t="shared" si="3"/>
        <v>3338714.4605649309</v>
      </c>
      <c r="N23" s="284">
        <f t="shared" si="3"/>
        <v>3351290.3146173363</v>
      </c>
      <c r="O23" s="284">
        <f t="shared" si="3"/>
        <v>3369634.15558455</v>
      </c>
      <c r="P23" s="284">
        <f t="shared" si="3"/>
        <v>3393288.0758403107</v>
      </c>
      <c r="Q23" s="289">
        <f t="shared" si="3"/>
        <v>3421864.6248475234</v>
      </c>
    </row>
    <row r="24" spans="3:19" ht="15" thickBot="1">
      <c r="C24" s="301"/>
      <c r="D24" s="302"/>
      <c r="E24" s="302"/>
      <c r="F24" s="303"/>
      <c r="G24" s="282"/>
      <c r="H24" s="283"/>
      <c r="I24" s="283"/>
      <c r="J24" s="283"/>
      <c r="K24" s="283"/>
      <c r="L24" s="283"/>
      <c r="M24" s="283"/>
      <c r="N24" s="283"/>
      <c r="O24" s="283"/>
      <c r="P24" s="283"/>
      <c r="Q24" s="212"/>
    </row>
    <row r="25" spans="3:19" ht="15" thickBot="1">
      <c r="C25" s="304" t="s">
        <v>232</v>
      </c>
      <c r="D25" s="305"/>
      <c r="E25" s="305"/>
      <c r="F25" s="306">
        <f>SUM(G23:Q23)</f>
        <v>30531995.015255425</v>
      </c>
      <c r="G25" s="307"/>
      <c r="H25" s="308"/>
      <c r="I25" s="308"/>
      <c r="J25" s="308"/>
      <c r="K25" s="309"/>
      <c r="L25" s="309"/>
      <c r="M25" s="309"/>
      <c r="N25" s="309"/>
      <c r="O25" s="309"/>
      <c r="P25" s="309"/>
      <c r="Q25" s="212"/>
    </row>
    <row r="26" spans="3:19" ht="15" thickBot="1">
      <c r="C26" s="310"/>
      <c r="D26" s="311"/>
      <c r="E26" s="311"/>
      <c r="F26" s="312"/>
      <c r="G26" s="313"/>
      <c r="H26" s="314"/>
      <c r="I26" s="314"/>
      <c r="J26" s="314"/>
      <c r="K26" s="314"/>
      <c r="L26" s="314"/>
      <c r="M26" s="314"/>
      <c r="N26" s="314"/>
      <c r="O26" s="211"/>
      <c r="P26" s="211"/>
      <c r="Q26" s="212"/>
    </row>
    <row r="27" spans="3:19" ht="15" thickBot="1">
      <c r="C27" s="315" t="s">
        <v>233</v>
      </c>
      <c r="D27" s="316"/>
      <c r="E27" s="316"/>
      <c r="F27" s="317">
        <f>IF(ISERROR(IRR(G21:Q21)),0,IF(IRR(G21:Q21)&lt;0,0,IRR(G21:Q21)))</f>
        <v>28.279389471649164</v>
      </c>
      <c r="G27" s="318"/>
      <c r="H27" s="319"/>
      <c r="I27" s="319"/>
      <c r="J27" s="319"/>
      <c r="K27" s="314"/>
      <c r="L27" s="314"/>
      <c r="M27" s="314"/>
      <c r="N27" s="314"/>
      <c r="O27" s="314"/>
      <c r="P27" s="314"/>
      <c r="Q27" s="212"/>
    </row>
    <row r="28" spans="3:19" ht="15" thickBot="1">
      <c r="C28" s="320"/>
      <c r="D28" s="321"/>
      <c r="E28" s="321"/>
      <c r="F28" s="322"/>
      <c r="G28" s="323"/>
      <c r="H28" s="324"/>
      <c r="I28" s="324"/>
      <c r="J28" s="324"/>
      <c r="K28" s="235"/>
      <c r="L28" s="235"/>
      <c r="M28" s="235"/>
      <c r="N28" s="235"/>
      <c r="O28" s="235"/>
      <c r="P28" s="235"/>
      <c r="Q28" s="236"/>
    </row>
    <row r="30" spans="3:19">
      <c r="E30" s="3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8E1A-D50E-4E3E-BF01-9CAA2BA238CE}">
  <dimension ref="A1:M17"/>
  <sheetViews>
    <sheetView workbookViewId="0">
      <selection activeCell="E8" sqref="E8"/>
    </sheetView>
  </sheetViews>
  <sheetFormatPr defaultRowHeight="14.4"/>
  <cols>
    <col min="3" max="3" width="33.109375" customWidth="1"/>
    <col min="4" max="4" width="9.109375" hidden="1" customWidth="1"/>
    <col min="5" max="10" width="10.6640625" customWidth="1"/>
    <col min="12" max="12" width="10.88671875" bestFit="1" customWidth="1"/>
  </cols>
  <sheetData>
    <row r="1" spans="1:13">
      <c r="A1" s="1" t="s">
        <v>0</v>
      </c>
      <c r="B1" s="2" t="str">
        <f>'Table of Contents'!B1</f>
        <v>Electronics Manufacturing Venture</v>
      </c>
      <c r="C1" s="3"/>
      <c r="D1" s="3"/>
      <c r="E1" s="4" t="s">
        <v>1</v>
      </c>
      <c r="F1" s="5" t="s">
        <v>2</v>
      </c>
    </row>
    <row r="2" spans="1:13">
      <c r="A2" s="1" t="s">
        <v>3</v>
      </c>
      <c r="B2" s="2" t="str">
        <f>'Table of Contents'!B2</f>
        <v>Krishnamurthy Bindumadhavan</v>
      </c>
      <c r="C2" s="3"/>
      <c r="D2" s="3"/>
      <c r="E2" s="6" t="s">
        <v>4</v>
      </c>
      <c r="F2" s="5" t="s">
        <v>5</v>
      </c>
    </row>
    <row r="3" spans="1:13">
      <c r="A3" s="1" t="s">
        <v>6</v>
      </c>
      <c r="B3" s="2" t="s">
        <v>74</v>
      </c>
      <c r="C3" s="3"/>
      <c r="D3" s="3"/>
      <c r="E3" s="7" t="s">
        <v>8</v>
      </c>
      <c r="F3" s="5" t="s">
        <v>9</v>
      </c>
    </row>
    <row r="4" spans="1:13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5" spans="1:13" ht="0.75" customHeight="1">
      <c r="G5" s="62"/>
    </row>
    <row r="6" spans="1:13" ht="15" thickBot="1"/>
    <row r="7" spans="1:13" ht="16.2" thickBot="1">
      <c r="C7" s="432" t="s">
        <v>96</v>
      </c>
      <c r="D7" s="433"/>
      <c r="E7" s="63">
        <v>2015</v>
      </c>
      <c r="F7" s="63">
        <v>2016</v>
      </c>
      <c r="G7" s="63">
        <v>2017</v>
      </c>
      <c r="H7" s="63">
        <v>2018</v>
      </c>
      <c r="I7" s="63">
        <v>2019</v>
      </c>
      <c r="J7" s="64" t="s">
        <v>97</v>
      </c>
    </row>
    <row r="8" spans="1:13" ht="15.6">
      <c r="C8" s="65" t="s">
        <v>98</v>
      </c>
      <c r="D8" s="66"/>
      <c r="E8" s="67">
        <f>'[3]Revenue Analysis'!D13</f>
        <v>95000</v>
      </c>
      <c r="F8" s="67">
        <f>'[3]Revenue Analysis'!E13</f>
        <v>100000</v>
      </c>
      <c r="G8" s="67">
        <f>'[3]Revenue Analysis'!F13</f>
        <v>105000</v>
      </c>
      <c r="H8" s="67">
        <f>'[3]Revenue Analysis'!G13</f>
        <v>105000</v>
      </c>
      <c r="I8" s="67">
        <f>'[3]Revenue Analysis'!H13</f>
        <v>105000</v>
      </c>
      <c r="J8" s="68">
        <f>+(I8/E8)^(1/4)-1</f>
        <v>2.5336513577710162E-2</v>
      </c>
      <c r="L8" s="62">
        <f>SUM(E8:I8)</f>
        <v>510000</v>
      </c>
    </row>
    <row r="9" spans="1:13" ht="15.6">
      <c r="C9" s="69" t="s">
        <v>99</v>
      </c>
      <c r="D9" s="70"/>
      <c r="E9" s="71">
        <f>'[3]Expense Analysis'!D14</f>
        <v>88695.62966398921</v>
      </c>
      <c r="F9" s="71">
        <f>'[3]Expense Analysis'!E14</f>
        <v>91148.092493528457</v>
      </c>
      <c r="G9" s="71">
        <f>'[3]Expense Analysis'!F14</f>
        <v>93700.472442696511</v>
      </c>
      <c r="H9" s="71">
        <f>'[3]Expense Analysis'!G14</f>
        <v>96356.840289111249</v>
      </c>
      <c r="I9" s="71">
        <f>'[3]Expense Analysis'!H14</f>
        <v>99121.432660151506</v>
      </c>
      <c r="J9" s="72">
        <f>+(I9/E9)^(1/4)-1</f>
        <v>2.8173336892006517E-2</v>
      </c>
      <c r="L9" s="62">
        <f>SUM(E9:I9)</f>
        <v>469022.46754947695</v>
      </c>
    </row>
    <row r="10" spans="1:13" ht="15.6">
      <c r="C10" s="73" t="s">
        <v>100</v>
      </c>
      <c r="D10" s="74"/>
      <c r="E10" s="75">
        <f>E8-E9</f>
        <v>6304.3703360107902</v>
      </c>
      <c r="F10" s="76">
        <f t="shared" ref="F10:I10" si="0">F8-F9</f>
        <v>8851.9075064715435</v>
      </c>
      <c r="G10" s="76">
        <f t="shared" si="0"/>
        <v>11299.527557303489</v>
      </c>
      <c r="H10" s="76">
        <f t="shared" si="0"/>
        <v>8643.1597108887509</v>
      </c>
      <c r="I10" s="76">
        <f t="shared" si="0"/>
        <v>5878.5673398484942</v>
      </c>
      <c r="J10" s="72"/>
      <c r="L10" s="62">
        <f>SUM(E10:I10)</f>
        <v>40977.532450523067</v>
      </c>
      <c r="M10" s="77">
        <f>L10/L8</f>
        <v>8.0348102844162883E-2</v>
      </c>
    </row>
    <row r="11" spans="1:13" ht="15" thickBot="1">
      <c r="C11" s="78" t="s">
        <v>101</v>
      </c>
      <c r="D11" s="79"/>
      <c r="E11" s="80">
        <f>E10/E8</f>
        <v>6.6361793010639894E-2</v>
      </c>
      <c r="F11" s="81">
        <f>F10/F8</f>
        <v>8.851907506471543E-2</v>
      </c>
      <c r="G11" s="81">
        <f>G10/G8</f>
        <v>0.10761454816479513</v>
      </c>
      <c r="H11" s="81">
        <f>H10/H8</f>
        <v>8.2315806770369052E-2</v>
      </c>
      <c r="I11" s="81">
        <f>I10/I8</f>
        <v>5.5986355617604705E-2</v>
      </c>
      <c r="J11" s="82"/>
    </row>
    <row r="12" spans="1:13">
      <c r="C12" s="83" t="s">
        <v>102</v>
      </c>
    </row>
    <row r="13" spans="1:13">
      <c r="C13" t="s">
        <v>103</v>
      </c>
    </row>
    <row r="14" spans="1:13">
      <c r="D14" s="84" t="s">
        <v>104</v>
      </c>
      <c r="E14" s="84">
        <v>2009</v>
      </c>
      <c r="F14" s="84">
        <v>2010</v>
      </c>
      <c r="G14" s="84">
        <v>2011</v>
      </c>
      <c r="H14" s="84">
        <v>2012</v>
      </c>
      <c r="I14" s="84">
        <v>2013</v>
      </c>
    </row>
    <row r="15" spans="1:13">
      <c r="C15" t="s">
        <v>98</v>
      </c>
      <c r="D15" s="85">
        <f>[4]Revenue!D10/1000</f>
        <v>262.52703015867206</v>
      </c>
      <c r="E15" s="62">
        <f>ROUND(E8/1000, 0)</f>
        <v>95</v>
      </c>
      <c r="F15" s="62">
        <f t="shared" ref="F15:I16" si="1">ROUND(F8/1000, 0)</f>
        <v>100</v>
      </c>
      <c r="G15" s="62">
        <f t="shared" si="1"/>
        <v>105</v>
      </c>
      <c r="H15" s="62">
        <f t="shared" si="1"/>
        <v>105</v>
      </c>
      <c r="I15" s="62">
        <f t="shared" si="1"/>
        <v>105</v>
      </c>
    </row>
    <row r="16" spans="1:13">
      <c r="C16" t="s">
        <v>99</v>
      </c>
      <c r="D16" s="85">
        <f>[4]Revenue!D6/1000</f>
        <v>25.421749999999999</v>
      </c>
      <c r="E16" s="62">
        <f>ROUND(E9/1000, 0)</f>
        <v>89</v>
      </c>
      <c r="F16" s="62">
        <f t="shared" si="1"/>
        <v>91</v>
      </c>
      <c r="G16" s="62">
        <f t="shared" si="1"/>
        <v>94</v>
      </c>
      <c r="H16" s="62">
        <f t="shared" si="1"/>
        <v>96</v>
      </c>
      <c r="I16" s="62">
        <f>ROUND(I9/1000, 0)</f>
        <v>99</v>
      </c>
    </row>
    <row r="17" spans="3:9">
      <c r="C17" t="str">
        <f>C11</f>
        <v>Profit Margin</v>
      </c>
      <c r="D17" s="85">
        <f t="shared" ref="D17:I17" si="2">D15-D16</f>
        <v>237.10528015867206</v>
      </c>
      <c r="E17" s="62">
        <f t="shared" si="2"/>
        <v>6</v>
      </c>
      <c r="F17" s="62">
        <f t="shared" si="2"/>
        <v>9</v>
      </c>
      <c r="G17" s="62">
        <f t="shared" si="2"/>
        <v>11</v>
      </c>
      <c r="H17" s="62">
        <f t="shared" si="2"/>
        <v>9</v>
      </c>
      <c r="I17" s="62">
        <f t="shared" si="2"/>
        <v>6</v>
      </c>
    </row>
  </sheetData>
  <mergeCells count="1">
    <mergeCell ref="C7:D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5D36-0EF3-4410-88F7-0F77EE901821}">
  <dimension ref="A1:P48"/>
  <sheetViews>
    <sheetView workbookViewId="0">
      <selection activeCell="B4" sqref="B4"/>
    </sheetView>
  </sheetViews>
  <sheetFormatPr defaultRowHeight="14.4"/>
  <cols>
    <col min="2" max="2" width="18.6640625" bestFit="1" customWidth="1"/>
    <col min="3" max="3" width="31.5546875" bestFit="1" customWidth="1"/>
    <col min="4" max="9" width="10.6640625" customWidth="1"/>
    <col min="10" max="10" width="13.109375" bestFit="1" customWidth="1"/>
    <col min="11" max="11" width="29.44140625" bestFit="1" customWidth="1"/>
    <col min="12" max="14" width="10.33203125" hidden="1" customWidth="1"/>
    <col min="15" max="15" width="0" hidden="1" customWidth="1"/>
    <col min="16" max="16" width="9.33203125" hidden="1" customWidth="1"/>
    <col min="17" max="17" width="26.6640625" bestFit="1" customWidth="1"/>
    <col min="18" max="22" width="12.6640625" customWidth="1"/>
  </cols>
  <sheetData>
    <row r="1" spans="1:14">
      <c r="A1" s="1" t="s">
        <v>0</v>
      </c>
      <c r="B1" s="2" t="str">
        <f>'Table of Contents'!B1</f>
        <v>Electronics Manufacturing Venture</v>
      </c>
      <c r="C1" s="3"/>
      <c r="D1" s="3"/>
      <c r="E1" s="4" t="s">
        <v>1</v>
      </c>
      <c r="F1" s="5" t="s">
        <v>2</v>
      </c>
    </row>
    <row r="2" spans="1:14">
      <c r="A2" s="1" t="s">
        <v>3</v>
      </c>
      <c r="B2" s="2" t="str">
        <f>'Table of Contents'!B2</f>
        <v>Krishnamurthy Bindumadhavan</v>
      </c>
      <c r="C2" s="3"/>
      <c r="D2" s="3"/>
      <c r="E2" s="6" t="s">
        <v>4</v>
      </c>
      <c r="F2" s="5" t="s">
        <v>5</v>
      </c>
    </row>
    <row r="3" spans="1:14">
      <c r="A3" s="1" t="s">
        <v>6</v>
      </c>
      <c r="B3" s="2" t="s">
        <v>79</v>
      </c>
      <c r="C3" s="3"/>
      <c r="D3" s="3"/>
      <c r="E3" s="7" t="s">
        <v>8</v>
      </c>
      <c r="F3" s="5" t="s">
        <v>9</v>
      </c>
    </row>
    <row r="4" spans="1:14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5" spans="1:14" ht="15" thickBot="1">
      <c r="L5" t="s">
        <v>105</v>
      </c>
    </row>
    <row r="6" spans="1:14" ht="20.25" customHeight="1" thickBot="1">
      <c r="F6" s="86"/>
      <c r="L6" s="87" t="s">
        <v>106</v>
      </c>
      <c r="M6" s="87" t="s">
        <v>107</v>
      </c>
      <c r="N6" s="87" t="s">
        <v>108</v>
      </c>
    </row>
    <row r="7" spans="1:14" ht="16.8" thickTop="1" thickBot="1">
      <c r="C7" s="88" t="s">
        <v>99</v>
      </c>
      <c r="D7" s="63">
        <v>2015</v>
      </c>
      <c r="E7" s="63">
        <v>2016</v>
      </c>
      <c r="F7" s="63">
        <v>2017</v>
      </c>
      <c r="G7" s="63">
        <v>2018</v>
      </c>
      <c r="H7" s="63">
        <v>2019</v>
      </c>
      <c r="I7" s="64" t="s">
        <v>97</v>
      </c>
      <c r="L7" s="89">
        <v>62750</v>
      </c>
      <c r="M7" s="89">
        <f>T7/1000</f>
        <v>0</v>
      </c>
      <c r="N7" s="89">
        <f>U7/1000</f>
        <v>0</v>
      </c>
    </row>
    <row r="8" spans="1:14" ht="15.6">
      <c r="C8" s="90" t="s">
        <v>109</v>
      </c>
      <c r="D8" s="91">
        <f>SUM('[3]Income Statement'!$C92:$N93)</f>
        <v>41250.812206287032</v>
      </c>
      <c r="E8" s="91">
        <f>SUM('[3]Income Statement'!$O92:$Z93)</f>
        <v>42931.433942265678</v>
      </c>
      <c r="F8" s="91">
        <f>SUM('[3]Income Statement'!$AA92:$AL93)</f>
        <v>44680.526800832646</v>
      </c>
      <c r="G8" s="91">
        <f>SUM('[3]Income Statement'!$AM92:$AX93)</f>
        <v>46500.880401167618</v>
      </c>
      <c r="H8" s="91">
        <f>SUM('[3]Income Statement'!$AY92:$BJ93)</f>
        <v>48395.398015839855</v>
      </c>
      <c r="I8" s="92">
        <f>+(H8/D8)^(1/4)-1</f>
        <v>4.0741542919790596E-2</v>
      </c>
      <c r="J8" s="93">
        <f>H8/E8 - 1</f>
        <v>0.12727187451791466</v>
      </c>
      <c r="L8" s="89">
        <f>54000+5482+9926</f>
        <v>69408</v>
      </c>
      <c r="M8" s="89">
        <f>104626+16595+5615+10588</f>
        <v>137424</v>
      </c>
      <c r="N8" s="89">
        <f>60751+ 48908 +8919.55</f>
        <v>118578.55</v>
      </c>
    </row>
    <row r="9" spans="1:14" ht="15.6">
      <c r="C9" s="94" t="s">
        <v>110</v>
      </c>
      <c r="D9" s="91">
        <f>SUM('[3]Income Statement'!$C77:$N77)</f>
        <v>1000.0000000000001</v>
      </c>
      <c r="E9" s="91">
        <f>SUM('[3]Income Statement'!$O77:$Z77)</f>
        <v>1000.0000000000001</v>
      </c>
      <c r="F9" s="91">
        <f>SUM('[3]Income Statement'!$AA77:$AL77)</f>
        <v>1000.0000000000001</v>
      </c>
      <c r="G9" s="91">
        <f>SUM('[3]Income Statement'!$AM77:$AX77)</f>
        <v>1000.0000000000001</v>
      </c>
      <c r="H9" s="91">
        <f>SUM('[3]Income Statement'!$AY77:$BJ77)</f>
        <v>1000.0000000000001</v>
      </c>
      <c r="I9" s="92">
        <f t="shared" ref="I9:I14" si="0">+(H9/D9)^(1/4)-1</f>
        <v>0</v>
      </c>
      <c r="J9" s="93">
        <f t="shared" ref="J9:J13" si="1">H9/E9 - 1</f>
        <v>0</v>
      </c>
      <c r="L9" s="89">
        <v>0</v>
      </c>
      <c r="M9" s="89">
        <v>26038</v>
      </c>
      <c r="N9" s="89">
        <f>U9/1000</f>
        <v>0</v>
      </c>
    </row>
    <row r="10" spans="1:14" ht="15.6">
      <c r="C10" s="94" t="s">
        <v>111</v>
      </c>
      <c r="D10" s="91">
        <f>SUM('[3]Income Statement'!$C68:$N68)</f>
        <v>16999.999999999996</v>
      </c>
      <c r="E10" s="91">
        <f>SUM('[3]Income Statement'!$O68:$Z68)</f>
        <v>16999.999999999996</v>
      </c>
      <c r="F10" s="91">
        <f>SUM('[3]Income Statement'!$AA68:$AL68)</f>
        <v>16999.999999999996</v>
      </c>
      <c r="G10" s="91">
        <f>SUM('[3]Income Statement'!$AM68:$AX68)</f>
        <v>16999.999999999996</v>
      </c>
      <c r="H10" s="91">
        <f>SUM('[3]Income Statement'!$AY68:$BJ68)</f>
        <v>16999.999999999996</v>
      </c>
      <c r="I10" s="92">
        <f t="shared" si="0"/>
        <v>0</v>
      </c>
      <c r="J10" s="93">
        <f t="shared" si="1"/>
        <v>0</v>
      </c>
      <c r="L10" s="89"/>
      <c r="M10" s="89"/>
      <c r="N10" s="89"/>
    </row>
    <row r="11" spans="1:14" ht="15.6">
      <c r="C11" s="94" t="s">
        <v>112</v>
      </c>
      <c r="D11" s="91">
        <f>SUM('[3]Income Statement'!$C69:$N69)</f>
        <v>9000</v>
      </c>
      <c r="E11" s="91">
        <f>SUM('[3]Income Statement'!$O69:$Z69)</f>
        <v>9000</v>
      </c>
      <c r="F11" s="91">
        <f>SUM('[3]Income Statement'!$AA69:$AL69)</f>
        <v>9000</v>
      </c>
      <c r="G11" s="91">
        <f>SUM('[3]Income Statement'!$AM69:$AX69)</f>
        <v>9000</v>
      </c>
      <c r="H11" s="91">
        <f>SUM('[3]Income Statement'!$AY69:$BJ69)</f>
        <v>9000</v>
      </c>
      <c r="I11" s="92">
        <f t="shared" si="0"/>
        <v>0</v>
      </c>
      <c r="J11" s="93">
        <f t="shared" si="1"/>
        <v>0</v>
      </c>
      <c r="L11" s="89"/>
      <c r="M11" s="89"/>
      <c r="N11" s="89"/>
    </row>
    <row r="12" spans="1:14" ht="15.6">
      <c r="C12" s="94" t="s">
        <v>113</v>
      </c>
      <c r="D12" s="91">
        <f>SUM('[3]Income Statement'!$C84:$N84)</f>
        <v>600</v>
      </c>
      <c r="E12" s="91">
        <f>SUM('[3]Income Statement'!$O84:$Z84)</f>
        <v>600</v>
      </c>
      <c r="F12" s="91">
        <f>SUM('[3]Income Statement'!$AA84:$AL84)</f>
        <v>600</v>
      </c>
      <c r="G12" s="91">
        <f>SUM('[3]Income Statement'!$AM84:$AX84)</f>
        <v>600</v>
      </c>
      <c r="H12" s="91">
        <f>SUM('[3]Income Statement'!$AY84:$BJ84)</f>
        <v>600</v>
      </c>
      <c r="I12" s="92">
        <f t="shared" si="0"/>
        <v>0</v>
      </c>
      <c r="J12" s="93">
        <f t="shared" si="1"/>
        <v>0</v>
      </c>
      <c r="L12" s="89">
        <v>0</v>
      </c>
      <c r="M12" s="89">
        <f>T12/1000</f>
        <v>0</v>
      </c>
      <c r="N12" s="89">
        <f>U12/1000</f>
        <v>0</v>
      </c>
    </row>
    <row r="13" spans="1:14" ht="15.6">
      <c r="C13" s="94" t="s">
        <v>114</v>
      </c>
      <c r="D13" s="91">
        <f>SUM('[3]Income Statement'!$C94:$N105) + SUM('[3]Income Statement'!$C113:$N113)</f>
        <v>19844.817457702189</v>
      </c>
      <c r="E13" s="91">
        <f>SUM('[3]Income Statement'!$O94:$Z105) + SUM('[3]Income Statement'!$O113:$Z113)</f>
        <v>20616.658551262775</v>
      </c>
      <c r="F13" s="91">
        <f>SUM('[3]Income Statement'!$AA94:$AL105) + SUM('[3]Income Statement'!$AA113:$AL113)</f>
        <v>21419.945641863877</v>
      </c>
      <c r="G13" s="91">
        <f>SUM('[3]Income Statement'!$AM94:$AX105)+SUM('[3]Income Statement'!$AM113:$AX113)</f>
        <v>22255.959887943634</v>
      </c>
      <c r="H13" s="91">
        <f>SUM('[3]Income Statement'!$AY94:$BJ105) + SUM('[3]Income Statement'!$AY113:$BJ113)</f>
        <v>23126.034644311661</v>
      </c>
      <c r="I13" s="92">
        <f t="shared" si="0"/>
        <v>3.8995139443309457E-2</v>
      </c>
      <c r="J13" s="93">
        <f t="shared" si="1"/>
        <v>0.12171594571493682</v>
      </c>
      <c r="L13" s="89"/>
      <c r="M13" s="89"/>
      <c r="N13" s="89"/>
    </row>
    <row r="14" spans="1:14" ht="16.2" thickBot="1">
      <c r="C14" s="95" t="s">
        <v>115</v>
      </c>
      <c r="D14" s="96">
        <f>SUM(D8:D13)</f>
        <v>88695.62966398921</v>
      </c>
      <c r="E14" s="97">
        <f>SUM(E8:E13)</f>
        <v>91148.092493528457</v>
      </c>
      <c r="F14" s="97">
        <f>SUM(F8:F13)</f>
        <v>93700.472442696511</v>
      </c>
      <c r="G14" s="97">
        <f>SUM(G8:G13)</f>
        <v>96356.840289111249</v>
      </c>
      <c r="H14" s="97">
        <f>SUM(H8:H13)</f>
        <v>99121.432660151506</v>
      </c>
      <c r="I14" s="98">
        <f t="shared" si="0"/>
        <v>2.8173336892006517E-2</v>
      </c>
      <c r="J14" s="93">
        <f>H14/E14 - 1</f>
        <v>8.7476763895954823E-2</v>
      </c>
      <c r="L14" s="89">
        <v>7000</v>
      </c>
      <c r="M14" s="89">
        <f>T14/1000</f>
        <v>0</v>
      </c>
      <c r="N14" s="89">
        <f>U14/1000</f>
        <v>0</v>
      </c>
    </row>
    <row r="15" spans="1:14" ht="15.6">
      <c r="C15" s="83" t="s">
        <v>102</v>
      </c>
      <c r="K15">
        <f>H14/E14</f>
        <v>1.0874767638959548</v>
      </c>
      <c r="L15" s="89">
        <f>400+5428</f>
        <v>5828</v>
      </c>
      <c r="M15" s="89">
        <f>T15/1000</f>
        <v>0</v>
      </c>
      <c r="N15" s="89">
        <f>12267</f>
        <v>12267</v>
      </c>
    </row>
    <row r="16" spans="1:14" ht="15.6">
      <c r="H16" s="99">
        <f>H14/D14 - 1</f>
        <v>0.11754584792575429</v>
      </c>
      <c r="J16" s="100">
        <f>SUM(H9:H13)/SUM(E9:E13)</f>
        <v>1.0520437576648116</v>
      </c>
      <c r="L16" s="89">
        <v>0</v>
      </c>
      <c r="M16" s="89">
        <v>73993</v>
      </c>
      <c r="N16" s="89">
        <v>23321</v>
      </c>
    </row>
    <row r="17" spans="3:14" ht="16.2" thickBot="1">
      <c r="C17" t="s">
        <v>116</v>
      </c>
      <c r="L17" s="89">
        <v>0</v>
      </c>
      <c r="M17" s="89">
        <v>15205</v>
      </c>
      <c r="N17" s="89">
        <v>16626</v>
      </c>
    </row>
    <row r="18" spans="3:14" ht="16.2" thickBot="1">
      <c r="C18" s="63" t="str">
        <f t="shared" ref="C18:H18" si="2">C7</f>
        <v>Expenses</v>
      </c>
      <c r="D18" s="63">
        <f t="shared" si="2"/>
        <v>2015</v>
      </c>
      <c r="E18" s="63">
        <f t="shared" si="2"/>
        <v>2016</v>
      </c>
      <c r="F18" s="63">
        <f t="shared" si="2"/>
        <v>2017</v>
      </c>
      <c r="G18" s="63">
        <f t="shared" si="2"/>
        <v>2018</v>
      </c>
      <c r="H18" s="63">
        <f t="shared" si="2"/>
        <v>2019</v>
      </c>
      <c r="J18" s="101">
        <f>H8/E8</f>
        <v>1.1272718745179147</v>
      </c>
      <c r="L18" s="89">
        <v>5197</v>
      </c>
      <c r="M18" s="89">
        <v>9358</v>
      </c>
      <c r="N18" s="89">
        <v>2279</v>
      </c>
    </row>
    <row r="19" spans="3:14" ht="15.6">
      <c r="C19" t="str">
        <f>C8</f>
        <v>Salaries and Wages</v>
      </c>
      <c r="D19" s="102">
        <f>D8/D$14</f>
        <v>0.46508280467211149</v>
      </c>
      <c r="E19" s="102">
        <f t="shared" ref="E19:G20" si="3">E8/E$14</f>
        <v>0.47100748647388119</v>
      </c>
      <c r="F19" s="102">
        <f t="shared" si="3"/>
        <v>0.47684419977879494</v>
      </c>
      <c r="G19" s="102">
        <f t="shared" si="3"/>
        <v>0.48259034087922892</v>
      </c>
      <c r="H19" s="102">
        <f>H8/H$14</f>
        <v>0.48824352833729395</v>
      </c>
      <c r="L19" s="89"/>
      <c r="M19" s="89"/>
      <c r="N19" s="89">
        <v>477</v>
      </c>
    </row>
    <row r="20" spans="3:14" ht="15.6">
      <c r="C20" t="str">
        <f>C9</f>
        <v>Professional Services</v>
      </c>
      <c r="D20" s="102">
        <f>D9/D$14</f>
        <v>1.1274512665261615E-2</v>
      </c>
      <c r="E20" s="102">
        <f t="shared" si="3"/>
        <v>1.0971156637984503E-2</v>
      </c>
      <c r="F20" s="102">
        <f t="shared" si="3"/>
        <v>1.0672304780656901E-2</v>
      </c>
      <c r="G20" s="102">
        <f t="shared" si="3"/>
        <v>1.0378090408522918E-2</v>
      </c>
      <c r="H20" s="102">
        <f>H9/H$14</f>
        <v>1.0088635456154146E-2</v>
      </c>
      <c r="L20" s="89">
        <f>110+5142+11874</f>
        <v>17126</v>
      </c>
      <c r="M20" s="89"/>
      <c r="N20" s="89">
        <v>4144</v>
      </c>
    </row>
    <row r="21" spans="3:14" ht="15.6">
      <c r="C21" t="str">
        <f t="shared" ref="C21:C25" si="4">C10</f>
        <v>Other Cash Expenses</v>
      </c>
      <c r="D21" s="102">
        <f t="shared" ref="D21:H25" si="5">D10/D$14</f>
        <v>0.19166671530944737</v>
      </c>
      <c r="E21" s="102">
        <f t="shared" si="5"/>
        <v>0.18650966284573647</v>
      </c>
      <c r="F21" s="102">
        <f t="shared" si="5"/>
        <v>0.18142918127116725</v>
      </c>
      <c r="G21" s="102">
        <f t="shared" si="5"/>
        <v>0.17642753694488955</v>
      </c>
      <c r="H21" s="102">
        <f t="shared" si="5"/>
        <v>0.17150680275462044</v>
      </c>
      <c r="L21" s="89"/>
      <c r="M21" s="89"/>
      <c r="N21" s="89"/>
    </row>
    <row r="22" spans="3:14" ht="15.6">
      <c r="C22" t="str">
        <f t="shared" si="4"/>
        <v>Travel</v>
      </c>
      <c r="D22" s="102">
        <f t="shared" si="5"/>
        <v>0.10147061398735452</v>
      </c>
      <c r="E22" s="102">
        <f t="shared" si="5"/>
        <v>9.8740409741860505E-2</v>
      </c>
      <c r="F22" s="102">
        <f t="shared" si="5"/>
        <v>9.6050743025912086E-2</v>
      </c>
      <c r="G22" s="102">
        <f t="shared" si="5"/>
        <v>9.3402813676706248E-2</v>
      </c>
      <c r="H22" s="102">
        <f t="shared" si="5"/>
        <v>9.0797719105387309E-2</v>
      </c>
      <c r="L22" s="89"/>
      <c r="M22" s="89"/>
      <c r="N22" s="89"/>
    </row>
    <row r="23" spans="3:14" ht="15.6">
      <c r="C23" t="str">
        <f t="shared" si="4"/>
        <v>Other Direct Costs</v>
      </c>
      <c r="D23" s="102">
        <f t="shared" si="5"/>
        <v>6.764707599156968E-3</v>
      </c>
      <c r="E23" s="102">
        <f t="shared" si="5"/>
        <v>6.582693982790701E-3</v>
      </c>
      <c r="F23" s="102">
        <f t="shared" si="5"/>
        <v>6.4033828683941396E-3</v>
      </c>
      <c r="G23" s="102">
        <f t="shared" si="5"/>
        <v>6.22685424511375E-3</v>
      </c>
      <c r="H23" s="102">
        <f t="shared" si="5"/>
        <v>6.0531812736924874E-3</v>
      </c>
      <c r="L23" s="89">
        <v>74060</v>
      </c>
      <c r="M23" s="89">
        <v>51912</v>
      </c>
      <c r="N23" s="89">
        <v>41573</v>
      </c>
    </row>
    <row r="24" spans="3:14">
      <c r="C24" t="str">
        <f t="shared" si="4"/>
        <v>Miscellaneous</v>
      </c>
      <c r="D24" s="102">
        <f t="shared" si="5"/>
        <v>0.22374064576666811</v>
      </c>
      <c r="E24" s="102">
        <f t="shared" si="5"/>
        <v>0.22618859031774652</v>
      </c>
      <c r="F24" s="102">
        <f t="shared" si="5"/>
        <v>0.22860018827507475</v>
      </c>
      <c r="G24" s="102">
        <f t="shared" si="5"/>
        <v>0.2309743638455386</v>
      </c>
      <c r="H24" s="102">
        <f t="shared" si="5"/>
        <v>0.23331013307285176</v>
      </c>
    </row>
    <row r="25" spans="3:14" ht="15.6">
      <c r="C25" t="str">
        <f t="shared" si="4"/>
        <v>Total Expenses</v>
      </c>
      <c r="D25" s="102">
        <f t="shared" si="5"/>
        <v>1</v>
      </c>
      <c r="E25" s="102">
        <f t="shared" si="5"/>
        <v>1</v>
      </c>
      <c r="F25" s="102">
        <f t="shared" si="5"/>
        <v>1</v>
      </c>
      <c r="G25" s="102">
        <f t="shared" si="5"/>
        <v>1</v>
      </c>
      <c r="H25" s="102">
        <f t="shared" si="5"/>
        <v>1</v>
      </c>
      <c r="L25" s="89"/>
      <c r="M25" s="89"/>
      <c r="N25" s="89"/>
    </row>
    <row r="26" spans="3:14" ht="15.6">
      <c r="L26" s="89"/>
      <c r="M26" s="89"/>
      <c r="N26" s="89"/>
    </row>
    <row r="27" spans="3:14" ht="15.6">
      <c r="L27" s="89"/>
      <c r="M27" s="89"/>
      <c r="N27" s="89"/>
    </row>
    <row r="28" spans="3:14" ht="15.6">
      <c r="C28" t="s">
        <v>117</v>
      </c>
      <c r="D28" s="103">
        <f t="shared" ref="D28:D35" si="6">H7</f>
        <v>2019</v>
      </c>
      <c r="L28" s="89"/>
      <c r="M28" s="89"/>
      <c r="N28" s="89"/>
    </row>
    <row r="29" spans="3:14" ht="15.6">
      <c r="C29" t="str">
        <f>C8</f>
        <v>Salaries and Wages</v>
      </c>
      <c r="D29" s="104">
        <f t="shared" si="6"/>
        <v>48395.398015839855</v>
      </c>
      <c r="L29" s="89">
        <f>2572+336+53+63</f>
        <v>3024</v>
      </c>
      <c r="M29" s="89">
        <f>74+180+63</f>
        <v>317</v>
      </c>
      <c r="N29" s="105">
        <f>58+785</f>
        <v>843</v>
      </c>
    </row>
    <row r="30" spans="3:14" ht="15.6">
      <c r="C30" t="str">
        <f>C9</f>
        <v>Professional Services</v>
      </c>
      <c r="D30" s="104">
        <f t="shared" si="6"/>
        <v>1000.0000000000001</v>
      </c>
      <c r="L30" s="105">
        <v>0</v>
      </c>
      <c r="M30" s="105">
        <f>T30/1000</f>
        <v>0</v>
      </c>
      <c r="N30" s="105">
        <v>275915</v>
      </c>
    </row>
    <row r="31" spans="3:14" ht="15.6">
      <c r="C31" t="str">
        <f t="shared" ref="C31:C32" si="7">C10</f>
        <v>Other Cash Expenses</v>
      </c>
      <c r="D31" s="104">
        <f t="shared" si="6"/>
        <v>16999.999999999996</v>
      </c>
      <c r="L31" s="89"/>
      <c r="M31" s="89"/>
      <c r="N31" s="89"/>
    </row>
    <row r="32" spans="3:14" ht="15.6">
      <c r="C32" t="str">
        <f t="shared" si="7"/>
        <v>Travel</v>
      </c>
      <c r="D32" s="104">
        <f t="shared" si="6"/>
        <v>9000</v>
      </c>
      <c r="L32" s="89"/>
      <c r="M32" s="89"/>
      <c r="N32" s="89"/>
    </row>
    <row r="33" spans="3:16" ht="16.2" thickBot="1">
      <c r="C33" t="str">
        <f>C12</f>
        <v>Other Direct Costs</v>
      </c>
      <c r="D33" s="104">
        <f t="shared" si="6"/>
        <v>600</v>
      </c>
      <c r="L33" s="106">
        <f t="shared" ref="L33" si="8">SUM(L7:L30)</f>
        <v>244393</v>
      </c>
      <c r="M33" s="106">
        <f t="shared" ref="M33" si="9">SUM(M7:M30)</f>
        <v>314247</v>
      </c>
      <c r="N33" s="106">
        <f>SUM(N7:N30)</f>
        <v>496023.55</v>
      </c>
      <c r="P33" s="62">
        <f>M33-M9</f>
        <v>288209</v>
      </c>
    </row>
    <row r="34" spans="3:16">
      <c r="C34" t="str">
        <f>C13</f>
        <v>Miscellaneous</v>
      </c>
      <c r="D34" s="104">
        <f t="shared" si="6"/>
        <v>23126.034644311661</v>
      </c>
    </row>
    <row r="35" spans="3:16">
      <c r="C35" t="str">
        <f>C14</f>
        <v>Total Expenses</v>
      </c>
      <c r="D35" s="104">
        <f t="shared" si="6"/>
        <v>99121.432660151506</v>
      </c>
    </row>
    <row r="36" spans="3:16">
      <c r="D36" s="104"/>
    </row>
    <row r="37" spans="3:16">
      <c r="D37" s="104"/>
    </row>
    <row r="38" spans="3:16">
      <c r="D38" s="104"/>
    </row>
    <row r="39" spans="3:16">
      <c r="D39" s="104"/>
    </row>
    <row r="40" spans="3:16">
      <c r="D40" s="104"/>
    </row>
    <row r="41" spans="3:16">
      <c r="D41" s="104"/>
    </row>
    <row r="42" spans="3:16">
      <c r="D42" s="104"/>
    </row>
    <row r="43" spans="3:16">
      <c r="D43" s="104"/>
    </row>
    <row r="44" spans="3:16">
      <c r="D44" s="104"/>
    </row>
    <row r="45" spans="3:16">
      <c r="D45" s="104"/>
    </row>
    <row r="46" spans="3:16">
      <c r="D46" s="104"/>
    </row>
    <row r="47" spans="3:16">
      <c r="D47" s="104"/>
    </row>
    <row r="48" spans="3:16">
      <c r="D48" s="10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EB0C-2A8D-498F-8D21-C5A6847375DC}">
  <dimension ref="A1:K25"/>
  <sheetViews>
    <sheetView workbookViewId="0">
      <selection activeCell="B4" sqref="B4"/>
    </sheetView>
  </sheetViews>
  <sheetFormatPr defaultRowHeight="14.4"/>
  <cols>
    <col min="3" max="3" width="28" customWidth="1"/>
    <col min="4" max="9" width="12.6640625" customWidth="1"/>
  </cols>
  <sheetData>
    <row r="1" spans="1:11">
      <c r="A1" s="1" t="s">
        <v>0</v>
      </c>
      <c r="B1" s="2" t="str">
        <f>'Table of Contents'!B1</f>
        <v>Electronics Manufacturing Venture</v>
      </c>
      <c r="C1" s="3"/>
      <c r="D1" s="3"/>
      <c r="E1" s="4" t="s">
        <v>1</v>
      </c>
      <c r="F1" s="5" t="s">
        <v>2</v>
      </c>
    </row>
    <row r="2" spans="1:11">
      <c r="A2" s="1" t="s">
        <v>3</v>
      </c>
      <c r="B2" s="2" t="str">
        <f>'Table of Contents'!B2</f>
        <v>Krishnamurthy Bindumadhavan</v>
      </c>
      <c r="C2" s="3"/>
      <c r="D2" s="3"/>
      <c r="E2" s="6" t="s">
        <v>4</v>
      </c>
      <c r="F2" s="5" t="s">
        <v>5</v>
      </c>
    </row>
    <row r="3" spans="1:11">
      <c r="A3" s="1" t="s">
        <v>6</v>
      </c>
      <c r="B3" s="2" t="s">
        <v>77</v>
      </c>
      <c r="C3" s="3"/>
      <c r="D3" s="3"/>
      <c r="E3" s="7" t="s">
        <v>8</v>
      </c>
      <c r="F3" s="5" t="s">
        <v>9</v>
      </c>
    </row>
    <row r="4" spans="1:11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6" spans="1:11" ht="15" thickBot="1"/>
    <row r="7" spans="1:11" ht="16.2" thickBot="1">
      <c r="C7" s="107" t="s">
        <v>118</v>
      </c>
      <c r="D7" s="63">
        <v>2015</v>
      </c>
      <c r="E7" s="63">
        <v>2016</v>
      </c>
      <c r="F7" s="63">
        <v>2017</v>
      </c>
      <c r="G7" s="63">
        <v>2018</v>
      </c>
      <c r="H7" s="63">
        <v>2019</v>
      </c>
      <c r="I7" s="64" t="s">
        <v>97</v>
      </c>
    </row>
    <row r="8" spans="1:11" ht="15.6">
      <c r="C8" s="108" t="s">
        <v>119</v>
      </c>
      <c r="D8" s="91">
        <f>SUM('[3]Income Statement'!$C17:$N17)</f>
        <v>73000</v>
      </c>
      <c r="E8" s="91">
        <f>SUM('[3]Income Statement'!$O17:$Z17)</f>
        <v>78000</v>
      </c>
      <c r="F8" s="91">
        <f>SUM('[3]Income Statement'!$AA17:$AL17)</f>
        <v>83000</v>
      </c>
      <c r="G8" s="91">
        <f>SUM('[3]Income Statement'!$AM17:$AX17)</f>
        <v>83000</v>
      </c>
      <c r="H8" s="91">
        <f>SUM('[3]Income Statement'!$AY17:$BJ17)</f>
        <v>83000</v>
      </c>
      <c r="I8" s="109">
        <f t="shared" ref="I8:I11" si="0">+(H8/D8)^(1/4)-1</f>
        <v>3.2615900302333412E-2</v>
      </c>
    </row>
    <row r="9" spans="1:11" ht="15.6">
      <c r="C9" s="108" t="s">
        <v>120</v>
      </c>
      <c r="D9" s="91">
        <f>SUM('[3]Income Statement'!$C23:$N23)</f>
        <v>8000.0000000000009</v>
      </c>
      <c r="E9" s="91">
        <f>SUM('[3]Income Statement'!$O23:$Z23)</f>
        <v>8000.0000000000009</v>
      </c>
      <c r="F9" s="91">
        <f>SUM('[3]Income Statement'!$AA23:$AL23)</f>
        <v>8000.0000000000009</v>
      </c>
      <c r="G9" s="91">
        <f>SUM('[3]Income Statement'!$AM23:$AX23)</f>
        <v>8000.0000000000009</v>
      </c>
      <c r="H9" s="91">
        <f>SUM('[3]Income Statement'!$AY23:$BJ23)</f>
        <v>8000.0000000000009</v>
      </c>
      <c r="I9" s="109">
        <f t="shared" si="0"/>
        <v>0</v>
      </c>
    </row>
    <row r="10" spans="1:11" ht="15.6">
      <c r="C10" s="110" t="s">
        <v>121</v>
      </c>
      <c r="D10" s="91">
        <f>SUM('[3]Income Statement'!$C29:$N29)</f>
        <v>5000</v>
      </c>
      <c r="E10" s="91">
        <f>SUM('[3]Income Statement'!$O29:$Z29)</f>
        <v>5000</v>
      </c>
      <c r="F10" s="91">
        <f>SUM('[3]Income Statement'!$AA29:$AL29)</f>
        <v>5000</v>
      </c>
      <c r="G10" s="91">
        <f>SUM('[3]Income Statement'!$AM29:$AX29)</f>
        <v>5000</v>
      </c>
      <c r="H10" s="91">
        <f>SUM('[3]Income Statement'!$AY29:$BJ29)</f>
        <v>5000</v>
      </c>
      <c r="I10" s="109">
        <f t="shared" si="0"/>
        <v>0</v>
      </c>
    </row>
    <row r="11" spans="1:11" ht="15.6">
      <c r="C11" s="110" t="s">
        <v>122</v>
      </c>
      <c r="D11" s="91">
        <f>SUM('[3]Income Statement'!$C35:$N35)</f>
        <v>9000</v>
      </c>
      <c r="E11" s="91">
        <f>SUM('[3]Income Statement'!$O35:$Z35)</f>
        <v>9000</v>
      </c>
      <c r="F11" s="91">
        <f>SUM('[3]Income Statement'!$AA35:$AL35)</f>
        <v>9000</v>
      </c>
      <c r="G11" s="91">
        <f>SUM('[3]Income Statement'!$AM35:$AX35)</f>
        <v>9000</v>
      </c>
      <c r="H11" s="91">
        <f>SUM('[3]Income Statement'!$AY35:$BJ35)</f>
        <v>9000</v>
      </c>
      <c r="I11" s="109">
        <f t="shared" si="0"/>
        <v>0</v>
      </c>
    </row>
    <row r="12" spans="1:11" ht="15.6">
      <c r="C12" s="110" t="str">
        <f>'[3]Income Statement'!B37</f>
        <v>Other Revenue</v>
      </c>
      <c r="D12" s="91">
        <f>SUM('[3]Income Statement'!$C40:$N40)</f>
        <v>0</v>
      </c>
      <c r="E12" s="91">
        <f>SUM('[3]Income Statement'!$O40:$Z40)</f>
        <v>0</v>
      </c>
      <c r="F12" s="91">
        <f>SUM('[3]Income Statement'!$AA40:$AL40)</f>
        <v>0</v>
      </c>
      <c r="G12" s="91">
        <f>SUM('[3]Income Statement'!$AM40:$AX40)</f>
        <v>0</v>
      </c>
      <c r="H12" s="91">
        <f>SUM('[3]Income Statement'!$AY40:$BJ40)</f>
        <v>0</v>
      </c>
      <c r="I12" s="109">
        <v>1</v>
      </c>
      <c r="K12" s="111"/>
    </row>
    <row r="13" spans="1:11" ht="16.2" thickBot="1">
      <c r="C13" s="112" t="s">
        <v>123</v>
      </c>
      <c r="D13" s="113">
        <f>SUM(D8:D12)</f>
        <v>95000</v>
      </c>
      <c r="E13" s="114">
        <f>SUM(E8:E12)</f>
        <v>100000</v>
      </c>
      <c r="F13" s="114">
        <f>SUM(F8:F12)</f>
        <v>105000</v>
      </c>
      <c r="G13" s="114">
        <f>SUM(G8:G12)</f>
        <v>105000</v>
      </c>
      <c r="H13" s="114">
        <f>SUM(H8:H12)</f>
        <v>105000</v>
      </c>
      <c r="I13" s="115">
        <f>+(H13/D13)^(1/4)-1</f>
        <v>2.5336513577710162E-2</v>
      </c>
    </row>
    <row r="14" spans="1:11" ht="15" thickBot="1">
      <c r="C14" s="83" t="s">
        <v>102</v>
      </c>
    </row>
    <row r="15" spans="1:11" ht="16.2" thickBot="1">
      <c r="D15" s="63">
        <v>2015</v>
      </c>
      <c r="E15" s="63">
        <v>2016</v>
      </c>
      <c r="F15" s="63">
        <v>2017</v>
      </c>
      <c r="G15" s="63">
        <v>2018</v>
      </c>
      <c r="H15" s="63">
        <v>2019</v>
      </c>
    </row>
    <row r="16" spans="1:11">
      <c r="C16" t="s">
        <v>123</v>
      </c>
      <c r="D16" s="85">
        <f>D13/1000</f>
        <v>95</v>
      </c>
      <c r="E16" s="85">
        <f t="shared" ref="E16:H16" si="1">E13/1000</f>
        <v>100</v>
      </c>
      <c r="F16" s="85">
        <f t="shared" si="1"/>
        <v>105</v>
      </c>
      <c r="G16" s="85">
        <f t="shared" si="1"/>
        <v>105</v>
      </c>
      <c r="H16" s="85">
        <f t="shared" si="1"/>
        <v>105</v>
      </c>
    </row>
    <row r="18" spans="4:5">
      <c r="D18" t="s">
        <v>124</v>
      </c>
    </row>
    <row r="20" spans="4:5">
      <c r="D20" t="str">
        <f>C8</f>
        <v>Medical Exams</v>
      </c>
      <c r="E20" s="62">
        <f>H8</f>
        <v>83000</v>
      </c>
    </row>
    <row r="21" spans="4:5">
      <c r="D21" t="str">
        <f>C9</f>
        <v>Product Sales</v>
      </c>
      <c r="E21" s="62">
        <f>H9</f>
        <v>8000.0000000000009</v>
      </c>
    </row>
    <row r="22" spans="4:5">
      <c r="D22" t="str">
        <f>C10</f>
        <v>Misc 1</v>
      </c>
      <c r="E22" s="62">
        <f>H10</f>
        <v>5000</v>
      </c>
    </row>
    <row r="23" spans="4:5">
      <c r="D23" t="str">
        <f>C11</f>
        <v>Misc 2</v>
      </c>
      <c r="E23" s="62">
        <f>H11</f>
        <v>9000</v>
      </c>
    </row>
    <row r="24" spans="4:5">
      <c r="D24" t="str">
        <f>C12</f>
        <v>Other Revenue</v>
      </c>
      <c r="E24" s="62">
        <f>H12</f>
        <v>0</v>
      </c>
    </row>
    <row r="25" spans="4:5">
      <c r="D25" t="s">
        <v>125</v>
      </c>
      <c r="E25" s="62">
        <f>SUM(E20:E24)</f>
        <v>105000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9345-F49E-43FF-8E8B-82A8C6F7D7C2}">
  <dimension ref="A1:R33"/>
  <sheetViews>
    <sheetView workbookViewId="0">
      <selection activeCell="D8" sqref="D8"/>
    </sheetView>
  </sheetViews>
  <sheetFormatPr defaultRowHeight="14.4"/>
  <cols>
    <col min="1" max="1" width="8.109375" bestFit="1" customWidth="1"/>
    <col min="2" max="2" width="16.88671875" bestFit="1" customWidth="1"/>
    <col min="3" max="3" width="26.88671875" bestFit="1" customWidth="1"/>
    <col min="4" max="8" width="10.6640625" customWidth="1"/>
    <col min="9" max="9" width="11.109375" bestFit="1" customWidth="1"/>
  </cols>
  <sheetData>
    <row r="1" spans="1:18">
      <c r="A1" s="1" t="s">
        <v>0</v>
      </c>
      <c r="B1" s="2" t="str">
        <f>'Table of Contents'!B1</f>
        <v>Electronics Manufacturing Venture</v>
      </c>
      <c r="C1" s="3"/>
      <c r="D1" s="3"/>
      <c r="E1" s="4" t="s">
        <v>1</v>
      </c>
      <c r="F1" s="5" t="s">
        <v>2</v>
      </c>
    </row>
    <row r="2" spans="1:18">
      <c r="A2" s="1" t="s">
        <v>3</v>
      </c>
      <c r="B2" s="2" t="str">
        <f>'Table of Contents'!B2</f>
        <v>Krishnamurthy Bindumadhavan</v>
      </c>
      <c r="C2" s="3"/>
      <c r="D2" s="3"/>
      <c r="E2" s="6" t="s">
        <v>4</v>
      </c>
      <c r="F2" s="5" t="s">
        <v>5</v>
      </c>
    </row>
    <row r="3" spans="1:18">
      <c r="A3" s="1" t="s">
        <v>6</v>
      </c>
      <c r="B3" s="2" t="s">
        <v>126</v>
      </c>
      <c r="C3" s="3"/>
      <c r="D3" s="3"/>
      <c r="E3" s="7" t="s">
        <v>8</v>
      </c>
      <c r="F3" s="5" t="s">
        <v>9</v>
      </c>
    </row>
    <row r="4" spans="1:18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5" spans="1:18" ht="15" thickBot="1">
      <c r="C5" s="50"/>
    </row>
    <row r="6" spans="1:18" ht="16.2" thickBot="1">
      <c r="C6" s="116" t="s">
        <v>86</v>
      </c>
      <c r="D6" s="63">
        <v>2015</v>
      </c>
      <c r="E6" s="63">
        <v>2016</v>
      </c>
      <c r="F6" s="63">
        <v>2017</v>
      </c>
      <c r="G6" s="63">
        <v>2018</v>
      </c>
      <c r="H6" s="63">
        <v>2019</v>
      </c>
      <c r="R6" s="117"/>
    </row>
    <row r="7" spans="1:18" ht="15.6">
      <c r="C7" s="118" t="s">
        <v>127</v>
      </c>
      <c r="D7" s="119">
        <v>0</v>
      </c>
      <c r="E7" s="120">
        <f>D13</f>
        <v>2704.3703360107847</v>
      </c>
      <c r="F7" s="120">
        <f t="shared" ref="F7:H7" si="0">E13</f>
        <v>12456.277842482341</v>
      </c>
      <c r="G7" s="120">
        <f t="shared" si="0"/>
        <v>24655.80539978579</v>
      </c>
      <c r="H7" s="121">
        <f t="shared" si="0"/>
        <v>34198.965110674515</v>
      </c>
      <c r="R7" s="117"/>
    </row>
    <row r="8" spans="1:18" ht="15.6">
      <c r="C8" s="94" t="s">
        <v>128</v>
      </c>
      <c r="D8" s="122">
        <f>[3]Dashboard!C12</f>
        <v>6304.3703360107847</v>
      </c>
      <c r="E8" s="122">
        <f>[3]Dashboard!D12</f>
        <v>8851.9075064715562</v>
      </c>
      <c r="F8" s="122">
        <f>[3]Dashboard!E12</f>
        <v>11299.527557303449</v>
      </c>
      <c r="G8" s="122">
        <f>[3]Dashboard!F12</f>
        <v>8643.1597108887236</v>
      </c>
      <c r="H8" s="122">
        <f>[3]Dashboard!G12</f>
        <v>5878.5673398485214</v>
      </c>
      <c r="R8" s="117"/>
    </row>
    <row r="9" spans="1:18">
      <c r="C9" s="94" t="s">
        <v>129</v>
      </c>
      <c r="D9" s="122">
        <f>[3]Dashboard!C10-[3]Dashboard!C11</f>
        <v>900</v>
      </c>
      <c r="E9" s="122">
        <f>[3]Dashboard!D10-[3]Dashboard!D11</f>
        <v>900</v>
      </c>
      <c r="F9" s="122">
        <f>[3]Dashboard!E10-[3]Dashboard!E11</f>
        <v>900</v>
      </c>
      <c r="G9" s="122">
        <f>[3]Dashboard!F10-[3]Dashboard!F11</f>
        <v>900</v>
      </c>
      <c r="H9" s="122">
        <f>[3]Dashboard!G10-[3]Dashboard!G11</f>
        <v>900</v>
      </c>
    </row>
    <row r="10" spans="1:18">
      <c r="C10" s="94" t="s">
        <v>130</v>
      </c>
      <c r="D10" s="122">
        <f>-(D17-C17)</f>
        <v>-2704.3703360107847</v>
      </c>
      <c r="E10" s="122">
        <f t="shared" ref="E10:G10" si="1">-(E17-D17)</f>
        <v>-9751.9075064715562</v>
      </c>
      <c r="F10" s="122">
        <f t="shared" si="1"/>
        <v>-12199.527557303445</v>
      </c>
      <c r="G10" s="122">
        <f t="shared" si="1"/>
        <v>-9543.1597108887217</v>
      </c>
      <c r="H10" s="122">
        <f>-(H17-G17)</f>
        <v>-6778.567339848516</v>
      </c>
    </row>
    <row r="11" spans="1:18">
      <c r="C11" s="94" t="s">
        <v>131</v>
      </c>
      <c r="D11" s="122">
        <f>D18-C18</f>
        <v>0</v>
      </c>
      <c r="E11" s="122">
        <f t="shared" ref="E11:H11" si="2">E18-D18</f>
        <v>0</v>
      </c>
      <c r="F11" s="122">
        <f t="shared" si="2"/>
        <v>0</v>
      </c>
      <c r="G11" s="122">
        <f>G18-F18</f>
        <v>0</v>
      </c>
      <c r="H11" s="122">
        <f t="shared" si="2"/>
        <v>0</v>
      </c>
    </row>
    <row r="12" spans="1:18">
      <c r="C12" s="94" t="s">
        <v>132</v>
      </c>
      <c r="D12" s="122">
        <f>D13-SUM(D7:D11)</f>
        <v>-1795.6296639892153</v>
      </c>
      <c r="E12" s="123">
        <f t="shared" ref="E12:G12" si="3">E13-SUM(E7:E11)</f>
        <v>9751.9075064715562</v>
      </c>
      <c r="F12" s="123">
        <f t="shared" si="3"/>
        <v>12199.527557303445</v>
      </c>
      <c r="G12" s="123">
        <f t="shared" si="3"/>
        <v>9543.1597108887217</v>
      </c>
      <c r="H12" s="124">
        <f>H13-SUM(H7:H11)</f>
        <v>6778.567339848516</v>
      </c>
    </row>
    <row r="13" spans="1:18">
      <c r="C13" s="125" t="s">
        <v>133</v>
      </c>
      <c r="D13" s="126">
        <f>[3]Dashboard!C34</f>
        <v>2704.3703360107847</v>
      </c>
      <c r="E13" s="126">
        <f>[3]Dashboard!D34</f>
        <v>12456.277842482341</v>
      </c>
      <c r="F13" s="126">
        <f>[3]Dashboard!E34</f>
        <v>24655.80539978579</v>
      </c>
      <c r="G13" s="126">
        <f>[3]Dashboard!F34</f>
        <v>34198.965110674515</v>
      </c>
      <c r="H13" s="126">
        <f>[3]Dashboard!G34</f>
        <v>40977.532450523038</v>
      </c>
    </row>
    <row r="14" spans="1:18" ht="15" thickBot="1">
      <c r="C14" s="95" t="s">
        <v>134</v>
      </c>
      <c r="D14" s="127">
        <f>D13-D7</f>
        <v>2704.3703360107847</v>
      </c>
      <c r="E14" s="128">
        <f t="shared" ref="E14:G14" si="4">E13-E7</f>
        <v>9751.9075064715562</v>
      </c>
      <c r="F14" s="128">
        <f t="shared" si="4"/>
        <v>12199.527557303449</v>
      </c>
      <c r="G14" s="128">
        <f t="shared" si="4"/>
        <v>9543.1597108887254</v>
      </c>
      <c r="H14" s="129">
        <f>H13-H7</f>
        <v>6778.5673398485233</v>
      </c>
    </row>
    <row r="16" spans="1:18">
      <c r="C16">
        <f>C21</f>
        <v>2014</v>
      </c>
      <c r="D16">
        <f t="shared" ref="D16:H16" si="5">D21</f>
        <v>2015</v>
      </c>
      <c r="E16">
        <f t="shared" si="5"/>
        <v>2016</v>
      </c>
      <c r="F16">
        <f t="shared" si="5"/>
        <v>2017</v>
      </c>
      <c r="G16">
        <f t="shared" si="5"/>
        <v>2018</v>
      </c>
      <c r="H16">
        <f t="shared" si="5"/>
        <v>2019</v>
      </c>
    </row>
    <row r="17" spans="2:8">
      <c r="B17" t="s">
        <v>135</v>
      </c>
      <c r="C17" s="130">
        <v>0</v>
      </c>
      <c r="D17" s="131">
        <f>[3]Dashboard!C18</f>
        <v>2704.3703360107847</v>
      </c>
      <c r="E17" s="131">
        <f>[3]Dashboard!D18</f>
        <v>12456.277842482341</v>
      </c>
      <c r="F17" s="131">
        <f>[3]Dashboard!E18</f>
        <v>24655.805399785786</v>
      </c>
      <c r="G17" s="131">
        <f>[3]Dashboard!F18</f>
        <v>34198.965110674508</v>
      </c>
      <c r="H17" s="131">
        <f>[3]Dashboard!G18</f>
        <v>40977.532450523024</v>
      </c>
    </row>
    <row r="18" spans="2:8">
      <c r="B18" t="s">
        <v>136</v>
      </c>
      <c r="C18" s="131">
        <v>0</v>
      </c>
      <c r="D18" s="131">
        <v>0</v>
      </c>
      <c r="E18" s="131">
        <v>0</v>
      </c>
      <c r="F18" s="131">
        <v>0</v>
      </c>
      <c r="G18" s="131">
        <v>0</v>
      </c>
      <c r="H18" s="131">
        <f>'[5]BS 2013'!B32</f>
        <v>0</v>
      </c>
    </row>
    <row r="20" spans="2:8">
      <c r="C20" t="s">
        <v>137</v>
      </c>
    </row>
    <row r="21" spans="2:8">
      <c r="C21" s="132">
        <v>2014</v>
      </c>
      <c r="D21" s="132">
        <f>D6</f>
        <v>2015</v>
      </c>
      <c r="E21" s="132">
        <f t="shared" ref="E21:H21" si="6">E6</f>
        <v>2016</v>
      </c>
      <c r="F21" s="132">
        <f t="shared" si="6"/>
        <v>2017</v>
      </c>
      <c r="G21" s="132">
        <f>G6</f>
        <v>2018</v>
      </c>
      <c r="H21" s="132">
        <f t="shared" si="6"/>
        <v>2019</v>
      </c>
    </row>
    <row r="22" spans="2:8">
      <c r="C22" s="131">
        <f>D7</f>
        <v>0</v>
      </c>
      <c r="D22" s="131">
        <f>D13</f>
        <v>2704.3703360107847</v>
      </c>
      <c r="E22" s="131">
        <f t="shared" ref="E22:H22" si="7">E13</f>
        <v>12456.277842482341</v>
      </c>
      <c r="F22" s="131">
        <f t="shared" si="7"/>
        <v>24655.80539978579</v>
      </c>
      <c r="G22" s="131">
        <f t="shared" si="7"/>
        <v>34198.965110674515</v>
      </c>
      <c r="H22" s="131">
        <f t="shared" si="7"/>
        <v>40977.532450523038</v>
      </c>
    </row>
    <row r="24" spans="2:8">
      <c r="C24" t="s">
        <v>138</v>
      </c>
    </row>
    <row r="25" spans="2:8">
      <c r="E25" t="s">
        <v>139</v>
      </c>
      <c r="F25" t="s">
        <v>140</v>
      </c>
      <c r="G25" t="s">
        <v>141</v>
      </c>
    </row>
    <row r="26" spans="2:8">
      <c r="C26" t="s">
        <v>127</v>
      </c>
      <c r="D26" s="133">
        <f>H7</f>
        <v>34198.965110674515</v>
      </c>
      <c r="E26" s="133">
        <f>D26</f>
        <v>34198.965110674515</v>
      </c>
      <c r="F26" s="133"/>
      <c r="G26" s="133"/>
      <c r="H26" s="133"/>
    </row>
    <row r="27" spans="2:8">
      <c r="C27" t="s">
        <v>128</v>
      </c>
      <c r="D27" s="133">
        <f t="shared" ref="D27:D31" si="8">H8</f>
        <v>5878.5673398485214</v>
      </c>
      <c r="E27" s="134"/>
      <c r="F27" s="134">
        <f>SUM(D$26:D26)</f>
        <v>34198.965110674515</v>
      </c>
      <c r="G27" s="134">
        <f>SUM(D$26:D27)</f>
        <v>40077.532450523038</v>
      </c>
      <c r="H27" s="134"/>
    </row>
    <row r="28" spans="2:8">
      <c r="C28" t="s">
        <v>129</v>
      </c>
      <c r="D28" s="133">
        <f t="shared" si="8"/>
        <v>900</v>
      </c>
      <c r="E28" s="134"/>
      <c r="F28" s="134">
        <f>SUM(D$26:D27)</f>
        <v>40077.532450523038</v>
      </c>
      <c r="G28" s="134">
        <f>SUM(D$26:D28)</f>
        <v>40977.532450523038</v>
      </c>
      <c r="H28" s="134"/>
    </row>
    <row r="29" spans="2:8">
      <c r="C29" t="s">
        <v>130</v>
      </c>
      <c r="D29" s="133">
        <f t="shared" si="8"/>
        <v>-6778.567339848516</v>
      </c>
      <c r="E29" s="134"/>
      <c r="F29" s="134">
        <f>SUM(D$26:D28)</f>
        <v>40977.532450523038</v>
      </c>
      <c r="G29" s="134">
        <f>SUM(D$26:D29)</f>
        <v>34198.965110674522</v>
      </c>
      <c r="H29" s="134"/>
    </row>
    <row r="30" spans="2:8">
      <c r="C30" t="s">
        <v>131</v>
      </c>
      <c r="D30" s="133">
        <f t="shared" si="8"/>
        <v>0</v>
      </c>
      <c r="E30" s="134"/>
      <c r="F30" s="134">
        <f>SUM(D$26:D29)</f>
        <v>34198.965110674522</v>
      </c>
      <c r="G30" s="134">
        <f>SUM(D$26:D30)</f>
        <v>34198.965110674522</v>
      </c>
      <c r="H30" s="134"/>
    </row>
    <row r="31" spans="2:8">
      <c r="C31" t="s">
        <v>132</v>
      </c>
      <c r="D31" s="133">
        <f t="shared" si="8"/>
        <v>6778.567339848516</v>
      </c>
      <c r="E31" s="134"/>
      <c r="F31" s="134">
        <f>SUM(D$26:D30)</f>
        <v>34198.965110674522</v>
      </c>
      <c r="G31" s="134">
        <f>SUM(D$26:D31)</f>
        <v>40977.532450523038</v>
      </c>
      <c r="H31" s="134"/>
    </row>
    <row r="32" spans="2:8">
      <c r="C32" t="s">
        <v>133</v>
      </c>
      <c r="D32" s="133"/>
      <c r="E32" s="134">
        <f>SUM(D26:D31)</f>
        <v>40977.532450523038</v>
      </c>
      <c r="F32" s="134"/>
      <c r="G32" s="134"/>
      <c r="H32" s="134"/>
    </row>
    <row r="33" spans="4:8">
      <c r="D33" s="133"/>
      <c r="E33" s="134"/>
      <c r="F33" s="134"/>
      <c r="G33" s="134"/>
      <c r="H33" s="13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2B3E-9A7D-48A6-B9E9-767F22229E7E}">
  <dimension ref="A1:DW36"/>
  <sheetViews>
    <sheetView topLeftCell="A4" workbookViewId="0">
      <selection activeCell="K6" sqref="K6"/>
    </sheetView>
  </sheetViews>
  <sheetFormatPr defaultRowHeight="14.4"/>
  <cols>
    <col min="3" max="3" width="23" bestFit="1" customWidth="1"/>
    <col min="4" max="4" width="10.5546875" bestFit="1" customWidth="1"/>
    <col min="5" max="6" width="0" hidden="1" customWidth="1"/>
    <col min="7" max="7" width="11.109375" bestFit="1" customWidth="1"/>
    <col min="8" max="8" width="10.6640625" customWidth="1"/>
    <col min="9" max="9" width="11.33203125" customWidth="1"/>
    <col min="10" max="16" width="10.6640625" customWidth="1"/>
    <col min="17" max="127" width="12.6640625" customWidth="1"/>
  </cols>
  <sheetData>
    <row r="1" spans="1:12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</row>
    <row r="2" spans="1:127">
      <c r="A2" s="1" t="s">
        <v>3</v>
      </c>
      <c r="B2" s="2" t="str">
        <f>'Table of Contents'!B2</f>
        <v>Krishnamurthy Bindumadhavan</v>
      </c>
      <c r="C2" s="3"/>
      <c r="D2" s="3"/>
      <c r="E2" s="3"/>
      <c r="F2" s="6" t="s">
        <v>4</v>
      </c>
      <c r="G2" s="5" t="s">
        <v>5</v>
      </c>
    </row>
    <row r="3" spans="1:127">
      <c r="A3" s="1" t="s">
        <v>6</v>
      </c>
      <c r="B3" s="2" t="s">
        <v>89</v>
      </c>
      <c r="C3" s="3"/>
      <c r="D3" s="3"/>
      <c r="E3" s="3"/>
      <c r="F3" s="7" t="s">
        <v>8</v>
      </c>
      <c r="G3" s="5" t="s">
        <v>9</v>
      </c>
    </row>
    <row r="4" spans="1:127">
      <c r="A4" s="8" t="s">
        <v>10</v>
      </c>
      <c r="B4" s="9">
        <v>46033</v>
      </c>
      <c r="C4" s="3"/>
      <c r="D4" s="3"/>
      <c r="E4" s="3"/>
      <c r="F4" s="10" t="s">
        <v>11</v>
      </c>
      <c r="G4" s="5" t="s">
        <v>12</v>
      </c>
    </row>
    <row r="5" spans="1:127" ht="15" thickBot="1">
      <c r="A5" s="326"/>
      <c r="B5" s="327"/>
      <c r="F5" s="249"/>
      <c r="G5" s="5"/>
    </row>
    <row r="6" spans="1:127" ht="15" thickBot="1">
      <c r="C6" s="328" t="s">
        <v>21</v>
      </c>
      <c r="D6" s="329">
        <f>Assumptions!D14</f>
        <v>0.15</v>
      </c>
      <c r="H6" s="330" t="s">
        <v>234</v>
      </c>
      <c r="I6" s="331"/>
      <c r="J6" s="332">
        <f>'Depreciation Schedule'!F23+SUM(Assumptions!J45:J48)</f>
        <v>587111.11111111112</v>
      </c>
    </row>
    <row r="7" spans="1:127">
      <c r="C7" s="333" t="s">
        <v>23</v>
      </c>
      <c r="D7" s="334">
        <f>Assumptions!D15</f>
        <v>10</v>
      </c>
      <c r="G7" t="s">
        <v>24</v>
      </c>
    </row>
    <row r="8" spans="1:127" ht="15" thickBot="1">
      <c r="C8" s="335" t="s">
        <v>235</v>
      </c>
      <c r="D8" s="336">
        <f>-PMT(D6/12, D7*12, H13, 0)</f>
        <v>8665.4798055249048</v>
      </c>
    </row>
    <row r="9" spans="1:127">
      <c r="D9" s="325"/>
    </row>
    <row r="10" spans="1:127" ht="15" thickBot="1"/>
    <row r="11" spans="1:127">
      <c r="C11" s="337" t="s">
        <v>236</v>
      </c>
      <c r="D11" s="338"/>
      <c r="E11" s="338"/>
      <c r="F11" s="338"/>
      <c r="G11" s="338"/>
      <c r="H11" s="339" t="s">
        <v>172</v>
      </c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39"/>
      <c r="U11" s="339"/>
      <c r="V11" s="339"/>
      <c r="W11" s="339"/>
      <c r="X11" s="339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39"/>
      <c r="AK11" s="339"/>
      <c r="AL11" s="339"/>
      <c r="AM11" s="339"/>
      <c r="AN11" s="339"/>
      <c r="AO11" s="339"/>
      <c r="AP11" s="339"/>
      <c r="AQ11" s="339"/>
      <c r="AR11" s="339"/>
      <c r="AS11" s="339"/>
      <c r="AT11" s="339"/>
      <c r="AU11" s="339"/>
      <c r="AV11" s="339"/>
      <c r="AW11" s="339"/>
      <c r="AX11" s="339"/>
      <c r="AY11" s="339"/>
      <c r="AZ11" s="339"/>
      <c r="BA11" s="339"/>
      <c r="BB11" s="339"/>
      <c r="BC11" s="339"/>
      <c r="BD11" s="339"/>
      <c r="BE11" s="339"/>
      <c r="BF11" s="339"/>
      <c r="BG11" s="339"/>
      <c r="BH11" s="339"/>
      <c r="BI11" s="339"/>
      <c r="BJ11" s="339"/>
      <c r="BK11" s="339"/>
      <c r="BL11" s="339"/>
      <c r="BM11" s="339"/>
      <c r="BN11" s="339"/>
      <c r="BO11" s="339"/>
      <c r="BP11" s="339"/>
      <c r="BQ11" s="339"/>
      <c r="BR11" s="339"/>
      <c r="BS11" s="339"/>
      <c r="BT11" s="339"/>
      <c r="BU11" s="339"/>
      <c r="BV11" s="339"/>
      <c r="BW11" s="339"/>
      <c r="BX11" s="339"/>
      <c r="BY11" s="339"/>
      <c r="BZ11" s="339"/>
      <c r="CA11" s="339"/>
      <c r="CB11" s="339"/>
      <c r="CC11" s="339"/>
      <c r="CD11" s="339"/>
      <c r="CE11" s="339"/>
      <c r="CF11" s="339"/>
      <c r="CG11" s="339"/>
      <c r="CH11" s="339"/>
      <c r="CI11" s="339"/>
      <c r="CJ11" s="339"/>
      <c r="CK11" s="339"/>
      <c r="CL11" s="339"/>
      <c r="CM11" s="339"/>
      <c r="CN11" s="339"/>
      <c r="CO11" s="339"/>
      <c r="CP11" s="339"/>
      <c r="CQ11" s="339"/>
      <c r="CR11" s="339"/>
      <c r="CS11" s="339"/>
      <c r="CT11" s="339"/>
      <c r="CU11" s="339"/>
      <c r="CV11" s="339"/>
      <c r="CW11" s="339"/>
      <c r="CX11" s="339"/>
      <c r="CY11" s="339"/>
      <c r="CZ11" s="339"/>
      <c r="DA11" s="339"/>
      <c r="DB11" s="339"/>
      <c r="DC11" s="339"/>
      <c r="DD11" s="339"/>
      <c r="DE11" s="339"/>
      <c r="DF11" s="339"/>
      <c r="DG11" s="339"/>
      <c r="DH11" s="339"/>
      <c r="DI11" s="339"/>
      <c r="DJ11" s="339"/>
      <c r="DK11" s="339"/>
      <c r="DL11" s="339"/>
      <c r="DM11" s="339"/>
      <c r="DN11" s="339"/>
      <c r="DO11" s="339"/>
      <c r="DP11" s="339"/>
      <c r="DQ11" s="339"/>
      <c r="DR11" s="339"/>
      <c r="DS11" s="339"/>
      <c r="DT11" s="339"/>
      <c r="DU11" s="339"/>
      <c r="DV11" s="339"/>
      <c r="DW11" s="340"/>
    </row>
    <row r="12" spans="1:127" ht="15" thickBot="1">
      <c r="C12" s="341"/>
      <c r="D12" s="342"/>
      <c r="E12" s="343"/>
      <c r="F12" s="343"/>
      <c r="G12" s="343"/>
      <c r="H12" s="201">
        <v>1</v>
      </c>
      <c r="I12" s="201">
        <v>2</v>
      </c>
      <c r="J12" s="201">
        <v>3</v>
      </c>
      <c r="K12" s="201">
        <v>4</v>
      </c>
      <c r="L12" s="201">
        <v>5</v>
      </c>
      <c r="M12" s="201">
        <v>6</v>
      </c>
      <c r="N12" s="201">
        <v>7</v>
      </c>
      <c r="O12" s="201">
        <v>8</v>
      </c>
      <c r="P12" s="201">
        <v>9</v>
      </c>
      <c r="Q12" s="201">
        <v>10</v>
      </c>
      <c r="R12" s="201">
        <v>11</v>
      </c>
      <c r="S12" s="201">
        <v>12</v>
      </c>
      <c r="T12" s="201">
        <v>13</v>
      </c>
      <c r="U12" s="201">
        <v>14</v>
      </c>
      <c r="V12" s="201">
        <v>15</v>
      </c>
      <c r="W12" s="201">
        <v>16</v>
      </c>
      <c r="X12" s="201">
        <v>17</v>
      </c>
      <c r="Y12" s="201">
        <v>18</v>
      </c>
      <c r="Z12" s="201">
        <v>19</v>
      </c>
      <c r="AA12" s="201">
        <v>20</v>
      </c>
      <c r="AB12" s="201">
        <v>21</v>
      </c>
      <c r="AC12" s="201">
        <v>22</v>
      </c>
      <c r="AD12" s="201">
        <v>23</v>
      </c>
      <c r="AE12" s="201">
        <v>24</v>
      </c>
      <c r="AF12" s="201">
        <v>25</v>
      </c>
      <c r="AG12" s="201">
        <v>26</v>
      </c>
      <c r="AH12" s="201">
        <v>27</v>
      </c>
      <c r="AI12" s="201">
        <v>28</v>
      </c>
      <c r="AJ12" s="201">
        <v>29</v>
      </c>
      <c r="AK12" s="201">
        <v>30</v>
      </c>
      <c r="AL12" s="201">
        <v>31</v>
      </c>
      <c r="AM12" s="201">
        <v>32</v>
      </c>
      <c r="AN12" s="201">
        <v>33</v>
      </c>
      <c r="AO12" s="201">
        <v>34</v>
      </c>
      <c r="AP12" s="201">
        <v>35</v>
      </c>
      <c r="AQ12" s="201">
        <v>36</v>
      </c>
      <c r="AR12" s="201">
        <v>37</v>
      </c>
      <c r="AS12" s="201">
        <v>38</v>
      </c>
      <c r="AT12" s="201">
        <v>39</v>
      </c>
      <c r="AU12" s="201">
        <v>40</v>
      </c>
      <c r="AV12" s="201">
        <v>41</v>
      </c>
      <c r="AW12" s="201">
        <v>42</v>
      </c>
      <c r="AX12" s="201">
        <v>43</v>
      </c>
      <c r="AY12" s="201">
        <v>44</v>
      </c>
      <c r="AZ12" s="201">
        <v>45</v>
      </c>
      <c r="BA12" s="201">
        <v>46</v>
      </c>
      <c r="BB12" s="201">
        <v>47</v>
      </c>
      <c r="BC12" s="201">
        <v>48</v>
      </c>
      <c r="BD12" s="201">
        <v>49</v>
      </c>
      <c r="BE12" s="201">
        <v>50</v>
      </c>
      <c r="BF12" s="201">
        <v>51</v>
      </c>
      <c r="BG12" s="201">
        <v>52</v>
      </c>
      <c r="BH12" s="201">
        <v>53</v>
      </c>
      <c r="BI12" s="201">
        <v>54</v>
      </c>
      <c r="BJ12" s="201">
        <v>55</v>
      </c>
      <c r="BK12" s="201">
        <v>56</v>
      </c>
      <c r="BL12" s="201">
        <v>57</v>
      </c>
      <c r="BM12" s="201">
        <v>58</v>
      </c>
      <c r="BN12" s="201">
        <v>59</v>
      </c>
      <c r="BO12" s="201">
        <v>60</v>
      </c>
      <c r="BP12" s="201">
        <v>61</v>
      </c>
      <c r="BQ12" s="201">
        <v>62</v>
      </c>
      <c r="BR12" s="201">
        <v>63</v>
      </c>
      <c r="BS12" s="201">
        <v>64</v>
      </c>
      <c r="BT12" s="201">
        <v>65</v>
      </c>
      <c r="BU12" s="201">
        <v>66</v>
      </c>
      <c r="BV12" s="201">
        <v>67</v>
      </c>
      <c r="BW12" s="201">
        <v>68</v>
      </c>
      <c r="BX12" s="201">
        <v>69</v>
      </c>
      <c r="BY12" s="201">
        <v>70</v>
      </c>
      <c r="BZ12" s="201">
        <v>71</v>
      </c>
      <c r="CA12" s="201">
        <v>72</v>
      </c>
      <c r="CB12" s="201">
        <v>73</v>
      </c>
      <c r="CC12" s="201">
        <v>74</v>
      </c>
      <c r="CD12" s="201">
        <v>75</v>
      </c>
      <c r="CE12" s="201">
        <v>76</v>
      </c>
      <c r="CF12" s="201">
        <v>77</v>
      </c>
      <c r="CG12" s="201">
        <v>78</v>
      </c>
      <c r="CH12" s="201">
        <v>79</v>
      </c>
      <c r="CI12" s="201">
        <v>80</v>
      </c>
      <c r="CJ12" s="201">
        <v>81</v>
      </c>
      <c r="CK12" s="201">
        <v>82</v>
      </c>
      <c r="CL12" s="201">
        <v>83</v>
      </c>
      <c r="CM12" s="201">
        <v>84</v>
      </c>
      <c r="CN12" s="201">
        <v>85</v>
      </c>
      <c r="CO12" s="201">
        <v>86</v>
      </c>
      <c r="CP12" s="201">
        <v>87</v>
      </c>
      <c r="CQ12" s="201">
        <v>88</v>
      </c>
      <c r="CR12" s="201">
        <v>89</v>
      </c>
      <c r="CS12" s="201">
        <v>90</v>
      </c>
      <c r="CT12" s="201">
        <v>91</v>
      </c>
      <c r="CU12" s="201">
        <v>92</v>
      </c>
      <c r="CV12" s="201">
        <v>93</v>
      </c>
      <c r="CW12" s="201">
        <v>94</v>
      </c>
      <c r="CX12" s="201">
        <v>95</v>
      </c>
      <c r="CY12" s="201">
        <v>96</v>
      </c>
      <c r="CZ12" s="201">
        <v>97</v>
      </c>
      <c r="DA12" s="201">
        <v>98</v>
      </c>
      <c r="DB12" s="201">
        <v>99</v>
      </c>
      <c r="DC12" s="201">
        <v>100</v>
      </c>
      <c r="DD12" s="201">
        <v>101</v>
      </c>
      <c r="DE12" s="201">
        <v>102</v>
      </c>
      <c r="DF12" s="201">
        <v>103</v>
      </c>
      <c r="DG12" s="201">
        <v>104</v>
      </c>
      <c r="DH12" s="201">
        <v>105</v>
      </c>
      <c r="DI12" s="201">
        <v>106</v>
      </c>
      <c r="DJ12" s="201">
        <v>107</v>
      </c>
      <c r="DK12" s="201">
        <v>108</v>
      </c>
      <c r="DL12" s="201">
        <v>109</v>
      </c>
      <c r="DM12" s="201">
        <v>110</v>
      </c>
      <c r="DN12" s="201">
        <v>111</v>
      </c>
      <c r="DO12" s="201">
        <v>112</v>
      </c>
      <c r="DP12" s="201">
        <v>113</v>
      </c>
      <c r="DQ12" s="201">
        <v>114</v>
      </c>
      <c r="DR12" s="201">
        <v>115</v>
      </c>
      <c r="DS12" s="201">
        <v>116</v>
      </c>
      <c r="DT12" s="201">
        <v>117</v>
      </c>
      <c r="DU12" s="201">
        <v>118</v>
      </c>
      <c r="DV12" s="201">
        <v>119</v>
      </c>
      <c r="DW12" s="202">
        <v>120</v>
      </c>
    </row>
    <row r="13" spans="1:127">
      <c r="C13" s="344" t="s">
        <v>237</v>
      </c>
      <c r="D13" s="345"/>
      <c r="E13" s="345"/>
      <c r="F13" s="345"/>
      <c r="G13" s="345"/>
      <c r="H13" s="346">
        <f>'Loan Repayment Schedule'!J6-'Balance Sheet'!H35</f>
        <v>537111.11111111112</v>
      </c>
      <c r="I13" s="346">
        <f t="shared" ref="I13:BT13" si="0">H17</f>
        <v>535159.52019447507</v>
      </c>
      <c r="J13" s="346">
        <f t="shared" si="0"/>
        <v>533183.53439138108</v>
      </c>
      <c r="K13" s="346">
        <f t="shared" si="0"/>
        <v>531182.84876574844</v>
      </c>
      <c r="L13" s="346">
        <f t="shared" si="0"/>
        <v>529157.15456979536</v>
      </c>
      <c r="M13" s="346">
        <f t="shared" si="0"/>
        <v>527106.13919639285</v>
      </c>
      <c r="N13" s="346">
        <f t="shared" si="0"/>
        <v>525029.4861308228</v>
      </c>
      <c r="O13" s="346">
        <f t="shared" si="0"/>
        <v>522926.87490193319</v>
      </c>
      <c r="P13" s="346">
        <f t="shared" si="0"/>
        <v>520797.98103268247</v>
      </c>
      <c r="Q13" s="346">
        <f t="shared" si="0"/>
        <v>518642.47599006607</v>
      </c>
      <c r="R13" s="346">
        <f t="shared" si="0"/>
        <v>516460.02713441697</v>
      </c>
      <c r="S13" s="346">
        <f t="shared" si="0"/>
        <v>514250.29766807228</v>
      </c>
      <c r="T13" s="346">
        <f t="shared" si="0"/>
        <v>512012.94658339827</v>
      </c>
      <c r="U13" s="346">
        <f t="shared" si="0"/>
        <v>509747.62861016585</v>
      </c>
      <c r="V13" s="346">
        <f t="shared" si="0"/>
        <v>507453.99416226801</v>
      </c>
      <c r="W13" s="346">
        <f t="shared" si="0"/>
        <v>505131.68928377144</v>
      </c>
      <c r="X13" s="346">
        <f t="shared" si="0"/>
        <v>502780.35559429368</v>
      </c>
      <c r="Y13" s="346">
        <f t="shared" si="0"/>
        <v>500399.63023369742</v>
      </c>
      <c r="Z13" s="346">
        <f t="shared" si="0"/>
        <v>497989.14580609376</v>
      </c>
      <c r="AA13" s="346">
        <f t="shared" si="0"/>
        <v>495548.53032314504</v>
      </c>
      <c r="AB13" s="346">
        <f t="shared" si="0"/>
        <v>493077.40714665945</v>
      </c>
      <c r="AC13" s="346">
        <f t="shared" si="0"/>
        <v>490575.39493046777</v>
      </c>
      <c r="AD13" s="346">
        <f t="shared" si="0"/>
        <v>488042.10756157374</v>
      </c>
      <c r="AE13" s="346">
        <f t="shared" si="0"/>
        <v>485477.1541005685</v>
      </c>
      <c r="AF13" s="346">
        <f t="shared" si="0"/>
        <v>482880.1387213007</v>
      </c>
      <c r="AG13" s="346">
        <f t="shared" si="0"/>
        <v>480250.66064979206</v>
      </c>
      <c r="AH13" s="346">
        <f t="shared" si="0"/>
        <v>477588.31410238956</v>
      </c>
      <c r="AI13" s="346">
        <f t="shared" si="0"/>
        <v>474892.68822314451</v>
      </c>
      <c r="AJ13" s="346">
        <f t="shared" si="0"/>
        <v>472163.36702040891</v>
      </c>
      <c r="AK13" s="346">
        <f t="shared" si="0"/>
        <v>469399.9293026391</v>
      </c>
      <c r="AL13" s="346">
        <f t="shared" si="0"/>
        <v>466601.9486133972</v>
      </c>
      <c r="AM13" s="346">
        <f t="shared" si="0"/>
        <v>463768.99316553975</v>
      </c>
      <c r="AN13" s="346">
        <f t="shared" si="0"/>
        <v>460900.62577458407</v>
      </c>
      <c r="AO13" s="346">
        <f t="shared" si="0"/>
        <v>457996.40379124146</v>
      </c>
      <c r="AP13" s="346">
        <f t="shared" si="0"/>
        <v>455055.87903310708</v>
      </c>
      <c r="AQ13" s="346">
        <f t="shared" si="0"/>
        <v>452078.59771549603</v>
      </c>
      <c r="AR13" s="346">
        <f t="shared" si="0"/>
        <v>449064.10038141481</v>
      </c>
      <c r="AS13" s="346">
        <f t="shared" si="0"/>
        <v>446011.92183065758</v>
      </c>
      <c r="AT13" s="346">
        <f t="shared" si="0"/>
        <v>442921.59104801586</v>
      </c>
      <c r="AU13" s="346">
        <f t="shared" si="0"/>
        <v>439792.63113059115</v>
      </c>
      <c r="AV13" s="346">
        <f t="shared" si="0"/>
        <v>436624.55921419861</v>
      </c>
      <c r="AW13" s="346">
        <f t="shared" si="0"/>
        <v>433416.88639885117</v>
      </c>
      <c r="AX13" s="346">
        <f t="shared" si="0"/>
        <v>430169.11767331191</v>
      </c>
      <c r="AY13" s="346">
        <f t="shared" si="0"/>
        <v>426880.75183870341</v>
      </c>
      <c r="AZ13" s="346">
        <f t="shared" si="0"/>
        <v>423551.28143116232</v>
      </c>
      <c r="BA13" s="346">
        <f t="shared" si="0"/>
        <v>420180.19264352694</v>
      </c>
      <c r="BB13" s="346">
        <f t="shared" si="0"/>
        <v>416766.96524604614</v>
      </c>
      <c r="BC13" s="346">
        <f t="shared" si="0"/>
        <v>413311.0725060968</v>
      </c>
      <c r="BD13" s="346">
        <f t="shared" si="0"/>
        <v>409811.98110689811</v>
      </c>
      <c r="BE13" s="346">
        <f t="shared" si="0"/>
        <v>406269.15106520941</v>
      </c>
      <c r="BF13" s="346">
        <f t="shared" si="0"/>
        <v>402682.03564799961</v>
      </c>
      <c r="BG13" s="346">
        <f t="shared" si="0"/>
        <v>399050.08128807473</v>
      </c>
      <c r="BH13" s="346">
        <f t="shared" si="0"/>
        <v>395372.72749865078</v>
      </c>
      <c r="BI13" s="346">
        <f t="shared" si="0"/>
        <v>391649.40678685904</v>
      </c>
      <c r="BJ13" s="346">
        <f t="shared" si="0"/>
        <v>387879.54456616985</v>
      </c>
      <c r="BK13" s="346">
        <f t="shared" si="0"/>
        <v>384062.55906772206</v>
      </c>
      <c r="BL13" s="346">
        <f t="shared" si="0"/>
        <v>380197.86125054368</v>
      </c>
      <c r="BM13" s="346">
        <f t="shared" si="0"/>
        <v>376284.85471065057</v>
      </c>
      <c r="BN13" s="346">
        <f t="shared" si="0"/>
        <v>372322.93558900879</v>
      </c>
      <c r="BO13" s="346">
        <f t="shared" si="0"/>
        <v>368311.49247834651</v>
      </c>
      <c r="BP13" s="346">
        <f t="shared" si="0"/>
        <v>364249.90632880095</v>
      </c>
      <c r="BQ13" s="346">
        <f t="shared" si="0"/>
        <v>360137.55035238608</v>
      </c>
      <c r="BR13" s="346">
        <f t="shared" si="0"/>
        <v>355973.78992626601</v>
      </c>
      <c r="BS13" s="346">
        <f t="shared" si="0"/>
        <v>351757.98249481944</v>
      </c>
      <c r="BT13" s="346">
        <f t="shared" si="0"/>
        <v>347489.47747047979</v>
      </c>
      <c r="BU13" s="346">
        <f t="shared" ref="BU13:DW13" si="1">BT17</f>
        <v>343167.61613333586</v>
      </c>
      <c r="BV13" s="346">
        <f t="shared" si="1"/>
        <v>338791.73152947763</v>
      </c>
      <c r="BW13" s="346">
        <f t="shared" si="1"/>
        <v>334361.14836807118</v>
      </c>
      <c r="BX13" s="346">
        <f t="shared" si="1"/>
        <v>329875.18291714718</v>
      </c>
      <c r="BY13" s="346">
        <f t="shared" si="1"/>
        <v>325333.14289808663</v>
      </c>
      <c r="BZ13" s="346">
        <f t="shared" si="1"/>
        <v>320734.3273787878</v>
      </c>
      <c r="CA13" s="346">
        <f t="shared" si="1"/>
        <v>316078.02666549775</v>
      </c>
      <c r="CB13" s="346">
        <f t="shared" si="1"/>
        <v>311363.52219329157</v>
      </c>
      <c r="CC13" s="346">
        <f t="shared" si="1"/>
        <v>306590.0864151828</v>
      </c>
      <c r="CD13" s="346">
        <f t="shared" si="1"/>
        <v>301756.9826898477</v>
      </c>
      <c r="CE13" s="346">
        <f t="shared" si="1"/>
        <v>296863.46516794589</v>
      </c>
      <c r="CF13" s="346">
        <f t="shared" si="1"/>
        <v>291908.77867702034</v>
      </c>
      <c r="CG13" s="346">
        <f t="shared" si="1"/>
        <v>286892.15860495821</v>
      </c>
      <c r="CH13" s="346">
        <f t="shared" si="1"/>
        <v>281812.83078199526</v>
      </c>
      <c r="CI13" s="346">
        <f t="shared" si="1"/>
        <v>276670.0113612453</v>
      </c>
      <c r="CJ13" s="346">
        <f t="shared" si="1"/>
        <v>271462.90669773595</v>
      </c>
      <c r="CK13" s="346">
        <f t="shared" si="1"/>
        <v>266190.71322593273</v>
      </c>
      <c r="CL13" s="346">
        <f t="shared" si="1"/>
        <v>260852.61733573198</v>
      </c>
      <c r="CM13" s="346">
        <f t="shared" si="1"/>
        <v>255447.79524690373</v>
      </c>
      <c r="CN13" s="346">
        <f t="shared" si="1"/>
        <v>249975.41288196511</v>
      </c>
      <c r="CO13" s="346">
        <f t="shared" si="1"/>
        <v>244434.62573746475</v>
      </c>
      <c r="CP13" s="346">
        <f t="shared" si="1"/>
        <v>238824.57875365816</v>
      </c>
      <c r="CQ13" s="346">
        <f t="shared" si="1"/>
        <v>233144.406182554</v>
      </c>
      <c r="CR13" s="346">
        <f t="shared" si="1"/>
        <v>227393.23145431103</v>
      </c>
      <c r="CS13" s="346">
        <f t="shared" si="1"/>
        <v>221570.167041965</v>
      </c>
      <c r="CT13" s="346">
        <f t="shared" si="1"/>
        <v>215674.31432446465</v>
      </c>
      <c r="CU13" s="346">
        <f t="shared" si="1"/>
        <v>209704.76344799556</v>
      </c>
      <c r="CV13" s="346">
        <f t="shared" si="1"/>
        <v>203660.59318557059</v>
      </c>
      <c r="CW13" s="346">
        <f t="shared" si="1"/>
        <v>197540.8707948653</v>
      </c>
      <c r="CX13" s="346">
        <f t="shared" si="1"/>
        <v>191344.65187427623</v>
      </c>
      <c r="CY13" s="346">
        <f t="shared" si="1"/>
        <v>185070.98021717978</v>
      </c>
      <c r="CZ13" s="346">
        <f t="shared" si="1"/>
        <v>178718.88766436963</v>
      </c>
      <c r="DA13" s="346">
        <f t="shared" si="1"/>
        <v>172287.39395464933</v>
      </c>
      <c r="DB13" s="346">
        <f t="shared" si="1"/>
        <v>165775.50657355753</v>
      </c>
      <c r="DC13" s="346">
        <f t="shared" si="1"/>
        <v>159182.2206002021</v>
      </c>
      <c r="DD13" s="346">
        <f t="shared" si="1"/>
        <v>152506.51855217971</v>
      </c>
      <c r="DE13" s="346">
        <f t="shared" si="1"/>
        <v>145747.37022855706</v>
      </c>
      <c r="DF13" s="346">
        <f t="shared" si="1"/>
        <v>138903.73255088911</v>
      </c>
      <c r="DG13" s="346">
        <f t="shared" si="1"/>
        <v>131974.54940225033</v>
      </c>
      <c r="DH13" s="346">
        <f t="shared" si="1"/>
        <v>124958.75146425355</v>
      </c>
      <c r="DI13" s="346">
        <f t="shared" si="1"/>
        <v>117855.25605203182</v>
      </c>
      <c r="DJ13" s="346">
        <f t="shared" si="1"/>
        <v>110662.96694715731</v>
      </c>
      <c r="DK13" s="346">
        <f t="shared" si="1"/>
        <v>103380.77422847187</v>
      </c>
      <c r="DL13" s="346">
        <f t="shared" si="1"/>
        <v>96007.554100802867</v>
      </c>
      <c r="DM13" s="346">
        <f t="shared" si="1"/>
        <v>88542.168721537993</v>
      </c>
      <c r="DN13" s="346">
        <f t="shared" si="1"/>
        <v>80983.466025032307</v>
      </c>
      <c r="DO13" s="346">
        <f t="shared" si="1"/>
        <v>73330.279544820311</v>
      </c>
      <c r="DP13" s="346">
        <f t="shared" si="1"/>
        <v>65581.428233605664</v>
      </c>
      <c r="DQ13" s="346">
        <f t="shared" si="1"/>
        <v>57735.71628100083</v>
      </c>
      <c r="DR13" s="346">
        <f t="shared" si="1"/>
        <v>49791.932928988434</v>
      </c>
      <c r="DS13" s="346">
        <f t="shared" si="1"/>
        <v>41748.852285075882</v>
      </c>
      <c r="DT13" s="346">
        <f t="shared" si="1"/>
        <v>33605.233133114423</v>
      </c>
      <c r="DU13" s="346">
        <f t="shared" si="1"/>
        <v>25359.81874175345</v>
      </c>
      <c r="DV13" s="346">
        <f t="shared" si="1"/>
        <v>17011.336670500463</v>
      </c>
      <c r="DW13" s="347">
        <f t="shared" si="1"/>
        <v>8558.4985733568137</v>
      </c>
    </row>
    <row r="14" spans="1:127">
      <c r="C14" s="271" t="s">
        <v>235</v>
      </c>
      <c r="D14" s="211"/>
      <c r="E14" s="211"/>
      <c r="F14" s="211"/>
      <c r="G14" s="211"/>
      <c r="H14" s="224">
        <f>D8</f>
        <v>8665.4798055249048</v>
      </c>
      <c r="I14" s="224">
        <f>H14</f>
        <v>8665.4798055249048</v>
      </c>
      <c r="J14" s="224">
        <f t="shared" ref="J14:P14" si="2">I14</f>
        <v>8665.4798055249048</v>
      </c>
      <c r="K14" s="224">
        <f t="shared" si="2"/>
        <v>8665.4798055249048</v>
      </c>
      <c r="L14" s="224">
        <f>K14</f>
        <v>8665.4798055249048</v>
      </c>
      <c r="M14" s="224">
        <f t="shared" si="2"/>
        <v>8665.4798055249048</v>
      </c>
      <c r="N14" s="224">
        <f t="shared" si="2"/>
        <v>8665.4798055249048</v>
      </c>
      <c r="O14" s="224">
        <f>N14</f>
        <v>8665.4798055249048</v>
      </c>
      <c r="P14" s="224">
        <f t="shared" si="2"/>
        <v>8665.4798055249048</v>
      </c>
      <c r="Q14" s="224">
        <f>P14</f>
        <v>8665.4798055249048</v>
      </c>
      <c r="R14" s="224">
        <f t="shared" ref="R14:CC14" si="3">Q14</f>
        <v>8665.4798055249048</v>
      </c>
      <c r="S14" s="224">
        <f t="shared" si="3"/>
        <v>8665.4798055249048</v>
      </c>
      <c r="T14" s="224">
        <f t="shared" si="3"/>
        <v>8665.4798055249048</v>
      </c>
      <c r="U14" s="224">
        <f t="shared" si="3"/>
        <v>8665.4798055249048</v>
      </c>
      <c r="V14" s="224">
        <f t="shared" si="3"/>
        <v>8665.4798055249048</v>
      </c>
      <c r="W14" s="224">
        <f t="shared" si="3"/>
        <v>8665.4798055249048</v>
      </c>
      <c r="X14" s="224">
        <f t="shared" si="3"/>
        <v>8665.4798055249048</v>
      </c>
      <c r="Y14" s="224">
        <f t="shared" si="3"/>
        <v>8665.4798055249048</v>
      </c>
      <c r="Z14" s="224">
        <f t="shared" si="3"/>
        <v>8665.4798055249048</v>
      </c>
      <c r="AA14" s="224">
        <f t="shared" si="3"/>
        <v>8665.4798055249048</v>
      </c>
      <c r="AB14" s="224">
        <f t="shared" si="3"/>
        <v>8665.4798055249048</v>
      </c>
      <c r="AC14" s="224">
        <f t="shared" si="3"/>
        <v>8665.4798055249048</v>
      </c>
      <c r="AD14" s="224">
        <f t="shared" si="3"/>
        <v>8665.4798055249048</v>
      </c>
      <c r="AE14" s="224">
        <f t="shared" si="3"/>
        <v>8665.4798055249048</v>
      </c>
      <c r="AF14" s="224">
        <f t="shared" si="3"/>
        <v>8665.4798055249048</v>
      </c>
      <c r="AG14" s="224">
        <f t="shared" si="3"/>
        <v>8665.4798055249048</v>
      </c>
      <c r="AH14" s="224">
        <f t="shared" si="3"/>
        <v>8665.4798055249048</v>
      </c>
      <c r="AI14" s="224">
        <f t="shared" si="3"/>
        <v>8665.4798055249048</v>
      </c>
      <c r="AJ14" s="224">
        <f t="shared" si="3"/>
        <v>8665.4798055249048</v>
      </c>
      <c r="AK14" s="224">
        <f t="shared" si="3"/>
        <v>8665.4798055249048</v>
      </c>
      <c r="AL14" s="224">
        <f t="shared" si="3"/>
        <v>8665.4798055249048</v>
      </c>
      <c r="AM14" s="224">
        <f t="shared" si="3"/>
        <v>8665.4798055249048</v>
      </c>
      <c r="AN14" s="224">
        <f t="shared" si="3"/>
        <v>8665.4798055249048</v>
      </c>
      <c r="AO14" s="224">
        <f t="shared" si="3"/>
        <v>8665.4798055249048</v>
      </c>
      <c r="AP14" s="224">
        <f t="shared" si="3"/>
        <v>8665.4798055249048</v>
      </c>
      <c r="AQ14" s="224">
        <f t="shared" si="3"/>
        <v>8665.4798055249048</v>
      </c>
      <c r="AR14" s="224">
        <f t="shared" si="3"/>
        <v>8665.4798055249048</v>
      </c>
      <c r="AS14" s="224">
        <f t="shared" si="3"/>
        <v>8665.4798055249048</v>
      </c>
      <c r="AT14" s="224">
        <f t="shared" si="3"/>
        <v>8665.4798055249048</v>
      </c>
      <c r="AU14" s="224">
        <f t="shared" si="3"/>
        <v>8665.4798055249048</v>
      </c>
      <c r="AV14" s="224">
        <f t="shared" si="3"/>
        <v>8665.4798055249048</v>
      </c>
      <c r="AW14" s="224">
        <f t="shared" si="3"/>
        <v>8665.4798055249048</v>
      </c>
      <c r="AX14" s="224">
        <f t="shared" si="3"/>
        <v>8665.4798055249048</v>
      </c>
      <c r="AY14" s="224">
        <f t="shared" si="3"/>
        <v>8665.4798055249048</v>
      </c>
      <c r="AZ14" s="224">
        <f t="shared" si="3"/>
        <v>8665.4798055249048</v>
      </c>
      <c r="BA14" s="224">
        <f t="shared" si="3"/>
        <v>8665.4798055249048</v>
      </c>
      <c r="BB14" s="224">
        <f t="shared" si="3"/>
        <v>8665.4798055249048</v>
      </c>
      <c r="BC14" s="224">
        <f t="shared" si="3"/>
        <v>8665.4798055249048</v>
      </c>
      <c r="BD14" s="224">
        <f t="shared" si="3"/>
        <v>8665.4798055249048</v>
      </c>
      <c r="BE14" s="224">
        <f t="shared" si="3"/>
        <v>8665.4798055249048</v>
      </c>
      <c r="BF14" s="224">
        <f t="shared" si="3"/>
        <v>8665.4798055249048</v>
      </c>
      <c r="BG14" s="224">
        <f t="shared" si="3"/>
        <v>8665.4798055249048</v>
      </c>
      <c r="BH14" s="224">
        <f t="shared" si="3"/>
        <v>8665.4798055249048</v>
      </c>
      <c r="BI14" s="224">
        <f t="shared" si="3"/>
        <v>8665.4798055249048</v>
      </c>
      <c r="BJ14" s="224">
        <f t="shared" si="3"/>
        <v>8665.4798055249048</v>
      </c>
      <c r="BK14" s="224">
        <f t="shared" si="3"/>
        <v>8665.4798055249048</v>
      </c>
      <c r="BL14" s="224">
        <f t="shared" si="3"/>
        <v>8665.4798055249048</v>
      </c>
      <c r="BM14" s="224">
        <f t="shared" si="3"/>
        <v>8665.4798055249048</v>
      </c>
      <c r="BN14" s="224">
        <f t="shared" si="3"/>
        <v>8665.4798055249048</v>
      </c>
      <c r="BO14" s="224">
        <f t="shared" si="3"/>
        <v>8665.4798055249048</v>
      </c>
      <c r="BP14" s="224">
        <f t="shared" si="3"/>
        <v>8665.4798055249048</v>
      </c>
      <c r="BQ14" s="224">
        <f t="shared" si="3"/>
        <v>8665.4798055249048</v>
      </c>
      <c r="BR14" s="224">
        <f t="shared" si="3"/>
        <v>8665.4798055249048</v>
      </c>
      <c r="BS14" s="224">
        <f t="shared" si="3"/>
        <v>8665.4798055249048</v>
      </c>
      <c r="BT14" s="224">
        <f t="shared" si="3"/>
        <v>8665.4798055249048</v>
      </c>
      <c r="BU14" s="224">
        <f t="shared" si="3"/>
        <v>8665.4798055249048</v>
      </c>
      <c r="BV14" s="224">
        <f t="shared" si="3"/>
        <v>8665.4798055249048</v>
      </c>
      <c r="BW14" s="224">
        <f t="shared" si="3"/>
        <v>8665.4798055249048</v>
      </c>
      <c r="BX14" s="224">
        <f t="shared" si="3"/>
        <v>8665.4798055249048</v>
      </c>
      <c r="BY14" s="224">
        <f t="shared" si="3"/>
        <v>8665.4798055249048</v>
      </c>
      <c r="BZ14" s="224">
        <f t="shared" si="3"/>
        <v>8665.4798055249048</v>
      </c>
      <c r="CA14" s="224">
        <f t="shared" si="3"/>
        <v>8665.4798055249048</v>
      </c>
      <c r="CB14" s="224">
        <f t="shared" si="3"/>
        <v>8665.4798055249048</v>
      </c>
      <c r="CC14" s="224">
        <f t="shared" si="3"/>
        <v>8665.4798055249048</v>
      </c>
      <c r="CD14" s="224">
        <f t="shared" ref="CD14:DW14" si="4">CC14</f>
        <v>8665.4798055249048</v>
      </c>
      <c r="CE14" s="224">
        <f t="shared" si="4"/>
        <v>8665.4798055249048</v>
      </c>
      <c r="CF14" s="224">
        <f t="shared" si="4"/>
        <v>8665.4798055249048</v>
      </c>
      <c r="CG14" s="224">
        <f t="shared" si="4"/>
        <v>8665.4798055249048</v>
      </c>
      <c r="CH14" s="224">
        <f t="shared" si="4"/>
        <v>8665.4798055249048</v>
      </c>
      <c r="CI14" s="224">
        <f t="shared" si="4"/>
        <v>8665.4798055249048</v>
      </c>
      <c r="CJ14" s="224">
        <f t="shared" si="4"/>
        <v>8665.4798055249048</v>
      </c>
      <c r="CK14" s="224">
        <f t="shared" si="4"/>
        <v>8665.4798055249048</v>
      </c>
      <c r="CL14" s="224">
        <f t="shared" si="4"/>
        <v>8665.4798055249048</v>
      </c>
      <c r="CM14" s="224">
        <f t="shared" si="4"/>
        <v>8665.4798055249048</v>
      </c>
      <c r="CN14" s="224">
        <f t="shared" si="4"/>
        <v>8665.4798055249048</v>
      </c>
      <c r="CO14" s="224">
        <f t="shared" si="4"/>
        <v>8665.4798055249048</v>
      </c>
      <c r="CP14" s="224">
        <f t="shared" si="4"/>
        <v>8665.4798055249048</v>
      </c>
      <c r="CQ14" s="224">
        <f t="shared" si="4"/>
        <v>8665.4798055249048</v>
      </c>
      <c r="CR14" s="224">
        <f t="shared" si="4"/>
        <v>8665.4798055249048</v>
      </c>
      <c r="CS14" s="224">
        <f t="shared" si="4"/>
        <v>8665.4798055249048</v>
      </c>
      <c r="CT14" s="224">
        <f t="shared" si="4"/>
        <v>8665.4798055249048</v>
      </c>
      <c r="CU14" s="224">
        <f t="shared" si="4"/>
        <v>8665.4798055249048</v>
      </c>
      <c r="CV14" s="224">
        <f t="shared" si="4"/>
        <v>8665.4798055249048</v>
      </c>
      <c r="CW14" s="224">
        <f t="shared" si="4"/>
        <v>8665.4798055249048</v>
      </c>
      <c r="CX14" s="224">
        <f t="shared" si="4"/>
        <v>8665.4798055249048</v>
      </c>
      <c r="CY14" s="224">
        <f t="shared" si="4"/>
        <v>8665.4798055249048</v>
      </c>
      <c r="CZ14" s="224">
        <f t="shared" si="4"/>
        <v>8665.4798055249048</v>
      </c>
      <c r="DA14" s="224">
        <f t="shared" si="4"/>
        <v>8665.4798055249048</v>
      </c>
      <c r="DB14" s="224">
        <f t="shared" si="4"/>
        <v>8665.4798055249048</v>
      </c>
      <c r="DC14" s="224">
        <f t="shared" si="4"/>
        <v>8665.4798055249048</v>
      </c>
      <c r="DD14" s="224">
        <f t="shared" si="4"/>
        <v>8665.4798055249048</v>
      </c>
      <c r="DE14" s="224">
        <f t="shared" si="4"/>
        <v>8665.4798055249048</v>
      </c>
      <c r="DF14" s="224">
        <f t="shared" si="4"/>
        <v>8665.4798055249048</v>
      </c>
      <c r="DG14" s="224">
        <f t="shared" si="4"/>
        <v>8665.4798055249048</v>
      </c>
      <c r="DH14" s="224">
        <f t="shared" si="4"/>
        <v>8665.4798055249048</v>
      </c>
      <c r="DI14" s="224">
        <f t="shared" si="4"/>
        <v>8665.4798055249048</v>
      </c>
      <c r="DJ14" s="224">
        <f t="shared" si="4"/>
        <v>8665.4798055249048</v>
      </c>
      <c r="DK14" s="224">
        <f t="shared" si="4"/>
        <v>8665.4798055249048</v>
      </c>
      <c r="DL14" s="224">
        <f t="shared" si="4"/>
        <v>8665.4798055249048</v>
      </c>
      <c r="DM14" s="224">
        <f t="shared" si="4"/>
        <v>8665.4798055249048</v>
      </c>
      <c r="DN14" s="224">
        <f t="shared" si="4"/>
        <v>8665.4798055249048</v>
      </c>
      <c r="DO14" s="224">
        <f t="shared" si="4"/>
        <v>8665.4798055249048</v>
      </c>
      <c r="DP14" s="224">
        <f t="shared" si="4"/>
        <v>8665.4798055249048</v>
      </c>
      <c r="DQ14" s="224">
        <f t="shared" si="4"/>
        <v>8665.4798055249048</v>
      </c>
      <c r="DR14" s="224">
        <f t="shared" si="4"/>
        <v>8665.4798055249048</v>
      </c>
      <c r="DS14" s="224">
        <f t="shared" si="4"/>
        <v>8665.4798055249048</v>
      </c>
      <c r="DT14" s="224">
        <f t="shared" si="4"/>
        <v>8665.4798055249048</v>
      </c>
      <c r="DU14" s="224">
        <f t="shared" si="4"/>
        <v>8665.4798055249048</v>
      </c>
      <c r="DV14" s="224">
        <f t="shared" si="4"/>
        <v>8665.4798055249048</v>
      </c>
      <c r="DW14" s="225">
        <f t="shared" si="4"/>
        <v>8665.4798055249048</v>
      </c>
    </row>
    <row r="15" spans="1:127">
      <c r="C15" s="271" t="s">
        <v>238</v>
      </c>
      <c r="D15" s="211"/>
      <c r="E15" s="211"/>
      <c r="F15" s="211"/>
      <c r="G15" s="211"/>
      <c r="H15" s="224">
        <f>H13*$D$6/12</f>
        <v>6713.8888888888896</v>
      </c>
      <c r="I15" s="224">
        <f t="shared" ref="I15:BT15" si="5">I13*$D$6/12</f>
        <v>6689.494002430939</v>
      </c>
      <c r="J15" s="224">
        <f t="shared" si="5"/>
        <v>6664.7941798922629</v>
      </c>
      <c r="K15" s="224">
        <f t="shared" si="5"/>
        <v>6639.7856095718553</v>
      </c>
      <c r="L15" s="224">
        <f t="shared" si="5"/>
        <v>6614.4644321224414</v>
      </c>
      <c r="M15" s="224">
        <f t="shared" si="5"/>
        <v>6588.8267399549104</v>
      </c>
      <c r="N15" s="224">
        <f t="shared" si="5"/>
        <v>6562.8685766352855</v>
      </c>
      <c r="O15" s="224">
        <f t="shared" si="5"/>
        <v>6536.5859362741649</v>
      </c>
      <c r="P15" s="224">
        <f t="shared" si="5"/>
        <v>6509.9747629085314</v>
      </c>
      <c r="Q15" s="224">
        <f t="shared" si="5"/>
        <v>6483.0309498758252</v>
      </c>
      <c r="R15" s="224">
        <f t="shared" si="5"/>
        <v>6455.750339180212</v>
      </c>
      <c r="S15" s="224">
        <f t="shared" si="5"/>
        <v>6428.1287208509029</v>
      </c>
      <c r="T15" s="224">
        <f t="shared" si="5"/>
        <v>6400.1618322924778</v>
      </c>
      <c r="U15" s="224">
        <f t="shared" si="5"/>
        <v>6371.8453576270731</v>
      </c>
      <c r="V15" s="224">
        <f t="shared" si="5"/>
        <v>6343.1749270283499</v>
      </c>
      <c r="W15" s="224">
        <f t="shared" si="5"/>
        <v>6314.1461160471436</v>
      </c>
      <c r="X15" s="224">
        <f t="shared" si="5"/>
        <v>6284.7544449286715</v>
      </c>
      <c r="Y15" s="224">
        <f t="shared" si="5"/>
        <v>6254.9953779212183</v>
      </c>
      <c r="Z15" s="224">
        <f t="shared" si="5"/>
        <v>6224.8643225761725</v>
      </c>
      <c r="AA15" s="224">
        <f t="shared" si="5"/>
        <v>6194.3566290393128</v>
      </c>
      <c r="AB15" s="224">
        <f t="shared" si="5"/>
        <v>6163.4675893332424</v>
      </c>
      <c r="AC15" s="224">
        <f t="shared" si="5"/>
        <v>6132.1924366308476</v>
      </c>
      <c r="AD15" s="224">
        <f t="shared" si="5"/>
        <v>6100.5263445196715</v>
      </c>
      <c r="AE15" s="224">
        <f t="shared" si="5"/>
        <v>6068.4644262571055</v>
      </c>
      <c r="AF15" s="224">
        <f t="shared" si="5"/>
        <v>6036.0017340162585</v>
      </c>
      <c r="AG15" s="224">
        <f t="shared" si="5"/>
        <v>6003.1332581224005</v>
      </c>
      <c r="AH15" s="224">
        <f t="shared" si="5"/>
        <v>5969.8539262798695</v>
      </c>
      <c r="AI15" s="224">
        <f t="shared" si="5"/>
        <v>5936.1586027893063</v>
      </c>
      <c r="AJ15" s="224">
        <f t="shared" si="5"/>
        <v>5902.0420877551114</v>
      </c>
      <c r="AK15" s="224">
        <f t="shared" si="5"/>
        <v>5867.4991162829892</v>
      </c>
      <c r="AL15" s="224">
        <f t="shared" si="5"/>
        <v>5832.5243576674648</v>
      </c>
      <c r="AM15" s="224">
        <f t="shared" si="5"/>
        <v>5797.1124145692474</v>
      </c>
      <c r="AN15" s="224">
        <f t="shared" si="5"/>
        <v>5761.2578221823014</v>
      </c>
      <c r="AO15" s="224">
        <f t="shared" si="5"/>
        <v>5724.9550473905183</v>
      </c>
      <c r="AP15" s="224">
        <f t="shared" si="5"/>
        <v>5688.198487913839</v>
      </c>
      <c r="AQ15" s="224">
        <f t="shared" si="5"/>
        <v>5650.9824714437009</v>
      </c>
      <c r="AR15" s="224">
        <f t="shared" si="5"/>
        <v>5613.3012547676844</v>
      </c>
      <c r="AS15" s="224">
        <f t="shared" si="5"/>
        <v>5575.149022883219</v>
      </c>
      <c r="AT15" s="224">
        <f t="shared" si="5"/>
        <v>5536.5198881001988</v>
      </c>
      <c r="AU15" s="224">
        <f t="shared" si="5"/>
        <v>5497.4078891323888</v>
      </c>
      <c r="AV15" s="224">
        <f t="shared" si="5"/>
        <v>5457.8069901774825</v>
      </c>
      <c r="AW15" s="224">
        <f t="shared" si="5"/>
        <v>5417.7110799856391</v>
      </c>
      <c r="AX15" s="224">
        <f t="shared" si="5"/>
        <v>5377.113970916399</v>
      </c>
      <c r="AY15" s="224">
        <f t="shared" si="5"/>
        <v>5336.009397983792</v>
      </c>
      <c r="AZ15" s="224">
        <f t="shared" si="5"/>
        <v>5294.3910178895285</v>
      </c>
      <c r="BA15" s="224">
        <f t="shared" si="5"/>
        <v>5252.2524080440862</v>
      </c>
      <c r="BB15" s="224">
        <f t="shared" si="5"/>
        <v>5209.5870655755762</v>
      </c>
      <c r="BC15" s="224">
        <f t="shared" si="5"/>
        <v>5166.3884063262094</v>
      </c>
      <c r="BD15" s="224">
        <f t="shared" si="5"/>
        <v>5122.6497638362262</v>
      </c>
      <c r="BE15" s="224">
        <f t="shared" si="5"/>
        <v>5078.3643883151171</v>
      </c>
      <c r="BF15" s="224">
        <f t="shared" si="5"/>
        <v>5033.5254455999948</v>
      </c>
      <c r="BG15" s="224">
        <f t="shared" si="5"/>
        <v>4988.1260161009341</v>
      </c>
      <c r="BH15" s="224">
        <f t="shared" si="5"/>
        <v>4942.1590937331348</v>
      </c>
      <c r="BI15" s="224">
        <f t="shared" si="5"/>
        <v>4895.6175848357379</v>
      </c>
      <c r="BJ15" s="224">
        <f t="shared" si="5"/>
        <v>4848.4943070771233</v>
      </c>
      <c r="BK15" s="224">
        <f t="shared" si="5"/>
        <v>4800.7819883465254</v>
      </c>
      <c r="BL15" s="224">
        <f t="shared" si="5"/>
        <v>4752.4732656317956</v>
      </c>
      <c r="BM15" s="224">
        <f t="shared" si="5"/>
        <v>4703.5606838831318</v>
      </c>
      <c r="BN15" s="224">
        <f t="shared" si="5"/>
        <v>4654.0366948626097</v>
      </c>
      <c r="BO15" s="224">
        <f t="shared" si="5"/>
        <v>4603.893655979331</v>
      </c>
      <c r="BP15" s="224">
        <f t="shared" si="5"/>
        <v>4553.1238291100117</v>
      </c>
      <c r="BQ15" s="224">
        <f t="shared" si="5"/>
        <v>4501.7193794048262</v>
      </c>
      <c r="BR15" s="224">
        <f t="shared" si="5"/>
        <v>4449.6723740783245</v>
      </c>
      <c r="BS15" s="224">
        <f t="shared" si="5"/>
        <v>4396.974781185243</v>
      </c>
      <c r="BT15" s="224">
        <f t="shared" si="5"/>
        <v>4343.618468380997</v>
      </c>
      <c r="BU15" s="224">
        <f t="shared" ref="BU15:DW15" si="6">BU13*$D$6/12</f>
        <v>4289.5952016666979</v>
      </c>
      <c r="BV15" s="224">
        <f t="shared" si="6"/>
        <v>4234.8966441184702</v>
      </c>
      <c r="BW15" s="224">
        <f t="shared" si="6"/>
        <v>4179.5143546008894</v>
      </c>
      <c r="BX15" s="224">
        <f t="shared" si="6"/>
        <v>4123.4397864643397</v>
      </c>
      <c r="BY15" s="224">
        <f t="shared" si="6"/>
        <v>4066.6642862260828</v>
      </c>
      <c r="BZ15" s="224">
        <f t="shared" si="6"/>
        <v>4009.1790922348478</v>
      </c>
      <c r="CA15" s="224">
        <f t="shared" si="6"/>
        <v>3950.9753333187218</v>
      </c>
      <c r="CB15" s="224">
        <f t="shared" si="6"/>
        <v>3892.0440274161447</v>
      </c>
      <c r="CC15" s="224">
        <f t="shared" si="6"/>
        <v>3832.3760801897847</v>
      </c>
      <c r="CD15" s="224">
        <f t="shared" si="6"/>
        <v>3771.962283623096</v>
      </c>
      <c r="CE15" s="224">
        <f t="shared" si="6"/>
        <v>3710.7933145993234</v>
      </c>
      <c r="CF15" s="224">
        <f t="shared" si="6"/>
        <v>3648.8597334627539</v>
      </c>
      <c r="CG15" s="224">
        <f t="shared" si="6"/>
        <v>3586.1519825619775</v>
      </c>
      <c r="CH15" s="224">
        <f t="shared" si="6"/>
        <v>3522.6603847749407</v>
      </c>
      <c r="CI15" s="224">
        <f t="shared" si="6"/>
        <v>3458.3751420155659</v>
      </c>
      <c r="CJ15" s="224">
        <f t="shared" si="6"/>
        <v>3393.2863337216991</v>
      </c>
      <c r="CK15" s="224">
        <f t="shared" si="6"/>
        <v>3327.3839153241588</v>
      </c>
      <c r="CL15" s="224">
        <f t="shared" si="6"/>
        <v>3260.6577166966495</v>
      </c>
      <c r="CM15" s="224">
        <f t="shared" si="6"/>
        <v>3193.0974405862962</v>
      </c>
      <c r="CN15" s="224">
        <f t="shared" si="6"/>
        <v>3124.6926610245641</v>
      </c>
      <c r="CO15" s="224">
        <f t="shared" si="6"/>
        <v>3055.4328217183097</v>
      </c>
      <c r="CP15" s="224">
        <f t="shared" si="6"/>
        <v>2985.3072344207267</v>
      </c>
      <c r="CQ15" s="224">
        <f t="shared" si="6"/>
        <v>2914.3050772819247</v>
      </c>
      <c r="CR15" s="224">
        <f t="shared" si="6"/>
        <v>2842.4153931788878</v>
      </c>
      <c r="CS15" s="224">
        <f t="shared" si="6"/>
        <v>2769.6270880245625</v>
      </c>
      <c r="CT15" s="224">
        <f t="shared" si="6"/>
        <v>2695.9289290558081</v>
      </c>
      <c r="CU15" s="224">
        <f t="shared" si="6"/>
        <v>2621.3095430999442</v>
      </c>
      <c r="CV15" s="224">
        <f t="shared" si="6"/>
        <v>2545.7574148196322</v>
      </c>
      <c r="CW15" s="224">
        <f t="shared" si="6"/>
        <v>2469.2608849358162</v>
      </c>
      <c r="CX15" s="224">
        <f t="shared" si="6"/>
        <v>2391.8081484284526</v>
      </c>
      <c r="CY15" s="224">
        <f t="shared" si="6"/>
        <v>2313.3872527147473</v>
      </c>
      <c r="CZ15" s="224">
        <f t="shared" si="6"/>
        <v>2233.9860958046202</v>
      </c>
      <c r="DA15" s="224">
        <f t="shared" si="6"/>
        <v>2153.5924244331168</v>
      </c>
      <c r="DB15" s="224">
        <f t="shared" si="6"/>
        <v>2072.1938321694693</v>
      </c>
      <c r="DC15" s="224">
        <f t="shared" si="6"/>
        <v>1989.7777575025264</v>
      </c>
      <c r="DD15" s="224">
        <f t="shared" si="6"/>
        <v>1906.3314819022462</v>
      </c>
      <c r="DE15" s="224">
        <f t="shared" si="6"/>
        <v>1821.8421278569631</v>
      </c>
      <c r="DF15" s="224">
        <f t="shared" si="6"/>
        <v>1736.2966568861139</v>
      </c>
      <c r="DG15" s="224">
        <f t="shared" si="6"/>
        <v>1649.681867528129</v>
      </c>
      <c r="DH15" s="224">
        <f t="shared" si="6"/>
        <v>1561.9843933031696</v>
      </c>
      <c r="DI15" s="224">
        <f t="shared" si="6"/>
        <v>1473.1907006503977</v>
      </c>
      <c r="DJ15" s="224">
        <f t="shared" si="6"/>
        <v>1383.2870868394664</v>
      </c>
      <c r="DK15" s="224">
        <f t="shared" si="6"/>
        <v>1292.2596778558984</v>
      </c>
      <c r="DL15" s="224">
        <f t="shared" si="6"/>
        <v>1200.0944262600358</v>
      </c>
      <c r="DM15" s="224">
        <f t="shared" si="6"/>
        <v>1106.7771090192248</v>
      </c>
      <c r="DN15" s="224">
        <f t="shared" si="6"/>
        <v>1012.2933253129039</v>
      </c>
      <c r="DO15" s="224">
        <f t="shared" si="6"/>
        <v>916.62849431025381</v>
      </c>
      <c r="DP15" s="224">
        <f t="shared" si="6"/>
        <v>819.76785292007071</v>
      </c>
      <c r="DQ15" s="224">
        <f t="shared" si="6"/>
        <v>721.69645351251029</v>
      </c>
      <c r="DR15" s="224">
        <f t="shared" si="6"/>
        <v>622.39916161235544</v>
      </c>
      <c r="DS15" s="224">
        <f t="shared" si="6"/>
        <v>521.86065356344852</v>
      </c>
      <c r="DT15" s="224">
        <f t="shared" si="6"/>
        <v>420.06541416393026</v>
      </c>
      <c r="DU15" s="224">
        <f t="shared" si="6"/>
        <v>316.99773427191809</v>
      </c>
      <c r="DV15" s="224">
        <f t="shared" si="6"/>
        <v>212.64170838125577</v>
      </c>
      <c r="DW15" s="225">
        <f t="shared" si="6"/>
        <v>106.98123216696017</v>
      </c>
    </row>
    <row r="16" spans="1:127">
      <c r="C16" s="271" t="s">
        <v>239</v>
      </c>
      <c r="D16" s="211"/>
      <c r="E16" s="211"/>
      <c r="F16" s="211"/>
      <c r="G16" s="211"/>
      <c r="H16" s="224">
        <f>H14-H15</f>
        <v>1951.5909166360152</v>
      </c>
      <c r="I16" s="224">
        <f t="shared" ref="I16:BT16" si="7">I14-I15</f>
        <v>1975.9858030939658</v>
      </c>
      <c r="J16" s="224">
        <f t="shared" si="7"/>
        <v>2000.6856256326419</v>
      </c>
      <c r="K16" s="224">
        <f t="shared" si="7"/>
        <v>2025.6941959530495</v>
      </c>
      <c r="L16" s="224">
        <f t="shared" si="7"/>
        <v>2051.0153734024634</v>
      </c>
      <c r="M16" s="224">
        <f t="shared" si="7"/>
        <v>2076.6530655699944</v>
      </c>
      <c r="N16" s="224">
        <f t="shared" si="7"/>
        <v>2102.6112288896193</v>
      </c>
      <c r="O16" s="224">
        <f t="shared" si="7"/>
        <v>2128.89386925074</v>
      </c>
      <c r="P16" s="224">
        <f t="shared" si="7"/>
        <v>2155.5050426163734</v>
      </c>
      <c r="Q16" s="224">
        <f t="shared" si="7"/>
        <v>2182.4488556490796</v>
      </c>
      <c r="R16" s="224">
        <f t="shared" si="7"/>
        <v>2209.7294663446928</v>
      </c>
      <c r="S16" s="224">
        <f t="shared" si="7"/>
        <v>2237.3510846740019</v>
      </c>
      <c r="T16" s="224">
        <f t="shared" si="7"/>
        <v>2265.317973232427</v>
      </c>
      <c r="U16" s="224">
        <f t="shared" si="7"/>
        <v>2293.6344478978317</v>
      </c>
      <c r="V16" s="224">
        <f t="shared" si="7"/>
        <v>2322.3048784965549</v>
      </c>
      <c r="W16" s="224">
        <f t="shared" si="7"/>
        <v>2351.3336894777613</v>
      </c>
      <c r="X16" s="224">
        <f t="shared" si="7"/>
        <v>2380.7253605962333</v>
      </c>
      <c r="Y16" s="224">
        <f t="shared" si="7"/>
        <v>2410.4844276036865</v>
      </c>
      <c r="Z16" s="224">
        <f t="shared" si="7"/>
        <v>2440.6154829487323</v>
      </c>
      <c r="AA16" s="224">
        <f t="shared" si="7"/>
        <v>2471.123176485592</v>
      </c>
      <c r="AB16" s="224">
        <f t="shared" si="7"/>
        <v>2502.0122161916624</v>
      </c>
      <c r="AC16" s="224">
        <f t="shared" si="7"/>
        <v>2533.2873688940572</v>
      </c>
      <c r="AD16" s="224">
        <f t="shared" si="7"/>
        <v>2564.9534610052333</v>
      </c>
      <c r="AE16" s="224">
        <f t="shared" si="7"/>
        <v>2597.0153792677993</v>
      </c>
      <c r="AF16" s="224">
        <f t="shared" si="7"/>
        <v>2629.4780715086463</v>
      </c>
      <c r="AG16" s="224">
        <f t="shared" si="7"/>
        <v>2662.3465474025043</v>
      </c>
      <c r="AH16" s="224">
        <f t="shared" si="7"/>
        <v>2695.6258792450353</v>
      </c>
      <c r="AI16" s="224">
        <f t="shared" si="7"/>
        <v>2729.3212027355985</v>
      </c>
      <c r="AJ16" s="224">
        <f t="shared" si="7"/>
        <v>2763.4377177697934</v>
      </c>
      <c r="AK16" s="224">
        <f t="shared" si="7"/>
        <v>2797.9806892419156</v>
      </c>
      <c r="AL16" s="224">
        <f t="shared" si="7"/>
        <v>2832.95544785744</v>
      </c>
      <c r="AM16" s="224">
        <f t="shared" si="7"/>
        <v>2868.3673909556574</v>
      </c>
      <c r="AN16" s="224">
        <f t="shared" si="7"/>
        <v>2904.2219833426034</v>
      </c>
      <c r="AO16" s="224">
        <f t="shared" si="7"/>
        <v>2940.5247581343865</v>
      </c>
      <c r="AP16" s="224">
        <f t="shared" si="7"/>
        <v>2977.2813176110658</v>
      </c>
      <c r="AQ16" s="224">
        <f t="shared" si="7"/>
        <v>3014.4973340812039</v>
      </c>
      <c r="AR16" s="224">
        <f t="shared" si="7"/>
        <v>3052.1785507572204</v>
      </c>
      <c r="AS16" s="224">
        <f t="shared" si="7"/>
        <v>3090.3307826416858</v>
      </c>
      <c r="AT16" s="224">
        <f t="shared" si="7"/>
        <v>3128.959917424706</v>
      </c>
      <c r="AU16" s="224">
        <f t="shared" si="7"/>
        <v>3168.071916392516</v>
      </c>
      <c r="AV16" s="224">
        <f t="shared" si="7"/>
        <v>3207.6728153474223</v>
      </c>
      <c r="AW16" s="224">
        <f t="shared" si="7"/>
        <v>3247.7687255392657</v>
      </c>
      <c r="AX16" s="224">
        <f t="shared" si="7"/>
        <v>3288.3658346085058</v>
      </c>
      <c r="AY16" s="224">
        <f t="shared" si="7"/>
        <v>3329.4704075411128</v>
      </c>
      <c r="AZ16" s="224">
        <f t="shared" si="7"/>
        <v>3371.0887876353763</v>
      </c>
      <c r="BA16" s="224">
        <f t="shared" si="7"/>
        <v>3413.2273974808186</v>
      </c>
      <c r="BB16" s="224">
        <f t="shared" si="7"/>
        <v>3455.8927399493286</v>
      </c>
      <c r="BC16" s="224">
        <f t="shared" si="7"/>
        <v>3499.0913991986954</v>
      </c>
      <c r="BD16" s="224">
        <f t="shared" si="7"/>
        <v>3542.8300416886786</v>
      </c>
      <c r="BE16" s="224">
        <f t="shared" si="7"/>
        <v>3587.1154172097877</v>
      </c>
      <c r="BF16" s="224">
        <f t="shared" si="7"/>
        <v>3631.95435992491</v>
      </c>
      <c r="BG16" s="224">
        <f t="shared" si="7"/>
        <v>3677.3537894239707</v>
      </c>
      <c r="BH16" s="224">
        <f t="shared" si="7"/>
        <v>3723.32071179177</v>
      </c>
      <c r="BI16" s="224">
        <f t="shared" si="7"/>
        <v>3769.8622206891669</v>
      </c>
      <c r="BJ16" s="224">
        <f t="shared" si="7"/>
        <v>3816.9854984477815</v>
      </c>
      <c r="BK16" s="224">
        <f t="shared" si="7"/>
        <v>3864.6978171783794</v>
      </c>
      <c r="BL16" s="224">
        <f t="shared" si="7"/>
        <v>3913.0065398931092</v>
      </c>
      <c r="BM16" s="224">
        <f t="shared" si="7"/>
        <v>3961.919121641773</v>
      </c>
      <c r="BN16" s="224">
        <f t="shared" si="7"/>
        <v>4011.4431106622951</v>
      </c>
      <c r="BO16" s="224">
        <f t="shared" si="7"/>
        <v>4061.5861495455738</v>
      </c>
      <c r="BP16" s="224">
        <f t="shared" si="7"/>
        <v>4112.3559764148931</v>
      </c>
      <c r="BQ16" s="224">
        <f t="shared" si="7"/>
        <v>4163.7604261200786</v>
      </c>
      <c r="BR16" s="224">
        <f t="shared" si="7"/>
        <v>4215.8074314465803</v>
      </c>
      <c r="BS16" s="224">
        <f t="shared" si="7"/>
        <v>4268.5050243396618</v>
      </c>
      <c r="BT16" s="224">
        <f t="shared" si="7"/>
        <v>4321.8613371439078</v>
      </c>
      <c r="BU16" s="224">
        <f t="shared" ref="BU16:DW16" si="8">BU14-BU15</f>
        <v>4375.8846038582069</v>
      </c>
      <c r="BV16" s="224">
        <f t="shared" si="8"/>
        <v>4430.5831614064346</v>
      </c>
      <c r="BW16" s="224">
        <f t="shared" si="8"/>
        <v>4485.9654509240154</v>
      </c>
      <c r="BX16" s="224">
        <f t="shared" si="8"/>
        <v>4542.0400190605651</v>
      </c>
      <c r="BY16" s="224">
        <f t="shared" si="8"/>
        <v>4598.8155192988215</v>
      </c>
      <c r="BZ16" s="224">
        <f t="shared" si="8"/>
        <v>4656.3007132900566</v>
      </c>
      <c r="CA16" s="224">
        <f t="shared" si="8"/>
        <v>4714.504472206183</v>
      </c>
      <c r="CB16" s="224">
        <f t="shared" si="8"/>
        <v>4773.4357781087601</v>
      </c>
      <c r="CC16" s="224">
        <f t="shared" si="8"/>
        <v>4833.1037253351205</v>
      </c>
      <c r="CD16" s="224">
        <f t="shared" si="8"/>
        <v>4893.5175219018092</v>
      </c>
      <c r="CE16" s="224">
        <f t="shared" si="8"/>
        <v>4954.6864909255819</v>
      </c>
      <c r="CF16" s="224">
        <f t="shared" si="8"/>
        <v>5016.6200720621509</v>
      </c>
      <c r="CG16" s="224">
        <f t="shared" si="8"/>
        <v>5079.3278229629268</v>
      </c>
      <c r="CH16" s="224">
        <f t="shared" si="8"/>
        <v>5142.8194207499637</v>
      </c>
      <c r="CI16" s="224">
        <f t="shared" si="8"/>
        <v>5207.1046635093389</v>
      </c>
      <c r="CJ16" s="224">
        <f t="shared" si="8"/>
        <v>5272.1934718032062</v>
      </c>
      <c r="CK16" s="224">
        <f t="shared" si="8"/>
        <v>5338.095890200746</v>
      </c>
      <c r="CL16" s="224">
        <f t="shared" si="8"/>
        <v>5404.8220888282558</v>
      </c>
      <c r="CM16" s="224">
        <f t="shared" si="8"/>
        <v>5472.3823649386086</v>
      </c>
      <c r="CN16" s="224">
        <f t="shared" si="8"/>
        <v>5540.7871445003402</v>
      </c>
      <c r="CO16" s="224">
        <f t="shared" si="8"/>
        <v>5610.0469838065947</v>
      </c>
      <c r="CP16" s="224">
        <f t="shared" si="8"/>
        <v>5680.1725711041781</v>
      </c>
      <c r="CQ16" s="224">
        <f t="shared" si="8"/>
        <v>5751.1747282429806</v>
      </c>
      <c r="CR16" s="224">
        <f t="shared" si="8"/>
        <v>5823.064412346017</v>
      </c>
      <c r="CS16" s="224">
        <f t="shared" si="8"/>
        <v>5895.8527175003419</v>
      </c>
      <c r="CT16" s="224">
        <f t="shared" si="8"/>
        <v>5969.5508764690967</v>
      </c>
      <c r="CU16" s="224">
        <f t="shared" si="8"/>
        <v>6044.170262424961</v>
      </c>
      <c r="CV16" s="224">
        <f t="shared" si="8"/>
        <v>6119.7223907052721</v>
      </c>
      <c r="CW16" s="224">
        <f t="shared" si="8"/>
        <v>6196.2189205890882</v>
      </c>
      <c r="CX16" s="224">
        <f t="shared" si="8"/>
        <v>6273.6716570964527</v>
      </c>
      <c r="CY16" s="224">
        <f t="shared" si="8"/>
        <v>6352.0925528101579</v>
      </c>
      <c r="CZ16" s="224">
        <f t="shared" si="8"/>
        <v>6431.4937097202846</v>
      </c>
      <c r="DA16" s="224">
        <f t="shared" si="8"/>
        <v>6511.8873810917885</v>
      </c>
      <c r="DB16" s="224">
        <f t="shared" si="8"/>
        <v>6593.285973355436</v>
      </c>
      <c r="DC16" s="224">
        <f t="shared" si="8"/>
        <v>6675.7020480223782</v>
      </c>
      <c r="DD16" s="224">
        <f t="shared" si="8"/>
        <v>6759.1483236226586</v>
      </c>
      <c r="DE16" s="224">
        <f t="shared" si="8"/>
        <v>6843.6376776679417</v>
      </c>
      <c r="DF16" s="224">
        <f t="shared" si="8"/>
        <v>6929.183148638791</v>
      </c>
      <c r="DG16" s="224">
        <f t="shared" si="8"/>
        <v>7015.7979379967755</v>
      </c>
      <c r="DH16" s="224">
        <f t="shared" si="8"/>
        <v>7103.495412221735</v>
      </c>
      <c r="DI16" s="224">
        <f t="shared" si="8"/>
        <v>7192.2891048745068</v>
      </c>
      <c r="DJ16" s="224">
        <f t="shared" si="8"/>
        <v>7282.1927186854382</v>
      </c>
      <c r="DK16" s="224">
        <f t="shared" si="8"/>
        <v>7373.2201276690066</v>
      </c>
      <c r="DL16" s="224">
        <f t="shared" si="8"/>
        <v>7465.3853792648688</v>
      </c>
      <c r="DM16" s="224">
        <f t="shared" si="8"/>
        <v>7558.7026965056803</v>
      </c>
      <c r="DN16" s="224">
        <f t="shared" si="8"/>
        <v>7653.1864802120008</v>
      </c>
      <c r="DO16" s="224">
        <f t="shared" si="8"/>
        <v>7748.8513112146511</v>
      </c>
      <c r="DP16" s="224">
        <f t="shared" si="8"/>
        <v>7845.7119526048336</v>
      </c>
      <c r="DQ16" s="224">
        <f t="shared" si="8"/>
        <v>7943.783352012395</v>
      </c>
      <c r="DR16" s="224">
        <f t="shared" si="8"/>
        <v>8043.080643912549</v>
      </c>
      <c r="DS16" s="224">
        <f t="shared" si="8"/>
        <v>8143.6191519614567</v>
      </c>
      <c r="DT16" s="224">
        <f t="shared" si="8"/>
        <v>8245.4143913609751</v>
      </c>
      <c r="DU16" s="224">
        <f t="shared" si="8"/>
        <v>8348.4820712529872</v>
      </c>
      <c r="DV16" s="224">
        <f t="shared" si="8"/>
        <v>8452.8380971436491</v>
      </c>
      <c r="DW16" s="225">
        <f t="shared" si="8"/>
        <v>8558.4985733579451</v>
      </c>
    </row>
    <row r="17" spans="2:127" ht="15" thickBot="1">
      <c r="C17" s="348" t="s">
        <v>240</v>
      </c>
      <c r="D17" s="235"/>
      <c r="E17" s="235"/>
      <c r="F17" s="235"/>
      <c r="G17" s="235"/>
      <c r="H17" s="349">
        <f>H13-H16</f>
        <v>535159.52019447507</v>
      </c>
      <c r="I17" s="349">
        <f t="shared" ref="I17:BT17" si="9">I13-I16</f>
        <v>533183.53439138108</v>
      </c>
      <c r="J17" s="349">
        <f t="shared" si="9"/>
        <v>531182.84876574844</v>
      </c>
      <c r="K17" s="349">
        <f t="shared" si="9"/>
        <v>529157.15456979536</v>
      </c>
      <c r="L17" s="349">
        <f t="shared" si="9"/>
        <v>527106.13919639285</v>
      </c>
      <c r="M17" s="349">
        <f t="shared" si="9"/>
        <v>525029.4861308228</v>
      </c>
      <c r="N17" s="349">
        <f t="shared" si="9"/>
        <v>522926.87490193319</v>
      </c>
      <c r="O17" s="349">
        <f t="shared" si="9"/>
        <v>520797.98103268247</v>
      </c>
      <c r="P17" s="349">
        <f t="shared" si="9"/>
        <v>518642.47599006607</v>
      </c>
      <c r="Q17" s="349">
        <f t="shared" si="9"/>
        <v>516460.02713441697</v>
      </c>
      <c r="R17" s="349">
        <f t="shared" si="9"/>
        <v>514250.29766807228</v>
      </c>
      <c r="S17" s="349">
        <f t="shared" si="9"/>
        <v>512012.94658339827</v>
      </c>
      <c r="T17" s="349">
        <f t="shared" si="9"/>
        <v>509747.62861016585</v>
      </c>
      <c r="U17" s="349">
        <f t="shared" si="9"/>
        <v>507453.99416226801</v>
      </c>
      <c r="V17" s="349">
        <f t="shared" si="9"/>
        <v>505131.68928377144</v>
      </c>
      <c r="W17" s="349">
        <f t="shared" si="9"/>
        <v>502780.35559429368</v>
      </c>
      <c r="X17" s="349">
        <f t="shared" si="9"/>
        <v>500399.63023369742</v>
      </c>
      <c r="Y17" s="349">
        <f t="shared" si="9"/>
        <v>497989.14580609376</v>
      </c>
      <c r="Z17" s="349">
        <f t="shared" si="9"/>
        <v>495548.53032314504</v>
      </c>
      <c r="AA17" s="349">
        <f t="shared" si="9"/>
        <v>493077.40714665945</v>
      </c>
      <c r="AB17" s="349">
        <f t="shared" si="9"/>
        <v>490575.39493046777</v>
      </c>
      <c r="AC17" s="349">
        <f t="shared" si="9"/>
        <v>488042.10756157374</v>
      </c>
      <c r="AD17" s="349">
        <f t="shared" si="9"/>
        <v>485477.1541005685</v>
      </c>
      <c r="AE17" s="349">
        <f t="shared" si="9"/>
        <v>482880.1387213007</v>
      </c>
      <c r="AF17" s="349">
        <f t="shared" si="9"/>
        <v>480250.66064979206</v>
      </c>
      <c r="AG17" s="349">
        <f t="shared" si="9"/>
        <v>477588.31410238956</v>
      </c>
      <c r="AH17" s="349">
        <f t="shared" si="9"/>
        <v>474892.68822314451</v>
      </c>
      <c r="AI17" s="349">
        <f t="shared" si="9"/>
        <v>472163.36702040891</v>
      </c>
      <c r="AJ17" s="349">
        <f t="shared" si="9"/>
        <v>469399.9293026391</v>
      </c>
      <c r="AK17" s="349">
        <f t="shared" si="9"/>
        <v>466601.9486133972</v>
      </c>
      <c r="AL17" s="349">
        <f t="shared" si="9"/>
        <v>463768.99316553975</v>
      </c>
      <c r="AM17" s="349">
        <f t="shared" si="9"/>
        <v>460900.62577458407</v>
      </c>
      <c r="AN17" s="349">
        <f t="shared" si="9"/>
        <v>457996.40379124146</v>
      </c>
      <c r="AO17" s="349">
        <f t="shared" si="9"/>
        <v>455055.87903310708</v>
      </c>
      <c r="AP17" s="349">
        <f t="shared" si="9"/>
        <v>452078.59771549603</v>
      </c>
      <c r="AQ17" s="349">
        <f t="shared" si="9"/>
        <v>449064.10038141481</v>
      </c>
      <c r="AR17" s="349">
        <f t="shared" si="9"/>
        <v>446011.92183065758</v>
      </c>
      <c r="AS17" s="349">
        <f t="shared" si="9"/>
        <v>442921.59104801586</v>
      </c>
      <c r="AT17" s="349">
        <f t="shared" si="9"/>
        <v>439792.63113059115</v>
      </c>
      <c r="AU17" s="349">
        <f t="shared" si="9"/>
        <v>436624.55921419861</v>
      </c>
      <c r="AV17" s="349">
        <f t="shared" si="9"/>
        <v>433416.88639885117</v>
      </c>
      <c r="AW17" s="349">
        <f t="shared" si="9"/>
        <v>430169.11767331191</v>
      </c>
      <c r="AX17" s="349">
        <f t="shared" si="9"/>
        <v>426880.75183870341</v>
      </c>
      <c r="AY17" s="349">
        <f t="shared" si="9"/>
        <v>423551.28143116232</v>
      </c>
      <c r="AZ17" s="349">
        <f t="shared" si="9"/>
        <v>420180.19264352694</v>
      </c>
      <c r="BA17" s="349">
        <f t="shared" si="9"/>
        <v>416766.96524604614</v>
      </c>
      <c r="BB17" s="349">
        <f t="shared" si="9"/>
        <v>413311.0725060968</v>
      </c>
      <c r="BC17" s="349">
        <f t="shared" si="9"/>
        <v>409811.98110689811</v>
      </c>
      <c r="BD17" s="349">
        <f t="shared" si="9"/>
        <v>406269.15106520941</v>
      </c>
      <c r="BE17" s="349">
        <f t="shared" si="9"/>
        <v>402682.03564799961</v>
      </c>
      <c r="BF17" s="349">
        <f t="shared" si="9"/>
        <v>399050.08128807473</v>
      </c>
      <c r="BG17" s="349">
        <f t="shared" si="9"/>
        <v>395372.72749865078</v>
      </c>
      <c r="BH17" s="349">
        <f t="shared" si="9"/>
        <v>391649.40678685904</v>
      </c>
      <c r="BI17" s="349">
        <f t="shared" si="9"/>
        <v>387879.54456616985</v>
      </c>
      <c r="BJ17" s="349">
        <f t="shared" si="9"/>
        <v>384062.55906772206</v>
      </c>
      <c r="BK17" s="349">
        <f t="shared" si="9"/>
        <v>380197.86125054368</v>
      </c>
      <c r="BL17" s="349">
        <f t="shared" si="9"/>
        <v>376284.85471065057</v>
      </c>
      <c r="BM17" s="349">
        <f t="shared" si="9"/>
        <v>372322.93558900879</v>
      </c>
      <c r="BN17" s="349">
        <f t="shared" si="9"/>
        <v>368311.49247834651</v>
      </c>
      <c r="BO17" s="349">
        <f t="shared" si="9"/>
        <v>364249.90632880095</v>
      </c>
      <c r="BP17" s="349">
        <f t="shared" si="9"/>
        <v>360137.55035238608</v>
      </c>
      <c r="BQ17" s="349">
        <f t="shared" si="9"/>
        <v>355973.78992626601</v>
      </c>
      <c r="BR17" s="349">
        <f t="shared" si="9"/>
        <v>351757.98249481944</v>
      </c>
      <c r="BS17" s="349">
        <f t="shared" si="9"/>
        <v>347489.47747047979</v>
      </c>
      <c r="BT17" s="349">
        <f t="shared" si="9"/>
        <v>343167.61613333586</v>
      </c>
      <c r="BU17" s="349">
        <f t="shared" ref="BU17:DW17" si="10">BU13-BU16</f>
        <v>338791.73152947763</v>
      </c>
      <c r="BV17" s="349">
        <f t="shared" si="10"/>
        <v>334361.14836807118</v>
      </c>
      <c r="BW17" s="349">
        <f t="shared" si="10"/>
        <v>329875.18291714718</v>
      </c>
      <c r="BX17" s="349">
        <f t="shared" si="10"/>
        <v>325333.14289808663</v>
      </c>
      <c r="BY17" s="349">
        <f t="shared" si="10"/>
        <v>320734.3273787878</v>
      </c>
      <c r="BZ17" s="349">
        <f t="shared" si="10"/>
        <v>316078.02666549775</v>
      </c>
      <c r="CA17" s="349">
        <f t="shared" si="10"/>
        <v>311363.52219329157</v>
      </c>
      <c r="CB17" s="349">
        <f t="shared" si="10"/>
        <v>306590.0864151828</v>
      </c>
      <c r="CC17" s="349">
        <f t="shared" si="10"/>
        <v>301756.9826898477</v>
      </c>
      <c r="CD17" s="349">
        <f t="shared" si="10"/>
        <v>296863.46516794589</v>
      </c>
      <c r="CE17" s="349">
        <f t="shared" si="10"/>
        <v>291908.77867702034</v>
      </c>
      <c r="CF17" s="349">
        <f t="shared" si="10"/>
        <v>286892.15860495821</v>
      </c>
      <c r="CG17" s="349">
        <f t="shared" si="10"/>
        <v>281812.83078199526</v>
      </c>
      <c r="CH17" s="349">
        <f t="shared" si="10"/>
        <v>276670.0113612453</v>
      </c>
      <c r="CI17" s="349">
        <f t="shared" si="10"/>
        <v>271462.90669773595</v>
      </c>
      <c r="CJ17" s="349">
        <f t="shared" si="10"/>
        <v>266190.71322593273</v>
      </c>
      <c r="CK17" s="349">
        <f t="shared" si="10"/>
        <v>260852.61733573198</v>
      </c>
      <c r="CL17" s="349">
        <f t="shared" si="10"/>
        <v>255447.79524690373</v>
      </c>
      <c r="CM17" s="349">
        <f t="shared" si="10"/>
        <v>249975.41288196511</v>
      </c>
      <c r="CN17" s="349">
        <f t="shared" si="10"/>
        <v>244434.62573746475</v>
      </c>
      <c r="CO17" s="349">
        <f t="shared" si="10"/>
        <v>238824.57875365816</v>
      </c>
      <c r="CP17" s="349">
        <f t="shared" si="10"/>
        <v>233144.406182554</v>
      </c>
      <c r="CQ17" s="349">
        <f t="shared" si="10"/>
        <v>227393.23145431103</v>
      </c>
      <c r="CR17" s="349">
        <f t="shared" si="10"/>
        <v>221570.167041965</v>
      </c>
      <c r="CS17" s="349">
        <f t="shared" si="10"/>
        <v>215674.31432446465</v>
      </c>
      <c r="CT17" s="349">
        <f t="shared" si="10"/>
        <v>209704.76344799556</v>
      </c>
      <c r="CU17" s="349">
        <f t="shared" si="10"/>
        <v>203660.59318557059</v>
      </c>
      <c r="CV17" s="349">
        <f t="shared" si="10"/>
        <v>197540.8707948653</v>
      </c>
      <c r="CW17" s="349">
        <f t="shared" si="10"/>
        <v>191344.65187427623</v>
      </c>
      <c r="CX17" s="349">
        <f t="shared" si="10"/>
        <v>185070.98021717978</v>
      </c>
      <c r="CY17" s="349">
        <f t="shared" si="10"/>
        <v>178718.88766436963</v>
      </c>
      <c r="CZ17" s="349">
        <f t="shared" si="10"/>
        <v>172287.39395464933</v>
      </c>
      <c r="DA17" s="349">
        <f t="shared" si="10"/>
        <v>165775.50657355753</v>
      </c>
      <c r="DB17" s="349">
        <f t="shared" si="10"/>
        <v>159182.2206002021</v>
      </c>
      <c r="DC17" s="349">
        <f t="shared" si="10"/>
        <v>152506.51855217971</v>
      </c>
      <c r="DD17" s="349">
        <f t="shared" si="10"/>
        <v>145747.37022855706</v>
      </c>
      <c r="DE17" s="349">
        <f t="shared" si="10"/>
        <v>138903.73255088911</v>
      </c>
      <c r="DF17" s="349">
        <f t="shared" si="10"/>
        <v>131974.54940225033</v>
      </c>
      <c r="DG17" s="349">
        <f t="shared" si="10"/>
        <v>124958.75146425355</v>
      </c>
      <c r="DH17" s="349">
        <f t="shared" si="10"/>
        <v>117855.25605203182</v>
      </c>
      <c r="DI17" s="349">
        <f t="shared" si="10"/>
        <v>110662.96694715731</v>
      </c>
      <c r="DJ17" s="349">
        <f t="shared" si="10"/>
        <v>103380.77422847187</v>
      </c>
      <c r="DK17" s="349">
        <f t="shared" si="10"/>
        <v>96007.554100802867</v>
      </c>
      <c r="DL17" s="349">
        <f t="shared" si="10"/>
        <v>88542.168721537993</v>
      </c>
      <c r="DM17" s="349">
        <f t="shared" si="10"/>
        <v>80983.466025032307</v>
      </c>
      <c r="DN17" s="349">
        <f t="shared" si="10"/>
        <v>73330.279544820311</v>
      </c>
      <c r="DO17" s="349">
        <f t="shared" si="10"/>
        <v>65581.428233605664</v>
      </c>
      <c r="DP17" s="349">
        <f t="shared" si="10"/>
        <v>57735.71628100083</v>
      </c>
      <c r="DQ17" s="349">
        <f t="shared" si="10"/>
        <v>49791.932928988434</v>
      </c>
      <c r="DR17" s="349">
        <f t="shared" si="10"/>
        <v>41748.852285075882</v>
      </c>
      <c r="DS17" s="349">
        <f t="shared" si="10"/>
        <v>33605.233133114423</v>
      </c>
      <c r="DT17" s="349">
        <f t="shared" si="10"/>
        <v>25359.81874175345</v>
      </c>
      <c r="DU17" s="349">
        <f t="shared" si="10"/>
        <v>17011.336670500463</v>
      </c>
      <c r="DV17" s="349">
        <f t="shared" si="10"/>
        <v>8558.4985733568137</v>
      </c>
      <c r="DW17" s="350">
        <f t="shared" si="10"/>
        <v>-1.1314114090055227E-9</v>
      </c>
    </row>
    <row r="19" spans="2:127" ht="15" thickBot="1"/>
    <row r="20" spans="2:127">
      <c r="C20" s="337" t="s">
        <v>241</v>
      </c>
      <c r="D20" s="338"/>
      <c r="E20" s="338"/>
      <c r="F20" s="338"/>
      <c r="G20" s="338"/>
      <c r="H20" s="339" t="s">
        <v>172</v>
      </c>
      <c r="I20" s="339"/>
      <c r="J20" s="339"/>
      <c r="K20" s="339"/>
      <c r="L20" s="339"/>
      <c r="M20" s="339"/>
      <c r="N20" s="339"/>
      <c r="O20" s="339"/>
      <c r="P20" s="339"/>
      <c r="Q20" s="340"/>
    </row>
    <row r="21" spans="2:127">
      <c r="C21" s="351"/>
      <c r="D21" s="352"/>
      <c r="E21" s="353"/>
      <c r="F21" s="353"/>
      <c r="G21" s="353"/>
      <c r="H21" s="354" t="s">
        <v>142</v>
      </c>
      <c r="I21" s="354" t="s">
        <v>143</v>
      </c>
      <c r="J21" s="354" t="s">
        <v>144</v>
      </c>
      <c r="K21" s="354" t="s">
        <v>145</v>
      </c>
      <c r="L21" s="354" t="s">
        <v>146</v>
      </c>
      <c r="M21" s="354" t="s">
        <v>147</v>
      </c>
      <c r="N21" s="354" t="s">
        <v>148</v>
      </c>
      <c r="O21" s="354" t="s">
        <v>149</v>
      </c>
      <c r="P21" s="354" t="s">
        <v>150</v>
      </c>
      <c r="Q21" s="355" t="s">
        <v>151</v>
      </c>
    </row>
    <row r="22" spans="2:127">
      <c r="C22" s="356" t="s">
        <v>237</v>
      </c>
      <c r="D22" s="357"/>
      <c r="E22" s="357"/>
      <c r="F22" s="357"/>
      <c r="G22" s="357"/>
      <c r="H22" s="358">
        <f>H13</f>
        <v>537111.11111111112</v>
      </c>
      <c r="I22" s="358">
        <f>H26</f>
        <v>512012.9465833985</v>
      </c>
      <c r="J22" s="358">
        <f>I26</f>
        <v>482880.13872130093</v>
      </c>
      <c r="K22" s="358">
        <f t="shared" ref="K22:Q22" si="11">J26</f>
        <v>449064.1003814151</v>
      </c>
      <c r="L22" s="358">
        <f t="shared" si="11"/>
        <v>409811.98110689846</v>
      </c>
      <c r="M22" s="358">
        <f t="shared" si="11"/>
        <v>364249.90632880124</v>
      </c>
      <c r="N22" s="358">
        <f t="shared" si="11"/>
        <v>311363.52219329181</v>
      </c>
      <c r="O22" s="358">
        <f t="shared" si="11"/>
        <v>249975.41288196534</v>
      </c>
      <c r="P22" s="358">
        <f>O26</f>
        <v>178718.88766436986</v>
      </c>
      <c r="Q22" s="359">
        <f t="shared" si="11"/>
        <v>96007.554100803129</v>
      </c>
    </row>
    <row r="23" spans="2:127">
      <c r="C23" s="360" t="s">
        <v>235</v>
      </c>
      <c r="H23" s="131">
        <f>SUM(H14:S14)</f>
        <v>103985.75766629883</v>
      </c>
      <c r="I23" s="131">
        <f>H23</f>
        <v>103985.75766629883</v>
      </c>
      <c r="J23" s="131">
        <f t="shared" ref="J23:P23" si="12">I23</f>
        <v>103985.75766629883</v>
      </c>
      <c r="K23" s="131">
        <f t="shared" si="12"/>
        <v>103985.75766629883</v>
      </c>
      <c r="L23" s="131">
        <f>K23</f>
        <v>103985.75766629883</v>
      </c>
      <c r="M23" s="131">
        <f t="shared" si="12"/>
        <v>103985.75766629883</v>
      </c>
      <c r="N23" s="131">
        <f t="shared" si="12"/>
        <v>103985.75766629883</v>
      </c>
      <c r="O23" s="131">
        <f>N23</f>
        <v>103985.75766629883</v>
      </c>
      <c r="P23" s="131">
        <f t="shared" si="12"/>
        <v>103985.75766629883</v>
      </c>
      <c r="Q23" s="361">
        <f>P23</f>
        <v>103985.75766629883</v>
      </c>
    </row>
    <row r="24" spans="2:127">
      <c r="C24" s="360" t="s">
        <v>238</v>
      </c>
      <c r="H24" s="131">
        <f>SUM(H15:S15)</f>
        <v>78887.593138586235</v>
      </c>
      <c r="I24" s="131">
        <f>SUM(T15:AE15)</f>
        <v>74852.949804201286</v>
      </c>
      <c r="J24" s="131">
        <f>SUM(AF15:AQ15)</f>
        <v>70169.719326413004</v>
      </c>
      <c r="K24" s="131">
        <f>SUM(AR15:BC15)</f>
        <v>64733.63839178221</v>
      </c>
      <c r="L24" s="131">
        <f>SUM(BD15:BO15)</f>
        <v>58423.682888201663</v>
      </c>
      <c r="M24" s="131">
        <f>SUM(BP15:CA15)</f>
        <v>51099.373530789453</v>
      </c>
      <c r="N24" s="131">
        <f>SUM(CB15:CM15)</f>
        <v>42597.648354972385</v>
      </c>
      <c r="O24" s="131">
        <f>SUM(CN15:CY15)</f>
        <v>32729.232448703373</v>
      </c>
      <c r="P24" s="131">
        <f>SUM(CZ15:DK15)</f>
        <v>21274.424102732115</v>
      </c>
      <c r="Q24" s="361">
        <f>SUM(DL15:DW15)</f>
        <v>7978.2035654948695</v>
      </c>
    </row>
    <row r="25" spans="2:127">
      <c r="C25" s="360" t="s">
        <v>239</v>
      </c>
      <c r="H25" s="131">
        <f>SUM(H16:S16)</f>
        <v>25098.164527712634</v>
      </c>
      <c r="I25" s="131">
        <f>SUM(T16:AE16)</f>
        <v>29132.807862097565</v>
      </c>
      <c r="J25" s="131">
        <f>SUM(AF16:AQ16)</f>
        <v>33816.038339885847</v>
      </c>
      <c r="K25" s="131">
        <f>SUM(AR16:BC16)</f>
        <v>39252.119274516655</v>
      </c>
      <c r="L25" s="131">
        <f>SUM(BD16:BO16)</f>
        <v>45562.074778097201</v>
      </c>
      <c r="M25" s="131">
        <f>SUM(BP16:CA16)</f>
        <v>52886.384135509405</v>
      </c>
      <c r="N25" s="131">
        <f>SUM(CB16:CM16)</f>
        <v>61388.109311326472</v>
      </c>
      <c r="O25" s="131">
        <f>SUM(CN16:CY16)</f>
        <v>71256.525217595481</v>
      </c>
      <c r="P25" s="131">
        <f>SUM(CZ16:DK16)</f>
        <v>82711.333563566732</v>
      </c>
      <c r="Q25" s="361">
        <f>SUM(DL16:DW16)</f>
        <v>96007.554100804002</v>
      </c>
    </row>
    <row r="26" spans="2:127" ht="15" thickBot="1">
      <c r="C26" s="362" t="s">
        <v>240</v>
      </c>
      <c r="D26" s="363"/>
      <c r="E26" s="363"/>
      <c r="F26" s="363"/>
      <c r="G26" s="363"/>
      <c r="H26" s="364">
        <f>H22-H25</f>
        <v>512012.9465833985</v>
      </c>
      <c r="I26" s="364">
        <f t="shared" ref="I26:Q26" si="13">I22-I25</f>
        <v>482880.13872130093</v>
      </c>
      <c r="J26" s="364">
        <f t="shared" si="13"/>
        <v>449064.1003814151</v>
      </c>
      <c r="K26" s="364">
        <f t="shared" si="13"/>
        <v>409811.98110689846</v>
      </c>
      <c r="L26" s="364">
        <f t="shared" si="13"/>
        <v>364249.90632880124</v>
      </c>
      <c r="M26" s="364">
        <f t="shared" si="13"/>
        <v>311363.52219329181</v>
      </c>
      <c r="N26" s="364">
        <f t="shared" si="13"/>
        <v>249975.41288196534</v>
      </c>
      <c r="O26" s="364">
        <f t="shared" si="13"/>
        <v>178718.88766436986</v>
      </c>
      <c r="P26" s="364">
        <f t="shared" si="13"/>
        <v>96007.554100803129</v>
      </c>
      <c r="Q26" s="365">
        <f t="shared" si="13"/>
        <v>-8.7311491370201111E-10</v>
      </c>
    </row>
    <row r="28" spans="2:127" ht="15" thickBot="1">
      <c r="B28" s="50"/>
    </row>
    <row r="29" spans="2:127">
      <c r="C29" s="366" t="s">
        <v>227</v>
      </c>
      <c r="D29" s="367"/>
      <c r="E29" s="368"/>
      <c r="F29" s="368"/>
      <c r="G29" s="369" t="s">
        <v>222</v>
      </c>
      <c r="H29" s="370" t="s">
        <v>142</v>
      </c>
      <c r="I29" s="370" t="s">
        <v>143</v>
      </c>
      <c r="J29" s="370" t="s">
        <v>144</v>
      </c>
      <c r="K29" s="370" t="s">
        <v>145</v>
      </c>
      <c r="L29" s="370" t="s">
        <v>146</v>
      </c>
      <c r="M29" s="370" t="s">
        <v>147</v>
      </c>
      <c r="N29" s="370" t="s">
        <v>148</v>
      </c>
      <c r="O29" s="370" t="s">
        <v>149</v>
      </c>
      <c r="P29" s="370" t="s">
        <v>150</v>
      </c>
      <c r="Q29" s="371" t="s">
        <v>151</v>
      </c>
    </row>
    <row r="30" spans="2:127">
      <c r="C30" s="372" t="s">
        <v>242</v>
      </c>
      <c r="D30" s="373"/>
      <c r="E30" s="374"/>
      <c r="F30" s="374"/>
      <c r="G30" s="375">
        <f>H13</f>
        <v>537111.11111111112</v>
      </c>
      <c r="H30" s="375">
        <f>G34</f>
        <v>537111.11111111112</v>
      </c>
      <c r="I30" s="375">
        <f t="shared" ref="I30:Q30" si="14">H34</f>
        <v>512012.9465833985</v>
      </c>
      <c r="J30" s="375">
        <f t="shared" si="14"/>
        <v>482880.13872130093</v>
      </c>
      <c r="K30" s="375">
        <f t="shared" si="14"/>
        <v>449064.1003814151</v>
      </c>
      <c r="L30" s="375">
        <f t="shared" si="14"/>
        <v>409811.98110689846</v>
      </c>
      <c r="M30" s="375">
        <f t="shared" si="14"/>
        <v>364249.90632880124</v>
      </c>
      <c r="N30" s="375">
        <f t="shared" si="14"/>
        <v>311363.52219329181</v>
      </c>
      <c r="O30" s="375">
        <f t="shared" si="14"/>
        <v>249975.41288196534</v>
      </c>
      <c r="P30" s="375">
        <f t="shared" si="14"/>
        <v>178718.88766436986</v>
      </c>
      <c r="Q30" s="375">
        <f t="shared" si="14"/>
        <v>96007.554100803129</v>
      </c>
    </row>
    <row r="31" spans="2:127">
      <c r="C31" s="372" t="s">
        <v>243</v>
      </c>
      <c r="D31" s="373"/>
      <c r="E31" s="374"/>
      <c r="F31" s="374"/>
      <c r="G31" s="375">
        <v>0</v>
      </c>
      <c r="H31" s="375">
        <f>H24</f>
        <v>78887.593138586235</v>
      </c>
      <c r="I31" s="375">
        <f t="shared" ref="I31:L32" si="15">I24</f>
        <v>74852.949804201286</v>
      </c>
      <c r="J31" s="375">
        <f t="shared" si="15"/>
        <v>70169.719326413004</v>
      </c>
      <c r="K31" s="375">
        <f t="shared" si="15"/>
        <v>64733.63839178221</v>
      </c>
      <c r="L31" s="375">
        <f t="shared" si="15"/>
        <v>58423.682888201663</v>
      </c>
      <c r="M31" s="375">
        <f>M24</f>
        <v>51099.373530789453</v>
      </c>
      <c r="N31" s="375">
        <f t="shared" ref="N31:O32" si="16">N24</f>
        <v>42597.648354972385</v>
      </c>
      <c r="O31" s="375">
        <f t="shared" si="16"/>
        <v>32729.232448703373</v>
      </c>
      <c r="P31" s="375">
        <f>P24</f>
        <v>21274.424102732115</v>
      </c>
      <c r="Q31" s="376">
        <f t="shared" ref="Q31:Q32" si="17">Q24</f>
        <v>7978.2035654948695</v>
      </c>
    </row>
    <row r="32" spans="2:127">
      <c r="C32" s="372" t="s">
        <v>244</v>
      </c>
      <c r="D32" s="373"/>
      <c r="E32" s="374"/>
      <c r="F32" s="374"/>
      <c r="G32" s="375">
        <v>0</v>
      </c>
      <c r="H32" s="375">
        <f>H25</f>
        <v>25098.164527712634</v>
      </c>
      <c r="I32" s="375">
        <f t="shared" si="15"/>
        <v>29132.807862097565</v>
      </c>
      <c r="J32" s="375">
        <f t="shared" si="15"/>
        <v>33816.038339885847</v>
      </c>
      <c r="K32" s="375">
        <f t="shared" si="15"/>
        <v>39252.119274516655</v>
      </c>
      <c r="L32" s="375">
        <f t="shared" si="15"/>
        <v>45562.074778097201</v>
      </c>
      <c r="M32" s="375">
        <f>M25</f>
        <v>52886.384135509405</v>
      </c>
      <c r="N32" s="375">
        <f t="shared" si="16"/>
        <v>61388.109311326472</v>
      </c>
      <c r="O32" s="375">
        <f t="shared" si="16"/>
        <v>71256.525217595481</v>
      </c>
      <c r="P32" s="375">
        <f>P25</f>
        <v>82711.333563566732</v>
      </c>
      <c r="Q32" s="376">
        <f t="shared" si="17"/>
        <v>96007.554100804002</v>
      </c>
    </row>
    <row r="33" spans="3:17">
      <c r="C33" s="372" t="s">
        <v>245</v>
      </c>
      <c r="D33" s="373"/>
      <c r="E33" s="374"/>
      <c r="F33" s="374"/>
      <c r="G33" s="375">
        <f>G31*(1-[1]Assumptions!$D$12)</f>
        <v>0</v>
      </c>
      <c r="H33" s="375">
        <f>H31*(1-Assumptions!$D$12)</f>
        <v>51276.935540081053</v>
      </c>
      <c r="I33" s="375">
        <f>I31*(1-Assumptions!$D$12)</f>
        <v>48654.417372730837</v>
      </c>
      <c r="J33" s="375">
        <f>J31*(1-Assumptions!$D$12)</f>
        <v>45610.317562168457</v>
      </c>
      <c r="K33" s="375">
        <f>K31*(1-Assumptions!$D$12)</f>
        <v>42076.864954658435</v>
      </c>
      <c r="L33" s="375">
        <f>L31*(1-Assumptions!$D$12)</f>
        <v>37975.39387733108</v>
      </c>
      <c r="M33" s="375">
        <f>M31*(1-Assumptions!$D$12)</f>
        <v>33214.592795013144</v>
      </c>
      <c r="N33" s="375">
        <f>N31*(1-Assumptions!$D$12)</f>
        <v>27688.47143073205</v>
      </c>
      <c r="O33" s="375">
        <f>O31*(1-Assumptions!$D$12)</f>
        <v>21274.001091657192</v>
      </c>
      <c r="P33" s="375">
        <f>P31*(1-Assumptions!$D$12)</f>
        <v>13828.375666775875</v>
      </c>
      <c r="Q33" s="375">
        <f>Q31*(1-Assumptions!$D$12)</f>
        <v>5185.832317571665</v>
      </c>
    </row>
    <row r="34" spans="3:17" ht="15" thickBot="1">
      <c r="C34" s="377" t="s">
        <v>227</v>
      </c>
      <c r="D34" s="378"/>
      <c r="E34" s="379"/>
      <c r="F34" s="379"/>
      <c r="G34" s="380">
        <f>G30-G32-G33</f>
        <v>537111.11111111112</v>
      </c>
      <c r="H34" s="380">
        <f t="shared" ref="H34:Q34" si="18">H30-H32</f>
        <v>512012.9465833985</v>
      </c>
      <c r="I34" s="380">
        <f t="shared" si="18"/>
        <v>482880.13872130093</v>
      </c>
      <c r="J34" s="380">
        <f t="shared" si="18"/>
        <v>449064.1003814151</v>
      </c>
      <c r="K34" s="380">
        <f t="shared" si="18"/>
        <v>409811.98110689846</v>
      </c>
      <c r="L34" s="380">
        <f t="shared" si="18"/>
        <v>364249.90632880124</v>
      </c>
      <c r="M34" s="380">
        <f t="shared" si="18"/>
        <v>311363.52219329181</v>
      </c>
      <c r="N34" s="380">
        <f t="shared" si="18"/>
        <v>249975.41288196534</v>
      </c>
      <c r="O34" s="380">
        <f t="shared" si="18"/>
        <v>178718.88766436986</v>
      </c>
      <c r="P34" s="380">
        <f t="shared" si="18"/>
        <v>96007.554100803129</v>
      </c>
      <c r="Q34" s="381">
        <f t="shared" si="18"/>
        <v>-8.7311491370201111E-10</v>
      </c>
    </row>
    <row r="36" spans="3:17">
      <c r="C36" t="s">
        <v>380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C26F-30BA-4BD9-B57B-3A5B1D14F9E2}">
  <dimension ref="A1:Q29"/>
  <sheetViews>
    <sheetView tabSelected="1" workbookViewId="0">
      <selection activeCell="C13" sqref="C13"/>
    </sheetView>
  </sheetViews>
  <sheetFormatPr defaultRowHeight="14.4"/>
  <cols>
    <col min="3" max="3" width="63.5546875" bestFit="1" customWidth="1"/>
    <col min="4" max="5" width="0" hidden="1" customWidth="1"/>
    <col min="7" max="7" width="9.88671875" customWidth="1"/>
    <col min="8" max="8" width="10.6640625" customWidth="1"/>
    <col min="9" max="9" width="24.109375" bestFit="1" customWidth="1"/>
    <col min="10" max="10" width="17.44140625" customWidth="1"/>
    <col min="11" max="17" width="10.6640625" customWidth="1"/>
  </cols>
  <sheetData>
    <row r="1" spans="1:1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</row>
    <row r="2" spans="1:17">
      <c r="A2" s="1" t="s">
        <v>3</v>
      </c>
      <c r="B2" s="2" t="str">
        <f>'Table of Contents'!B2</f>
        <v>Krishnamurthy Bindumadhavan</v>
      </c>
      <c r="C2" s="3"/>
      <c r="D2" s="3"/>
      <c r="E2" s="3"/>
      <c r="F2" s="6" t="s">
        <v>4</v>
      </c>
      <c r="G2" s="5" t="s">
        <v>5</v>
      </c>
    </row>
    <row r="3" spans="1:17">
      <c r="A3" s="1" t="s">
        <v>6</v>
      </c>
      <c r="B3" s="2" t="s">
        <v>90</v>
      </c>
      <c r="C3" s="3"/>
      <c r="D3" s="3"/>
      <c r="E3" s="3"/>
      <c r="F3" s="7" t="s">
        <v>8</v>
      </c>
      <c r="G3" s="5" t="s">
        <v>9</v>
      </c>
    </row>
    <row r="4" spans="1:17">
      <c r="A4" s="8" t="s">
        <v>10</v>
      </c>
      <c r="B4" s="9">
        <v>46033</v>
      </c>
      <c r="C4" s="3"/>
      <c r="D4" s="3"/>
      <c r="E4" s="3"/>
      <c r="F4" s="10" t="s">
        <v>11</v>
      </c>
      <c r="G4" s="5" t="s">
        <v>12</v>
      </c>
    </row>
    <row r="6" spans="1:17" ht="15" thickBot="1"/>
    <row r="7" spans="1:17">
      <c r="C7" s="337" t="s">
        <v>129</v>
      </c>
      <c r="D7" s="338"/>
      <c r="E7" s="338"/>
      <c r="F7" s="338"/>
      <c r="G7" s="339" t="s">
        <v>172</v>
      </c>
      <c r="H7" s="339"/>
      <c r="I7" s="339"/>
      <c r="J7" s="339"/>
      <c r="K7" s="339"/>
      <c r="L7" s="339"/>
      <c r="M7" s="339"/>
      <c r="N7" s="339"/>
      <c r="O7" s="339"/>
      <c r="P7" s="340"/>
    </row>
    <row r="8" spans="1:17">
      <c r="C8" s="351"/>
      <c r="D8" s="352"/>
      <c r="E8" s="353"/>
      <c r="F8" s="353"/>
      <c r="G8" s="354" t="s">
        <v>142</v>
      </c>
      <c r="H8" s="354" t="s">
        <v>143</v>
      </c>
      <c r="I8" s="354" t="s">
        <v>144</v>
      </c>
      <c r="J8" s="354" t="s">
        <v>145</v>
      </c>
      <c r="K8" s="354" t="s">
        <v>146</v>
      </c>
      <c r="L8" s="354" t="s">
        <v>147</v>
      </c>
      <c r="M8" s="354" t="s">
        <v>148</v>
      </c>
      <c r="N8" s="354" t="s">
        <v>149</v>
      </c>
      <c r="O8" s="354" t="s">
        <v>150</v>
      </c>
      <c r="P8" s="355" t="s">
        <v>151</v>
      </c>
    </row>
    <row r="9" spans="1:17">
      <c r="C9" s="356" t="s">
        <v>246</v>
      </c>
      <c r="D9" s="357"/>
      <c r="E9" s="357"/>
      <c r="F9" s="357"/>
      <c r="G9" s="382">
        <f>'Depreciation Schedule'!F23</f>
        <v>206111.11111111112</v>
      </c>
      <c r="H9" s="382">
        <f>G12</f>
        <v>185500</v>
      </c>
      <c r="I9" s="382">
        <f>H12</f>
        <v>164888.88888888888</v>
      </c>
      <c r="J9" s="382">
        <f t="shared" ref="J9:P9" si="0">I12</f>
        <v>144277.77777777775</v>
      </c>
      <c r="K9" s="382">
        <f t="shared" si="0"/>
        <v>123666.66666666664</v>
      </c>
      <c r="L9" s="382">
        <f t="shared" si="0"/>
        <v>103055.55555555553</v>
      </c>
      <c r="M9" s="382">
        <f t="shared" si="0"/>
        <v>82444.444444444423</v>
      </c>
      <c r="N9" s="382">
        <f t="shared" si="0"/>
        <v>61833.333333333314</v>
      </c>
      <c r="O9" s="382">
        <f>N12</f>
        <v>41222.222222222204</v>
      </c>
      <c r="P9" s="383">
        <f t="shared" si="0"/>
        <v>20611.111111111091</v>
      </c>
    </row>
    <row r="10" spans="1:17">
      <c r="C10" s="360" t="s">
        <v>247</v>
      </c>
      <c r="G10" s="290">
        <f>'Depreciation Schedule'!F23/$F$24</f>
        <v>20611.111111111113</v>
      </c>
      <c r="H10" s="290">
        <f>G10</f>
        <v>20611.111111111113</v>
      </c>
      <c r="I10" s="290">
        <f t="shared" ref="I10:O10" si="1">H10</f>
        <v>20611.111111111113</v>
      </c>
      <c r="J10" s="290">
        <f t="shared" si="1"/>
        <v>20611.111111111113</v>
      </c>
      <c r="K10" s="290">
        <f>J10</f>
        <v>20611.111111111113</v>
      </c>
      <c r="L10" s="290">
        <f t="shared" si="1"/>
        <v>20611.111111111113</v>
      </c>
      <c r="M10" s="290">
        <f t="shared" si="1"/>
        <v>20611.111111111113</v>
      </c>
      <c r="N10" s="290">
        <f>M10</f>
        <v>20611.111111111113</v>
      </c>
      <c r="O10" s="290">
        <f t="shared" si="1"/>
        <v>20611.111111111113</v>
      </c>
      <c r="P10" s="384">
        <f>O10</f>
        <v>20611.111111111113</v>
      </c>
    </row>
    <row r="11" spans="1:17">
      <c r="C11" s="360" t="s">
        <v>248</v>
      </c>
      <c r="G11" s="290">
        <f>F11+G10</f>
        <v>20611.111111111113</v>
      </c>
      <c r="H11" s="290">
        <f>G11+H10</f>
        <v>41222.222222222226</v>
      </c>
      <c r="I11" s="290">
        <f t="shared" ref="I11:P11" si="2">H11+I10</f>
        <v>61833.333333333343</v>
      </c>
      <c r="J11" s="290">
        <f t="shared" si="2"/>
        <v>82444.444444444453</v>
      </c>
      <c r="K11" s="290">
        <f t="shared" si="2"/>
        <v>103055.55555555556</v>
      </c>
      <c r="L11" s="290">
        <f t="shared" si="2"/>
        <v>123666.66666666667</v>
      </c>
      <c r="M11" s="290">
        <f t="shared" si="2"/>
        <v>144277.77777777778</v>
      </c>
      <c r="N11" s="290">
        <f t="shared" si="2"/>
        <v>164888.88888888891</v>
      </c>
      <c r="O11" s="290">
        <f t="shared" si="2"/>
        <v>185500.00000000003</v>
      </c>
      <c r="P11" s="384">
        <f t="shared" si="2"/>
        <v>206111.11111111115</v>
      </c>
    </row>
    <row r="12" spans="1:17" ht="15" thickBot="1">
      <c r="C12" s="362" t="s">
        <v>249</v>
      </c>
      <c r="D12" s="363"/>
      <c r="E12" s="363"/>
      <c r="F12" s="363"/>
      <c r="G12" s="385">
        <f t="shared" ref="G12:P12" si="3">G9-G10</f>
        <v>185500</v>
      </c>
      <c r="H12" s="385">
        <f t="shared" si="3"/>
        <v>164888.88888888888</v>
      </c>
      <c r="I12" s="385">
        <f t="shared" si="3"/>
        <v>144277.77777777775</v>
      </c>
      <c r="J12" s="385">
        <f t="shared" si="3"/>
        <v>123666.66666666664</v>
      </c>
      <c r="K12" s="385">
        <f t="shared" si="3"/>
        <v>103055.55555555553</v>
      </c>
      <c r="L12" s="385">
        <f t="shared" si="3"/>
        <v>82444.444444444423</v>
      </c>
      <c r="M12" s="385">
        <f t="shared" si="3"/>
        <v>61833.333333333314</v>
      </c>
      <c r="N12" s="385">
        <f t="shared" si="3"/>
        <v>41222.222222222204</v>
      </c>
      <c r="O12" s="385">
        <f t="shared" si="3"/>
        <v>20611.111111111091</v>
      </c>
      <c r="P12" s="386">
        <f t="shared" si="3"/>
        <v>0</v>
      </c>
    </row>
    <row r="14" spans="1:17">
      <c r="H14" s="290"/>
      <c r="I14" s="290"/>
      <c r="J14" s="290"/>
      <c r="K14" s="290"/>
      <c r="L14" s="290"/>
      <c r="M14" s="290"/>
      <c r="N14" s="290"/>
      <c r="O14" s="290"/>
      <c r="P14" s="290"/>
      <c r="Q14" s="290"/>
    </row>
    <row r="15" spans="1:17" ht="15" thickBot="1"/>
    <row r="16" spans="1:17" ht="15" thickBot="1">
      <c r="C16" s="387" t="s">
        <v>250</v>
      </c>
      <c r="D16" s="388"/>
      <c r="E16" s="388"/>
      <c r="F16" s="389" t="s">
        <v>251</v>
      </c>
      <c r="I16" t="s">
        <v>378</v>
      </c>
      <c r="J16" t="s">
        <v>375</v>
      </c>
    </row>
    <row r="17" spans="3:10">
      <c r="C17" s="344" t="s">
        <v>378</v>
      </c>
      <c r="D17" s="345"/>
      <c r="E17" s="345"/>
      <c r="F17" s="347">
        <f>J29</f>
        <v>116111.11111111111</v>
      </c>
      <c r="H17" t="s">
        <v>367</v>
      </c>
      <c r="I17" t="s">
        <v>361</v>
      </c>
      <c r="J17">
        <v>2000000</v>
      </c>
    </row>
    <row r="18" spans="3:10">
      <c r="C18" s="271" t="s">
        <v>379</v>
      </c>
      <c r="D18" s="211"/>
      <c r="E18" s="211"/>
      <c r="F18" s="225">
        <f>Assumptions!D20</f>
        <v>75000</v>
      </c>
      <c r="H18" t="s">
        <v>368</v>
      </c>
      <c r="I18" t="s">
        <v>362</v>
      </c>
      <c r="J18">
        <v>1000000</v>
      </c>
    </row>
    <row r="19" spans="3:10">
      <c r="C19" s="271" t="s">
        <v>360</v>
      </c>
      <c r="D19" s="211"/>
      <c r="E19" s="211"/>
      <c r="F19" s="225">
        <f>Assumptions!D21</f>
        <v>5000</v>
      </c>
      <c r="H19" t="s">
        <v>369</v>
      </c>
      <c r="I19" t="s">
        <v>363</v>
      </c>
      <c r="J19">
        <v>2000000</v>
      </c>
    </row>
    <row r="20" spans="3:10">
      <c r="C20" s="271" t="s">
        <v>252</v>
      </c>
      <c r="D20" s="211"/>
      <c r="E20" s="211"/>
      <c r="F20" s="225">
        <f>Assumptions!D22</f>
        <v>5000</v>
      </c>
      <c r="H20" t="s">
        <v>370</v>
      </c>
      <c r="I20" t="s">
        <v>364</v>
      </c>
      <c r="J20">
        <f>5000*90</f>
        <v>450000</v>
      </c>
    </row>
    <row r="21" spans="3:10">
      <c r="C21" s="271" t="s">
        <v>114</v>
      </c>
      <c r="D21" s="211"/>
      <c r="E21" s="211"/>
      <c r="F21" s="225">
        <f>Assumptions!D23</f>
        <v>5000</v>
      </c>
      <c r="H21" t="s">
        <v>371</v>
      </c>
      <c r="I21" t="s">
        <v>374</v>
      </c>
      <c r="J21">
        <v>1000000</v>
      </c>
    </row>
    <row r="22" spans="3:10">
      <c r="C22" s="271"/>
      <c r="D22" s="211"/>
      <c r="E22" s="211"/>
      <c r="F22" s="212"/>
      <c r="H22" t="s">
        <v>372</v>
      </c>
      <c r="I22" t="s">
        <v>365</v>
      </c>
      <c r="J22">
        <v>2000000</v>
      </c>
    </row>
    <row r="23" spans="3:10" ht="15" thickBot="1">
      <c r="C23" s="301" t="s">
        <v>253</v>
      </c>
      <c r="D23" s="302"/>
      <c r="E23" s="302"/>
      <c r="F23" s="390">
        <f>SUM(F17:F21)</f>
        <v>206111.11111111112</v>
      </c>
      <c r="H23" t="s">
        <v>373</v>
      </c>
      <c r="I23" t="s">
        <v>366</v>
      </c>
      <c r="J23">
        <v>2000000</v>
      </c>
    </row>
    <row r="24" spans="3:10" ht="15" thickBot="1">
      <c r="C24" s="387" t="s">
        <v>26</v>
      </c>
      <c r="D24" s="388"/>
      <c r="E24" s="388"/>
      <c r="F24" s="389">
        <f>[1]Assumptions!D16</f>
        <v>10</v>
      </c>
      <c r="G24" t="s">
        <v>24</v>
      </c>
    </row>
    <row r="25" spans="3:10" ht="13.5" customHeight="1">
      <c r="I25" t="s">
        <v>125</v>
      </c>
      <c r="J25" s="431">
        <f>SUM(J17:J23)</f>
        <v>10450000</v>
      </c>
    </row>
    <row r="26" spans="3:10">
      <c r="F26">
        <f>F23*J27</f>
        <v>18550000</v>
      </c>
    </row>
    <row r="27" spans="3:10">
      <c r="I27" t="s">
        <v>376</v>
      </c>
      <c r="J27">
        <v>90</v>
      </c>
    </row>
    <row r="29" spans="3:10">
      <c r="I29" t="s">
        <v>377</v>
      </c>
      <c r="J29" s="431">
        <f>J25/J27</f>
        <v>116111.11111111111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51DF-F6D7-441F-BE16-08132B385CFD}">
  <dimension ref="A1:G23"/>
  <sheetViews>
    <sheetView workbookViewId="0">
      <selection activeCell="E9" sqref="E9"/>
    </sheetView>
  </sheetViews>
  <sheetFormatPr defaultRowHeight="14.4"/>
  <cols>
    <col min="1" max="1" width="45.5546875" bestFit="1" customWidth="1"/>
    <col min="3" max="3" width="10.109375" bestFit="1" customWidth="1"/>
    <col min="4" max="4" width="10.88671875" customWidth="1"/>
    <col min="5" max="5" width="24.44140625" customWidth="1"/>
    <col min="6" max="6" width="12" bestFit="1" customWidth="1"/>
  </cols>
  <sheetData>
    <row r="1" spans="1: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</row>
    <row r="2" spans="1:7">
      <c r="A2" s="1" t="s">
        <v>3</v>
      </c>
      <c r="B2" s="2" t="str">
        <f>'Table of Contents'!B2</f>
        <v>Krishnamurthy Bindumadhavan</v>
      </c>
      <c r="C2" s="3"/>
      <c r="D2" s="3"/>
      <c r="E2" s="3"/>
      <c r="F2" s="6" t="s">
        <v>4</v>
      </c>
      <c r="G2" s="5" t="s">
        <v>5</v>
      </c>
    </row>
    <row r="3" spans="1:7">
      <c r="A3" s="1" t="s">
        <v>6</v>
      </c>
      <c r="B3" s="2" t="s">
        <v>91</v>
      </c>
      <c r="C3" s="3"/>
      <c r="D3" s="3"/>
      <c r="E3" s="3"/>
      <c r="F3" s="7" t="s">
        <v>8</v>
      </c>
      <c r="G3" s="5" t="s">
        <v>9</v>
      </c>
    </row>
    <row r="4" spans="1:7">
      <c r="A4" s="8" t="s">
        <v>10</v>
      </c>
      <c r="B4" s="9">
        <v>46033</v>
      </c>
      <c r="C4" s="3"/>
      <c r="D4" s="3"/>
      <c r="E4" s="3"/>
      <c r="F4" s="10" t="s">
        <v>11</v>
      </c>
      <c r="G4" s="5" t="s">
        <v>12</v>
      </c>
    </row>
    <row r="6" spans="1:7" ht="15" thickBot="1"/>
    <row r="7" spans="1:7" ht="15" thickBot="1">
      <c r="A7" s="391" t="s">
        <v>254</v>
      </c>
      <c r="B7" s="169"/>
      <c r="C7" s="170" t="str">
        <f>'[1]Income Statement'!C6</f>
        <v>Year 1</v>
      </c>
      <c r="D7" s="171" t="s">
        <v>255</v>
      </c>
    </row>
    <row r="8" spans="1:7">
      <c r="A8" s="30" t="s">
        <v>119</v>
      </c>
      <c r="B8" s="141"/>
      <c r="C8" s="144">
        <f>'[1]Income Statement'!C70</f>
        <v>585984</v>
      </c>
      <c r="D8" s="392">
        <f>C8/$C$10</f>
        <v>0.47229959764778706</v>
      </c>
    </row>
    <row r="9" spans="1:7">
      <c r="A9" s="14" t="s">
        <v>120</v>
      </c>
      <c r="B9" s="141"/>
      <c r="C9" s="144">
        <f>'[1]Income Statement'!C139</f>
        <v>654720.00000000012</v>
      </c>
      <c r="D9" s="392">
        <f>C9/$C$10</f>
        <v>0.52770040235221305</v>
      </c>
    </row>
    <row r="10" spans="1:7" ht="15" thickBot="1">
      <c r="A10" s="23" t="s">
        <v>125</v>
      </c>
      <c r="B10" s="151"/>
      <c r="C10" s="152">
        <f>SUM(C8:C9)</f>
        <v>1240704</v>
      </c>
      <c r="D10" s="61"/>
    </row>
    <row r="11" spans="1:7" ht="15" thickBot="1">
      <c r="C11" s="131"/>
    </row>
    <row r="12" spans="1:7" ht="15" thickBot="1">
      <c r="A12" s="391" t="s">
        <v>256</v>
      </c>
      <c r="B12" s="169"/>
      <c r="C12" s="170" t="str">
        <f>C7</f>
        <v>Year 1</v>
      </c>
      <c r="D12" s="170" t="str">
        <f>D7</f>
        <v>Proportion</v>
      </c>
      <c r="E12" s="170"/>
      <c r="F12" s="171" t="s">
        <v>257</v>
      </c>
    </row>
    <row r="13" spans="1:7">
      <c r="A13" s="30" t="str">
        <f>'[1]Income Statement'!A147</f>
        <v>Cost of Good Sold</v>
      </c>
      <c r="B13" s="141"/>
      <c r="C13" s="144">
        <f>'[1]Income Statement'!C158</f>
        <v>238272.00000000003</v>
      </c>
      <c r="D13" s="393">
        <f>C13/$C$17</f>
        <v>0.43931471388641014</v>
      </c>
      <c r="E13" s="57" t="str">
        <f>A13</f>
        <v>Cost of Good Sold</v>
      </c>
      <c r="F13" s="392">
        <f>C13/($C$17-$C$14)</f>
        <v>0.46961992384286094</v>
      </c>
    </row>
    <row r="14" spans="1:7">
      <c r="A14" s="14" t="str">
        <f>'[1]Income Statement'!A164</f>
        <v>Startup Costs</v>
      </c>
      <c r="B14" s="141"/>
      <c r="C14" s="144">
        <f>'[1]Income Statement'!C174</f>
        <v>35000</v>
      </c>
      <c r="D14" s="393">
        <f>C14/$C$17</f>
        <v>6.4531354863451657E-2</v>
      </c>
      <c r="E14" s="57" t="str">
        <f>A15</f>
        <v>Operating Costs</v>
      </c>
      <c r="F14" s="392">
        <f>C15/($C$17-$C$14)</f>
        <v>0.51953990366043057</v>
      </c>
    </row>
    <row r="15" spans="1:7">
      <c r="A15" s="14" t="str">
        <f>'[1]Income Statement'!A176</f>
        <v>Operating Costs</v>
      </c>
      <c r="B15" s="141"/>
      <c r="C15" s="144">
        <f>'[1]Income Statement'!C193</f>
        <v>263600</v>
      </c>
      <c r="D15" s="393">
        <f>C15/$C$17</f>
        <v>0.48601328977159586</v>
      </c>
      <c r="E15" s="57" t="s">
        <v>258</v>
      </c>
      <c r="F15" s="392">
        <f>C16/($C$17-$C$14)</f>
        <v>1.0840172496708529E-2</v>
      </c>
    </row>
    <row r="16" spans="1:7">
      <c r="A16" s="14" t="str">
        <f>'[1]Income Statement'!A195</f>
        <v>Costs Occuring Once a Year</v>
      </c>
      <c r="B16" s="141"/>
      <c r="C16" s="144">
        <f>'[1]Income Statement'!C199</f>
        <v>5500</v>
      </c>
      <c r="D16" s="393">
        <f>C16/$C$17</f>
        <v>1.0140641478542402E-2</v>
      </c>
      <c r="E16" s="57"/>
      <c r="F16" s="58"/>
    </row>
    <row r="17" spans="1:6" ht="15" thickBot="1">
      <c r="A17" s="23" t="s">
        <v>125</v>
      </c>
      <c r="B17" s="151"/>
      <c r="C17" s="152">
        <f>SUM(C13:C16)</f>
        <v>542372</v>
      </c>
      <c r="D17" s="60"/>
      <c r="E17" s="60"/>
      <c r="F17" s="61"/>
    </row>
    <row r="18" spans="1:6" ht="15" thickBot="1">
      <c r="C18" s="131"/>
    </row>
    <row r="19" spans="1:6">
      <c r="A19" s="394" t="s">
        <v>96</v>
      </c>
      <c r="B19" s="169"/>
      <c r="C19" s="170" t="str">
        <f>C12</f>
        <v>Year 1</v>
      </c>
      <c r="D19" s="171" t="s">
        <v>259</v>
      </c>
    </row>
    <row r="20" spans="1:6">
      <c r="A20" s="14" t="str">
        <f>'[1]Income Statement'!A203</f>
        <v>Earnings before Interest, taxes and Dep. (EBITDA)</v>
      </c>
      <c r="B20" s="141"/>
      <c r="C20" s="144">
        <f>C10-C17</f>
        <v>698332</v>
      </c>
      <c r="D20" s="392">
        <f>C20/$C$10</f>
        <v>0.562851413391107</v>
      </c>
    </row>
    <row r="21" spans="1:6">
      <c r="A21" s="14" t="str">
        <f>'[1]Income Statement'!A208</f>
        <v>Earnings Before Interest and Taxes (EBIT)</v>
      </c>
      <c r="B21" s="141"/>
      <c r="C21" s="144">
        <f>'[1]Income Statement'!C208</f>
        <v>677332</v>
      </c>
      <c r="D21" s="392">
        <f>C21/$C$10</f>
        <v>0.54592553904879815</v>
      </c>
    </row>
    <row r="22" spans="1:6">
      <c r="A22" s="14" t="str">
        <f>'[1]Income Statement'!A212</f>
        <v>Income Before Taxes (EBT)</v>
      </c>
      <c r="B22" s="141"/>
      <c r="C22" s="144">
        <f>'[1]Income Statement'!C212</f>
        <v>655487.7479424536</v>
      </c>
      <c r="D22" s="392">
        <f>C22/$C$10</f>
        <v>0.52831920259985754</v>
      </c>
    </row>
    <row r="23" spans="1:6" ht="15" thickBot="1">
      <c r="A23" s="23" t="str">
        <f>'[1]Income Statement'!A216</f>
        <v>Net Income</v>
      </c>
      <c r="B23" s="151"/>
      <c r="C23" s="152">
        <f>'[1]Income Statement'!C216</f>
        <v>426067.03616259486</v>
      </c>
      <c r="D23" s="395">
        <f>C23/$C$10</f>
        <v>0.34340748168990737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6F2B-F678-468E-B142-513ACBCC8FBD}">
  <dimension ref="A1:H40"/>
  <sheetViews>
    <sheetView workbookViewId="0"/>
  </sheetViews>
  <sheetFormatPr defaultRowHeight="14.4"/>
  <cols>
    <col min="2" max="2" width="19" customWidth="1"/>
    <col min="3" max="3" width="14.33203125" bestFit="1" customWidth="1"/>
    <col min="5" max="6" width="16.6640625" bestFit="1" customWidth="1"/>
    <col min="8" max="8" width="33.88671875" bestFit="1" customWidth="1"/>
  </cols>
  <sheetData>
    <row r="1" spans="1: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</row>
    <row r="2" spans="1:7">
      <c r="A2" s="1" t="s">
        <v>3</v>
      </c>
      <c r="B2" s="2" t="str">
        <f>'Table of Contents'!B2</f>
        <v>Krishnamurthy Bindumadhavan</v>
      </c>
      <c r="C2" s="3"/>
      <c r="D2" s="3"/>
      <c r="E2" s="3"/>
      <c r="F2" s="6" t="s">
        <v>4</v>
      </c>
      <c r="G2" s="5" t="s">
        <v>5</v>
      </c>
    </row>
    <row r="3" spans="1:7">
      <c r="A3" s="1" t="s">
        <v>6</v>
      </c>
      <c r="B3" s="2" t="s">
        <v>93</v>
      </c>
      <c r="C3" s="3"/>
      <c r="D3" s="3"/>
      <c r="E3" s="3"/>
      <c r="F3" s="7" t="s">
        <v>8</v>
      </c>
      <c r="G3" s="5" t="s">
        <v>9</v>
      </c>
    </row>
    <row r="4" spans="1:7">
      <c r="A4" s="8" t="s">
        <v>10</v>
      </c>
      <c r="B4" s="9">
        <v>46033</v>
      </c>
      <c r="C4" s="3"/>
      <c r="D4" s="3"/>
      <c r="E4" s="3"/>
      <c r="F4" s="10" t="s">
        <v>11</v>
      </c>
      <c r="G4" s="5" t="s">
        <v>12</v>
      </c>
    </row>
    <row r="6" spans="1:7" ht="18">
      <c r="B6" s="396" t="s">
        <v>260</v>
      </c>
    </row>
    <row r="8" spans="1:7" ht="15.6">
      <c r="A8">
        <v>1</v>
      </c>
      <c r="B8" s="397" t="s">
        <v>261</v>
      </c>
    </row>
    <row r="9" spans="1:7" ht="15" thickBot="1"/>
    <row r="10" spans="1:7">
      <c r="B10" s="394" t="s">
        <v>262</v>
      </c>
      <c r="C10" s="398" t="s">
        <v>100</v>
      </c>
    </row>
    <row r="11" spans="1:7">
      <c r="B11" s="14" t="s">
        <v>263</v>
      </c>
      <c r="C11" s="22">
        <f>'[1]Income Statement'!E218</f>
        <v>1395961.1552380896</v>
      </c>
    </row>
    <row r="12" spans="1:7">
      <c r="B12" s="14" t="s">
        <v>264</v>
      </c>
      <c r="C12" s="22">
        <f>'[1]Income Statement'!D218</f>
        <v>898543.40938122838</v>
      </c>
    </row>
    <row r="13" spans="1:7">
      <c r="B13" s="14" t="s">
        <v>265</v>
      </c>
      <c r="C13" s="22">
        <f>'[1]Income Statement'!C218</f>
        <v>426067.03616259486</v>
      </c>
    </row>
    <row r="14" spans="1:7">
      <c r="B14" s="14" t="s">
        <v>266</v>
      </c>
      <c r="C14" s="22">
        <f>AVERAGE(C11:C13)</f>
        <v>906857.20026063768</v>
      </c>
    </row>
    <row r="15" spans="1:7">
      <c r="B15" s="14"/>
      <c r="C15" s="21"/>
    </row>
    <row r="16" spans="1:7">
      <c r="B16" s="14" t="s">
        <v>267</v>
      </c>
      <c r="C16" s="399">
        <v>0.4</v>
      </c>
    </row>
    <row r="17" spans="1:5">
      <c r="B17" s="400" t="s">
        <v>268</v>
      </c>
      <c r="C17" s="399">
        <f>1-C16</f>
        <v>0.6</v>
      </c>
    </row>
    <row r="18" spans="1:5">
      <c r="B18" s="14"/>
      <c r="C18" s="21"/>
    </row>
    <row r="19" spans="1:5" ht="15" thickBot="1">
      <c r="B19" s="401" t="s">
        <v>269</v>
      </c>
      <c r="C19" s="402">
        <f>C14*C17</f>
        <v>544114.32015638263</v>
      </c>
    </row>
    <row r="20" spans="1:5" ht="15" thickBot="1"/>
    <row r="21" spans="1:5" ht="15" thickBot="1">
      <c r="A21">
        <v>2</v>
      </c>
      <c r="B21" s="403" t="s">
        <v>270</v>
      </c>
      <c r="C21" s="404" t="s">
        <v>271</v>
      </c>
      <c r="D21" s="404" t="s">
        <v>267</v>
      </c>
      <c r="E21" s="405" t="s">
        <v>272</v>
      </c>
    </row>
    <row r="22" spans="1:5">
      <c r="B22" s="406" t="s">
        <v>273</v>
      </c>
      <c r="C22" s="407">
        <f>'[1]Depreciation Schedule'!F23</f>
        <v>210000</v>
      </c>
      <c r="D22" s="408">
        <v>0.2</v>
      </c>
      <c r="E22" s="409">
        <f>C22*(1-D22)</f>
        <v>168000</v>
      </c>
    </row>
    <row r="23" spans="1:5">
      <c r="B23" s="410" t="s">
        <v>66</v>
      </c>
      <c r="C23" s="144">
        <f>'[1]Balance Sheet'!H12</f>
        <v>110000</v>
      </c>
      <c r="D23" s="411">
        <v>0.2</v>
      </c>
      <c r="E23" s="145">
        <f>C23*(1-D23)</f>
        <v>88000</v>
      </c>
    </row>
    <row r="24" spans="1:5">
      <c r="B24" s="410" t="s">
        <v>274</v>
      </c>
      <c r="C24" s="144">
        <v>50000</v>
      </c>
      <c r="D24" s="411">
        <v>0.2</v>
      </c>
      <c r="E24" s="145">
        <f>C24*(1-D24)</f>
        <v>40000</v>
      </c>
    </row>
    <row r="25" spans="1:5">
      <c r="B25" s="410" t="s">
        <v>114</v>
      </c>
      <c r="C25" s="144">
        <v>10000</v>
      </c>
      <c r="D25" s="411">
        <v>0.2</v>
      </c>
      <c r="E25" s="145">
        <f>C25*(1-D25)</f>
        <v>8000</v>
      </c>
    </row>
    <row r="26" spans="1:5" ht="15" thickBot="1">
      <c r="B26" s="412" t="s">
        <v>125</v>
      </c>
      <c r="C26" s="152">
        <f>SUM(C22:C25)</f>
        <v>380000</v>
      </c>
      <c r="D26" s="60"/>
      <c r="E26" s="153">
        <f>SUM(E22:E25)</f>
        <v>304000</v>
      </c>
    </row>
    <row r="28" spans="1:5" ht="15" thickBot="1"/>
    <row r="29" spans="1:5" ht="15" thickBot="1">
      <c r="A29">
        <v>3</v>
      </c>
      <c r="B29" s="391" t="s">
        <v>275</v>
      </c>
      <c r="C29" s="413">
        <v>0</v>
      </c>
    </row>
    <row r="31" spans="1:5">
      <c r="A31">
        <v>4</v>
      </c>
      <c r="B31" s="50" t="s">
        <v>175</v>
      </c>
    </row>
    <row r="32" spans="1:5" ht="15" thickBot="1"/>
    <row r="33" spans="2:8" ht="15" thickBot="1">
      <c r="B33" s="391" t="s">
        <v>276</v>
      </c>
      <c r="C33" s="414" t="s">
        <v>277</v>
      </c>
      <c r="D33" s="404" t="s">
        <v>267</v>
      </c>
      <c r="E33" s="415" t="s">
        <v>268</v>
      </c>
      <c r="F33" s="405" t="s">
        <v>278</v>
      </c>
      <c r="H33" s="394" t="s">
        <v>279</v>
      </c>
    </row>
    <row r="34" spans="2:8">
      <c r="B34" s="416" t="s">
        <v>280</v>
      </c>
      <c r="C34" s="417">
        <f>$C$38*H34</f>
        <v>124070.40000000001</v>
      </c>
      <c r="D34" s="418">
        <v>0.2</v>
      </c>
      <c r="E34" s="408">
        <f>1-D34</f>
        <v>0.8</v>
      </c>
      <c r="F34" s="409">
        <f>C34*E34</f>
        <v>99256.320000000007</v>
      </c>
      <c r="H34" s="419">
        <v>0.4</v>
      </c>
    </row>
    <row r="35" spans="2:8">
      <c r="B35" s="400" t="s">
        <v>281</v>
      </c>
      <c r="C35" s="420">
        <f>$C$38*H35</f>
        <v>93052.800000000003</v>
      </c>
      <c r="D35" s="421">
        <v>0.4</v>
      </c>
      <c r="E35" s="411">
        <f>1-D35</f>
        <v>0.6</v>
      </c>
      <c r="F35" s="145">
        <f>C35*E35</f>
        <v>55831.68</v>
      </c>
      <c r="H35" s="419">
        <v>0.3</v>
      </c>
    </row>
    <row r="36" spans="2:8">
      <c r="B36" s="400" t="s">
        <v>282</v>
      </c>
      <c r="C36" s="420">
        <f>$C$38*H36</f>
        <v>62035.200000000004</v>
      </c>
      <c r="D36" s="421">
        <v>0.6</v>
      </c>
      <c r="E36" s="411">
        <f>1-D36</f>
        <v>0.4</v>
      </c>
      <c r="F36" s="145">
        <f>C36*E36</f>
        <v>24814.080000000002</v>
      </c>
      <c r="H36" s="419">
        <v>0.2</v>
      </c>
    </row>
    <row r="37" spans="2:8">
      <c r="B37" s="400" t="s">
        <v>283</v>
      </c>
      <c r="C37" s="420">
        <f>$C$38*H37</f>
        <v>31017.600000000002</v>
      </c>
      <c r="D37" s="421">
        <v>0.8</v>
      </c>
      <c r="E37" s="411">
        <f>1-D37</f>
        <v>0.19999999999999996</v>
      </c>
      <c r="F37" s="145">
        <f>C37*E37</f>
        <v>6203.5199999999986</v>
      </c>
      <c r="H37" s="419">
        <v>0.1</v>
      </c>
    </row>
    <row r="38" spans="2:8" ht="15" thickBot="1">
      <c r="B38" s="23" t="s">
        <v>125</v>
      </c>
      <c r="C38" s="422">
        <f>'[1]Income Statement'!C141*25%</f>
        <v>310176</v>
      </c>
      <c r="D38" s="60"/>
      <c r="E38" s="60"/>
      <c r="F38" s="153">
        <f>SUM(F34:F37)</f>
        <v>186105.60000000001</v>
      </c>
      <c r="H38" s="423">
        <f>SUM(H34:H37)</f>
        <v>0.99999999999999989</v>
      </c>
    </row>
    <row r="39" spans="2:8" ht="15" thickBot="1"/>
    <row r="40" spans="2:8" ht="15" thickBot="1">
      <c r="B40" s="391" t="s">
        <v>284</v>
      </c>
      <c r="C40" s="413">
        <f>C19+E26+C29+F38</f>
        <v>1034219.9201563826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A249-E389-4314-B903-DE360ED7C15B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of Contents</vt:lpstr>
      <vt:lpstr>Comments</vt:lpstr>
      <vt:lpstr>Assumptions</vt:lpstr>
      <vt:lpstr>Income Statement</vt:lpstr>
      <vt:lpstr>Balance Sheet</vt:lpstr>
      <vt:lpstr>Cashflow Statement</vt:lpstr>
      <vt:lpstr>Valuation</vt:lpstr>
      <vt:lpstr>Net Income Analysis</vt:lpstr>
      <vt:lpstr>Expense Analysis</vt:lpstr>
      <vt:lpstr>Revenue Analysis</vt:lpstr>
      <vt:lpstr>Cashflow Analysis</vt:lpstr>
      <vt:lpstr>Loan Repayment Schedule</vt:lpstr>
      <vt:lpstr>Depreciation Schedule</vt:lpstr>
      <vt:lpstr>Dashboard</vt:lpstr>
      <vt:lpstr>Existing Practice Valuation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2026-01-11T12:25:52Z</dcterms:created>
  <dcterms:modified xsi:type="dcterms:W3CDTF">2026-06-12T10:56:05Z</dcterms:modified>
</cp:coreProperties>
</file>