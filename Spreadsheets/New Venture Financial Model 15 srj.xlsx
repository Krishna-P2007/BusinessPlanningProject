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ish\Downloads\"/>
    </mc:Choice>
  </mc:AlternateContent>
  <xr:revisionPtr revIDLastSave="0" documentId="13_ncr:1_{71C77842-4347-422A-8984-644929C37830}" xr6:coauthVersionLast="47" xr6:coauthVersionMax="47" xr10:uidLastSave="{00000000-0000-0000-0000-000000000000}"/>
  <bookViews>
    <workbookView xWindow="-110" yWindow="-110" windowWidth="19420" windowHeight="11500" firstSheet="1" activeTab="2" xr2:uid="{A83D9EE0-616D-4993-AD92-1A6E07E9C2F6}"/>
  </bookViews>
  <sheets>
    <sheet name="Table of Contents" sheetId="2" r:id="rId1"/>
    <sheet name="Revenue" sheetId="19" r:id="rId2"/>
    <sheet name="Income" sheetId="20" r:id="rId3"/>
    <sheet name="Comments" sheetId="16" r:id="rId4"/>
    <sheet name="Assumptions" sheetId="1" r:id="rId5"/>
    <sheet name="Income Statement" sheetId="7" r:id="rId6"/>
    <sheet name="Balance Sheet" sheetId="8" r:id="rId7"/>
    <sheet name="Cashflow Statement" sheetId="9" r:id="rId8"/>
    <sheet name="Cashflow Statement2" sheetId="18" r:id="rId9"/>
    <sheet name="Net Income Analysis" sheetId="3" state="hidden" r:id="rId10"/>
    <sheet name="Expense Analysis" sheetId="4" state="hidden" r:id="rId11"/>
    <sheet name="Revenue Analysis" sheetId="5" state="hidden" r:id="rId12"/>
    <sheet name="Cashflow Analysis" sheetId="6" state="hidden" r:id="rId13"/>
    <sheet name="Loan Repayment Schedule" sheetId="11" r:id="rId14"/>
    <sheet name="Depreciation Schedule" sheetId="12" r:id="rId15"/>
    <sheet name="Valuation" sheetId="10" r:id="rId16"/>
    <sheet name="Valuation(changed)" sheetId="17" r:id="rId17"/>
    <sheet name="Dashboard" sheetId="13" state="hidden" r:id="rId18"/>
    <sheet name="Existing Practice Valuation" sheetId="14" state="hidden" r:id="rId19"/>
  </sheets>
  <externalReferences>
    <externalReference r:id="rId20"/>
    <externalReference r:id="rId21"/>
    <externalReference r:id="rId22"/>
    <externalReference r:id="rId23"/>
    <externalReference r:id="rId2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79" i="20" l="1"/>
  <c r="C679" i="20"/>
  <c r="D669" i="20"/>
  <c r="E669" i="20"/>
  <c r="F669" i="20"/>
  <c r="G669" i="20"/>
  <c r="H669" i="20"/>
  <c r="I669" i="20"/>
  <c r="J669" i="20"/>
  <c r="K669" i="20"/>
  <c r="L669" i="20"/>
  <c r="C669" i="20"/>
  <c r="D664" i="20"/>
  <c r="E664" i="20"/>
  <c r="F664" i="20"/>
  <c r="G664" i="20"/>
  <c r="H664" i="20"/>
  <c r="I664" i="20"/>
  <c r="J664" i="20"/>
  <c r="K664" i="20"/>
  <c r="L664" i="20"/>
  <c r="C664" i="20"/>
  <c r="E655" i="20"/>
  <c r="F655" i="20" s="1"/>
  <c r="G655" i="20" s="1"/>
  <c r="H655" i="20" s="1"/>
  <c r="I655" i="20" s="1"/>
  <c r="J655" i="20" s="1"/>
  <c r="K655" i="20" s="1"/>
  <c r="L655" i="20" s="1"/>
  <c r="D655" i="20"/>
  <c r="C656" i="20"/>
  <c r="C655" i="20"/>
  <c r="E650" i="20"/>
  <c r="F650" i="20" s="1"/>
  <c r="G650" i="20" s="1"/>
  <c r="H650" i="20" s="1"/>
  <c r="I650" i="20" s="1"/>
  <c r="J650" i="20" s="1"/>
  <c r="K650" i="20" s="1"/>
  <c r="L650" i="20" s="1"/>
  <c r="D650" i="20"/>
  <c r="E649" i="20"/>
  <c r="F649" i="20" s="1"/>
  <c r="G649" i="20" s="1"/>
  <c r="H649" i="20" s="1"/>
  <c r="I649" i="20" s="1"/>
  <c r="J649" i="20" s="1"/>
  <c r="K649" i="20" s="1"/>
  <c r="L649" i="20" s="1"/>
  <c r="D649" i="20"/>
  <c r="E648" i="20"/>
  <c r="F648" i="20" s="1"/>
  <c r="G648" i="20" s="1"/>
  <c r="H648" i="20" s="1"/>
  <c r="I648" i="20" s="1"/>
  <c r="J648" i="20" s="1"/>
  <c r="K648" i="20" s="1"/>
  <c r="L648" i="20" s="1"/>
  <c r="D648" i="20"/>
  <c r="E647" i="20"/>
  <c r="F647" i="20" s="1"/>
  <c r="G647" i="20" s="1"/>
  <c r="H647" i="20" s="1"/>
  <c r="I647" i="20" s="1"/>
  <c r="J647" i="20" s="1"/>
  <c r="K647" i="20" s="1"/>
  <c r="L647" i="20" s="1"/>
  <c r="D647" i="20"/>
  <c r="E646" i="20"/>
  <c r="F646" i="20" s="1"/>
  <c r="G646" i="20" s="1"/>
  <c r="H646" i="20" s="1"/>
  <c r="I646" i="20" s="1"/>
  <c r="J646" i="20" s="1"/>
  <c r="K646" i="20" s="1"/>
  <c r="L646" i="20" s="1"/>
  <c r="D646" i="20"/>
  <c r="E645" i="20"/>
  <c r="F645" i="20"/>
  <c r="G645" i="20" s="1"/>
  <c r="H645" i="20" s="1"/>
  <c r="I645" i="20" s="1"/>
  <c r="J645" i="20" s="1"/>
  <c r="K645" i="20" s="1"/>
  <c r="L645" i="20" s="1"/>
  <c r="D645" i="20"/>
  <c r="E644" i="20"/>
  <c r="F644" i="20" s="1"/>
  <c r="G644" i="20" s="1"/>
  <c r="H644" i="20" s="1"/>
  <c r="I644" i="20" s="1"/>
  <c r="J644" i="20" s="1"/>
  <c r="K644" i="20" s="1"/>
  <c r="L644" i="20" s="1"/>
  <c r="D644" i="20"/>
  <c r="E643" i="20"/>
  <c r="F643" i="20"/>
  <c r="G643" i="20"/>
  <c r="H643" i="20"/>
  <c r="I643" i="20"/>
  <c r="J643" i="20"/>
  <c r="K643" i="20"/>
  <c r="L643" i="20"/>
  <c r="D643" i="20"/>
  <c r="E642" i="20"/>
  <c r="F642" i="20"/>
  <c r="G642" i="20" s="1"/>
  <c r="H642" i="20" s="1"/>
  <c r="I642" i="20" s="1"/>
  <c r="J642" i="20" s="1"/>
  <c r="K642" i="20" s="1"/>
  <c r="L642" i="20" s="1"/>
  <c r="D642" i="20"/>
  <c r="E641" i="20"/>
  <c r="F641" i="20"/>
  <c r="G641" i="20"/>
  <c r="H641" i="20"/>
  <c r="I641" i="20"/>
  <c r="J641" i="20"/>
  <c r="K641" i="20"/>
  <c r="L641" i="20"/>
  <c r="D641" i="20"/>
  <c r="E640" i="20"/>
  <c r="F640" i="20"/>
  <c r="G640" i="20"/>
  <c r="H640" i="20"/>
  <c r="I640" i="20"/>
  <c r="J640" i="20"/>
  <c r="K640" i="20"/>
  <c r="L640" i="20"/>
  <c r="E639" i="20"/>
  <c r="F639" i="20" s="1"/>
  <c r="G639" i="20" s="1"/>
  <c r="H639" i="20" s="1"/>
  <c r="I639" i="20" s="1"/>
  <c r="J639" i="20" s="1"/>
  <c r="K639" i="20" s="1"/>
  <c r="L639" i="20" s="1"/>
  <c r="D640" i="20"/>
  <c r="D639" i="20"/>
  <c r="E638" i="20"/>
  <c r="F638" i="20" s="1"/>
  <c r="G638" i="20" s="1"/>
  <c r="H638" i="20" s="1"/>
  <c r="I638" i="20" s="1"/>
  <c r="J638" i="20" s="1"/>
  <c r="K638" i="20" s="1"/>
  <c r="L638" i="20" s="1"/>
  <c r="D638" i="20"/>
  <c r="E637" i="20"/>
  <c r="F637" i="20" s="1"/>
  <c r="G637" i="20" s="1"/>
  <c r="H637" i="20" s="1"/>
  <c r="I637" i="20" s="1"/>
  <c r="J637" i="20" s="1"/>
  <c r="K637" i="20" s="1"/>
  <c r="L637" i="20" s="1"/>
  <c r="D637" i="20"/>
  <c r="C638" i="20"/>
  <c r="C639" i="20"/>
  <c r="C640" i="20"/>
  <c r="C641" i="20"/>
  <c r="C642" i="20"/>
  <c r="C643" i="20"/>
  <c r="C644" i="20"/>
  <c r="C645" i="20"/>
  <c r="C646" i="20"/>
  <c r="C647" i="20"/>
  <c r="C648" i="20"/>
  <c r="C649" i="20"/>
  <c r="C650" i="20"/>
  <c r="C637" i="20"/>
  <c r="C626" i="20"/>
  <c r="C627" i="20"/>
  <c r="C628" i="20"/>
  <c r="C629" i="20"/>
  <c r="C630" i="20"/>
  <c r="C631" i="20"/>
  <c r="C625" i="20"/>
  <c r="C633" i="20" s="1"/>
  <c r="C604" i="20"/>
  <c r="D603" i="20"/>
  <c r="E603" i="20"/>
  <c r="F603" i="20"/>
  <c r="G603" i="20"/>
  <c r="H603" i="20"/>
  <c r="I603" i="20"/>
  <c r="J603" i="20"/>
  <c r="K603" i="20"/>
  <c r="L603" i="20"/>
  <c r="C603" i="20"/>
  <c r="D602" i="20"/>
  <c r="C602" i="20"/>
  <c r="D599" i="20"/>
  <c r="D600" i="20" s="1"/>
  <c r="D615" i="20" s="1"/>
  <c r="E599" i="20"/>
  <c r="F599" i="20"/>
  <c r="G599" i="20"/>
  <c r="H599" i="20"/>
  <c r="I599" i="20"/>
  <c r="J599" i="20"/>
  <c r="K599" i="20"/>
  <c r="L599" i="20"/>
  <c r="C599" i="20"/>
  <c r="D598" i="20"/>
  <c r="C598" i="20"/>
  <c r="D595" i="20"/>
  <c r="E595" i="20"/>
  <c r="F595" i="20"/>
  <c r="G595" i="20"/>
  <c r="H595" i="20"/>
  <c r="I595" i="20"/>
  <c r="J595" i="20"/>
  <c r="K595" i="20"/>
  <c r="L595" i="20"/>
  <c r="C595" i="20"/>
  <c r="D594" i="20"/>
  <c r="E594" i="20"/>
  <c r="F594" i="20"/>
  <c r="G594" i="20"/>
  <c r="H594" i="20"/>
  <c r="I594" i="20"/>
  <c r="J594" i="20"/>
  <c r="K594" i="20"/>
  <c r="L594" i="20"/>
  <c r="C594" i="20"/>
  <c r="C596" i="20" s="1"/>
  <c r="C614" i="20" s="1"/>
  <c r="D591" i="20"/>
  <c r="E591" i="20"/>
  <c r="F591" i="20"/>
  <c r="G591" i="20"/>
  <c r="H591" i="20"/>
  <c r="I591" i="20"/>
  <c r="J591" i="20"/>
  <c r="K591" i="20"/>
  <c r="L591" i="20"/>
  <c r="C591" i="20"/>
  <c r="D590" i="20"/>
  <c r="C590" i="20"/>
  <c r="D587" i="20"/>
  <c r="E587" i="20"/>
  <c r="F587" i="20"/>
  <c r="G587" i="20"/>
  <c r="H587" i="20"/>
  <c r="I587" i="20"/>
  <c r="J587" i="20"/>
  <c r="K587" i="20"/>
  <c r="L587" i="20"/>
  <c r="C587" i="20"/>
  <c r="D586" i="20"/>
  <c r="E586" i="20"/>
  <c r="C586" i="20"/>
  <c r="D583" i="20"/>
  <c r="E583" i="20"/>
  <c r="F583" i="20"/>
  <c r="G583" i="20"/>
  <c r="H583" i="20"/>
  <c r="I583" i="20"/>
  <c r="J583" i="20"/>
  <c r="K583" i="20"/>
  <c r="L583" i="20"/>
  <c r="C583" i="20"/>
  <c r="D582" i="20"/>
  <c r="C582" i="20"/>
  <c r="D579" i="20"/>
  <c r="E579" i="20"/>
  <c r="F579" i="20"/>
  <c r="G579" i="20"/>
  <c r="H579" i="20"/>
  <c r="I579" i="20"/>
  <c r="J579" i="20"/>
  <c r="K579" i="20"/>
  <c r="L579" i="20"/>
  <c r="C579" i="20"/>
  <c r="D578" i="20"/>
  <c r="C578" i="20"/>
  <c r="D575" i="20"/>
  <c r="E575" i="20"/>
  <c r="F575" i="20"/>
  <c r="G575" i="20"/>
  <c r="H575" i="20"/>
  <c r="I575" i="20"/>
  <c r="J575" i="20"/>
  <c r="K575" i="20"/>
  <c r="L575" i="20"/>
  <c r="C575" i="20"/>
  <c r="D574" i="20"/>
  <c r="C574" i="20"/>
  <c r="D571" i="20"/>
  <c r="E571" i="20"/>
  <c r="F571" i="20"/>
  <c r="G571" i="20"/>
  <c r="H571" i="20"/>
  <c r="I571" i="20"/>
  <c r="J571" i="20"/>
  <c r="K571" i="20"/>
  <c r="L571" i="20"/>
  <c r="C571" i="20"/>
  <c r="D570" i="20"/>
  <c r="C570" i="20"/>
  <c r="D656" i="20"/>
  <c r="E656" i="20" s="1"/>
  <c r="F656" i="20" s="1"/>
  <c r="G656" i="20" s="1"/>
  <c r="H656" i="20" s="1"/>
  <c r="I656" i="20" s="1"/>
  <c r="J656" i="20" s="1"/>
  <c r="K656" i="20" s="1"/>
  <c r="L656" i="20" s="1"/>
  <c r="C658" i="20"/>
  <c r="L633" i="20"/>
  <c r="K633" i="20"/>
  <c r="J633" i="20"/>
  <c r="I633" i="20"/>
  <c r="H633" i="20"/>
  <c r="G633" i="20"/>
  <c r="F633" i="20"/>
  <c r="E633" i="20"/>
  <c r="D633" i="20"/>
  <c r="D604" i="20"/>
  <c r="D616" i="20" s="1"/>
  <c r="C600" i="20"/>
  <c r="C615" i="20" s="1"/>
  <c r="G596" i="20"/>
  <c r="G614" i="20" s="1"/>
  <c r="F596" i="20"/>
  <c r="F614" i="20" s="1"/>
  <c r="E596" i="20"/>
  <c r="E614" i="20" s="1"/>
  <c r="D596" i="20"/>
  <c r="D614" i="20" s="1"/>
  <c r="C592" i="20"/>
  <c r="C613" i="20" s="1"/>
  <c r="D592" i="20"/>
  <c r="D613" i="20" s="1"/>
  <c r="E588" i="20"/>
  <c r="E612" i="20" s="1"/>
  <c r="D588" i="20"/>
  <c r="D612" i="20" s="1"/>
  <c r="C588" i="20"/>
  <c r="C612" i="20" s="1"/>
  <c r="C584" i="20"/>
  <c r="C611" i="20" s="1"/>
  <c r="D584" i="20"/>
  <c r="D611" i="20" s="1"/>
  <c r="D580" i="20"/>
  <c r="D610" i="20" s="1"/>
  <c r="C580" i="20"/>
  <c r="C610" i="20" s="1"/>
  <c r="D576" i="20"/>
  <c r="D572" i="20"/>
  <c r="C572" i="20"/>
  <c r="D558" i="20"/>
  <c r="E558" i="20"/>
  <c r="F558" i="20"/>
  <c r="G558" i="20"/>
  <c r="H558" i="20"/>
  <c r="I558" i="20"/>
  <c r="J558" i="20"/>
  <c r="K558" i="20"/>
  <c r="L558" i="20"/>
  <c r="C558" i="20"/>
  <c r="D553" i="20"/>
  <c r="E553" i="20"/>
  <c r="F553" i="20"/>
  <c r="G553" i="20"/>
  <c r="H553" i="20"/>
  <c r="I553" i="20"/>
  <c r="J553" i="20"/>
  <c r="K553" i="20"/>
  <c r="L553" i="20"/>
  <c r="C553" i="20"/>
  <c r="C545" i="20"/>
  <c r="C544" i="20"/>
  <c r="C527" i="20"/>
  <c r="C541" i="20" s="1"/>
  <c r="C528" i="20"/>
  <c r="C529" i="20"/>
  <c r="C530" i="20"/>
  <c r="C531" i="20"/>
  <c r="D531" i="20" s="1"/>
  <c r="E531" i="20" s="1"/>
  <c r="F531" i="20" s="1"/>
  <c r="G531" i="20" s="1"/>
  <c r="H531" i="20" s="1"/>
  <c r="I531" i="20" s="1"/>
  <c r="J531" i="20" s="1"/>
  <c r="K531" i="20" s="1"/>
  <c r="L531" i="20" s="1"/>
  <c r="C532" i="20"/>
  <c r="D532" i="20" s="1"/>
  <c r="E532" i="20" s="1"/>
  <c r="F532" i="20" s="1"/>
  <c r="G532" i="20" s="1"/>
  <c r="H532" i="20" s="1"/>
  <c r="I532" i="20" s="1"/>
  <c r="J532" i="20" s="1"/>
  <c r="K532" i="20" s="1"/>
  <c r="L532" i="20" s="1"/>
  <c r="C533" i="20"/>
  <c r="D533" i="20" s="1"/>
  <c r="E533" i="20" s="1"/>
  <c r="F533" i="20" s="1"/>
  <c r="G533" i="20" s="1"/>
  <c r="H533" i="20" s="1"/>
  <c r="I533" i="20" s="1"/>
  <c r="J533" i="20" s="1"/>
  <c r="K533" i="20" s="1"/>
  <c r="L533" i="20" s="1"/>
  <c r="C534" i="20"/>
  <c r="C535" i="20"/>
  <c r="C536" i="20"/>
  <c r="C537" i="20"/>
  <c r="D537" i="20" s="1"/>
  <c r="E537" i="20" s="1"/>
  <c r="F537" i="20" s="1"/>
  <c r="G537" i="20" s="1"/>
  <c r="H537" i="20" s="1"/>
  <c r="I537" i="20" s="1"/>
  <c r="J537" i="20" s="1"/>
  <c r="K537" i="20" s="1"/>
  <c r="L537" i="20" s="1"/>
  <c r="C538" i="20"/>
  <c r="D538" i="20" s="1"/>
  <c r="E538" i="20" s="1"/>
  <c r="F538" i="20" s="1"/>
  <c r="G538" i="20" s="1"/>
  <c r="H538" i="20" s="1"/>
  <c r="I538" i="20" s="1"/>
  <c r="J538" i="20" s="1"/>
  <c r="K538" i="20" s="1"/>
  <c r="L538" i="20" s="1"/>
  <c r="C539" i="20"/>
  <c r="D539" i="20" s="1"/>
  <c r="E539" i="20" s="1"/>
  <c r="F539" i="20" s="1"/>
  <c r="G539" i="20" s="1"/>
  <c r="H539" i="20" s="1"/>
  <c r="I539" i="20" s="1"/>
  <c r="J539" i="20" s="1"/>
  <c r="K539" i="20" s="1"/>
  <c r="L539" i="20" s="1"/>
  <c r="C526" i="20"/>
  <c r="C515" i="20"/>
  <c r="C516" i="20"/>
  <c r="C517" i="20"/>
  <c r="C518" i="20"/>
  <c r="C519" i="20"/>
  <c r="C520" i="20"/>
  <c r="C514" i="20"/>
  <c r="C522" i="20" s="1"/>
  <c r="D492" i="20"/>
  <c r="E492" i="20"/>
  <c r="F492" i="20"/>
  <c r="G492" i="20"/>
  <c r="H492" i="20"/>
  <c r="I492" i="20"/>
  <c r="J492" i="20"/>
  <c r="K492" i="20"/>
  <c r="L492" i="20"/>
  <c r="C492" i="20"/>
  <c r="D491" i="20"/>
  <c r="C491" i="20"/>
  <c r="D488" i="20"/>
  <c r="D489" i="20" s="1"/>
  <c r="D504" i="20" s="1"/>
  <c r="E488" i="20"/>
  <c r="F488" i="20"/>
  <c r="G488" i="20"/>
  <c r="H488" i="20"/>
  <c r="I488" i="20"/>
  <c r="J488" i="20"/>
  <c r="K488" i="20"/>
  <c r="L488" i="20"/>
  <c r="C488" i="20"/>
  <c r="D487" i="20"/>
  <c r="C487" i="20"/>
  <c r="D484" i="20"/>
  <c r="E484" i="20"/>
  <c r="F484" i="20"/>
  <c r="G484" i="20"/>
  <c r="H484" i="20"/>
  <c r="I484" i="20"/>
  <c r="J484" i="20"/>
  <c r="K484" i="20"/>
  <c r="L484" i="20"/>
  <c r="C484" i="20"/>
  <c r="D483" i="20"/>
  <c r="E483" i="20"/>
  <c r="F483" i="20"/>
  <c r="G483" i="20"/>
  <c r="H483" i="20"/>
  <c r="I483" i="20"/>
  <c r="J483" i="20"/>
  <c r="K483" i="20"/>
  <c r="L483" i="20"/>
  <c r="C483" i="20"/>
  <c r="D480" i="20"/>
  <c r="E480" i="20"/>
  <c r="F480" i="20"/>
  <c r="G480" i="20"/>
  <c r="H480" i="20"/>
  <c r="I480" i="20"/>
  <c r="J480" i="20"/>
  <c r="K480" i="20"/>
  <c r="L480" i="20"/>
  <c r="C480" i="20"/>
  <c r="D479" i="20"/>
  <c r="C479" i="20"/>
  <c r="C481" i="20" s="1"/>
  <c r="C502" i="20" s="1"/>
  <c r="D476" i="20"/>
  <c r="E476" i="20"/>
  <c r="F476" i="20"/>
  <c r="G476" i="20"/>
  <c r="H476" i="20"/>
  <c r="I476" i="20"/>
  <c r="J476" i="20"/>
  <c r="K476" i="20"/>
  <c r="L476" i="20"/>
  <c r="C476" i="20"/>
  <c r="D475" i="20"/>
  <c r="E475" i="20"/>
  <c r="C475" i="20"/>
  <c r="D472" i="20"/>
  <c r="E472" i="20"/>
  <c r="F472" i="20"/>
  <c r="G472" i="20"/>
  <c r="H472" i="20"/>
  <c r="I472" i="20"/>
  <c r="J472" i="20"/>
  <c r="K472" i="20"/>
  <c r="L472" i="20"/>
  <c r="C472" i="20"/>
  <c r="D471" i="20"/>
  <c r="C471" i="20"/>
  <c r="D468" i="20"/>
  <c r="E468" i="20"/>
  <c r="F468" i="20"/>
  <c r="G468" i="20"/>
  <c r="H468" i="20"/>
  <c r="I468" i="20"/>
  <c r="J468" i="20"/>
  <c r="K468" i="20"/>
  <c r="L468" i="20"/>
  <c r="C468" i="20"/>
  <c r="C469" i="20" s="1"/>
  <c r="C499" i="20" s="1"/>
  <c r="D467" i="20"/>
  <c r="C467" i="20"/>
  <c r="D464" i="20"/>
  <c r="E464" i="20"/>
  <c r="F464" i="20"/>
  <c r="G464" i="20"/>
  <c r="H464" i="20"/>
  <c r="I464" i="20"/>
  <c r="J464" i="20"/>
  <c r="K464" i="20"/>
  <c r="L464" i="20"/>
  <c r="C464" i="20"/>
  <c r="D463" i="20"/>
  <c r="C463" i="20"/>
  <c r="C465" i="20"/>
  <c r="D460" i="20"/>
  <c r="E460" i="20"/>
  <c r="F460" i="20"/>
  <c r="G460" i="20"/>
  <c r="H460" i="20"/>
  <c r="I460" i="20"/>
  <c r="J460" i="20"/>
  <c r="K460" i="20"/>
  <c r="L460" i="20"/>
  <c r="C460" i="20"/>
  <c r="D459" i="20"/>
  <c r="C459" i="20"/>
  <c r="D545" i="20"/>
  <c r="E545" i="20" s="1"/>
  <c r="F545" i="20" s="1"/>
  <c r="G545" i="20" s="1"/>
  <c r="H545" i="20" s="1"/>
  <c r="I545" i="20" s="1"/>
  <c r="J545" i="20" s="1"/>
  <c r="K545" i="20" s="1"/>
  <c r="L545" i="20" s="1"/>
  <c r="C547" i="20"/>
  <c r="D536" i="20"/>
  <c r="E536" i="20" s="1"/>
  <c r="F536" i="20" s="1"/>
  <c r="G536" i="20" s="1"/>
  <c r="H536" i="20" s="1"/>
  <c r="I536" i="20" s="1"/>
  <c r="J536" i="20" s="1"/>
  <c r="K536" i="20" s="1"/>
  <c r="L536" i="20" s="1"/>
  <c r="D535" i="20"/>
  <c r="E535" i="20" s="1"/>
  <c r="F535" i="20" s="1"/>
  <c r="G535" i="20" s="1"/>
  <c r="H535" i="20" s="1"/>
  <c r="I535" i="20" s="1"/>
  <c r="J535" i="20" s="1"/>
  <c r="K535" i="20" s="1"/>
  <c r="L535" i="20" s="1"/>
  <c r="D534" i="20"/>
  <c r="E534" i="20" s="1"/>
  <c r="F534" i="20" s="1"/>
  <c r="G534" i="20" s="1"/>
  <c r="H534" i="20" s="1"/>
  <c r="I534" i="20" s="1"/>
  <c r="J534" i="20" s="1"/>
  <c r="K534" i="20" s="1"/>
  <c r="L534" i="20" s="1"/>
  <c r="D530" i="20"/>
  <c r="E530" i="20" s="1"/>
  <c r="F530" i="20" s="1"/>
  <c r="G530" i="20" s="1"/>
  <c r="H530" i="20" s="1"/>
  <c r="I530" i="20" s="1"/>
  <c r="J530" i="20" s="1"/>
  <c r="K530" i="20" s="1"/>
  <c r="L530" i="20" s="1"/>
  <c r="D529" i="20"/>
  <c r="E529" i="20" s="1"/>
  <c r="F529" i="20" s="1"/>
  <c r="G529" i="20" s="1"/>
  <c r="H529" i="20" s="1"/>
  <c r="I529" i="20" s="1"/>
  <c r="J529" i="20" s="1"/>
  <c r="K529" i="20" s="1"/>
  <c r="L529" i="20" s="1"/>
  <c r="D528" i="20"/>
  <c r="E528" i="20" s="1"/>
  <c r="F528" i="20" s="1"/>
  <c r="G528" i="20" s="1"/>
  <c r="H528" i="20" s="1"/>
  <c r="I528" i="20" s="1"/>
  <c r="J528" i="20" s="1"/>
  <c r="K528" i="20" s="1"/>
  <c r="L528" i="20" s="1"/>
  <c r="D526" i="20"/>
  <c r="L522" i="20"/>
  <c r="K522" i="20"/>
  <c r="J522" i="20"/>
  <c r="I522" i="20"/>
  <c r="H522" i="20"/>
  <c r="G522" i="20"/>
  <c r="F522" i="20"/>
  <c r="E522" i="20"/>
  <c r="D522" i="20"/>
  <c r="D493" i="20"/>
  <c r="D505" i="20" s="1"/>
  <c r="C493" i="20"/>
  <c r="C489" i="20"/>
  <c r="C504" i="20" s="1"/>
  <c r="E485" i="20"/>
  <c r="E503" i="20" s="1"/>
  <c r="D485" i="20"/>
  <c r="D503" i="20" s="1"/>
  <c r="C485" i="20"/>
  <c r="C503" i="20" s="1"/>
  <c r="D481" i="20"/>
  <c r="D502" i="20" s="1"/>
  <c r="E477" i="20"/>
  <c r="E501" i="20" s="1"/>
  <c r="D477" i="20"/>
  <c r="D501" i="20" s="1"/>
  <c r="C477" i="20"/>
  <c r="C501" i="20" s="1"/>
  <c r="D473" i="20"/>
  <c r="D500" i="20" s="1"/>
  <c r="D469" i="20"/>
  <c r="D499" i="20" s="1"/>
  <c r="D465" i="20"/>
  <c r="D461" i="20"/>
  <c r="C461" i="20"/>
  <c r="D447" i="20"/>
  <c r="E447" i="20"/>
  <c r="F447" i="20"/>
  <c r="G447" i="20"/>
  <c r="H447" i="20"/>
  <c r="I447" i="20"/>
  <c r="J447" i="20"/>
  <c r="K447" i="20"/>
  <c r="L447" i="20"/>
  <c r="C447" i="20"/>
  <c r="D442" i="20"/>
  <c r="E442" i="20"/>
  <c r="F442" i="20"/>
  <c r="G442" i="20"/>
  <c r="H442" i="20"/>
  <c r="I442" i="20"/>
  <c r="J442" i="20"/>
  <c r="K442" i="20"/>
  <c r="L442" i="20"/>
  <c r="C442" i="20"/>
  <c r="C434" i="20"/>
  <c r="D434" i="20" s="1"/>
  <c r="E434" i="20" s="1"/>
  <c r="F434" i="20" s="1"/>
  <c r="G434" i="20" s="1"/>
  <c r="H434" i="20" s="1"/>
  <c r="I434" i="20" s="1"/>
  <c r="J434" i="20" s="1"/>
  <c r="K434" i="20" s="1"/>
  <c r="L434" i="20" s="1"/>
  <c r="C433" i="20"/>
  <c r="C416" i="20"/>
  <c r="C417" i="20"/>
  <c r="C418" i="20"/>
  <c r="D418" i="20" s="1"/>
  <c r="E418" i="20" s="1"/>
  <c r="F418" i="20" s="1"/>
  <c r="G418" i="20" s="1"/>
  <c r="H418" i="20" s="1"/>
  <c r="I418" i="20" s="1"/>
  <c r="J418" i="20" s="1"/>
  <c r="K418" i="20" s="1"/>
  <c r="L418" i="20" s="1"/>
  <c r="C419" i="20"/>
  <c r="C420" i="20"/>
  <c r="C421" i="20"/>
  <c r="C422" i="20"/>
  <c r="D422" i="20" s="1"/>
  <c r="E422" i="20" s="1"/>
  <c r="F422" i="20" s="1"/>
  <c r="G422" i="20" s="1"/>
  <c r="H422" i="20" s="1"/>
  <c r="I422" i="20" s="1"/>
  <c r="J422" i="20" s="1"/>
  <c r="K422" i="20" s="1"/>
  <c r="L422" i="20" s="1"/>
  <c r="C423" i="20"/>
  <c r="D423" i="20" s="1"/>
  <c r="E423" i="20" s="1"/>
  <c r="F423" i="20" s="1"/>
  <c r="G423" i="20" s="1"/>
  <c r="H423" i="20" s="1"/>
  <c r="I423" i="20" s="1"/>
  <c r="J423" i="20" s="1"/>
  <c r="K423" i="20" s="1"/>
  <c r="L423" i="20" s="1"/>
  <c r="C424" i="20"/>
  <c r="D424" i="20" s="1"/>
  <c r="E424" i="20" s="1"/>
  <c r="F424" i="20" s="1"/>
  <c r="G424" i="20" s="1"/>
  <c r="H424" i="20" s="1"/>
  <c r="I424" i="20" s="1"/>
  <c r="J424" i="20" s="1"/>
  <c r="K424" i="20" s="1"/>
  <c r="L424" i="20" s="1"/>
  <c r="C425" i="20"/>
  <c r="D425" i="20" s="1"/>
  <c r="E425" i="20" s="1"/>
  <c r="F425" i="20" s="1"/>
  <c r="G425" i="20" s="1"/>
  <c r="H425" i="20" s="1"/>
  <c r="I425" i="20" s="1"/>
  <c r="J425" i="20" s="1"/>
  <c r="K425" i="20" s="1"/>
  <c r="L425" i="20" s="1"/>
  <c r="C426" i="20"/>
  <c r="C427" i="20"/>
  <c r="D427" i="20" s="1"/>
  <c r="E427" i="20" s="1"/>
  <c r="F427" i="20" s="1"/>
  <c r="G427" i="20" s="1"/>
  <c r="H427" i="20" s="1"/>
  <c r="I427" i="20" s="1"/>
  <c r="J427" i="20" s="1"/>
  <c r="K427" i="20" s="1"/>
  <c r="L427" i="20" s="1"/>
  <c r="C428" i="20"/>
  <c r="C415" i="20"/>
  <c r="C404" i="20"/>
  <c r="C405" i="20"/>
  <c r="C406" i="20"/>
  <c r="C407" i="20"/>
  <c r="C408" i="20"/>
  <c r="C409" i="20"/>
  <c r="C403" i="20"/>
  <c r="D381" i="20"/>
  <c r="E381" i="20"/>
  <c r="F381" i="20"/>
  <c r="G381" i="20"/>
  <c r="H381" i="20"/>
  <c r="I381" i="20"/>
  <c r="J381" i="20"/>
  <c r="K381" i="20"/>
  <c r="L381" i="20"/>
  <c r="C381" i="20"/>
  <c r="D380" i="20"/>
  <c r="C380" i="20"/>
  <c r="D377" i="20"/>
  <c r="E377" i="20"/>
  <c r="F377" i="20"/>
  <c r="G377" i="20"/>
  <c r="H377" i="20"/>
  <c r="I377" i="20"/>
  <c r="J377" i="20"/>
  <c r="K377" i="20"/>
  <c r="L377" i="20"/>
  <c r="C377" i="20"/>
  <c r="D376" i="20"/>
  <c r="C376" i="20"/>
  <c r="D373" i="20"/>
  <c r="E373" i="20"/>
  <c r="F373" i="20"/>
  <c r="G373" i="20"/>
  <c r="H373" i="20"/>
  <c r="I373" i="20"/>
  <c r="I374" i="20" s="1"/>
  <c r="I392" i="20" s="1"/>
  <c r="J373" i="20"/>
  <c r="K373" i="20"/>
  <c r="L373" i="20"/>
  <c r="L374" i="20" s="1"/>
  <c r="L392" i="20" s="1"/>
  <c r="C373" i="20"/>
  <c r="D372" i="20"/>
  <c r="E372" i="20"/>
  <c r="F372" i="20"/>
  <c r="G372" i="20"/>
  <c r="H372" i="20"/>
  <c r="I372" i="20"/>
  <c r="J372" i="20"/>
  <c r="K372" i="20"/>
  <c r="L372" i="20"/>
  <c r="C372" i="20"/>
  <c r="D369" i="20"/>
  <c r="E369" i="20"/>
  <c r="F369" i="20"/>
  <c r="G369" i="20"/>
  <c r="H369" i="20"/>
  <c r="I369" i="20"/>
  <c r="J369" i="20"/>
  <c r="K369" i="20"/>
  <c r="L369" i="20"/>
  <c r="C369" i="20"/>
  <c r="D368" i="20"/>
  <c r="C368" i="20"/>
  <c r="D365" i="20"/>
  <c r="E365" i="20"/>
  <c r="F365" i="20"/>
  <c r="G365" i="20"/>
  <c r="H365" i="20"/>
  <c r="I365" i="20"/>
  <c r="J365" i="20"/>
  <c r="K365" i="20"/>
  <c r="L365" i="20"/>
  <c r="C364" i="20"/>
  <c r="C365" i="20"/>
  <c r="D364" i="20"/>
  <c r="E364" i="20"/>
  <c r="D361" i="20"/>
  <c r="E361" i="20"/>
  <c r="F361" i="20"/>
  <c r="G361" i="20"/>
  <c r="H361" i="20"/>
  <c r="I361" i="20"/>
  <c r="J361" i="20"/>
  <c r="K361" i="20"/>
  <c r="L361" i="20"/>
  <c r="C361" i="20"/>
  <c r="D360" i="20"/>
  <c r="C360" i="20"/>
  <c r="D357" i="20"/>
  <c r="E357" i="20"/>
  <c r="F357" i="20"/>
  <c r="G357" i="20"/>
  <c r="H357" i="20"/>
  <c r="I357" i="20"/>
  <c r="J357" i="20"/>
  <c r="K357" i="20"/>
  <c r="L357" i="20"/>
  <c r="C357" i="20"/>
  <c r="D356" i="20"/>
  <c r="C356" i="20"/>
  <c r="C358" i="20" s="1"/>
  <c r="C388" i="20" s="1"/>
  <c r="D353" i="20"/>
  <c r="E353" i="20"/>
  <c r="F353" i="20"/>
  <c r="G353" i="20"/>
  <c r="H353" i="20"/>
  <c r="I353" i="20"/>
  <c r="J353" i="20"/>
  <c r="K353" i="20"/>
  <c r="L353" i="20"/>
  <c r="C353" i="20"/>
  <c r="C354" i="20" s="1"/>
  <c r="D352" i="20"/>
  <c r="C352" i="20"/>
  <c r="D349" i="20"/>
  <c r="E349" i="20"/>
  <c r="F349" i="20"/>
  <c r="G349" i="20"/>
  <c r="H349" i="20"/>
  <c r="I349" i="20"/>
  <c r="J349" i="20"/>
  <c r="K349" i="20"/>
  <c r="L349" i="20"/>
  <c r="C349" i="20"/>
  <c r="C348" i="20"/>
  <c r="D348" i="20"/>
  <c r="C436" i="20"/>
  <c r="D428" i="20"/>
  <c r="E428" i="20" s="1"/>
  <c r="F428" i="20" s="1"/>
  <c r="G428" i="20" s="1"/>
  <c r="H428" i="20" s="1"/>
  <c r="I428" i="20" s="1"/>
  <c r="J428" i="20" s="1"/>
  <c r="K428" i="20" s="1"/>
  <c r="L428" i="20" s="1"/>
  <c r="D426" i="20"/>
  <c r="E426" i="20" s="1"/>
  <c r="F426" i="20" s="1"/>
  <c r="G426" i="20" s="1"/>
  <c r="H426" i="20" s="1"/>
  <c r="I426" i="20" s="1"/>
  <c r="J426" i="20" s="1"/>
  <c r="K426" i="20" s="1"/>
  <c r="L426" i="20" s="1"/>
  <c r="D421" i="20"/>
  <c r="E421" i="20" s="1"/>
  <c r="F421" i="20" s="1"/>
  <c r="G421" i="20" s="1"/>
  <c r="H421" i="20" s="1"/>
  <c r="I421" i="20" s="1"/>
  <c r="J421" i="20" s="1"/>
  <c r="K421" i="20" s="1"/>
  <c r="L421" i="20" s="1"/>
  <c r="D420" i="20"/>
  <c r="E420" i="20" s="1"/>
  <c r="F420" i="20" s="1"/>
  <c r="G420" i="20" s="1"/>
  <c r="H420" i="20" s="1"/>
  <c r="I420" i="20" s="1"/>
  <c r="J420" i="20" s="1"/>
  <c r="K420" i="20" s="1"/>
  <c r="L420" i="20" s="1"/>
  <c r="D419" i="20"/>
  <c r="E419" i="20" s="1"/>
  <c r="F419" i="20" s="1"/>
  <c r="G419" i="20" s="1"/>
  <c r="H419" i="20" s="1"/>
  <c r="I419" i="20" s="1"/>
  <c r="J419" i="20" s="1"/>
  <c r="K419" i="20" s="1"/>
  <c r="L419" i="20" s="1"/>
  <c r="D417" i="20"/>
  <c r="E417" i="20" s="1"/>
  <c r="F417" i="20" s="1"/>
  <c r="G417" i="20" s="1"/>
  <c r="H417" i="20" s="1"/>
  <c r="I417" i="20" s="1"/>
  <c r="J417" i="20" s="1"/>
  <c r="K417" i="20" s="1"/>
  <c r="L417" i="20" s="1"/>
  <c r="D416" i="20"/>
  <c r="E416" i="20" s="1"/>
  <c r="F416" i="20" s="1"/>
  <c r="G416" i="20" s="1"/>
  <c r="H416" i="20" s="1"/>
  <c r="I416" i="20" s="1"/>
  <c r="J416" i="20" s="1"/>
  <c r="K416" i="20" s="1"/>
  <c r="L416" i="20" s="1"/>
  <c r="D415" i="20"/>
  <c r="L411" i="20"/>
  <c r="K411" i="20"/>
  <c r="J411" i="20"/>
  <c r="I411" i="20"/>
  <c r="H411" i="20"/>
  <c r="G411" i="20"/>
  <c r="F411" i="20"/>
  <c r="E411" i="20"/>
  <c r="D411" i="20"/>
  <c r="C411" i="20"/>
  <c r="D382" i="20"/>
  <c r="C382" i="20"/>
  <c r="C378" i="20"/>
  <c r="C393" i="20" s="1"/>
  <c r="D378" i="20"/>
  <c r="D393" i="20" s="1"/>
  <c r="H374" i="20"/>
  <c r="H392" i="20" s="1"/>
  <c r="G374" i="20"/>
  <c r="G392" i="20" s="1"/>
  <c r="K374" i="20"/>
  <c r="K392" i="20" s="1"/>
  <c r="J374" i="20"/>
  <c r="J392" i="20" s="1"/>
  <c r="F374" i="20"/>
  <c r="F392" i="20" s="1"/>
  <c r="E374" i="20"/>
  <c r="E392" i="20" s="1"/>
  <c r="D374" i="20"/>
  <c r="D392" i="20" s="1"/>
  <c r="C374" i="20"/>
  <c r="C392" i="20" s="1"/>
  <c r="C370" i="20"/>
  <c r="C391" i="20" s="1"/>
  <c r="D370" i="20"/>
  <c r="D391" i="20" s="1"/>
  <c r="E366" i="20"/>
  <c r="E390" i="20" s="1"/>
  <c r="D366" i="20"/>
  <c r="D390" i="20" s="1"/>
  <c r="C366" i="20"/>
  <c r="C390" i="20" s="1"/>
  <c r="C362" i="20"/>
  <c r="C389" i="20" s="1"/>
  <c r="D362" i="20"/>
  <c r="D389" i="20" s="1"/>
  <c r="D358" i="20"/>
  <c r="D388" i="20" s="1"/>
  <c r="D354" i="20"/>
  <c r="D350" i="20"/>
  <c r="D387" i="20" s="1"/>
  <c r="D336" i="20"/>
  <c r="E336" i="20"/>
  <c r="F336" i="20"/>
  <c r="G336" i="20"/>
  <c r="H336" i="20"/>
  <c r="I336" i="20"/>
  <c r="J336" i="20"/>
  <c r="K336" i="20"/>
  <c r="L336" i="20"/>
  <c r="C336" i="20"/>
  <c r="D331" i="20"/>
  <c r="E331" i="20"/>
  <c r="F331" i="20"/>
  <c r="G331" i="20"/>
  <c r="H331" i="20"/>
  <c r="I331" i="20"/>
  <c r="J331" i="20"/>
  <c r="K331" i="20"/>
  <c r="L331" i="20"/>
  <c r="C331" i="20"/>
  <c r="C323" i="20"/>
  <c r="D323" i="20" s="1"/>
  <c r="E323" i="20" s="1"/>
  <c r="F323" i="20" s="1"/>
  <c r="G323" i="20" s="1"/>
  <c r="H323" i="20" s="1"/>
  <c r="I323" i="20" s="1"/>
  <c r="J323" i="20" s="1"/>
  <c r="K323" i="20" s="1"/>
  <c r="L323" i="20" s="1"/>
  <c r="C322" i="20"/>
  <c r="C212" i="20"/>
  <c r="C211" i="20"/>
  <c r="C305" i="20"/>
  <c r="C306" i="20"/>
  <c r="C307" i="20"/>
  <c r="C308" i="20"/>
  <c r="C309" i="20"/>
  <c r="C310" i="20"/>
  <c r="D310" i="20" s="1"/>
  <c r="E310" i="20" s="1"/>
  <c r="F310" i="20" s="1"/>
  <c r="G310" i="20" s="1"/>
  <c r="H310" i="20" s="1"/>
  <c r="I310" i="20" s="1"/>
  <c r="J310" i="20" s="1"/>
  <c r="K310" i="20" s="1"/>
  <c r="L310" i="20" s="1"/>
  <c r="C311" i="20"/>
  <c r="D311" i="20" s="1"/>
  <c r="E311" i="20" s="1"/>
  <c r="F311" i="20" s="1"/>
  <c r="G311" i="20" s="1"/>
  <c r="H311" i="20" s="1"/>
  <c r="I311" i="20" s="1"/>
  <c r="J311" i="20" s="1"/>
  <c r="K311" i="20" s="1"/>
  <c r="L311" i="20" s="1"/>
  <c r="C312" i="20"/>
  <c r="D312" i="20" s="1"/>
  <c r="E312" i="20" s="1"/>
  <c r="F312" i="20" s="1"/>
  <c r="G312" i="20" s="1"/>
  <c r="H312" i="20" s="1"/>
  <c r="I312" i="20" s="1"/>
  <c r="J312" i="20" s="1"/>
  <c r="K312" i="20" s="1"/>
  <c r="L312" i="20" s="1"/>
  <c r="C313" i="20"/>
  <c r="D313" i="20" s="1"/>
  <c r="E313" i="20" s="1"/>
  <c r="F313" i="20" s="1"/>
  <c r="G313" i="20" s="1"/>
  <c r="H313" i="20" s="1"/>
  <c r="I313" i="20" s="1"/>
  <c r="J313" i="20" s="1"/>
  <c r="K313" i="20" s="1"/>
  <c r="L313" i="20" s="1"/>
  <c r="C314" i="20"/>
  <c r="D314" i="20" s="1"/>
  <c r="E314" i="20" s="1"/>
  <c r="F314" i="20" s="1"/>
  <c r="G314" i="20" s="1"/>
  <c r="H314" i="20" s="1"/>
  <c r="I314" i="20" s="1"/>
  <c r="J314" i="20" s="1"/>
  <c r="K314" i="20" s="1"/>
  <c r="L314" i="20" s="1"/>
  <c r="C315" i="20"/>
  <c r="D315" i="20" s="1"/>
  <c r="E315" i="20" s="1"/>
  <c r="F315" i="20" s="1"/>
  <c r="G315" i="20" s="1"/>
  <c r="H315" i="20" s="1"/>
  <c r="I315" i="20" s="1"/>
  <c r="J315" i="20" s="1"/>
  <c r="K315" i="20" s="1"/>
  <c r="L315" i="20" s="1"/>
  <c r="C316" i="20"/>
  <c r="D316" i="20" s="1"/>
  <c r="E316" i="20" s="1"/>
  <c r="F316" i="20" s="1"/>
  <c r="G316" i="20" s="1"/>
  <c r="H316" i="20" s="1"/>
  <c r="I316" i="20" s="1"/>
  <c r="J316" i="20" s="1"/>
  <c r="K316" i="20" s="1"/>
  <c r="L316" i="20" s="1"/>
  <c r="C317" i="20"/>
  <c r="C304" i="20"/>
  <c r="C293" i="20"/>
  <c r="C294" i="20"/>
  <c r="C295" i="20"/>
  <c r="C296" i="20"/>
  <c r="C297" i="20"/>
  <c r="C298" i="20"/>
  <c r="C292" i="20"/>
  <c r="D270" i="20"/>
  <c r="E270" i="20"/>
  <c r="F270" i="20"/>
  <c r="G270" i="20"/>
  <c r="H270" i="20"/>
  <c r="I270" i="20"/>
  <c r="J270" i="20"/>
  <c r="K270" i="20"/>
  <c r="L270" i="20"/>
  <c r="C270" i="20"/>
  <c r="D269" i="20"/>
  <c r="C269" i="20"/>
  <c r="D266" i="20"/>
  <c r="E266" i="20"/>
  <c r="F266" i="20"/>
  <c r="G266" i="20"/>
  <c r="H266" i="20"/>
  <c r="I266" i="20"/>
  <c r="J266" i="20"/>
  <c r="K266" i="20"/>
  <c r="L266" i="20"/>
  <c r="C266" i="20"/>
  <c r="C267" i="20" s="1"/>
  <c r="C282" i="20" s="1"/>
  <c r="D265" i="20"/>
  <c r="C265" i="20"/>
  <c r="D262" i="20"/>
  <c r="E262" i="20"/>
  <c r="F262" i="20"/>
  <c r="G262" i="20"/>
  <c r="H262" i="20"/>
  <c r="I262" i="20"/>
  <c r="I263" i="20" s="1"/>
  <c r="I281" i="20" s="1"/>
  <c r="J262" i="20"/>
  <c r="K262" i="20"/>
  <c r="L262" i="20"/>
  <c r="C262" i="20"/>
  <c r="D261" i="20"/>
  <c r="E261" i="20"/>
  <c r="F261" i="20"/>
  <c r="G261" i="20"/>
  <c r="H261" i="20"/>
  <c r="I261" i="20"/>
  <c r="J261" i="20"/>
  <c r="K261" i="20"/>
  <c r="L261" i="20"/>
  <c r="C261" i="20"/>
  <c r="C259" i="20"/>
  <c r="D258" i="20"/>
  <c r="E258" i="20"/>
  <c r="F258" i="20"/>
  <c r="G258" i="20"/>
  <c r="H258" i="20"/>
  <c r="I258" i="20"/>
  <c r="J258" i="20"/>
  <c r="K258" i="20"/>
  <c r="L258" i="20"/>
  <c r="C258" i="20"/>
  <c r="C280" i="20" s="1"/>
  <c r="D257" i="20"/>
  <c r="C257" i="20"/>
  <c r="D254" i="20"/>
  <c r="E254" i="20"/>
  <c r="F254" i="20"/>
  <c r="G254" i="20"/>
  <c r="H254" i="20"/>
  <c r="I254" i="20"/>
  <c r="J254" i="20"/>
  <c r="K254" i="20"/>
  <c r="L254" i="20"/>
  <c r="C254" i="20"/>
  <c r="C255" i="20" s="1"/>
  <c r="C279" i="20" s="1"/>
  <c r="D253" i="20"/>
  <c r="E253" i="20"/>
  <c r="C253" i="20"/>
  <c r="D250" i="20"/>
  <c r="E250" i="20"/>
  <c r="F250" i="20"/>
  <c r="G250" i="20"/>
  <c r="H250" i="20"/>
  <c r="I250" i="20"/>
  <c r="J250" i="20"/>
  <c r="K250" i="20"/>
  <c r="L250" i="20"/>
  <c r="C250" i="20"/>
  <c r="C251" i="20" s="1"/>
  <c r="C278" i="20" s="1"/>
  <c r="D249" i="20"/>
  <c r="C249" i="20"/>
  <c r="D246" i="20"/>
  <c r="E246" i="20"/>
  <c r="F246" i="20"/>
  <c r="G246" i="20"/>
  <c r="H246" i="20"/>
  <c r="I246" i="20"/>
  <c r="J246" i="20"/>
  <c r="K246" i="20"/>
  <c r="L246" i="20"/>
  <c r="C246" i="20"/>
  <c r="D245" i="20"/>
  <c r="C245" i="20"/>
  <c r="D242" i="20"/>
  <c r="E242" i="20"/>
  <c r="F242" i="20"/>
  <c r="G242" i="20"/>
  <c r="H242" i="20"/>
  <c r="I242" i="20"/>
  <c r="J242" i="20"/>
  <c r="K242" i="20"/>
  <c r="L242" i="20"/>
  <c r="C242" i="20"/>
  <c r="D241" i="20"/>
  <c r="C241" i="20"/>
  <c r="D238" i="20"/>
  <c r="E238" i="20"/>
  <c r="F238" i="20"/>
  <c r="G238" i="20"/>
  <c r="H238" i="20"/>
  <c r="I238" i="20"/>
  <c r="J238" i="20"/>
  <c r="K238" i="20"/>
  <c r="L238" i="20"/>
  <c r="C238" i="20"/>
  <c r="D237" i="20"/>
  <c r="C237" i="20"/>
  <c r="D317" i="20"/>
  <c r="E317" i="20" s="1"/>
  <c r="F317" i="20" s="1"/>
  <c r="G317" i="20" s="1"/>
  <c r="H317" i="20" s="1"/>
  <c r="I317" i="20" s="1"/>
  <c r="J317" i="20" s="1"/>
  <c r="K317" i="20" s="1"/>
  <c r="L317" i="20" s="1"/>
  <c r="D309" i="20"/>
  <c r="E309" i="20" s="1"/>
  <c r="F309" i="20" s="1"/>
  <c r="G309" i="20" s="1"/>
  <c r="H309" i="20" s="1"/>
  <c r="I309" i="20" s="1"/>
  <c r="J309" i="20" s="1"/>
  <c r="K309" i="20" s="1"/>
  <c r="L309" i="20" s="1"/>
  <c r="D308" i="20"/>
  <c r="E308" i="20" s="1"/>
  <c r="F308" i="20" s="1"/>
  <c r="G308" i="20" s="1"/>
  <c r="H308" i="20" s="1"/>
  <c r="I308" i="20" s="1"/>
  <c r="J308" i="20" s="1"/>
  <c r="K308" i="20" s="1"/>
  <c r="L308" i="20" s="1"/>
  <c r="D307" i="20"/>
  <c r="E307" i="20" s="1"/>
  <c r="F307" i="20" s="1"/>
  <c r="G307" i="20" s="1"/>
  <c r="H307" i="20" s="1"/>
  <c r="I307" i="20" s="1"/>
  <c r="J307" i="20" s="1"/>
  <c r="K307" i="20" s="1"/>
  <c r="L307" i="20" s="1"/>
  <c r="D305" i="20"/>
  <c r="E305" i="20" s="1"/>
  <c r="F305" i="20" s="1"/>
  <c r="G305" i="20" s="1"/>
  <c r="H305" i="20" s="1"/>
  <c r="I305" i="20" s="1"/>
  <c r="J305" i="20" s="1"/>
  <c r="K305" i="20" s="1"/>
  <c r="L305" i="20" s="1"/>
  <c r="E304" i="20"/>
  <c r="F304" i="20" s="1"/>
  <c r="D304" i="20"/>
  <c r="L300" i="20"/>
  <c r="K300" i="20"/>
  <c r="J300" i="20"/>
  <c r="I300" i="20"/>
  <c r="H300" i="20"/>
  <c r="G300" i="20"/>
  <c r="F300" i="20"/>
  <c r="E300" i="20"/>
  <c r="D300" i="20"/>
  <c r="C300" i="20"/>
  <c r="D271" i="20"/>
  <c r="D267" i="20"/>
  <c r="D282" i="20" s="1"/>
  <c r="C263" i="20"/>
  <c r="C281" i="20" s="1"/>
  <c r="D263" i="20"/>
  <c r="D281" i="20" s="1"/>
  <c r="F263" i="20"/>
  <c r="F281" i="20" s="1"/>
  <c r="E263" i="20"/>
  <c r="E281" i="20" s="1"/>
  <c r="D259" i="20"/>
  <c r="D280" i="20" s="1"/>
  <c r="E255" i="20"/>
  <c r="E279" i="20" s="1"/>
  <c r="D255" i="20"/>
  <c r="D279" i="20" s="1"/>
  <c r="D251" i="20"/>
  <c r="D278" i="20" s="1"/>
  <c r="D247" i="20"/>
  <c r="D277" i="20" s="1"/>
  <c r="C247" i="20"/>
  <c r="C277" i="20" s="1"/>
  <c r="D243" i="20"/>
  <c r="C243" i="20"/>
  <c r="C239" i="20"/>
  <c r="D225" i="20"/>
  <c r="E225" i="20"/>
  <c r="F225" i="20"/>
  <c r="G225" i="20"/>
  <c r="H225" i="20"/>
  <c r="I225" i="20"/>
  <c r="J225" i="20"/>
  <c r="K225" i="20"/>
  <c r="L225" i="20"/>
  <c r="C225" i="20"/>
  <c r="D220" i="20"/>
  <c r="E220" i="20"/>
  <c r="F220" i="20"/>
  <c r="G220" i="20"/>
  <c r="H220" i="20"/>
  <c r="I220" i="20"/>
  <c r="J220" i="20"/>
  <c r="K220" i="20"/>
  <c r="L220" i="20"/>
  <c r="C220" i="20"/>
  <c r="C194" i="20"/>
  <c r="C195" i="20"/>
  <c r="C196" i="20"/>
  <c r="C197" i="20"/>
  <c r="C198" i="20"/>
  <c r="C199" i="20"/>
  <c r="C200" i="20"/>
  <c r="D200" i="20" s="1"/>
  <c r="E200" i="20" s="1"/>
  <c r="F200" i="20" s="1"/>
  <c r="G200" i="20" s="1"/>
  <c r="H200" i="20" s="1"/>
  <c r="I200" i="20" s="1"/>
  <c r="J200" i="20" s="1"/>
  <c r="K200" i="20" s="1"/>
  <c r="L200" i="20" s="1"/>
  <c r="C201" i="20"/>
  <c r="D201" i="20" s="1"/>
  <c r="E201" i="20" s="1"/>
  <c r="F201" i="20" s="1"/>
  <c r="G201" i="20" s="1"/>
  <c r="H201" i="20" s="1"/>
  <c r="I201" i="20" s="1"/>
  <c r="J201" i="20" s="1"/>
  <c r="K201" i="20" s="1"/>
  <c r="L201" i="20" s="1"/>
  <c r="C202" i="20"/>
  <c r="D202" i="20" s="1"/>
  <c r="E202" i="20" s="1"/>
  <c r="F202" i="20" s="1"/>
  <c r="G202" i="20" s="1"/>
  <c r="H202" i="20" s="1"/>
  <c r="I202" i="20" s="1"/>
  <c r="J202" i="20" s="1"/>
  <c r="K202" i="20" s="1"/>
  <c r="L202" i="20" s="1"/>
  <c r="C203" i="20"/>
  <c r="C204" i="20"/>
  <c r="C205" i="20"/>
  <c r="D205" i="20" s="1"/>
  <c r="E205" i="20" s="1"/>
  <c r="F205" i="20" s="1"/>
  <c r="G205" i="20" s="1"/>
  <c r="H205" i="20" s="1"/>
  <c r="I205" i="20" s="1"/>
  <c r="J205" i="20" s="1"/>
  <c r="K205" i="20" s="1"/>
  <c r="L205" i="20" s="1"/>
  <c r="C206" i="20"/>
  <c r="C193" i="20"/>
  <c r="C182" i="20"/>
  <c r="C183" i="20"/>
  <c r="C184" i="20"/>
  <c r="C185" i="20"/>
  <c r="C186" i="20"/>
  <c r="C187" i="20"/>
  <c r="C181" i="20"/>
  <c r="D212" i="20"/>
  <c r="E212" i="20" s="1"/>
  <c r="F212" i="20" s="1"/>
  <c r="G212" i="20" s="1"/>
  <c r="H212" i="20" s="1"/>
  <c r="I212" i="20" s="1"/>
  <c r="J212" i="20" s="1"/>
  <c r="K212" i="20" s="1"/>
  <c r="L212" i="20" s="1"/>
  <c r="C214" i="20"/>
  <c r="D206" i="20"/>
  <c r="E206" i="20" s="1"/>
  <c r="F206" i="20" s="1"/>
  <c r="G206" i="20" s="1"/>
  <c r="H206" i="20" s="1"/>
  <c r="I206" i="20" s="1"/>
  <c r="J206" i="20" s="1"/>
  <c r="K206" i="20" s="1"/>
  <c r="L206" i="20" s="1"/>
  <c r="D204" i="20"/>
  <c r="E204" i="20" s="1"/>
  <c r="F204" i="20" s="1"/>
  <c r="G204" i="20" s="1"/>
  <c r="H204" i="20" s="1"/>
  <c r="I204" i="20" s="1"/>
  <c r="J204" i="20" s="1"/>
  <c r="K204" i="20" s="1"/>
  <c r="L204" i="20" s="1"/>
  <c r="D203" i="20"/>
  <c r="E203" i="20" s="1"/>
  <c r="F203" i="20" s="1"/>
  <c r="G203" i="20" s="1"/>
  <c r="H203" i="20" s="1"/>
  <c r="I203" i="20" s="1"/>
  <c r="J203" i="20" s="1"/>
  <c r="K203" i="20" s="1"/>
  <c r="L203" i="20" s="1"/>
  <c r="D199" i="20"/>
  <c r="E199" i="20" s="1"/>
  <c r="F199" i="20" s="1"/>
  <c r="G199" i="20" s="1"/>
  <c r="H199" i="20" s="1"/>
  <c r="I199" i="20" s="1"/>
  <c r="J199" i="20" s="1"/>
  <c r="K199" i="20" s="1"/>
  <c r="L199" i="20" s="1"/>
  <c r="D198" i="20"/>
  <c r="E198" i="20" s="1"/>
  <c r="F198" i="20" s="1"/>
  <c r="G198" i="20" s="1"/>
  <c r="H198" i="20" s="1"/>
  <c r="I198" i="20" s="1"/>
  <c r="J198" i="20" s="1"/>
  <c r="K198" i="20" s="1"/>
  <c r="L198" i="20" s="1"/>
  <c r="D197" i="20"/>
  <c r="E197" i="20" s="1"/>
  <c r="F197" i="20" s="1"/>
  <c r="G197" i="20" s="1"/>
  <c r="H197" i="20" s="1"/>
  <c r="I197" i="20" s="1"/>
  <c r="J197" i="20" s="1"/>
  <c r="K197" i="20" s="1"/>
  <c r="L197" i="20" s="1"/>
  <c r="D196" i="20"/>
  <c r="E196" i="20" s="1"/>
  <c r="F196" i="20" s="1"/>
  <c r="G196" i="20" s="1"/>
  <c r="H196" i="20" s="1"/>
  <c r="I196" i="20" s="1"/>
  <c r="J196" i="20" s="1"/>
  <c r="K196" i="20" s="1"/>
  <c r="L196" i="20" s="1"/>
  <c r="D194" i="20"/>
  <c r="E194" i="20" s="1"/>
  <c r="F194" i="20" s="1"/>
  <c r="G194" i="20" s="1"/>
  <c r="H194" i="20" s="1"/>
  <c r="I194" i="20" s="1"/>
  <c r="J194" i="20" s="1"/>
  <c r="K194" i="20" s="1"/>
  <c r="L194" i="20" s="1"/>
  <c r="D193" i="20"/>
  <c r="E193" i="20" s="1"/>
  <c r="F193" i="20" s="1"/>
  <c r="G193" i="20" s="1"/>
  <c r="L189" i="20"/>
  <c r="K189" i="20"/>
  <c r="J189" i="20"/>
  <c r="I189" i="20"/>
  <c r="H189" i="20"/>
  <c r="G189" i="20"/>
  <c r="F189" i="20"/>
  <c r="E189" i="20"/>
  <c r="D189" i="20"/>
  <c r="D173" i="20"/>
  <c r="D175" i="20" s="1"/>
  <c r="C173" i="20"/>
  <c r="C175" i="20" s="1"/>
  <c r="D172" i="20"/>
  <c r="C172" i="20"/>
  <c r="D171" i="20"/>
  <c r="C171" i="20"/>
  <c r="L170" i="20"/>
  <c r="K170" i="20"/>
  <c r="J170" i="20"/>
  <c r="I170" i="20"/>
  <c r="H170" i="20"/>
  <c r="G170" i="20"/>
  <c r="F170" i="20"/>
  <c r="E170" i="20"/>
  <c r="D170" i="20"/>
  <c r="C170" i="20"/>
  <c r="D169" i="20"/>
  <c r="C169" i="20"/>
  <c r="E168" i="20"/>
  <c r="D168" i="20"/>
  <c r="C168" i="20"/>
  <c r="D167" i="20"/>
  <c r="C167" i="20"/>
  <c r="D166" i="20"/>
  <c r="C166" i="20"/>
  <c r="D165" i="20"/>
  <c r="C165" i="20"/>
  <c r="D162" i="20"/>
  <c r="C162" i="20"/>
  <c r="C126" i="20"/>
  <c r="C128" i="20" s="1"/>
  <c r="D126" i="20"/>
  <c r="C127" i="20"/>
  <c r="D127" i="20"/>
  <c r="D128" i="20" s="1"/>
  <c r="E127" i="20"/>
  <c r="F127" i="20"/>
  <c r="G127" i="20"/>
  <c r="H127" i="20"/>
  <c r="I127" i="20"/>
  <c r="J127" i="20"/>
  <c r="K127" i="20"/>
  <c r="L127" i="20"/>
  <c r="C130" i="20"/>
  <c r="C132" i="20" s="1"/>
  <c r="D130" i="20"/>
  <c r="D132" i="20" s="1"/>
  <c r="C131" i="20"/>
  <c r="D131" i="20"/>
  <c r="E131" i="20"/>
  <c r="F131" i="20"/>
  <c r="G131" i="20"/>
  <c r="H131" i="20"/>
  <c r="I131" i="20"/>
  <c r="J131" i="20"/>
  <c r="K131" i="20"/>
  <c r="L131" i="20"/>
  <c r="C134" i="20"/>
  <c r="C136" i="20" s="1"/>
  <c r="D134" i="20"/>
  <c r="C135" i="20"/>
  <c r="D135" i="20"/>
  <c r="D136" i="20" s="1"/>
  <c r="E135" i="20"/>
  <c r="F135" i="20"/>
  <c r="G135" i="20"/>
  <c r="H135" i="20"/>
  <c r="I135" i="20"/>
  <c r="J135" i="20"/>
  <c r="K135" i="20"/>
  <c r="L135" i="20"/>
  <c r="C138" i="20"/>
  <c r="C140" i="20" s="1"/>
  <c r="D138" i="20"/>
  <c r="D140" i="20" s="1"/>
  <c r="C139" i="20"/>
  <c r="D139" i="20"/>
  <c r="E139" i="20"/>
  <c r="F139" i="20"/>
  <c r="G139" i="20"/>
  <c r="H139" i="20"/>
  <c r="I139" i="20"/>
  <c r="J139" i="20"/>
  <c r="K139" i="20"/>
  <c r="L139" i="20"/>
  <c r="C142" i="20"/>
  <c r="C144" i="20" s="1"/>
  <c r="D142" i="20"/>
  <c r="E142" i="20"/>
  <c r="C143" i="20"/>
  <c r="D143" i="20"/>
  <c r="D144" i="20" s="1"/>
  <c r="E143" i="20"/>
  <c r="E144" i="20" s="1"/>
  <c r="F143" i="20"/>
  <c r="G143" i="20"/>
  <c r="H143" i="20"/>
  <c r="I143" i="20"/>
  <c r="J143" i="20"/>
  <c r="K143" i="20"/>
  <c r="L143" i="20"/>
  <c r="C146" i="20"/>
  <c r="C148" i="20" s="1"/>
  <c r="D146" i="20"/>
  <c r="D148" i="20" s="1"/>
  <c r="C147" i="20"/>
  <c r="D147" i="20"/>
  <c r="E147" i="20"/>
  <c r="F147" i="20"/>
  <c r="G147" i="20"/>
  <c r="H147" i="20"/>
  <c r="I147" i="20"/>
  <c r="J147" i="20"/>
  <c r="K147" i="20"/>
  <c r="L147" i="20"/>
  <c r="C150" i="20"/>
  <c r="D150" i="20"/>
  <c r="E150" i="20"/>
  <c r="F150" i="20"/>
  <c r="G150" i="20"/>
  <c r="H150" i="20"/>
  <c r="H152" i="20" s="1"/>
  <c r="I150" i="20"/>
  <c r="I152" i="20" s="1"/>
  <c r="J150" i="20"/>
  <c r="J152" i="20" s="1"/>
  <c r="K150" i="20"/>
  <c r="K152" i="20" s="1"/>
  <c r="L150" i="20"/>
  <c r="L152" i="20" s="1"/>
  <c r="C151" i="20"/>
  <c r="D151" i="20"/>
  <c r="D152" i="20" s="1"/>
  <c r="E151" i="20"/>
  <c r="F151" i="20"/>
  <c r="G151" i="20"/>
  <c r="H151" i="20"/>
  <c r="I151" i="20"/>
  <c r="J151" i="20"/>
  <c r="K151" i="20"/>
  <c r="L151" i="20"/>
  <c r="E152" i="20"/>
  <c r="F152" i="20"/>
  <c r="G152" i="20"/>
  <c r="C154" i="20"/>
  <c r="C156" i="20" s="1"/>
  <c r="D154" i="20"/>
  <c r="D156" i="20" s="1"/>
  <c r="C155" i="20"/>
  <c r="D155" i="20"/>
  <c r="E155" i="20"/>
  <c r="F155" i="20"/>
  <c r="G155" i="20"/>
  <c r="H155" i="20"/>
  <c r="I155" i="20"/>
  <c r="J155" i="20"/>
  <c r="K155" i="20"/>
  <c r="L155" i="20"/>
  <c r="C158" i="20"/>
  <c r="D158" i="20"/>
  <c r="C159" i="20"/>
  <c r="D159" i="20"/>
  <c r="D160" i="20" s="1"/>
  <c r="E159" i="20"/>
  <c r="F159" i="20"/>
  <c r="G159" i="20"/>
  <c r="H159" i="20"/>
  <c r="I159" i="20"/>
  <c r="J159" i="20"/>
  <c r="K159" i="20"/>
  <c r="L159" i="20"/>
  <c r="D114" i="20"/>
  <c r="E114" i="20"/>
  <c r="F114" i="20"/>
  <c r="G114" i="20"/>
  <c r="H114" i="20"/>
  <c r="I114" i="20"/>
  <c r="J114" i="20"/>
  <c r="K114" i="20"/>
  <c r="L114" i="20"/>
  <c r="C114" i="20"/>
  <c r="D109" i="20"/>
  <c r="E109" i="20"/>
  <c r="F109" i="20"/>
  <c r="G109" i="20"/>
  <c r="H109" i="20"/>
  <c r="I109" i="20"/>
  <c r="J109" i="20"/>
  <c r="K109" i="20"/>
  <c r="L109" i="20"/>
  <c r="C109" i="20"/>
  <c r="C101" i="20"/>
  <c r="C100" i="20"/>
  <c r="D100" i="20" s="1"/>
  <c r="C83" i="20"/>
  <c r="D83" i="20" s="1"/>
  <c r="E83" i="20" s="1"/>
  <c r="F83" i="20" s="1"/>
  <c r="G83" i="20" s="1"/>
  <c r="H83" i="20" s="1"/>
  <c r="I83" i="20" s="1"/>
  <c r="J83" i="20" s="1"/>
  <c r="K83" i="20" s="1"/>
  <c r="L83" i="20" s="1"/>
  <c r="C84" i="20"/>
  <c r="D84" i="20" s="1"/>
  <c r="E84" i="20" s="1"/>
  <c r="F84" i="20" s="1"/>
  <c r="G84" i="20" s="1"/>
  <c r="H84" i="20" s="1"/>
  <c r="I84" i="20" s="1"/>
  <c r="J84" i="20" s="1"/>
  <c r="K84" i="20" s="1"/>
  <c r="L84" i="20" s="1"/>
  <c r="C85" i="20"/>
  <c r="D85" i="20" s="1"/>
  <c r="E85" i="20" s="1"/>
  <c r="F85" i="20" s="1"/>
  <c r="G85" i="20" s="1"/>
  <c r="H85" i="20" s="1"/>
  <c r="I85" i="20" s="1"/>
  <c r="J85" i="20" s="1"/>
  <c r="K85" i="20" s="1"/>
  <c r="L85" i="20" s="1"/>
  <c r="C86" i="20"/>
  <c r="C87" i="20"/>
  <c r="C88" i="20"/>
  <c r="D88" i="20" s="1"/>
  <c r="E88" i="20" s="1"/>
  <c r="F88" i="20" s="1"/>
  <c r="G88" i="20" s="1"/>
  <c r="H88" i="20" s="1"/>
  <c r="I88" i="20" s="1"/>
  <c r="J88" i="20" s="1"/>
  <c r="K88" i="20" s="1"/>
  <c r="L88" i="20" s="1"/>
  <c r="C89" i="20"/>
  <c r="D89" i="20" s="1"/>
  <c r="E89" i="20" s="1"/>
  <c r="F89" i="20" s="1"/>
  <c r="G89" i="20" s="1"/>
  <c r="H89" i="20" s="1"/>
  <c r="I89" i="20" s="1"/>
  <c r="J89" i="20" s="1"/>
  <c r="K89" i="20" s="1"/>
  <c r="L89" i="20" s="1"/>
  <c r="C90" i="20"/>
  <c r="C91" i="20"/>
  <c r="C92" i="20"/>
  <c r="C93" i="20"/>
  <c r="D93" i="20" s="1"/>
  <c r="E93" i="20" s="1"/>
  <c r="F93" i="20" s="1"/>
  <c r="G93" i="20" s="1"/>
  <c r="H93" i="20" s="1"/>
  <c r="I93" i="20" s="1"/>
  <c r="J93" i="20" s="1"/>
  <c r="K93" i="20" s="1"/>
  <c r="L93" i="20" s="1"/>
  <c r="C94" i="20"/>
  <c r="D94" i="20" s="1"/>
  <c r="E94" i="20" s="1"/>
  <c r="F94" i="20" s="1"/>
  <c r="G94" i="20" s="1"/>
  <c r="H94" i="20" s="1"/>
  <c r="I94" i="20" s="1"/>
  <c r="J94" i="20" s="1"/>
  <c r="K94" i="20" s="1"/>
  <c r="L94" i="20" s="1"/>
  <c r="C95" i="20"/>
  <c r="D95" i="20" s="1"/>
  <c r="E95" i="20" s="1"/>
  <c r="F95" i="20" s="1"/>
  <c r="G95" i="20" s="1"/>
  <c r="H95" i="20" s="1"/>
  <c r="I95" i="20" s="1"/>
  <c r="J95" i="20" s="1"/>
  <c r="K95" i="20" s="1"/>
  <c r="L95" i="20" s="1"/>
  <c r="C82" i="20"/>
  <c r="C71" i="20"/>
  <c r="C72" i="20"/>
  <c r="C73" i="20"/>
  <c r="C74" i="20"/>
  <c r="C75" i="20"/>
  <c r="C76" i="20"/>
  <c r="C70" i="20"/>
  <c r="D101" i="20"/>
  <c r="E101" i="20" s="1"/>
  <c r="F101" i="20" s="1"/>
  <c r="G101" i="20" s="1"/>
  <c r="H101" i="20" s="1"/>
  <c r="I101" i="20" s="1"/>
  <c r="J101" i="20" s="1"/>
  <c r="K101" i="20" s="1"/>
  <c r="L101" i="20" s="1"/>
  <c r="D92" i="20"/>
  <c r="E92" i="20" s="1"/>
  <c r="F92" i="20" s="1"/>
  <c r="G92" i="20" s="1"/>
  <c r="H92" i="20" s="1"/>
  <c r="I92" i="20" s="1"/>
  <c r="J92" i="20" s="1"/>
  <c r="K92" i="20" s="1"/>
  <c r="L92" i="20" s="1"/>
  <c r="D91" i="20"/>
  <c r="E91" i="20" s="1"/>
  <c r="F91" i="20" s="1"/>
  <c r="G91" i="20" s="1"/>
  <c r="H91" i="20" s="1"/>
  <c r="I91" i="20" s="1"/>
  <c r="J91" i="20" s="1"/>
  <c r="K91" i="20" s="1"/>
  <c r="L91" i="20" s="1"/>
  <c r="D90" i="20"/>
  <c r="E90" i="20" s="1"/>
  <c r="F90" i="20" s="1"/>
  <c r="G90" i="20" s="1"/>
  <c r="H90" i="20" s="1"/>
  <c r="I90" i="20" s="1"/>
  <c r="J90" i="20" s="1"/>
  <c r="K90" i="20" s="1"/>
  <c r="L90" i="20" s="1"/>
  <c r="D87" i="20"/>
  <c r="E87" i="20" s="1"/>
  <c r="F87" i="20" s="1"/>
  <c r="G87" i="20" s="1"/>
  <c r="H87" i="20" s="1"/>
  <c r="I87" i="20" s="1"/>
  <c r="J87" i="20" s="1"/>
  <c r="K87" i="20" s="1"/>
  <c r="L87" i="20" s="1"/>
  <c r="D86" i="20"/>
  <c r="E86" i="20" s="1"/>
  <c r="F86" i="20" s="1"/>
  <c r="G86" i="20" s="1"/>
  <c r="H86" i="20" s="1"/>
  <c r="I86" i="20" s="1"/>
  <c r="J86" i="20" s="1"/>
  <c r="K86" i="20" s="1"/>
  <c r="L86" i="20" s="1"/>
  <c r="L78" i="20"/>
  <c r="K78" i="20"/>
  <c r="J78" i="20"/>
  <c r="I78" i="20"/>
  <c r="H78" i="20"/>
  <c r="G78" i="20"/>
  <c r="F78" i="20"/>
  <c r="E78" i="20"/>
  <c r="D78" i="20"/>
  <c r="D60" i="20"/>
  <c r="D59" i="20"/>
  <c r="E59" i="20"/>
  <c r="F59" i="20"/>
  <c r="G59" i="20"/>
  <c r="D49" i="20"/>
  <c r="D61" i="20" s="1"/>
  <c r="D45" i="20"/>
  <c r="D41" i="20"/>
  <c r="E41" i="20"/>
  <c r="F41" i="20"/>
  <c r="G41" i="20"/>
  <c r="H41" i="20"/>
  <c r="H59" i="20" s="1"/>
  <c r="I41" i="20"/>
  <c r="I59" i="20" s="1"/>
  <c r="J41" i="20"/>
  <c r="J59" i="20" s="1"/>
  <c r="C25" i="20"/>
  <c r="C55" i="20" s="1"/>
  <c r="D48" i="20"/>
  <c r="E48" i="20"/>
  <c r="F48" i="20"/>
  <c r="G48" i="20"/>
  <c r="H48" i="20"/>
  <c r="I48" i="20"/>
  <c r="J48" i="20"/>
  <c r="K48" i="20"/>
  <c r="L48" i="20"/>
  <c r="C48" i="20"/>
  <c r="D47" i="20"/>
  <c r="C47" i="20"/>
  <c r="C49" i="20" s="1"/>
  <c r="D44" i="20"/>
  <c r="E44" i="20"/>
  <c r="F44" i="20"/>
  <c r="G44" i="20"/>
  <c r="H44" i="20"/>
  <c r="I44" i="20"/>
  <c r="J44" i="20"/>
  <c r="K44" i="20"/>
  <c r="L44" i="20"/>
  <c r="D43" i="20"/>
  <c r="C44" i="20"/>
  <c r="C43" i="20"/>
  <c r="C45" i="20" s="1"/>
  <c r="C60" i="20" s="1"/>
  <c r="D40" i="20"/>
  <c r="E40" i="20"/>
  <c r="F40" i="20"/>
  <c r="G40" i="20"/>
  <c r="H40" i="20"/>
  <c r="I40" i="20"/>
  <c r="J40" i="20"/>
  <c r="K40" i="20"/>
  <c r="L40" i="20"/>
  <c r="C40" i="20"/>
  <c r="D39" i="20"/>
  <c r="E39" i="20"/>
  <c r="F39" i="20"/>
  <c r="G39" i="20"/>
  <c r="H39" i="20"/>
  <c r="I39" i="20"/>
  <c r="J39" i="20"/>
  <c r="K39" i="20"/>
  <c r="K41" i="20" s="1"/>
  <c r="K59" i="20" s="1"/>
  <c r="L39" i="20"/>
  <c r="L41" i="20" s="1"/>
  <c r="L59" i="20" s="1"/>
  <c r="C39" i="20"/>
  <c r="C41" i="20" s="1"/>
  <c r="C59" i="20" s="1"/>
  <c r="D36" i="20"/>
  <c r="E36" i="20"/>
  <c r="F36" i="20"/>
  <c r="G36" i="20"/>
  <c r="H36" i="20"/>
  <c r="I36" i="20"/>
  <c r="J36" i="20"/>
  <c r="K36" i="20"/>
  <c r="L36" i="20"/>
  <c r="C36" i="20"/>
  <c r="D35" i="20"/>
  <c r="D37" i="20" s="1"/>
  <c r="D58" i="20" s="1"/>
  <c r="C35" i="20"/>
  <c r="C37" i="20" s="1"/>
  <c r="C58" i="20" s="1"/>
  <c r="D32" i="20"/>
  <c r="E32" i="20"/>
  <c r="F32" i="20"/>
  <c r="G32" i="20"/>
  <c r="H32" i="20"/>
  <c r="I32" i="20"/>
  <c r="J32" i="20"/>
  <c r="K32" i="20"/>
  <c r="L32" i="20"/>
  <c r="C32" i="20"/>
  <c r="C33" i="20" s="1"/>
  <c r="C57" i="20" s="1"/>
  <c r="D31" i="20"/>
  <c r="D33" i="20" s="1"/>
  <c r="D57" i="20" s="1"/>
  <c r="E31" i="20"/>
  <c r="E33" i="20" s="1"/>
  <c r="E57" i="20" s="1"/>
  <c r="C31" i="20"/>
  <c r="D28" i="20"/>
  <c r="E28" i="20"/>
  <c r="F28" i="20"/>
  <c r="G28" i="20"/>
  <c r="H28" i="20"/>
  <c r="I28" i="20"/>
  <c r="J28" i="20"/>
  <c r="K28" i="20"/>
  <c r="L28" i="20"/>
  <c r="C28" i="20"/>
  <c r="C29" i="20" s="1"/>
  <c r="C56" i="20" s="1"/>
  <c r="D27" i="20"/>
  <c r="D29" i="20" s="1"/>
  <c r="D56" i="20" s="1"/>
  <c r="C27" i="20"/>
  <c r="D24" i="20"/>
  <c r="E24" i="20"/>
  <c r="F24" i="20"/>
  <c r="G24" i="20"/>
  <c r="H24" i="20"/>
  <c r="I24" i="20"/>
  <c r="J24" i="20"/>
  <c r="K24" i="20"/>
  <c r="L24" i="20"/>
  <c r="C24" i="20"/>
  <c r="D23" i="20"/>
  <c r="D25" i="20" s="1"/>
  <c r="D55" i="20" s="1"/>
  <c r="C23" i="20"/>
  <c r="D20" i="20"/>
  <c r="E20" i="20"/>
  <c r="F20" i="20"/>
  <c r="G20" i="20"/>
  <c r="H20" i="20"/>
  <c r="I20" i="20"/>
  <c r="J20" i="20"/>
  <c r="K20" i="20"/>
  <c r="L20" i="20"/>
  <c r="D19" i="20"/>
  <c r="D21" i="20" s="1"/>
  <c r="C19" i="20"/>
  <c r="C21" i="20" s="1"/>
  <c r="C20" i="20"/>
  <c r="D16" i="20"/>
  <c r="E16" i="20"/>
  <c r="F16" i="20"/>
  <c r="G16" i="20"/>
  <c r="H16" i="20"/>
  <c r="I16" i="20"/>
  <c r="J16" i="20"/>
  <c r="K16" i="20"/>
  <c r="L16" i="20"/>
  <c r="C16" i="20"/>
  <c r="C17" i="20" s="1"/>
  <c r="C54" i="20" s="1"/>
  <c r="D15" i="20"/>
  <c r="D17" i="20" s="1"/>
  <c r="C15" i="20"/>
  <c r="C10" i="20"/>
  <c r="D10" i="20" s="1"/>
  <c r="E10" i="20" s="1"/>
  <c r="F10" i="20" s="1"/>
  <c r="G10" i="20" s="1"/>
  <c r="H10" i="20" s="1"/>
  <c r="I10" i="20" s="1"/>
  <c r="J10" i="20" s="1"/>
  <c r="K10" i="20" s="1"/>
  <c r="L10" i="20" s="1"/>
  <c r="B2" i="20"/>
  <c r="B1" i="20"/>
  <c r="AR91" i="19"/>
  <c r="AQ91" i="19"/>
  <c r="AR61" i="19"/>
  <c r="AQ61" i="19"/>
  <c r="AR31" i="19"/>
  <c r="AQ31" i="19"/>
  <c r="R91" i="19"/>
  <c r="Q91" i="19"/>
  <c r="R61" i="19"/>
  <c r="Q61" i="19"/>
  <c r="R31" i="19"/>
  <c r="Q31" i="19"/>
  <c r="AR76" i="19"/>
  <c r="AR75" i="19"/>
  <c r="AR73" i="19"/>
  <c r="AR90" i="19"/>
  <c r="AQ90" i="19"/>
  <c r="AR89" i="19"/>
  <c r="AQ89" i="19"/>
  <c r="AZ88" i="19"/>
  <c r="AY88" i="19"/>
  <c r="AX88" i="19"/>
  <c r="AW88" i="19"/>
  <c r="AV88" i="19"/>
  <c r="AU88" i="19"/>
  <c r="AT88" i="19"/>
  <c r="AS88" i="19"/>
  <c r="AR88" i="19"/>
  <c r="AQ88" i="19"/>
  <c r="AR87" i="19"/>
  <c r="AQ87" i="19"/>
  <c r="AD90" i="19"/>
  <c r="AE90" i="19" s="1"/>
  <c r="AF90" i="19" s="1"/>
  <c r="AG90" i="19" s="1"/>
  <c r="AH90" i="19" s="1"/>
  <c r="AI90" i="19" s="1"/>
  <c r="AJ90" i="19" s="1"/>
  <c r="AK90" i="19" s="1"/>
  <c r="AL90" i="19" s="1"/>
  <c r="AD89" i="19"/>
  <c r="AE89" i="19" s="1"/>
  <c r="AF89" i="19" s="1"/>
  <c r="AG89" i="19" s="1"/>
  <c r="AH89" i="19" s="1"/>
  <c r="AI89" i="19" s="1"/>
  <c r="AJ89" i="19" s="1"/>
  <c r="AK89" i="19" s="1"/>
  <c r="AL89" i="19" s="1"/>
  <c r="AD88" i="19"/>
  <c r="AE88" i="19" s="1"/>
  <c r="AF88" i="19" s="1"/>
  <c r="AG88" i="19" s="1"/>
  <c r="AH88" i="19" s="1"/>
  <c r="AI88" i="19" s="1"/>
  <c r="AJ88" i="19" s="1"/>
  <c r="AK88" i="19" s="1"/>
  <c r="AL88" i="19" s="1"/>
  <c r="AD87" i="19"/>
  <c r="AE87" i="19" s="1"/>
  <c r="AF87" i="19" s="1"/>
  <c r="AG87" i="19" s="1"/>
  <c r="AH87" i="19" s="1"/>
  <c r="AI87" i="19" s="1"/>
  <c r="AJ87" i="19" s="1"/>
  <c r="AK87" i="19" s="1"/>
  <c r="AL87" i="19" s="1"/>
  <c r="AD76" i="19"/>
  <c r="AE76" i="19" s="1"/>
  <c r="AF76" i="19" s="1"/>
  <c r="AG76" i="19" s="1"/>
  <c r="AH76" i="19" s="1"/>
  <c r="AI76" i="19" s="1"/>
  <c r="AJ76" i="19" s="1"/>
  <c r="AK76" i="19" s="1"/>
  <c r="AL76" i="19" s="1"/>
  <c r="AD75" i="19"/>
  <c r="AE75" i="19" s="1"/>
  <c r="AF75" i="19" s="1"/>
  <c r="AG75" i="19" s="1"/>
  <c r="AH75" i="19" s="1"/>
  <c r="AI75" i="19" s="1"/>
  <c r="AJ75" i="19" s="1"/>
  <c r="AK75" i="19" s="1"/>
  <c r="AL75" i="19" s="1"/>
  <c r="AD74" i="19"/>
  <c r="AE74" i="19" s="1"/>
  <c r="AF74" i="19" s="1"/>
  <c r="AG74" i="19" s="1"/>
  <c r="AH74" i="19" s="1"/>
  <c r="AI74" i="19" s="1"/>
  <c r="AJ74" i="19" s="1"/>
  <c r="AK74" i="19" s="1"/>
  <c r="AL74" i="19" s="1"/>
  <c r="AD73" i="19"/>
  <c r="AE73" i="19" s="1"/>
  <c r="AF73" i="19" s="1"/>
  <c r="AG73" i="19" s="1"/>
  <c r="AH73" i="19" s="1"/>
  <c r="AI73" i="19" s="1"/>
  <c r="AJ73" i="19" s="1"/>
  <c r="AK73" i="19" s="1"/>
  <c r="AL73" i="19" s="1"/>
  <c r="AR46" i="19"/>
  <c r="AR45" i="19"/>
  <c r="AR43" i="19"/>
  <c r="AR60" i="19"/>
  <c r="AQ60" i="19"/>
  <c r="AR59" i="19"/>
  <c r="AQ59" i="19"/>
  <c r="AZ58" i="19"/>
  <c r="AY58" i="19"/>
  <c r="AX58" i="19"/>
  <c r="AW58" i="19"/>
  <c r="AV58" i="19"/>
  <c r="AU58" i="19"/>
  <c r="AT58" i="19"/>
  <c r="AS58" i="19"/>
  <c r="AR58" i="19"/>
  <c r="AQ58" i="19"/>
  <c r="AR57" i="19"/>
  <c r="AQ57" i="19"/>
  <c r="AD60" i="19"/>
  <c r="AE60" i="19" s="1"/>
  <c r="AF60" i="19" s="1"/>
  <c r="AG60" i="19" s="1"/>
  <c r="AH60" i="19" s="1"/>
  <c r="AI60" i="19" s="1"/>
  <c r="AJ60" i="19" s="1"/>
  <c r="AK60" i="19" s="1"/>
  <c r="AL60" i="19" s="1"/>
  <c r="AD59" i="19"/>
  <c r="AE59" i="19" s="1"/>
  <c r="AF59" i="19" s="1"/>
  <c r="AG59" i="19" s="1"/>
  <c r="AH59" i="19" s="1"/>
  <c r="AI59" i="19" s="1"/>
  <c r="AJ59" i="19" s="1"/>
  <c r="AK59" i="19" s="1"/>
  <c r="AL59" i="19" s="1"/>
  <c r="AD58" i="19"/>
  <c r="AE58" i="19" s="1"/>
  <c r="AF58" i="19" s="1"/>
  <c r="AG58" i="19" s="1"/>
  <c r="AH58" i="19" s="1"/>
  <c r="AI58" i="19" s="1"/>
  <c r="AJ58" i="19" s="1"/>
  <c r="AK58" i="19" s="1"/>
  <c r="AL58" i="19" s="1"/>
  <c r="AD57" i="19"/>
  <c r="AE57" i="19" s="1"/>
  <c r="AF57" i="19" s="1"/>
  <c r="AG57" i="19" s="1"/>
  <c r="AH57" i="19" s="1"/>
  <c r="AI57" i="19" s="1"/>
  <c r="AJ57" i="19" s="1"/>
  <c r="AK57" i="19" s="1"/>
  <c r="AL57" i="19" s="1"/>
  <c r="AD46" i="19"/>
  <c r="AE46" i="19" s="1"/>
  <c r="AF46" i="19" s="1"/>
  <c r="AG46" i="19" s="1"/>
  <c r="AH46" i="19" s="1"/>
  <c r="AI46" i="19" s="1"/>
  <c r="AJ46" i="19" s="1"/>
  <c r="AK46" i="19" s="1"/>
  <c r="AL46" i="19" s="1"/>
  <c r="AD45" i="19"/>
  <c r="AE45" i="19" s="1"/>
  <c r="AF45" i="19" s="1"/>
  <c r="AG45" i="19" s="1"/>
  <c r="AH45" i="19" s="1"/>
  <c r="AI45" i="19" s="1"/>
  <c r="AJ45" i="19" s="1"/>
  <c r="AK45" i="19" s="1"/>
  <c r="AL45" i="19" s="1"/>
  <c r="AD44" i="19"/>
  <c r="AE44" i="19" s="1"/>
  <c r="AF44" i="19" s="1"/>
  <c r="AG44" i="19" s="1"/>
  <c r="AH44" i="19" s="1"/>
  <c r="AI44" i="19" s="1"/>
  <c r="AJ44" i="19" s="1"/>
  <c r="AK44" i="19" s="1"/>
  <c r="AL44" i="19" s="1"/>
  <c r="AD43" i="19"/>
  <c r="AE43" i="19" s="1"/>
  <c r="AF43" i="19" s="1"/>
  <c r="AG43" i="19" s="1"/>
  <c r="AH43" i="19" s="1"/>
  <c r="AI43" i="19" s="1"/>
  <c r="AJ43" i="19" s="1"/>
  <c r="AK43" i="19" s="1"/>
  <c r="AL43" i="19" s="1"/>
  <c r="AR30" i="19"/>
  <c r="AQ30" i="19"/>
  <c r="AR29" i="19"/>
  <c r="AQ29" i="19"/>
  <c r="AZ28" i="19"/>
  <c r="AY28" i="19"/>
  <c r="AX28" i="19"/>
  <c r="AW28" i="19"/>
  <c r="AV28" i="19"/>
  <c r="AU28" i="19"/>
  <c r="AT28" i="19"/>
  <c r="AS28" i="19"/>
  <c r="AR28" i="19"/>
  <c r="AQ28" i="19"/>
  <c r="AR27" i="19"/>
  <c r="AQ27" i="19"/>
  <c r="AD30" i="19"/>
  <c r="AE30" i="19" s="1"/>
  <c r="AF30" i="19" s="1"/>
  <c r="AG30" i="19" s="1"/>
  <c r="AH30" i="19" s="1"/>
  <c r="AI30" i="19" s="1"/>
  <c r="AJ30" i="19" s="1"/>
  <c r="AK30" i="19" s="1"/>
  <c r="AL30" i="19" s="1"/>
  <c r="AD29" i="19"/>
  <c r="AE29" i="19" s="1"/>
  <c r="AF29" i="19" s="1"/>
  <c r="AG29" i="19" s="1"/>
  <c r="AH29" i="19" s="1"/>
  <c r="AI29" i="19" s="1"/>
  <c r="AJ29" i="19" s="1"/>
  <c r="AK29" i="19" s="1"/>
  <c r="AL29" i="19" s="1"/>
  <c r="AD28" i="19"/>
  <c r="AE28" i="19" s="1"/>
  <c r="AF28" i="19" s="1"/>
  <c r="AG28" i="19" s="1"/>
  <c r="AH28" i="19" s="1"/>
  <c r="AI28" i="19" s="1"/>
  <c r="AJ28" i="19" s="1"/>
  <c r="AK28" i="19" s="1"/>
  <c r="AL28" i="19" s="1"/>
  <c r="AD27" i="19"/>
  <c r="AE27" i="19" s="1"/>
  <c r="AF27" i="19" s="1"/>
  <c r="AG27" i="19" s="1"/>
  <c r="AH27" i="19" s="1"/>
  <c r="AI27" i="19" s="1"/>
  <c r="AJ27" i="19" s="1"/>
  <c r="AK27" i="19" s="1"/>
  <c r="AL27" i="19" s="1"/>
  <c r="AR16" i="19"/>
  <c r="AR15" i="19"/>
  <c r="AR13" i="19"/>
  <c r="AD16" i="19"/>
  <c r="AE16" i="19" s="1"/>
  <c r="AF16" i="19" s="1"/>
  <c r="AG16" i="19" s="1"/>
  <c r="AH16" i="19" s="1"/>
  <c r="AI16" i="19" s="1"/>
  <c r="AJ16" i="19" s="1"/>
  <c r="AK16" i="19" s="1"/>
  <c r="AL16" i="19" s="1"/>
  <c r="AD15" i="19"/>
  <c r="AE15" i="19" s="1"/>
  <c r="AF15" i="19" s="1"/>
  <c r="AG15" i="19" s="1"/>
  <c r="AH15" i="19" s="1"/>
  <c r="AI15" i="19" s="1"/>
  <c r="AJ15" i="19" s="1"/>
  <c r="AK15" i="19" s="1"/>
  <c r="AL15" i="19" s="1"/>
  <c r="AD14" i="19"/>
  <c r="AE14" i="19" s="1"/>
  <c r="AF14" i="19" s="1"/>
  <c r="AG14" i="19" s="1"/>
  <c r="AH14" i="19" s="1"/>
  <c r="AI14" i="19" s="1"/>
  <c r="AJ14" i="19" s="1"/>
  <c r="AK14" i="19" s="1"/>
  <c r="AL14" i="19" s="1"/>
  <c r="AD13" i="19"/>
  <c r="AE13" i="19" s="1"/>
  <c r="AF13" i="19" s="1"/>
  <c r="AG13" i="19" s="1"/>
  <c r="AH13" i="19" s="1"/>
  <c r="AI13" i="19" s="1"/>
  <c r="AJ13" i="19" s="1"/>
  <c r="AK13" i="19" s="1"/>
  <c r="AL13" i="19" s="1"/>
  <c r="R90" i="19"/>
  <c r="Q90" i="19"/>
  <c r="R89" i="19"/>
  <c r="Q89" i="19"/>
  <c r="Z88" i="19"/>
  <c r="Y88" i="19"/>
  <c r="X88" i="19"/>
  <c r="W88" i="19"/>
  <c r="V88" i="19"/>
  <c r="U88" i="19"/>
  <c r="T88" i="19"/>
  <c r="S88" i="19"/>
  <c r="R88" i="19"/>
  <c r="Q88" i="19"/>
  <c r="R87" i="19"/>
  <c r="Q87" i="19"/>
  <c r="R76" i="19"/>
  <c r="R75" i="19"/>
  <c r="R73" i="19"/>
  <c r="D90" i="19"/>
  <c r="E90" i="19" s="1"/>
  <c r="F90" i="19" s="1"/>
  <c r="G90" i="19" s="1"/>
  <c r="H90" i="19" s="1"/>
  <c r="I90" i="19" s="1"/>
  <c r="J90" i="19" s="1"/>
  <c r="K90" i="19" s="1"/>
  <c r="L90" i="19" s="1"/>
  <c r="D89" i="19"/>
  <c r="E89" i="19" s="1"/>
  <c r="F89" i="19" s="1"/>
  <c r="G89" i="19" s="1"/>
  <c r="H89" i="19" s="1"/>
  <c r="I89" i="19" s="1"/>
  <c r="J89" i="19" s="1"/>
  <c r="K89" i="19" s="1"/>
  <c r="L89" i="19" s="1"/>
  <c r="D88" i="19"/>
  <c r="E88" i="19" s="1"/>
  <c r="F88" i="19" s="1"/>
  <c r="G88" i="19" s="1"/>
  <c r="H88" i="19" s="1"/>
  <c r="I88" i="19" s="1"/>
  <c r="J88" i="19" s="1"/>
  <c r="K88" i="19" s="1"/>
  <c r="L88" i="19" s="1"/>
  <c r="D87" i="19"/>
  <c r="E87" i="19" s="1"/>
  <c r="F87" i="19" s="1"/>
  <c r="G87" i="19" s="1"/>
  <c r="H87" i="19" s="1"/>
  <c r="I87" i="19" s="1"/>
  <c r="J87" i="19" s="1"/>
  <c r="K87" i="19" s="1"/>
  <c r="L87" i="19" s="1"/>
  <c r="D76" i="19"/>
  <c r="E76" i="19" s="1"/>
  <c r="F76" i="19" s="1"/>
  <c r="G76" i="19" s="1"/>
  <c r="H76" i="19" s="1"/>
  <c r="I76" i="19" s="1"/>
  <c r="J76" i="19" s="1"/>
  <c r="K76" i="19" s="1"/>
  <c r="L76" i="19" s="1"/>
  <c r="D75" i="19"/>
  <c r="E75" i="19" s="1"/>
  <c r="F75" i="19" s="1"/>
  <c r="G75" i="19" s="1"/>
  <c r="H75" i="19" s="1"/>
  <c r="I75" i="19" s="1"/>
  <c r="J75" i="19" s="1"/>
  <c r="K75" i="19" s="1"/>
  <c r="L75" i="19" s="1"/>
  <c r="D74" i="19"/>
  <c r="E74" i="19" s="1"/>
  <c r="F74" i="19" s="1"/>
  <c r="G74" i="19" s="1"/>
  <c r="H74" i="19" s="1"/>
  <c r="I74" i="19" s="1"/>
  <c r="J74" i="19" s="1"/>
  <c r="K74" i="19" s="1"/>
  <c r="L74" i="19" s="1"/>
  <c r="D73" i="19"/>
  <c r="E73" i="19" s="1"/>
  <c r="F73" i="19" s="1"/>
  <c r="G73" i="19" s="1"/>
  <c r="H73" i="19" s="1"/>
  <c r="I73" i="19" s="1"/>
  <c r="J73" i="19" s="1"/>
  <c r="K73" i="19" s="1"/>
  <c r="L73" i="19" s="1"/>
  <c r="R60" i="19"/>
  <c r="Q60" i="19"/>
  <c r="R59" i="19"/>
  <c r="Q59" i="19"/>
  <c r="Z58" i="19"/>
  <c r="Y58" i="19"/>
  <c r="X58" i="19"/>
  <c r="W58" i="19"/>
  <c r="V58" i="19"/>
  <c r="U58" i="19"/>
  <c r="T58" i="19"/>
  <c r="S58" i="19"/>
  <c r="R58" i="19"/>
  <c r="Q58" i="19"/>
  <c r="R57" i="19"/>
  <c r="Q57" i="19"/>
  <c r="R46" i="19"/>
  <c r="R45" i="19"/>
  <c r="R43" i="19"/>
  <c r="D60" i="19"/>
  <c r="E60" i="19" s="1"/>
  <c r="F60" i="19" s="1"/>
  <c r="G60" i="19" s="1"/>
  <c r="H60" i="19" s="1"/>
  <c r="I60" i="19" s="1"/>
  <c r="J60" i="19" s="1"/>
  <c r="K60" i="19" s="1"/>
  <c r="L60" i="19" s="1"/>
  <c r="D59" i="19"/>
  <c r="E59" i="19" s="1"/>
  <c r="F59" i="19" s="1"/>
  <c r="G59" i="19" s="1"/>
  <c r="H59" i="19" s="1"/>
  <c r="I59" i="19" s="1"/>
  <c r="J59" i="19" s="1"/>
  <c r="K59" i="19" s="1"/>
  <c r="L59" i="19" s="1"/>
  <c r="D58" i="19"/>
  <c r="E58" i="19" s="1"/>
  <c r="F58" i="19" s="1"/>
  <c r="G58" i="19" s="1"/>
  <c r="H58" i="19" s="1"/>
  <c r="I58" i="19" s="1"/>
  <c r="J58" i="19" s="1"/>
  <c r="K58" i="19" s="1"/>
  <c r="L58" i="19" s="1"/>
  <c r="D57" i="19"/>
  <c r="E57" i="19" s="1"/>
  <c r="F57" i="19" s="1"/>
  <c r="G57" i="19" s="1"/>
  <c r="H57" i="19" s="1"/>
  <c r="I57" i="19" s="1"/>
  <c r="J57" i="19" s="1"/>
  <c r="K57" i="19" s="1"/>
  <c r="L57" i="19" s="1"/>
  <c r="D46" i="19"/>
  <c r="E46" i="19" s="1"/>
  <c r="F46" i="19" s="1"/>
  <c r="G46" i="19" s="1"/>
  <c r="H46" i="19" s="1"/>
  <c r="I46" i="19" s="1"/>
  <c r="J46" i="19" s="1"/>
  <c r="K46" i="19" s="1"/>
  <c r="L46" i="19" s="1"/>
  <c r="D45" i="19"/>
  <c r="E45" i="19" s="1"/>
  <c r="F45" i="19" s="1"/>
  <c r="G45" i="19" s="1"/>
  <c r="H45" i="19" s="1"/>
  <c r="I45" i="19" s="1"/>
  <c r="J45" i="19" s="1"/>
  <c r="K45" i="19" s="1"/>
  <c r="L45" i="19" s="1"/>
  <c r="D44" i="19"/>
  <c r="E44" i="19" s="1"/>
  <c r="F44" i="19" s="1"/>
  <c r="G44" i="19" s="1"/>
  <c r="H44" i="19" s="1"/>
  <c r="I44" i="19" s="1"/>
  <c r="J44" i="19" s="1"/>
  <c r="K44" i="19" s="1"/>
  <c r="L44" i="19" s="1"/>
  <c r="D43" i="19"/>
  <c r="E43" i="19" s="1"/>
  <c r="F43" i="19" s="1"/>
  <c r="G43" i="19" s="1"/>
  <c r="H43" i="19" s="1"/>
  <c r="I43" i="19" s="1"/>
  <c r="J43" i="19" s="1"/>
  <c r="K43" i="19" s="1"/>
  <c r="L43" i="19" s="1"/>
  <c r="R16" i="19"/>
  <c r="R15" i="19"/>
  <c r="R13" i="19"/>
  <c r="E16" i="19"/>
  <c r="F16" i="19"/>
  <c r="G16" i="19"/>
  <c r="H16" i="19"/>
  <c r="I16" i="19"/>
  <c r="J16" i="19"/>
  <c r="K16" i="19"/>
  <c r="L16" i="19"/>
  <c r="D16" i="19"/>
  <c r="E15" i="19"/>
  <c r="F15" i="19"/>
  <c r="G15" i="19" s="1"/>
  <c r="D15" i="19"/>
  <c r="E14" i="19"/>
  <c r="F14" i="19"/>
  <c r="G14" i="19"/>
  <c r="H14" i="19"/>
  <c r="I14" i="19"/>
  <c r="J14" i="19"/>
  <c r="K14" i="19"/>
  <c r="L14" i="19"/>
  <c r="Z28" i="19" s="1"/>
  <c r="D14" i="19"/>
  <c r="E13" i="19"/>
  <c r="F13" i="19" s="1"/>
  <c r="D13" i="19"/>
  <c r="D30" i="19"/>
  <c r="E30" i="19" s="1"/>
  <c r="F30" i="19" s="1"/>
  <c r="G30" i="19" s="1"/>
  <c r="H30" i="19" s="1"/>
  <c r="I30" i="19" s="1"/>
  <c r="J30" i="19" s="1"/>
  <c r="K30" i="19" s="1"/>
  <c r="L30" i="19" s="1"/>
  <c r="D29" i="19"/>
  <c r="E29" i="19" s="1"/>
  <c r="F29" i="19" s="1"/>
  <c r="G29" i="19" s="1"/>
  <c r="H29" i="19" s="1"/>
  <c r="I29" i="19" s="1"/>
  <c r="J29" i="19" s="1"/>
  <c r="K29" i="19" s="1"/>
  <c r="L29" i="19" s="1"/>
  <c r="D28" i="19"/>
  <c r="E28" i="19" s="1"/>
  <c r="F28" i="19" s="1"/>
  <c r="G28" i="19" s="1"/>
  <c r="H28" i="19" s="1"/>
  <c r="I28" i="19" s="1"/>
  <c r="J28" i="19" s="1"/>
  <c r="K28" i="19" s="1"/>
  <c r="L28" i="19" s="1"/>
  <c r="D27" i="19"/>
  <c r="E27" i="19" s="1"/>
  <c r="F27" i="19" s="1"/>
  <c r="G27" i="19" s="1"/>
  <c r="H27" i="19" s="1"/>
  <c r="I27" i="19" s="1"/>
  <c r="J27" i="19" s="1"/>
  <c r="K27" i="19" s="1"/>
  <c r="L27" i="19" s="1"/>
  <c r="Q28" i="19"/>
  <c r="R28" i="19"/>
  <c r="S28" i="19"/>
  <c r="T28" i="19"/>
  <c r="U28" i="19"/>
  <c r="V28" i="19"/>
  <c r="W28" i="19"/>
  <c r="X28" i="19"/>
  <c r="Y28" i="19"/>
  <c r="Q29" i="19"/>
  <c r="Q30" i="19"/>
  <c r="R30" i="19"/>
  <c r="R27" i="19"/>
  <c r="Q27" i="19"/>
  <c r="AS86" i="19"/>
  <c r="AD86" i="19"/>
  <c r="AE86" i="19" s="1"/>
  <c r="AR85" i="19"/>
  <c r="AD85" i="19"/>
  <c r="AS71" i="19" s="1"/>
  <c r="E582" i="20" s="1"/>
  <c r="E584" i="20" s="1"/>
  <c r="E611" i="20" s="1"/>
  <c r="AQ84" i="19"/>
  <c r="AD84" i="19"/>
  <c r="AE84" i="19" s="1"/>
  <c r="AF84" i="19" s="1"/>
  <c r="AG84" i="19" s="1"/>
  <c r="AH84" i="19" s="1"/>
  <c r="AI84" i="19" s="1"/>
  <c r="AJ84" i="19" s="1"/>
  <c r="AK84" i="19" s="1"/>
  <c r="AL84" i="19" s="1"/>
  <c r="AQ83" i="19"/>
  <c r="AD83" i="19"/>
  <c r="AE83" i="19" s="1"/>
  <c r="AF83" i="19" s="1"/>
  <c r="AG83" i="19" s="1"/>
  <c r="AH83" i="19" s="1"/>
  <c r="AI83" i="19" s="1"/>
  <c r="AJ83" i="19" s="1"/>
  <c r="AK83" i="19" s="1"/>
  <c r="AL83" i="19" s="1"/>
  <c r="AQ82" i="19"/>
  <c r="AD82" i="19"/>
  <c r="AE82" i="19" s="1"/>
  <c r="AF82" i="19" s="1"/>
  <c r="AG82" i="19" s="1"/>
  <c r="AH82" i="19" s="1"/>
  <c r="AI82" i="19" s="1"/>
  <c r="AJ82" i="19" s="1"/>
  <c r="AK82" i="19" s="1"/>
  <c r="AL82" i="19" s="1"/>
  <c r="AF72" i="19"/>
  <c r="AF71" i="19"/>
  <c r="AE71" i="19"/>
  <c r="AR70" i="19"/>
  <c r="AD70" i="19"/>
  <c r="AE70" i="19" s="1"/>
  <c r="AR69" i="19"/>
  <c r="AD69" i="19"/>
  <c r="AR68" i="19"/>
  <c r="AD68" i="19"/>
  <c r="AE68" i="19" s="1"/>
  <c r="S86" i="19"/>
  <c r="D86" i="19"/>
  <c r="E86" i="19" s="1"/>
  <c r="R85" i="19"/>
  <c r="D85" i="19"/>
  <c r="S71" i="19" s="1"/>
  <c r="E249" i="20" s="1"/>
  <c r="E251" i="20" s="1"/>
  <c r="E278" i="20" s="1"/>
  <c r="Q84" i="19"/>
  <c r="D84" i="19"/>
  <c r="E84" i="19" s="1"/>
  <c r="F84" i="19" s="1"/>
  <c r="G84" i="19" s="1"/>
  <c r="H84" i="19" s="1"/>
  <c r="I84" i="19" s="1"/>
  <c r="J84" i="19" s="1"/>
  <c r="K84" i="19" s="1"/>
  <c r="L84" i="19" s="1"/>
  <c r="Q83" i="19"/>
  <c r="D83" i="19"/>
  <c r="Q82" i="19"/>
  <c r="D82" i="19"/>
  <c r="E82" i="19" s="1"/>
  <c r="F82" i="19" s="1"/>
  <c r="G82" i="19" s="1"/>
  <c r="H82" i="19" s="1"/>
  <c r="I82" i="19" s="1"/>
  <c r="J82" i="19" s="1"/>
  <c r="K82" i="19" s="1"/>
  <c r="L82" i="19" s="1"/>
  <c r="F72" i="19"/>
  <c r="G72" i="19" s="1"/>
  <c r="E71" i="19"/>
  <c r="R70" i="19"/>
  <c r="D70" i="19"/>
  <c r="E70" i="19" s="1"/>
  <c r="R69" i="19"/>
  <c r="D69" i="19"/>
  <c r="E69" i="19" s="1"/>
  <c r="R68" i="19"/>
  <c r="D68" i="19"/>
  <c r="E68" i="19" s="1"/>
  <c r="AS56" i="19"/>
  <c r="AD56" i="19"/>
  <c r="AE56" i="19" s="1"/>
  <c r="AF56" i="19" s="1"/>
  <c r="AG56" i="19" s="1"/>
  <c r="AH56" i="19" s="1"/>
  <c r="AI56" i="19" s="1"/>
  <c r="AJ56" i="19" s="1"/>
  <c r="AK56" i="19" s="1"/>
  <c r="AL56" i="19" s="1"/>
  <c r="AR55" i="19"/>
  <c r="AD55" i="19"/>
  <c r="AS41" i="19" s="1"/>
  <c r="E471" i="20" s="1"/>
  <c r="E473" i="20" s="1"/>
  <c r="E500" i="20" s="1"/>
  <c r="AQ54" i="19"/>
  <c r="AD54" i="19"/>
  <c r="AE54" i="19" s="1"/>
  <c r="AF54" i="19" s="1"/>
  <c r="AG54" i="19" s="1"/>
  <c r="AH54" i="19" s="1"/>
  <c r="AI54" i="19" s="1"/>
  <c r="AJ54" i="19" s="1"/>
  <c r="AK54" i="19" s="1"/>
  <c r="AL54" i="19" s="1"/>
  <c r="AR53" i="19"/>
  <c r="AQ53" i="19"/>
  <c r="AD53" i="19"/>
  <c r="AS39" i="19" s="1"/>
  <c r="E463" i="20" s="1"/>
  <c r="E465" i="20" s="1"/>
  <c r="AQ52" i="19"/>
  <c r="AD52" i="19"/>
  <c r="AE52" i="19" s="1"/>
  <c r="AF52" i="19" s="1"/>
  <c r="AG52" i="19" s="1"/>
  <c r="AH52" i="19" s="1"/>
  <c r="AI52" i="19" s="1"/>
  <c r="AJ52" i="19" s="1"/>
  <c r="AK52" i="19" s="1"/>
  <c r="AL52" i="19" s="1"/>
  <c r="AF42" i="19"/>
  <c r="AE41" i="19"/>
  <c r="AR40" i="19"/>
  <c r="AD40" i="19"/>
  <c r="AE40" i="19" s="1"/>
  <c r="AR39" i="19"/>
  <c r="AD39" i="19"/>
  <c r="AE39" i="19" s="1"/>
  <c r="AR38" i="19"/>
  <c r="AD38" i="19"/>
  <c r="AE38" i="19" s="1"/>
  <c r="AS26" i="19"/>
  <c r="AD26" i="19"/>
  <c r="AE26" i="19" s="1"/>
  <c r="AR25" i="19"/>
  <c r="AD25" i="19"/>
  <c r="AS11" i="19" s="1"/>
  <c r="E360" i="20" s="1"/>
  <c r="E362" i="20" s="1"/>
  <c r="E389" i="20" s="1"/>
  <c r="AQ24" i="19"/>
  <c r="AD24" i="19"/>
  <c r="AE24" i="19" s="1"/>
  <c r="AF24" i="19" s="1"/>
  <c r="AG24" i="19" s="1"/>
  <c r="AH24" i="19" s="1"/>
  <c r="AI24" i="19" s="1"/>
  <c r="AJ24" i="19" s="1"/>
  <c r="AK24" i="19" s="1"/>
  <c r="AL24" i="19" s="1"/>
  <c r="AQ23" i="19"/>
  <c r="AD23" i="19"/>
  <c r="AE23" i="19" s="1"/>
  <c r="AF23" i="19" s="1"/>
  <c r="AG23" i="19" s="1"/>
  <c r="AH23" i="19" s="1"/>
  <c r="AI23" i="19" s="1"/>
  <c r="AJ23" i="19" s="1"/>
  <c r="AK23" i="19" s="1"/>
  <c r="AL23" i="19" s="1"/>
  <c r="AQ22" i="19"/>
  <c r="AD22" i="19"/>
  <c r="AE22" i="19" s="1"/>
  <c r="AF22" i="19" s="1"/>
  <c r="AG22" i="19" s="1"/>
  <c r="AH22" i="19" s="1"/>
  <c r="AI22" i="19" s="1"/>
  <c r="AJ22" i="19" s="1"/>
  <c r="AK22" i="19" s="1"/>
  <c r="AL22" i="19" s="1"/>
  <c r="AF12" i="19"/>
  <c r="AG12" i="19" s="1"/>
  <c r="AE11" i="19"/>
  <c r="AR10" i="19"/>
  <c r="AD10" i="19"/>
  <c r="AE10" i="19" s="1"/>
  <c r="AR9" i="19"/>
  <c r="AD9" i="19"/>
  <c r="AE9" i="19" s="1"/>
  <c r="AR8" i="19"/>
  <c r="AD8" i="19"/>
  <c r="AE8" i="19" s="1"/>
  <c r="D38" i="19"/>
  <c r="S56" i="19"/>
  <c r="D56" i="19"/>
  <c r="E56" i="19" s="1"/>
  <c r="R55" i="19"/>
  <c r="D55" i="19"/>
  <c r="S41" i="19" s="1"/>
  <c r="E138" i="20" s="1"/>
  <c r="E140" i="20" s="1"/>
  <c r="E167" i="20" s="1"/>
  <c r="Q54" i="19"/>
  <c r="D54" i="19"/>
  <c r="E54" i="19" s="1"/>
  <c r="F54" i="19" s="1"/>
  <c r="G54" i="19" s="1"/>
  <c r="H54" i="19" s="1"/>
  <c r="I54" i="19" s="1"/>
  <c r="J54" i="19" s="1"/>
  <c r="K54" i="19" s="1"/>
  <c r="L54" i="19" s="1"/>
  <c r="Q53" i="19"/>
  <c r="D53" i="19"/>
  <c r="E53" i="19" s="1"/>
  <c r="F53" i="19" s="1"/>
  <c r="G53" i="19" s="1"/>
  <c r="H53" i="19" s="1"/>
  <c r="I53" i="19" s="1"/>
  <c r="J53" i="19" s="1"/>
  <c r="K53" i="19" s="1"/>
  <c r="L53" i="19" s="1"/>
  <c r="Q52" i="19"/>
  <c r="D52" i="19"/>
  <c r="E52" i="19" s="1"/>
  <c r="F52" i="19" s="1"/>
  <c r="G52" i="19" s="1"/>
  <c r="H52" i="19" s="1"/>
  <c r="I52" i="19" s="1"/>
  <c r="J52" i="19" s="1"/>
  <c r="K52" i="19" s="1"/>
  <c r="L52" i="19" s="1"/>
  <c r="F42" i="19"/>
  <c r="G42" i="19" s="1"/>
  <c r="E41" i="19"/>
  <c r="F41" i="19" s="1"/>
  <c r="R40" i="19"/>
  <c r="D40" i="19"/>
  <c r="R54" i="19" s="1"/>
  <c r="R39" i="19"/>
  <c r="D39" i="19"/>
  <c r="R53" i="19" s="1"/>
  <c r="R38" i="19"/>
  <c r="E38" i="19"/>
  <c r="S26" i="19"/>
  <c r="R25" i="19"/>
  <c r="Q24" i="19"/>
  <c r="Q23" i="19"/>
  <c r="Q22" i="19"/>
  <c r="R10" i="19"/>
  <c r="R9" i="19"/>
  <c r="R23" i="19" s="1"/>
  <c r="R8" i="19"/>
  <c r="G12" i="19"/>
  <c r="H12" i="19"/>
  <c r="I12" i="19" s="1"/>
  <c r="J12" i="19" s="1"/>
  <c r="K12" i="19" s="1"/>
  <c r="L12" i="19" s="1"/>
  <c r="F12" i="19"/>
  <c r="E11" i="19"/>
  <c r="F11" i="19" s="1"/>
  <c r="G11" i="19" s="1"/>
  <c r="H11" i="19" s="1"/>
  <c r="I11" i="19" s="1"/>
  <c r="J11" i="19" s="1"/>
  <c r="K11" i="19" s="1"/>
  <c r="L11" i="19" s="1"/>
  <c r="D8" i="19"/>
  <c r="R22" i="19" s="1"/>
  <c r="D10" i="19"/>
  <c r="E10" i="19" s="1"/>
  <c r="F10" i="19" s="1"/>
  <c r="G10" i="19" s="1"/>
  <c r="H10" i="19" s="1"/>
  <c r="I10" i="19" s="1"/>
  <c r="J10" i="19" s="1"/>
  <c r="K10" i="19" s="1"/>
  <c r="L10" i="19" s="1"/>
  <c r="D9" i="19"/>
  <c r="E9" i="19" s="1"/>
  <c r="F9" i="19" s="1"/>
  <c r="G9" i="19" s="1"/>
  <c r="H9" i="19" s="1"/>
  <c r="I9" i="19" s="1"/>
  <c r="J9" i="19" s="1"/>
  <c r="K9" i="19" s="1"/>
  <c r="L9" i="19" s="1"/>
  <c r="D23" i="19"/>
  <c r="E23" i="19" s="1"/>
  <c r="F23" i="19" s="1"/>
  <c r="G23" i="19" s="1"/>
  <c r="H23" i="19" s="1"/>
  <c r="I23" i="19" s="1"/>
  <c r="J23" i="19" s="1"/>
  <c r="K23" i="19" s="1"/>
  <c r="L23" i="19" s="1"/>
  <c r="D24" i="19"/>
  <c r="E24" i="19" s="1"/>
  <c r="F24" i="19" s="1"/>
  <c r="G24" i="19" s="1"/>
  <c r="H24" i="19" s="1"/>
  <c r="I24" i="19" s="1"/>
  <c r="J24" i="19" s="1"/>
  <c r="K24" i="19" s="1"/>
  <c r="L24" i="19" s="1"/>
  <c r="D25" i="19"/>
  <c r="E25" i="19" s="1"/>
  <c r="F25" i="19" s="1"/>
  <c r="G25" i="19" s="1"/>
  <c r="H25" i="19" s="1"/>
  <c r="I25" i="19" s="1"/>
  <c r="J25" i="19" s="1"/>
  <c r="K25" i="19" s="1"/>
  <c r="L25" i="19" s="1"/>
  <c r="D26" i="19"/>
  <c r="E26" i="19" s="1"/>
  <c r="F26" i="19" s="1"/>
  <c r="G26" i="19" s="1"/>
  <c r="H26" i="19" s="1"/>
  <c r="I26" i="19" s="1"/>
  <c r="J26" i="19" s="1"/>
  <c r="K26" i="19" s="1"/>
  <c r="D22" i="19"/>
  <c r="E22" i="19" s="1"/>
  <c r="F22" i="19" s="1"/>
  <c r="G22" i="19" s="1"/>
  <c r="H22" i="19" s="1"/>
  <c r="I22" i="19" s="1"/>
  <c r="J22" i="19" s="1"/>
  <c r="K22" i="19" s="1"/>
  <c r="L22" i="19" s="1"/>
  <c r="J14" i="18"/>
  <c r="K14" i="18"/>
  <c r="L14" i="18"/>
  <c r="M14" i="18"/>
  <c r="N14" i="18"/>
  <c r="O14" i="18"/>
  <c r="P14" i="18"/>
  <c r="Q14" i="18"/>
  <c r="I14" i="18"/>
  <c r="H14" i="18"/>
  <c r="Q24" i="8"/>
  <c r="P24" i="8"/>
  <c r="O24" i="8"/>
  <c r="N24" i="8"/>
  <c r="M24" i="8"/>
  <c r="L24" i="8"/>
  <c r="K24" i="8"/>
  <c r="J24" i="8"/>
  <c r="I24" i="8"/>
  <c r="H24" i="8"/>
  <c r="H27" i="18"/>
  <c r="Q22" i="18"/>
  <c r="P22" i="18"/>
  <c r="O22" i="18"/>
  <c r="N22" i="18"/>
  <c r="M22" i="18"/>
  <c r="L22" i="18"/>
  <c r="K22" i="18"/>
  <c r="J22" i="18"/>
  <c r="I22" i="18"/>
  <c r="I7" i="17"/>
  <c r="J7" i="17" s="1"/>
  <c r="K7" i="17" s="1"/>
  <c r="L7" i="17" s="1"/>
  <c r="M7" i="17" s="1"/>
  <c r="N7" i="17" s="1"/>
  <c r="O7" i="17" s="1"/>
  <c r="P7" i="17" s="1"/>
  <c r="Q7" i="17" s="1"/>
  <c r="Q11" i="17"/>
  <c r="P11" i="17"/>
  <c r="O11" i="17"/>
  <c r="N11" i="17"/>
  <c r="M11" i="17"/>
  <c r="L11" i="17"/>
  <c r="K11" i="17"/>
  <c r="J11" i="17"/>
  <c r="I11" i="17"/>
  <c r="H11" i="17"/>
  <c r="F21" i="12"/>
  <c r="E16" i="16"/>
  <c r="F16" i="16" s="1"/>
  <c r="G16" i="16" s="1"/>
  <c r="H16" i="16" s="1"/>
  <c r="I16" i="16" s="1"/>
  <c r="J16" i="16" s="1"/>
  <c r="K16" i="16" s="1"/>
  <c r="L16" i="16" s="1"/>
  <c r="M16" i="16" s="1"/>
  <c r="E17" i="16"/>
  <c r="F17" i="16" s="1"/>
  <c r="G17" i="16" s="1"/>
  <c r="H17" i="16" s="1"/>
  <c r="I17" i="16" s="1"/>
  <c r="J17" i="16" s="1"/>
  <c r="K17" i="16" s="1"/>
  <c r="L17" i="16" s="1"/>
  <c r="M17" i="16" s="1"/>
  <c r="E18" i="16"/>
  <c r="F18" i="16"/>
  <c r="G18" i="16"/>
  <c r="H18" i="16" s="1"/>
  <c r="I18" i="16" s="1"/>
  <c r="J18" i="16" s="1"/>
  <c r="K18" i="16" s="1"/>
  <c r="L18" i="16" s="1"/>
  <c r="M18" i="16" s="1"/>
  <c r="E19" i="16"/>
  <c r="F19" i="16"/>
  <c r="G19" i="16" s="1"/>
  <c r="H19" i="16" s="1"/>
  <c r="I19" i="16" s="1"/>
  <c r="J19" i="16" s="1"/>
  <c r="K19" i="16" s="1"/>
  <c r="L19" i="16" s="1"/>
  <c r="M19" i="16" s="1"/>
  <c r="E15" i="16"/>
  <c r="F15" i="16" s="1"/>
  <c r="G15" i="16" s="1"/>
  <c r="H15" i="16" s="1"/>
  <c r="I15" i="16" s="1"/>
  <c r="J15" i="16" s="1"/>
  <c r="K15" i="16" s="1"/>
  <c r="L15" i="16" s="1"/>
  <c r="M15" i="16" s="1"/>
  <c r="C652" i="20" l="1"/>
  <c r="K596" i="20"/>
  <c r="K614" i="20" s="1"/>
  <c r="J596" i="20"/>
  <c r="J614" i="20" s="1"/>
  <c r="H596" i="20"/>
  <c r="H614" i="20" s="1"/>
  <c r="I596" i="20"/>
  <c r="I614" i="20" s="1"/>
  <c r="C576" i="20"/>
  <c r="C609" i="20"/>
  <c r="C606" i="20"/>
  <c r="C616" i="20"/>
  <c r="C617" i="20" s="1"/>
  <c r="D609" i="20"/>
  <c r="D617" i="20" s="1"/>
  <c r="D606" i="20"/>
  <c r="L596" i="20"/>
  <c r="L614" i="20" s="1"/>
  <c r="C660" i="20"/>
  <c r="D527" i="20"/>
  <c r="E527" i="20" s="1"/>
  <c r="F527" i="20" s="1"/>
  <c r="G527" i="20" s="1"/>
  <c r="H527" i="20" s="1"/>
  <c r="I527" i="20" s="1"/>
  <c r="J527" i="20" s="1"/>
  <c r="K527" i="20" s="1"/>
  <c r="L527" i="20" s="1"/>
  <c r="K485" i="20"/>
  <c r="K503" i="20" s="1"/>
  <c r="J485" i="20"/>
  <c r="J503" i="20" s="1"/>
  <c r="I485" i="20"/>
  <c r="I503" i="20" s="1"/>
  <c r="H485" i="20"/>
  <c r="H503" i="20" s="1"/>
  <c r="G485" i="20"/>
  <c r="G503" i="20" s="1"/>
  <c r="F485" i="20"/>
  <c r="F503" i="20" s="1"/>
  <c r="C473" i="20"/>
  <c r="C500" i="20" s="1"/>
  <c r="D498" i="20"/>
  <c r="C498" i="20"/>
  <c r="C495" i="20"/>
  <c r="C505" i="20"/>
  <c r="C506" i="20" s="1"/>
  <c r="D506" i="20"/>
  <c r="D495" i="20"/>
  <c r="D544" i="20"/>
  <c r="C549" i="20"/>
  <c r="L485" i="20"/>
  <c r="L503" i="20" s="1"/>
  <c r="D541" i="20"/>
  <c r="E526" i="20"/>
  <c r="C350" i="20"/>
  <c r="C387" i="20" s="1"/>
  <c r="C384" i="20"/>
  <c r="C394" i="20"/>
  <c r="C395" i="20" s="1"/>
  <c r="D394" i="20"/>
  <c r="D395" i="20" s="1"/>
  <c r="D384" i="20"/>
  <c r="E415" i="20"/>
  <c r="D430" i="20"/>
  <c r="D433" i="20"/>
  <c r="C430" i="20"/>
  <c r="C438" i="20" s="1"/>
  <c r="C325" i="20"/>
  <c r="C271" i="20"/>
  <c r="K263" i="20"/>
  <c r="K281" i="20" s="1"/>
  <c r="G263" i="20"/>
  <c r="G281" i="20" s="1"/>
  <c r="J263" i="20"/>
  <c r="J281" i="20" s="1"/>
  <c r="C276" i="20"/>
  <c r="D239" i="20"/>
  <c r="C273" i="20"/>
  <c r="C283" i="20"/>
  <c r="C284" i="20" s="1"/>
  <c r="D273" i="20"/>
  <c r="D283" i="20"/>
  <c r="G304" i="20"/>
  <c r="H263" i="20"/>
  <c r="H281" i="20" s="1"/>
  <c r="C319" i="20"/>
  <c r="C327" i="20" s="1"/>
  <c r="D306" i="20"/>
  <c r="D276" i="20"/>
  <c r="D322" i="20"/>
  <c r="L263" i="20"/>
  <c r="C208" i="20"/>
  <c r="D195" i="20"/>
  <c r="E195" i="20" s="1"/>
  <c r="F195" i="20" s="1"/>
  <c r="G195" i="20" s="1"/>
  <c r="H195" i="20" s="1"/>
  <c r="I195" i="20" s="1"/>
  <c r="J195" i="20" s="1"/>
  <c r="K195" i="20" s="1"/>
  <c r="L195" i="20" s="1"/>
  <c r="F208" i="20"/>
  <c r="H193" i="20"/>
  <c r="D211" i="20"/>
  <c r="C189" i="20"/>
  <c r="C160" i="20"/>
  <c r="C152" i="20"/>
  <c r="C61" i="20"/>
  <c r="C51" i="20"/>
  <c r="D54" i="20"/>
  <c r="D62" i="20" s="1"/>
  <c r="C62" i="20"/>
  <c r="D51" i="20"/>
  <c r="C103" i="20"/>
  <c r="C78" i="20"/>
  <c r="C105" i="20" s="1"/>
  <c r="C97" i="20"/>
  <c r="E100" i="20"/>
  <c r="D103" i="20"/>
  <c r="D82" i="20"/>
  <c r="AS75" i="19"/>
  <c r="AS76" i="19"/>
  <c r="AS73" i="19"/>
  <c r="E590" i="20" s="1"/>
  <c r="E592" i="20" s="1"/>
  <c r="E613" i="20" s="1"/>
  <c r="AS43" i="19"/>
  <c r="AS45" i="19"/>
  <c r="AS46" i="19"/>
  <c r="AS15" i="19"/>
  <c r="E376" i="20" s="1"/>
  <c r="E378" i="20" s="1"/>
  <c r="E393" i="20" s="1"/>
  <c r="AS13" i="19"/>
  <c r="E368" i="20" s="1"/>
  <c r="E370" i="20" s="1"/>
  <c r="E391" i="20" s="1"/>
  <c r="AS16" i="19"/>
  <c r="E380" i="20" s="1"/>
  <c r="E382" i="20" s="1"/>
  <c r="E394" i="20" s="1"/>
  <c r="S75" i="19"/>
  <c r="S76" i="19"/>
  <c r="E269" i="20" s="1"/>
  <c r="E271" i="20" s="1"/>
  <c r="E283" i="20" s="1"/>
  <c r="S73" i="19"/>
  <c r="E257" i="20" s="1"/>
  <c r="E259" i="20" s="1"/>
  <c r="E280" i="20" s="1"/>
  <c r="S45" i="19"/>
  <c r="E154" i="20" s="1"/>
  <c r="E156" i="20" s="1"/>
  <c r="E171" i="20" s="1"/>
  <c r="S46" i="19"/>
  <c r="E158" i="20" s="1"/>
  <c r="E160" i="20" s="1"/>
  <c r="S43" i="19"/>
  <c r="E146" i="20" s="1"/>
  <c r="E148" i="20" s="1"/>
  <c r="E169" i="20" s="1"/>
  <c r="S13" i="19"/>
  <c r="E35" i="20" s="1"/>
  <c r="S16" i="19"/>
  <c r="E47" i="20" s="1"/>
  <c r="E49" i="20" s="1"/>
  <c r="E61" i="20" s="1"/>
  <c r="S15" i="19"/>
  <c r="E43" i="20" s="1"/>
  <c r="E45" i="20" s="1"/>
  <c r="E60" i="20" s="1"/>
  <c r="R29" i="19"/>
  <c r="H15" i="19"/>
  <c r="G13" i="19"/>
  <c r="E8" i="19"/>
  <c r="F8" i="19" s="1"/>
  <c r="G8" i="19" s="1"/>
  <c r="H8" i="19" s="1"/>
  <c r="I8" i="19" s="1"/>
  <c r="J8" i="19" s="1"/>
  <c r="K8" i="19" s="1"/>
  <c r="L8" i="19" s="1"/>
  <c r="R24" i="19"/>
  <c r="S69" i="19"/>
  <c r="AR83" i="19"/>
  <c r="AE69" i="19"/>
  <c r="AF69" i="19" s="1"/>
  <c r="AS68" i="19"/>
  <c r="AS70" i="19"/>
  <c r="AS69" i="19"/>
  <c r="AF68" i="19"/>
  <c r="AF70" i="19"/>
  <c r="AS85" i="19"/>
  <c r="AF86" i="19"/>
  <c r="AG86" i="19" s="1"/>
  <c r="AH86" i="19" s="1"/>
  <c r="AI86" i="19" s="1"/>
  <c r="AJ86" i="19" s="1"/>
  <c r="AK86" i="19" s="1"/>
  <c r="AL86" i="19" s="1"/>
  <c r="AT72" i="19"/>
  <c r="F586" i="20" s="1"/>
  <c r="F588" i="20" s="1"/>
  <c r="F612" i="20" s="1"/>
  <c r="AG71" i="19"/>
  <c r="AR82" i="19"/>
  <c r="AE85" i="19"/>
  <c r="AF85" i="19" s="1"/>
  <c r="AG85" i="19" s="1"/>
  <c r="AH85" i="19" s="1"/>
  <c r="AI85" i="19" s="1"/>
  <c r="AJ85" i="19" s="1"/>
  <c r="AK85" i="19" s="1"/>
  <c r="AL85" i="19" s="1"/>
  <c r="AG72" i="19"/>
  <c r="AR84" i="19"/>
  <c r="F86" i="19"/>
  <c r="G86" i="19" s="1"/>
  <c r="H86" i="19" s="1"/>
  <c r="I86" i="19" s="1"/>
  <c r="J86" i="19" s="1"/>
  <c r="K86" i="19" s="1"/>
  <c r="L86" i="19" s="1"/>
  <c r="T72" i="19"/>
  <c r="R83" i="19"/>
  <c r="S70" i="19"/>
  <c r="R82" i="19"/>
  <c r="S85" i="19"/>
  <c r="H72" i="19"/>
  <c r="F69" i="19"/>
  <c r="F68" i="19"/>
  <c r="F70" i="19"/>
  <c r="F71" i="19"/>
  <c r="S68" i="19"/>
  <c r="E85" i="19"/>
  <c r="F85" i="19" s="1"/>
  <c r="G85" i="19" s="1"/>
  <c r="H85" i="19" s="1"/>
  <c r="I85" i="19" s="1"/>
  <c r="J85" i="19" s="1"/>
  <c r="K85" i="19" s="1"/>
  <c r="L85" i="19" s="1"/>
  <c r="E83" i="19"/>
  <c r="F83" i="19" s="1"/>
  <c r="G83" i="19" s="1"/>
  <c r="H83" i="19" s="1"/>
  <c r="I83" i="19" s="1"/>
  <c r="J83" i="19" s="1"/>
  <c r="K83" i="19" s="1"/>
  <c r="L83" i="19" s="1"/>
  <c r="R84" i="19"/>
  <c r="AE53" i="19"/>
  <c r="AF53" i="19" s="1"/>
  <c r="AG53" i="19" s="1"/>
  <c r="AH53" i="19" s="1"/>
  <c r="AI53" i="19" s="1"/>
  <c r="AJ53" i="19" s="1"/>
  <c r="AK53" i="19" s="1"/>
  <c r="AL53" i="19" s="1"/>
  <c r="AS38" i="19"/>
  <c r="AS40" i="19"/>
  <c r="AS55" i="19"/>
  <c r="AS53" i="19"/>
  <c r="AF38" i="19"/>
  <c r="AF39" i="19"/>
  <c r="AF40" i="19"/>
  <c r="AR52" i="19"/>
  <c r="AE55" i="19"/>
  <c r="AF55" i="19" s="1"/>
  <c r="AG55" i="19" s="1"/>
  <c r="AH55" i="19" s="1"/>
  <c r="AI55" i="19" s="1"/>
  <c r="AJ55" i="19" s="1"/>
  <c r="AK55" i="19" s="1"/>
  <c r="AL55" i="19" s="1"/>
  <c r="AG42" i="19"/>
  <c r="AR54" i="19"/>
  <c r="AT42" i="19"/>
  <c r="AF41" i="19"/>
  <c r="AR22" i="19"/>
  <c r="AS9" i="19"/>
  <c r="AS10" i="19"/>
  <c r="AF9" i="19"/>
  <c r="AF8" i="19"/>
  <c r="AF10" i="19"/>
  <c r="AS25" i="19"/>
  <c r="AF26" i="19"/>
  <c r="AG26" i="19" s="1"/>
  <c r="AH26" i="19" s="1"/>
  <c r="AI26" i="19" s="1"/>
  <c r="AJ26" i="19" s="1"/>
  <c r="AK26" i="19" s="1"/>
  <c r="AL26" i="19" s="1"/>
  <c r="AT12" i="19"/>
  <c r="F364" i="20" s="1"/>
  <c r="F366" i="20" s="1"/>
  <c r="F390" i="20" s="1"/>
  <c r="AH12" i="19"/>
  <c r="AS8" i="19"/>
  <c r="AE25" i="19"/>
  <c r="AF25" i="19" s="1"/>
  <c r="AG25" i="19" s="1"/>
  <c r="AH25" i="19" s="1"/>
  <c r="AI25" i="19" s="1"/>
  <c r="AJ25" i="19" s="1"/>
  <c r="AK25" i="19" s="1"/>
  <c r="AL25" i="19" s="1"/>
  <c r="AR24" i="19"/>
  <c r="AR23" i="19"/>
  <c r="AF11" i="19"/>
  <c r="S38" i="19"/>
  <c r="E126" i="20" s="1"/>
  <c r="E128" i="20" s="1"/>
  <c r="E39" i="19"/>
  <c r="F39" i="19" s="1"/>
  <c r="S39" i="19"/>
  <c r="E130" i="20" s="1"/>
  <c r="E132" i="20" s="1"/>
  <c r="S40" i="19"/>
  <c r="E134" i="20" s="1"/>
  <c r="E136" i="20" s="1"/>
  <c r="E166" i="20" s="1"/>
  <c r="H42" i="19"/>
  <c r="F38" i="19"/>
  <c r="S55" i="19"/>
  <c r="F56" i="19"/>
  <c r="G56" i="19" s="1"/>
  <c r="H56" i="19" s="1"/>
  <c r="I56" i="19" s="1"/>
  <c r="J56" i="19" s="1"/>
  <c r="K56" i="19" s="1"/>
  <c r="L56" i="19" s="1"/>
  <c r="T42" i="19"/>
  <c r="F142" i="20" s="1"/>
  <c r="F144" i="20" s="1"/>
  <c r="F168" i="20" s="1"/>
  <c r="R52" i="19"/>
  <c r="E55" i="19"/>
  <c r="F55" i="19" s="1"/>
  <c r="G55" i="19" s="1"/>
  <c r="H55" i="19" s="1"/>
  <c r="I55" i="19" s="1"/>
  <c r="J55" i="19" s="1"/>
  <c r="K55" i="19" s="1"/>
  <c r="L55" i="19" s="1"/>
  <c r="G41" i="19"/>
  <c r="E40" i="19"/>
  <c r="T12" i="19"/>
  <c r="F31" i="20" s="1"/>
  <c r="F33" i="20" s="1"/>
  <c r="F57" i="20" s="1"/>
  <c r="S11" i="19"/>
  <c r="E27" i="20" s="1"/>
  <c r="E29" i="20" s="1"/>
  <c r="S10" i="19"/>
  <c r="E23" i="20" s="1"/>
  <c r="S9" i="19"/>
  <c r="E19" i="20" s="1"/>
  <c r="E21" i="20" s="1"/>
  <c r="S8" i="19"/>
  <c r="E15" i="20" s="1"/>
  <c r="L26" i="19"/>
  <c r="K49" i="1"/>
  <c r="J49" i="1" s="1"/>
  <c r="K50" i="1"/>
  <c r="J50" i="1" s="1"/>
  <c r="K51" i="1"/>
  <c r="J51" i="1" s="1"/>
  <c r="K52" i="1"/>
  <c r="J52" i="1" s="1"/>
  <c r="K53" i="1"/>
  <c r="J53" i="1" s="1"/>
  <c r="D7" i="11"/>
  <c r="D6" i="11"/>
  <c r="H27" i="9"/>
  <c r="E652" i="20" l="1"/>
  <c r="D652" i="20"/>
  <c r="AT76" i="19"/>
  <c r="F602" i="20" s="1"/>
  <c r="F604" i="20" s="1"/>
  <c r="F616" i="20" s="1"/>
  <c r="E602" i="20"/>
  <c r="E604" i="20" s="1"/>
  <c r="E616" i="20" s="1"/>
  <c r="AS89" i="19"/>
  <c r="E598" i="20"/>
  <c r="E600" i="20" s="1"/>
  <c r="E615" i="20" s="1"/>
  <c r="AT70" i="19"/>
  <c r="AT84" i="19" s="1"/>
  <c r="E578" i="20"/>
  <c r="E580" i="20" s="1"/>
  <c r="E610" i="20" s="1"/>
  <c r="D619" i="20"/>
  <c r="AS83" i="19"/>
  <c r="E574" i="20"/>
  <c r="E576" i="20" s="1"/>
  <c r="AT68" i="19"/>
  <c r="AT82" i="19" s="1"/>
  <c r="E570" i="20"/>
  <c r="E572" i="20" s="1"/>
  <c r="D658" i="20"/>
  <c r="F652" i="20"/>
  <c r="G652" i="20"/>
  <c r="H652" i="20"/>
  <c r="C619" i="20"/>
  <c r="C662" i="20" s="1"/>
  <c r="C667" i="20" s="1"/>
  <c r="C671" i="20" s="1"/>
  <c r="AS60" i="19"/>
  <c r="E491" i="20"/>
  <c r="E493" i="20" s="1"/>
  <c r="E505" i="20" s="1"/>
  <c r="AS59" i="19"/>
  <c r="E487" i="20"/>
  <c r="E489" i="20" s="1"/>
  <c r="E504" i="20" s="1"/>
  <c r="AS57" i="19"/>
  <c r="E479" i="20"/>
  <c r="E481" i="20" s="1"/>
  <c r="E502" i="20" s="1"/>
  <c r="AU42" i="19"/>
  <c r="AU56" i="19" s="1"/>
  <c r="F475" i="20"/>
  <c r="F477" i="20" s="1"/>
  <c r="F501" i="20" s="1"/>
  <c r="AT40" i="19"/>
  <c r="AT54" i="19" s="1"/>
  <c r="E467" i="20"/>
  <c r="E469" i="20" s="1"/>
  <c r="E499" i="20" s="1"/>
  <c r="AT38" i="19"/>
  <c r="AT52" i="19" s="1"/>
  <c r="E459" i="20"/>
  <c r="E461" i="20" s="1"/>
  <c r="D547" i="20"/>
  <c r="D549" i="20" s="1"/>
  <c r="E544" i="20"/>
  <c r="D508" i="20"/>
  <c r="F526" i="20"/>
  <c r="E541" i="20"/>
  <c r="C508" i="20"/>
  <c r="C551" i="20" s="1"/>
  <c r="C556" i="20" s="1"/>
  <c r="C560" i="20" s="1"/>
  <c r="AS24" i="19"/>
  <c r="E356" i="20"/>
  <c r="E358" i="20" s="1"/>
  <c r="E388" i="20" s="1"/>
  <c r="AT9" i="19"/>
  <c r="AT23" i="19" s="1"/>
  <c r="E352" i="20"/>
  <c r="E354" i="20" s="1"/>
  <c r="AT8" i="19"/>
  <c r="AT22" i="19" s="1"/>
  <c r="E348" i="20"/>
  <c r="E350" i="20" s="1"/>
  <c r="D397" i="20"/>
  <c r="F415" i="20"/>
  <c r="E430" i="20"/>
  <c r="C397" i="20"/>
  <c r="C440" i="20" s="1"/>
  <c r="C445" i="20" s="1"/>
  <c r="C449" i="20" s="1"/>
  <c r="D436" i="20"/>
  <c r="D438" i="20" s="1"/>
  <c r="E433" i="20"/>
  <c r="D284" i="20"/>
  <c r="S89" i="19"/>
  <c r="E265" i="20"/>
  <c r="E267" i="20" s="1"/>
  <c r="E282" i="20" s="1"/>
  <c r="T86" i="19"/>
  <c r="F253" i="20"/>
  <c r="F255" i="20" s="1"/>
  <c r="F279" i="20" s="1"/>
  <c r="T70" i="19"/>
  <c r="T84" i="19" s="1"/>
  <c r="E245" i="20"/>
  <c r="E247" i="20" s="1"/>
  <c r="E277" i="20" s="1"/>
  <c r="S83" i="19"/>
  <c r="E241" i="20"/>
  <c r="E243" i="20" s="1"/>
  <c r="T68" i="19"/>
  <c r="E237" i="20"/>
  <c r="E239" i="20" s="1"/>
  <c r="L281" i="20"/>
  <c r="D325" i="20"/>
  <c r="E322" i="20"/>
  <c r="D286" i="20"/>
  <c r="E306" i="20"/>
  <c r="D319" i="20"/>
  <c r="C286" i="20"/>
  <c r="C329" i="20" s="1"/>
  <c r="C334" i="20" s="1"/>
  <c r="C338" i="20" s="1"/>
  <c r="H304" i="20"/>
  <c r="C216" i="20"/>
  <c r="C218" i="20" s="1"/>
  <c r="C223" i="20" s="1"/>
  <c r="C227" i="20" s="1"/>
  <c r="C229" i="20" s="1"/>
  <c r="C231" i="20" s="1"/>
  <c r="C233" i="20" s="1"/>
  <c r="E208" i="20"/>
  <c r="G208" i="20"/>
  <c r="H208" i="20"/>
  <c r="I193" i="20"/>
  <c r="D214" i="20"/>
  <c r="E211" i="20"/>
  <c r="E172" i="20"/>
  <c r="E162" i="20"/>
  <c r="D208" i="20"/>
  <c r="D216" i="20" s="1"/>
  <c r="D218" i="20" s="1"/>
  <c r="D223" i="20" s="1"/>
  <c r="D227" i="20" s="1"/>
  <c r="E165" i="20"/>
  <c r="D64" i="20"/>
  <c r="C64" i="20"/>
  <c r="C107" i="20" s="1"/>
  <c r="C112" i="20" s="1"/>
  <c r="C116" i="20" s="1"/>
  <c r="D97" i="20"/>
  <c r="D105" i="20" s="1"/>
  <c r="E82" i="20"/>
  <c r="F100" i="20"/>
  <c r="E103" i="20"/>
  <c r="E56" i="20"/>
  <c r="E37" i="20"/>
  <c r="E58" i="20" s="1"/>
  <c r="E25" i="20"/>
  <c r="E55" i="20" s="1"/>
  <c r="T40" i="19"/>
  <c r="F134" i="20" s="1"/>
  <c r="F136" i="20" s="1"/>
  <c r="F166" i="20" s="1"/>
  <c r="T39" i="19"/>
  <c r="S52" i="19"/>
  <c r="E17" i="20"/>
  <c r="E54" i="20" s="1"/>
  <c r="AT75" i="19"/>
  <c r="AT46" i="19"/>
  <c r="AS90" i="19"/>
  <c r="AT45" i="19"/>
  <c r="AT73" i="19"/>
  <c r="F590" i="20" s="1"/>
  <c r="F592" i="20" s="1"/>
  <c r="F613" i="20" s="1"/>
  <c r="AS87" i="19"/>
  <c r="AT43" i="19"/>
  <c r="AT16" i="19"/>
  <c r="F380" i="20" s="1"/>
  <c r="F382" i="20" s="1"/>
  <c r="F394" i="20" s="1"/>
  <c r="AS30" i="19"/>
  <c r="AT13" i="19"/>
  <c r="F368" i="20" s="1"/>
  <c r="F370" i="20" s="1"/>
  <c r="F391" i="20" s="1"/>
  <c r="AS27" i="19"/>
  <c r="AT15" i="19"/>
  <c r="F376" i="20" s="1"/>
  <c r="F378" i="20" s="1"/>
  <c r="F393" i="20" s="1"/>
  <c r="AS29" i="19"/>
  <c r="T75" i="19"/>
  <c r="T73" i="19"/>
  <c r="F257" i="20" s="1"/>
  <c r="F259" i="20" s="1"/>
  <c r="F280" i="20" s="1"/>
  <c r="S87" i="19"/>
  <c r="T76" i="19"/>
  <c r="F269" i="20" s="1"/>
  <c r="F271" i="20" s="1"/>
  <c r="F283" i="20" s="1"/>
  <c r="S90" i="19"/>
  <c r="T46" i="19"/>
  <c r="F158" i="20" s="1"/>
  <c r="F160" i="20" s="1"/>
  <c r="S60" i="19"/>
  <c r="T43" i="19"/>
  <c r="F146" i="20" s="1"/>
  <c r="F148" i="20" s="1"/>
  <c r="F169" i="20" s="1"/>
  <c r="S57" i="19"/>
  <c r="T45" i="19"/>
  <c r="F154" i="20" s="1"/>
  <c r="F156" i="20" s="1"/>
  <c r="F171" i="20" s="1"/>
  <c r="S59" i="19"/>
  <c r="T13" i="19"/>
  <c r="F35" i="20" s="1"/>
  <c r="S27" i="19"/>
  <c r="T16" i="19"/>
  <c r="F47" i="20" s="1"/>
  <c r="F49" i="20" s="1"/>
  <c r="F61" i="20" s="1"/>
  <c r="S30" i="19"/>
  <c r="S29" i="19"/>
  <c r="T15" i="19"/>
  <c r="F43" i="20" s="1"/>
  <c r="F45" i="20" s="1"/>
  <c r="F60" i="20" s="1"/>
  <c r="I15" i="19"/>
  <c r="H13" i="19"/>
  <c r="AT71" i="19"/>
  <c r="AT69" i="19"/>
  <c r="AS82" i="19"/>
  <c r="AU72" i="19"/>
  <c r="AS84" i="19"/>
  <c r="AG70" i="19"/>
  <c r="AH72" i="19"/>
  <c r="AH71" i="19"/>
  <c r="AG68" i="19"/>
  <c r="AG69" i="19"/>
  <c r="AT86" i="19"/>
  <c r="S82" i="19"/>
  <c r="S84" i="19"/>
  <c r="U72" i="19"/>
  <c r="G253" i="20" s="1"/>
  <c r="G255" i="20" s="1"/>
  <c r="G279" i="20" s="1"/>
  <c r="G69" i="19"/>
  <c r="G71" i="19"/>
  <c r="G68" i="19"/>
  <c r="T71" i="19"/>
  <c r="G70" i="19"/>
  <c r="I72" i="19"/>
  <c r="AT56" i="19"/>
  <c r="AS52" i="19"/>
  <c r="T69" i="19"/>
  <c r="AT39" i="19"/>
  <c r="AS54" i="19"/>
  <c r="AH42" i="19"/>
  <c r="AG39" i="19"/>
  <c r="AG41" i="19"/>
  <c r="AG38" i="19"/>
  <c r="AG40" i="19"/>
  <c r="AT41" i="19"/>
  <c r="AT10" i="19"/>
  <c r="AS22" i="19"/>
  <c r="AS23" i="19"/>
  <c r="AU12" i="19"/>
  <c r="AG11" i="19"/>
  <c r="AG10" i="19"/>
  <c r="AT26" i="19"/>
  <c r="AG8" i="19"/>
  <c r="AT11" i="19"/>
  <c r="AI12" i="19"/>
  <c r="AG9" i="19"/>
  <c r="T41" i="19"/>
  <c r="F138" i="20" s="1"/>
  <c r="F140" i="20" s="1"/>
  <c r="F167" i="20" s="1"/>
  <c r="T38" i="19"/>
  <c r="F126" i="20" s="1"/>
  <c r="F128" i="20" s="1"/>
  <c r="S53" i="19"/>
  <c r="S54" i="19"/>
  <c r="F40" i="19"/>
  <c r="H41" i="19"/>
  <c r="U42" i="19"/>
  <c r="G142" i="20" s="1"/>
  <c r="G144" i="20" s="1"/>
  <c r="G168" i="20" s="1"/>
  <c r="T56" i="19"/>
  <c r="G38" i="19"/>
  <c r="G39" i="19"/>
  <c r="I42" i="19"/>
  <c r="U12" i="19"/>
  <c r="G31" i="20" s="1"/>
  <c r="G33" i="20" s="1"/>
  <c r="G57" i="20" s="1"/>
  <c r="T26" i="19"/>
  <c r="T11" i="19"/>
  <c r="F27" i="20" s="1"/>
  <c r="F29" i="20" s="1"/>
  <c r="S25" i="19"/>
  <c r="T10" i="19"/>
  <c r="F23" i="20" s="1"/>
  <c r="S24" i="19"/>
  <c r="T9" i="19"/>
  <c r="F19" i="20" s="1"/>
  <c r="F21" i="20" s="1"/>
  <c r="S23" i="19"/>
  <c r="T8" i="19"/>
  <c r="F15" i="20" s="1"/>
  <c r="S22" i="19"/>
  <c r="F20" i="12"/>
  <c r="F19" i="12"/>
  <c r="F18" i="12"/>
  <c r="J20" i="12"/>
  <c r="J25" i="12" s="1"/>
  <c r="J29" i="12" s="1"/>
  <c r="F17" i="12" s="1"/>
  <c r="D660" i="20" l="1"/>
  <c r="D662" i="20" s="1"/>
  <c r="D667" i="20" s="1"/>
  <c r="D671" i="20" s="1"/>
  <c r="D673" i="20" s="1"/>
  <c r="D675" i="20" s="1"/>
  <c r="AT90" i="19"/>
  <c r="AU76" i="19"/>
  <c r="G602" i="20" s="1"/>
  <c r="G604" i="20" s="1"/>
  <c r="G616" i="20" s="1"/>
  <c r="AU75" i="19"/>
  <c r="G598" i="20" s="1"/>
  <c r="G600" i="20" s="1"/>
  <c r="G615" i="20" s="1"/>
  <c r="F598" i="20"/>
  <c r="F600" i="20" s="1"/>
  <c r="F615" i="20" s="1"/>
  <c r="AV72" i="19"/>
  <c r="AV86" i="19" s="1"/>
  <c r="G586" i="20"/>
  <c r="G588" i="20" s="1"/>
  <c r="G612" i="20" s="1"/>
  <c r="AU71" i="19"/>
  <c r="AU85" i="19" s="1"/>
  <c r="F582" i="20"/>
  <c r="F584" i="20" s="1"/>
  <c r="F611" i="20" s="1"/>
  <c r="AU70" i="19"/>
  <c r="AU84" i="19" s="1"/>
  <c r="F578" i="20"/>
  <c r="F580" i="20" s="1"/>
  <c r="F610" i="20" s="1"/>
  <c r="AU69" i="19"/>
  <c r="AU83" i="19" s="1"/>
  <c r="F574" i="20"/>
  <c r="F576" i="20" s="1"/>
  <c r="AU68" i="19"/>
  <c r="AU82" i="19" s="1"/>
  <c r="F570" i="20"/>
  <c r="F572" i="20" s="1"/>
  <c r="E609" i="20"/>
  <c r="E617" i="20" s="1"/>
  <c r="E606" i="20"/>
  <c r="C673" i="20"/>
  <c r="C675" i="20" s="1"/>
  <c r="C677" i="20" s="1"/>
  <c r="E658" i="20"/>
  <c r="E660" i="20" s="1"/>
  <c r="I652" i="20"/>
  <c r="AU46" i="19"/>
  <c r="G491" i="20" s="1"/>
  <c r="G493" i="20" s="1"/>
  <c r="G505" i="20" s="1"/>
  <c r="F491" i="20"/>
  <c r="F493" i="20" s="1"/>
  <c r="F505" i="20" s="1"/>
  <c r="AT59" i="19"/>
  <c r="F487" i="20"/>
  <c r="F489" i="20" s="1"/>
  <c r="F504" i="20" s="1"/>
  <c r="AU43" i="19"/>
  <c r="G479" i="20" s="1"/>
  <c r="G481" i="20" s="1"/>
  <c r="G502" i="20" s="1"/>
  <c r="F479" i="20"/>
  <c r="F481" i="20" s="1"/>
  <c r="F502" i="20" s="1"/>
  <c r="AV42" i="19"/>
  <c r="AV56" i="19" s="1"/>
  <c r="G475" i="20"/>
  <c r="G477" i="20" s="1"/>
  <c r="G501" i="20" s="1"/>
  <c r="AU41" i="19"/>
  <c r="AU55" i="19" s="1"/>
  <c r="F471" i="20"/>
  <c r="F473" i="20" s="1"/>
  <c r="F500" i="20" s="1"/>
  <c r="AU40" i="19"/>
  <c r="AU54" i="19" s="1"/>
  <c r="F467" i="20"/>
  <c r="F469" i="20" s="1"/>
  <c r="F499" i="20" s="1"/>
  <c r="AU39" i="19"/>
  <c r="AU53" i="19" s="1"/>
  <c r="F463" i="20"/>
  <c r="F465" i="20" s="1"/>
  <c r="E498" i="20"/>
  <c r="E506" i="20" s="1"/>
  <c r="E495" i="20"/>
  <c r="AU38" i="19"/>
  <c r="AU52" i="19" s="1"/>
  <c r="F459" i="20"/>
  <c r="F461" i="20" s="1"/>
  <c r="G526" i="20"/>
  <c r="F541" i="20"/>
  <c r="D551" i="20"/>
  <c r="D556" i="20" s="1"/>
  <c r="D560" i="20" s="1"/>
  <c r="E547" i="20"/>
  <c r="E549" i="20" s="1"/>
  <c r="F544" i="20"/>
  <c r="C562" i="20"/>
  <c r="C564" i="20" s="1"/>
  <c r="C566" i="20" s="1"/>
  <c r="AV12" i="19"/>
  <c r="H364" i="20" s="1"/>
  <c r="H366" i="20" s="1"/>
  <c r="H390" i="20" s="1"/>
  <c r="G364" i="20"/>
  <c r="G366" i="20" s="1"/>
  <c r="G390" i="20" s="1"/>
  <c r="AU11" i="19"/>
  <c r="AU25" i="19" s="1"/>
  <c r="F360" i="20"/>
  <c r="F362" i="20" s="1"/>
  <c r="F389" i="20" s="1"/>
  <c r="AU10" i="19"/>
  <c r="AU24" i="19" s="1"/>
  <c r="F356" i="20"/>
  <c r="F358" i="20" s="1"/>
  <c r="F388" i="20" s="1"/>
  <c r="AU9" i="19"/>
  <c r="AU23" i="19" s="1"/>
  <c r="F352" i="20"/>
  <c r="F354" i="20" s="1"/>
  <c r="E384" i="20"/>
  <c r="E387" i="20"/>
  <c r="E395" i="20" s="1"/>
  <c r="AU8" i="19"/>
  <c r="AU22" i="19" s="1"/>
  <c r="F348" i="20"/>
  <c r="F350" i="20" s="1"/>
  <c r="E436" i="20"/>
  <c r="E438" i="20" s="1"/>
  <c r="F433" i="20"/>
  <c r="G415" i="20"/>
  <c r="F430" i="20"/>
  <c r="D440" i="20"/>
  <c r="D445" i="20" s="1"/>
  <c r="D449" i="20" s="1"/>
  <c r="C451" i="20"/>
  <c r="C453" i="20" s="1"/>
  <c r="C455" i="20" s="1"/>
  <c r="T89" i="19"/>
  <c r="F265" i="20"/>
  <c r="F267" i="20" s="1"/>
  <c r="F282" i="20" s="1"/>
  <c r="U71" i="19"/>
  <c r="U85" i="19" s="1"/>
  <c r="F249" i="20"/>
  <c r="F251" i="20" s="1"/>
  <c r="F278" i="20" s="1"/>
  <c r="U70" i="19"/>
  <c r="U84" i="19" s="1"/>
  <c r="F245" i="20"/>
  <c r="F247" i="20" s="1"/>
  <c r="F277" i="20" s="1"/>
  <c r="U69" i="19"/>
  <c r="U83" i="19" s="1"/>
  <c r="F241" i="20"/>
  <c r="F243" i="20" s="1"/>
  <c r="E276" i="20"/>
  <c r="E284" i="20" s="1"/>
  <c r="E273" i="20"/>
  <c r="U68" i="19"/>
  <c r="U82" i="19" s="1"/>
  <c r="F237" i="20"/>
  <c r="F239" i="20" s="1"/>
  <c r="T82" i="19"/>
  <c r="C340" i="20"/>
  <c r="C342" i="20" s="1"/>
  <c r="C344" i="20" s="1"/>
  <c r="D327" i="20"/>
  <c r="D329" i="20" s="1"/>
  <c r="D334" i="20" s="1"/>
  <c r="D338" i="20" s="1"/>
  <c r="F306" i="20"/>
  <c r="E319" i="20"/>
  <c r="E325" i="20"/>
  <c r="F322" i="20"/>
  <c r="I304" i="20"/>
  <c r="E173" i="20"/>
  <c r="E175" i="20" s="1"/>
  <c r="D229" i="20"/>
  <c r="D231" i="20" s="1"/>
  <c r="D233" i="20" s="1"/>
  <c r="E214" i="20"/>
  <c r="E216" i="20" s="1"/>
  <c r="F211" i="20"/>
  <c r="F172" i="20"/>
  <c r="I208" i="20"/>
  <c r="J193" i="20"/>
  <c r="T53" i="19"/>
  <c r="F130" i="20"/>
  <c r="F132" i="20" s="1"/>
  <c r="F162" i="20" s="1"/>
  <c r="C118" i="20"/>
  <c r="C120" i="20"/>
  <c r="C122" i="20" s="1"/>
  <c r="D107" i="20"/>
  <c r="D112" i="20" s="1"/>
  <c r="D116" i="20" s="1"/>
  <c r="F103" i="20"/>
  <c r="G100" i="20"/>
  <c r="E97" i="20"/>
  <c r="E105" i="20" s="1"/>
  <c r="F82" i="20"/>
  <c r="E62" i="20"/>
  <c r="F56" i="20"/>
  <c r="F25" i="20"/>
  <c r="F55" i="20" s="1"/>
  <c r="F37" i="20"/>
  <c r="F58" i="20" s="1"/>
  <c r="E51" i="20"/>
  <c r="U41" i="19"/>
  <c r="U40" i="19"/>
  <c r="G134" i="20" s="1"/>
  <c r="G136" i="20" s="1"/>
  <c r="G166" i="20" s="1"/>
  <c r="U39" i="19"/>
  <c r="U38" i="19"/>
  <c r="F17" i="20"/>
  <c r="F54" i="20" s="1"/>
  <c r="AT60" i="19"/>
  <c r="AT89" i="19"/>
  <c r="AU45" i="19"/>
  <c r="AT57" i="19"/>
  <c r="AS91" i="19"/>
  <c r="AS61" i="19"/>
  <c r="S61" i="19"/>
  <c r="AS31" i="19"/>
  <c r="S91" i="19"/>
  <c r="S31" i="19"/>
  <c r="AT87" i="19"/>
  <c r="AU73" i="19"/>
  <c r="G590" i="20" s="1"/>
  <c r="G592" i="20" s="1"/>
  <c r="G613" i="20" s="1"/>
  <c r="AU15" i="19"/>
  <c r="G376" i="20" s="1"/>
  <c r="G378" i="20" s="1"/>
  <c r="G393" i="20" s="1"/>
  <c r="AT29" i="19"/>
  <c r="AU13" i="19"/>
  <c r="G368" i="20" s="1"/>
  <c r="G370" i="20" s="1"/>
  <c r="G391" i="20" s="1"/>
  <c r="AT27" i="19"/>
  <c r="AU16" i="19"/>
  <c r="G380" i="20" s="1"/>
  <c r="G382" i="20" s="1"/>
  <c r="G394" i="20" s="1"/>
  <c r="AT30" i="19"/>
  <c r="U75" i="19"/>
  <c r="U76" i="19"/>
  <c r="G269" i="20" s="1"/>
  <c r="G271" i="20" s="1"/>
  <c r="G283" i="20" s="1"/>
  <c r="T90" i="19"/>
  <c r="U73" i="19"/>
  <c r="G257" i="20" s="1"/>
  <c r="G259" i="20" s="1"/>
  <c r="G280" i="20" s="1"/>
  <c r="T87" i="19"/>
  <c r="U43" i="19"/>
  <c r="G146" i="20" s="1"/>
  <c r="G148" i="20" s="1"/>
  <c r="G169" i="20" s="1"/>
  <c r="T57" i="19"/>
  <c r="U46" i="19"/>
  <c r="G158" i="20" s="1"/>
  <c r="G160" i="20" s="1"/>
  <c r="T60" i="19"/>
  <c r="U45" i="19"/>
  <c r="G154" i="20" s="1"/>
  <c r="G156" i="20" s="1"/>
  <c r="G171" i="20" s="1"/>
  <c r="T59" i="19"/>
  <c r="U13" i="19"/>
  <c r="G35" i="20" s="1"/>
  <c r="T27" i="19"/>
  <c r="U16" i="19"/>
  <c r="G47" i="20" s="1"/>
  <c r="G49" i="20" s="1"/>
  <c r="G61" i="20" s="1"/>
  <c r="T30" i="19"/>
  <c r="T29" i="19"/>
  <c r="U15" i="19"/>
  <c r="G43" i="20" s="1"/>
  <c r="G45" i="20" s="1"/>
  <c r="G60" i="20" s="1"/>
  <c r="J15" i="19"/>
  <c r="I13" i="19"/>
  <c r="AT83" i="19"/>
  <c r="AT85" i="19"/>
  <c r="AU86" i="19"/>
  <c r="AH69" i="19"/>
  <c r="AI71" i="19"/>
  <c r="AI72" i="19"/>
  <c r="AH68" i="19"/>
  <c r="AH70" i="19"/>
  <c r="V72" i="19"/>
  <c r="H253" i="20" s="1"/>
  <c r="H255" i="20" s="1"/>
  <c r="H279" i="20" s="1"/>
  <c r="U86" i="19"/>
  <c r="J72" i="19"/>
  <c r="H68" i="19"/>
  <c r="H71" i="19"/>
  <c r="T85" i="19"/>
  <c r="T83" i="19"/>
  <c r="H70" i="19"/>
  <c r="H69" i="19"/>
  <c r="AT53" i="19"/>
  <c r="AH40" i="19"/>
  <c r="AH38" i="19"/>
  <c r="AH41" i="19"/>
  <c r="AT55" i="19"/>
  <c r="AH39" i="19"/>
  <c r="AI42" i="19"/>
  <c r="AU26" i="19"/>
  <c r="AT24" i="19"/>
  <c r="AH10" i="19"/>
  <c r="AT25" i="19"/>
  <c r="AH9" i="19"/>
  <c r="AJ12" i="19"/>
  <c r="AH8" i="19"/>
  <c r="AH11" i="19"/>
  <c r="T52" i="19"/>
  <c r="T55" i="19"/>
  <c r="H38" i="19"/>
  <c r="H39" i="19"/>
  <c r="V42" i="19"/>
  <c r="H142" i="20" s="1"/>
  <c r="H144" i="20" s="1"/>
  <c r="H168" i="20" s="1"/>
  <c r="U56" i="19"/>
  <c r="I41" i="19"/>
  <c r="G40" i="19"/>
  <c r="T54" i="19"/>
  <c r="J42" i="19"/>
  <c r="V12" i="19"/>
  <c r="H31" i="20" s="1"/>
  <c r="H33" i="20" s="1"/>
  <c r="H57" i="20" s="1"/>
  <c r="U26" i="19"/>
  <c r="U11" i="19"/>
  <c r="G27" i="20" s="1"/>
  <c r="G29" i="20" s="1"/>
  <c r="T25" i="19"/>
  <c r="U10" i="19"/>
  <c r="G23" i="20" s="1"/>
  <c r="T24" i="19"/>
  <c r="U9" i="19"/>
  <c r="G19" i="20" s="1"/>
  <c r="G21" i="20" s="1"/>
  <c r="T23" i="19"/>
  <c r="U8" i="19"/>
  <c r="G15" i="20" s="1"/>
  <c r="T22" i="19"/>
  <c r="C128" i="7"/>
  <c r="C127" i="7"/>
  <c r="D127" i="7" s="1"/>
  <c r="E127" i="7" s="1"/>
  <c r="F127" i="7" s="1"/>
  <c r="G127" i="7" s="1"/>
  <c r="H127" i="7" s="1"/>
  <c r="I127" i="7" s="1"/>
  <c r="J127" i="7" s="1"/>
  <c r="K127" i="7" s="1"/>
  <c r="L127" i="7" s="1"/>
  <c r="C122" i="7"/>
  <c r="D122" i="7" s="1"/>
  <c r="E122" i="7" s="1"/>
  <c r="F122" i="7" s="1"/>
  <c r="G122" i="7" s="1"/>
  <c r="H122" i="7" s="1"/>
  <c r="I122" i="7" s="1"/>
  <c r="J122" i="7" s="1"/>
  <c r="K122" i="7" s="1"/>
  <c r="L122" i="7" s="1"/>
  <c r="C121" i="7"/>
  <c r="D121" i="7" s="1"/>
  <c r="E121" i="7" s="1"/>
  <c r="F121" i="7" s="1"/>
  <c r="G121" i="7" s="1"/>
  <c r="H121" i="7" s="1"/>
  <c r="I121" i="7" s="1"/>
  <c r="J121" i="7" s="1"/>
  <c r="K121" i="7" s="1"/>
  <c r="L121" i="7" s="1"/>
  <c r="C119" i="7"/>
  <c r="D119" i="7" s="1"/>
  <c r="E119" i="7" s="1"/>
  <c r="F119" i="7" s="1"/>
  <c r="G119" i="7" s="1"/>
  <c r="H119" i="7" s="1"/>
  <c r="I119" i="7" s="1"/>
  <c r="J119" i="7" s="1"/>
  <c r="K119" i="7" s="1"/>
  <c r="L119" i="7" s="1"/>
  <c r="C116" i="7"/>
  <c r="D116" i="7" s="1"/>
  <c r="E116" i="7" s="1"/>
  <c r="F116" i="7" s="1"/>
  <c r="G116" i="7" s="1"/>
  <c r="H116" i="7" s="1"/>
  <c r="I116" i="7" s="1"/>
  <c r="J116" i="7" s="1"/>
  <c r="K116" i="7" s="1"/>
  <c r="L116" i="7" s="1"/>
  <c r="C115" i="7"/>
  <c r="D115" i="7" s="1"/>
  <c r="E115" i="7" s="1"/>
  <c r="F115" i="7" s="1"/>
  <c r="G115" i="7" s="1"/>
  <c r="H115" i="7" s="1"/>
  <c r="I115" i="7" s="1"/>
  <c r="J115" i="7" s="1"/>
  <c r="K115" i="7" s="1"/>
  <c r="L115" i="7" s="1"/>
  <c r="C103" i="7"/>
  <c r="C102" i="7"/>
  <c r="C101" i="7"/>
  <c r="C100" i="7"/>
  <c r="C99" i="7"/>
  <c r="C97" i="7"/>
  <c r="E34" i="7"/>
  <c r="D28" i="7"/>
  <c r="E28" i="7" s="1"/>
  <c r="F28" i="7" s="1"/>
  <c r="G28" i="7" s="1"/>
  <c r="H28" i="7" s="1"/>
  <c r="I28" i="7" s="1"/>
  <c r="J28" i="7" s="1"/>
  <c r="K28" i="7" s="1"/>
  <c r="L28" i="7" s="1"/>
  <c r="D16" i="7"/>
  <c r="E16" i="7" s="1"/>
  <c r="F16" i="7" s="1"/>
  <c r="G16" i="7" s="1"/>
  <c r="H16" i="7" s="1"/>
  <c r="I16" i="7" s="1"/>
  <c r="J16" i="7" s="1"/>
  <c r="K16" i="7" s="1"/>
  <c r="L16" i="7" s="1"/>
  <c r="C64" i="7"/>
  <c r="D64" i="7" s="1"/>
  <c r="C63" i="7"/>
  <c r="D63" i="7" s="1"/>
  <c r="E63" i="7" s="1"/>
  <c r="F63" i="7" s="1"/>
  <c r="G63" i="7" s="1"/>
  <c r="H63" i="7" s="1"/>
  <c r="I63" i="7" s="1"/>
  <c r="J63" i="7" s="1"/>
  <c r="K63" i="7" s="1"/>
  <c r="L63" i="7" s="1"/>
  <c r="C58" i="7"/>
  <c r="D58" i="7" s="1"/>
  <c r="C57" i="7"/>
  <c r="D57" i="7" s="1"/>
  <c r="E57" i="7" s="1"/>
  <c r="F57" i="7" s="1"/>
  <c r="G57" i="7" s="1"/>
  <c r="H57" i="7" s="1"/>
  <c r="I57" i="7" s="1"/>
  <c r="J57" i="7" s="1"/>
  <c r="K57" i="7" s="1"/>
  <c r="L57" i="7" s="1"/>
  <c r="C52" i="7"/>
  <c r="D52" i="7" s="1"/>
  <c r="C51" i="7"/>
  <c r="D51" i="7" s="1"/>
  <c r="E51" i="7" s="1"/>
  <c r="F51" i="7" s="1"/>
  <c r="G51" i="7" s="1"/>
  <c r="H51" i="7" s="1"/>
  <c r="I51" i="7" s="1"/>
  <c r="J51" i="7" s="1"/>
  <c r="K51" i="7" s="1"/>
  <c r="L51" i="7" s="1"/>
  <c r="C46" i="7"/>
  <c r="D46" i="7" s="1"/>
  <c r="C45" i="7"/>
  <c r="D45" i="7" s="1"/>
  <c r="E45" i="7" s="1"/>
  <c r="F45" i="7" s="1"/>
  <c r="G45" i="7" s="1"/>
  <c r="H45" i="7" s="1"/>
  <c r="I45" i="7" s="1"/>
  <c r="J45" i="7" s="1"/>
  <c r="K45" i="7" s="1"/>
  <c r="L45" i="7" s="1"/>
  <c r="C40" i="7"/>
  <c r="D40" i="7" s="1"/>
  <c r="C39" i="7"/>
  <c r="D39" i="7" s="1"/>
  <c r="E39" i="7" s="1"/>
  <c r="F39" i="7" s="1"/>
  <c r="G39" i="7" s="1"/>
  <c r="H39" i="7" s="1"/>
  <c r="I39" i="7" s="1"/>
  <c r="J39" i="7" s="1"/>
  <c r="K39" i="7" s="1"/>
  <c r="L39" i="7" s="1"/>
  <c r="F34" i="7"/>
  <c r="G34" i="7" s="1"/>
  <c r="H34" i="7" s="1"/>
  <c r="I34" i="7" s="1"/>
  <c r="J34" i="7" s="1"/>
  <c r="K34" i="7" s="1"/>
  <c r="L34" i="7" s="1"/>
  <c r="C22" i="7"/>
  <c r="G18" i="1"/>
  <c r="C118" i="7" s="1"/>
  <c r="D118" i="7" s="1"/>
  <c r="E118" i="7" s="1"/>
  <c r="F118" i="7" s="1"/>
  <c r="G118" i="7" s="1"/>
  <c r="H118" i="7" s="1"/>
  <c r="I118" i="7" s="1"/>
  <c r="J118" i="7" s="1"/>
  <c r="K118" i="7" s="1"/>
  <c r="L118" i="7" s="1"/>
  <c r="AU90" i="19" l="1"/>
  <c r="AV76" i="19"/>
  <c r="H602" i="20" s="1"/>
  <c r="H604" i="20" s="1"/>
  <c r="H616" i="20" s="1"/>
  <c r="AU89" i="19"/>
  <c r="AV75" i="19"/>
  <c r="H598" i="20" s="1"/>
  <c r="H600" i="20" s="1"/>
  <c r="H615" i="20" s="1"/>
  <c r="AW72" i="19"/>
  <c r="AW86" i="19" s="1"/>
  <c r="H586" i="20"/>
  <c r="H588" i="20" s="1"/>
  <c r="H612" i="20" s="1"/>
  <c r="AV71" i="19"/>
  <c r="G582" i="20"/>
  <c r="G584" i="20" s="1"/>
  <c r="G611" i="20" s="1"/>
  <c r="AV70" i="19"/>
  <c r="AV84" i="19" s="1"/>
  <c r="G578" i="20"/>
  <c r="G580" i="20" s="1"/>
  <c r="G610" i="20" s="1"/>
  <c r="E619" i="20"/>
  <c r="E662" i="20" s="1"/>
  <c r="E667" i="20" s="1"/>
  <c r="E671" i="20" s="1"/>
  <c r="E673" i="20" s="1"/>
  <c r="E675" i="20" s="1"/>
  <c r="AV69" i="19"/>
  <c r="AV83" i="19" s="1"/>
  <c r="G574" i="20"/>
  <c r="G576" i="20" s="1"/>
  <c r="D677" i="20"/>
  <c r="F609" i="20"/>
  <c r="F617" i="20" s="1"/>
  <c r="F606" i="20"/>
  <c r="AV68" i="19"/>
  <c r="G570" i="20"/>
  <c r="G572" i="20" s="1"/>
  <c r="F658" i="20"/>
  <c r="F660" i="20" s="1"/>
  <c r="J652" i="20"/>
  <c r="AV43" i="19"/>
  <c r="H479" i="20" s="1"/>
  <c r="H481" i="20" s="1"/>
  <c r="H502" i="20" s="1"/>
  <c r="AV46" i="19"/>
  <c r="H491" i="20" s="1"/>
  <c r="H493" i="20" s="1"/>
  <c r="H505" i="20" s="1"/>
  <c r="AU60" i="19"/>
  <c r="AU59" i="19"/>
  <c r="G487" i="20"/>
  <c r="G489" i="20" s="1"/>
  <c r="G504" i="20" s="1"/>
  <c r="AU57" i="19"/>
  <c r="AW42" i="19"/>
  <c r="AW56" i="19" s="1"/>
  <c r="H475" i="20"/>
  <c r="H477" i="20" s="1"/>
  <c r="H501" i="20" s="1"/>
  <c r="AV41" i="19"/>
  <c r="AV55" i="19" s="1"/>
  <c r="G471" i="20"/>
  <c r="G473" i="20" s="1"/>
  <c r="G500" i="20" s="1"/>
  <c r="AV40" i="19"/>
  <c r="AV54" i="19" s="1"/>
  <c r="G467" i="20"/>
  <c r="G469" i="20" s="1"/>
  <c r="G499" i="20" s="1"/>
  <c r="AV39" i="19"/>
  <c r="AV53" i="19" s="1"/>
  <c r="G463" i="20"/>
  <c r="G465" i="20" s="1"/>
  <c r="E508" i="20"/>
  <c r="E551" i="20" s="1"/>
  <c r="E556" i="20" s="1"/>
  <c r="E560" i="20" s="1"/>
  <c r="E562" i="20" s="1"/>
  <c r="E564" i="20" s="1"/>
  <c r="F498" i="20"/>
  <c r="F506" i="20" s="1"/>
  <c r="F495" i="20"/>
  <c r="AV38" i="19"/>
  <c r="AV52" i="19" s="1"/>
  <c r="G459" i="20"/>
  <c r="G461" i="20" s="1"/>
  <c r="F547" i="20"/>
  <c r="F549" i="20" s="1"/>
  <c r="G544" i="20"/>
  <c r="D562" i="20"/>
  <c r="D564" i="20" s="1"/>
  <c r="D566" i="20" s="1"/>
  <c r="H526" i="20"/>
  <c r="G541" i="20"/>
  <c r="AV26" i="19"/>
  <c r="AW12" i="19"/>
  <c r="AX12" i="19" s="1"/>
  <c r="AX26" i="19" s="1"/>
  <c r="AV11" i="19"/>
  <c r="AV25" i="19" s="1"/>
  <c r="G360" i="20"/>
  <c r="G362" i="20" s="1"/>
  <c r="G389" i="20" s="1"/>
  <c r="AV10" i="19"/>
  <c r="AV24" i="19" s="1"/>
  <c r="G356" i="20"/>
  <c r="G358" i="20" s="1"/>
  <c r="G388" i="20" s="1"/>
  <c r="AV9" i="19"/>
  <c r="AV23" i="19" s="1"/>
  <c r="G352" i="20"/>
  <c r="G354" i="20" s="1"/>
  <c r="F387" i="20"/>
  <c r="F395" i="20" s="1"/>
  <c r="F384" i="20"/>
  <c r="AV8" i="19"/>
  <c r="AV22" i="19" s="1"/>
  <c r="G348" i="20"/>
  <c r="G350" i="20" s="1"/>
  <c r="E397" i="20"/>
  <c r="E440" i="20" s="1"/>
  <c r="E445" i="20" s="1"/>
  <c r="E449" i="20" s="1"/>
  <c r="D451" i="20"/>
  <c r="D453" i="20" s="1"/>
  <c r="D455" i="20" s="1"/>
  <c r="H415" i="20"/>
  <c r="G430" i="20"/>
  <c r="F436" i="20"/>
  <c r="F438" i="20" s="1"/>
  <c r="G433" i="20"/>
  <c r="E327" i="20"/>
  <c r="E218" i="20"/>
  <c r="E223" i="20" s="1"/>
  <c r="E227" i="20" s="1"/>
  <c r="E229" i="20" s="1"/>
  <c r="E231" i="20" s="1"/>
  <c r="E233" i="20" s="1"/>
  <c r="V75" i="19"/>
  <c r="H265" i="20" s="1"/>
  <c r="H267" i="20" s="1"/>
  <c r="H282" i="20" s="1"/>
  <c r="G265" i="20"/>
  <c r="G267" i="20" s="1"/>
  <c r="G282" i="20" s="1"/>
  <c r="V71" i="19"/>
  <c r="V85" i="19" s="1"/>
  <c r="G249" i="20"/>
  <c r="G251" i="20" s="1"/>
  <c r="G278" i="20" s="1"/>
  <c r="V70" i="19"/>
  <c r="V84" i="19" s="1"/>
  <c r="G245" i="20"/>
  <c r="G247" i="20" s="1"/>
  <c r="G277" i="20" s="1"/>
  <c r="V69" i="19"/>
  <c r="V83" i="19" s="1"/>
  <c r="G241" i="20"/>
  <c r="G243" i="20" s="1"/>
  <c r="F273" i="20"/>
  <c r="F276" i="20"/>
  <c r="F284" i="20" s="1"/>
  <c r="V68" i="19"/>
  <c r="V82" i="19" s="1"/>
  <c r="G237" i="20"/>
  <c r="G239" i="20" s="1"/>
  <c r="E286" i="20"/>
  <c r="E329" i="20" s="1"/>
  <c r="E334" i="20" s="1"/>
  <c r="E338" i="20" s="1"/>
  <c r="E340" i="20" s="1"/>
  <c r="E342" i="20" s="1"/>
  <c r="G306" i="20"/>
  <c r="F319" i="20"/>
  <c r="D340" i="20"/>
  <c r="D342" i="20" s="1"/>
  <c r="D344" i="20" s="1"/>
  <c r="J304" i="20"/>
  <c r="F325" i="20"/>
  <c r="G322" i="20"/>
  <c r="F165" i="20"/>
  <c r="F173" i="20" s="1"/>
  <c r="F175" i="20" s="1"/>
  <c r="G172" i="20"/>
  <c r="F214" i="20"/>
  <c r="F216" i="20" s="1"/>
  <c r="G211" i="20"/>
  <c r="J208" i="20"/>
  <c r="K193" i="20"/>
  <c r="U52" i="19"/>
  <c r="G126" i="20"/>
  <c r="G128" i="20" s="1"/>
  <c r="U53" i="19"/>
  <c r="G130" i="20"/>
  <c r="G132" i="20" s="1"/>
  <c r="U55" i="19"/>
  <c r="G138" i="20"/>
  <c r="G140" i="20" s="1"/>
  <c r="G167" i="20" s="1"/>
  <c r="D118" i="20"/>
  <c r="D120" i="20" s="1"/>
  <c r="D122" i="20" s="1"/>
  <c r="F62" i="20"/>
  <c r="E64" i="20"/>
  <c r="E107" i="20" s="1"/>
  <c r="E112" i="20" s="1"/>
  <c r="E116" i="20" s="1"/>
  <c r="F97" i="20"/>
  <c r="F105" i="20" s="1"/>
  <c r="G82" i="20"/>
  <c r="H100" i="20"/>
  <c r="G103" i="20"/>
  <c r="G56" i="20"/>
  <c r="G25" i="20"/>
  <c r="G55" i="20" s="1"/>
  <c r="G37" i="20"/>
  <c r="G58" i="20" s="1"/>
  <c r="F51" i="20"/>
  <c r="V41" i="19"/>
  <c r="H138" i="20" s="1"/>
  <c r="H140" i="20" s="1"/>
  <c r="H167" i="20" s="1"/>
  <c r="V40" i="19"/>
  <c r="H134" i="20" s="1"/>
  <c r="H136" i="20" s="1"/>
  <c r="H166" i="20" s="1"/>
  <c r="V39" i="19"/>
  <c r="V38" i="19"/>
  <c r="G17" i="20"/>
  <c r="G54" i="20" s="1"/>
  <c r="AV45" i="19"/>
  <c r="T91" i="19"/>
  <c r="AT91" i="19"/>
  <c r="AT61" i="19"/>
  <c r="AT31" i="19"/>
  <c r="U89" i="19"/>
  <c r="T61" i="19"/>
  <c r="T31" i="19"/>
  <c r="AV73" i="19"/>
  <c r="H590" i="20" s="1"/>
  <c r="H592" i="20" s="1"/>
  <c r="H613" i="20" s="1"/>
  <c r="AU87" i="19"/>
  <c r="AV16" i="19"/>
  <c r="H380" i="20" s="1"/>
  <c r="H382" i="20" s="1"/>
  <c r="H394" i="20" s="1"/>
  <c r="AU30" i="19"/>
  <c r="AV13" i="19"/>
  <c r="H368" i="20" s="1"/>
  <c r="H370" i="20" s="1"/>
  <c r="H391" i="20" s="1"/>
  <c r="AU27" i="19"/>
  <c r="AV15" i="19"/>
  <c r="H376" i="20" s="1"/>
  <c r="H378" i="20" s="1"/>
  <c r="H393" i="20" s="1"/>
  <c r="AU29" i="19"/>
  <c r="V73" i="19"/>
  <c r="H257" i="20" s="1"/>
  <c r="H259" i="20" s="1"/>
  <c r="H280" i="20" s="1"/>
  <c r="U87" i="19"/>
  <c r="V76" i="19"/>
  <c r="H269" i="20" s="1"/>
  <c r="H271" i="20" s="1"/>
  <c r="H283" i="20" s="1"/>
  <c r="U90" i="19"/>
  <c r="V45" i="19"/>
  <c r="H154" i="20" s="1"/>
  <c r="H156" i="20" s="1"/>
  <c r="H171" i="20" s="1"/>
  <c r="U59" i="19"/>
  <c r="V46" i="19"/>
  <c r="H158" i="20" s="1"/>
  <c r="H160" i="20" s="1"/>
  <c r="U60" i="19"/>
  <c r="V43" i="19"/>
  <c r="H146" i="20" s="1"/>
  <c r="H148" i="20" s="1"/>
  <c r="H169" i="20" s="1"/>
  <c r="U57" i="19"/>
  <c r="V13" i="19"/>
  <c r="H35" i="20" s="1"/>
  <c r="U27" i="19"/>
  <c r="U30" i="19"/>
  <c r="V16" i="19"/>
  <c r="H47" i="20" s="1"/>
  <c r="H49" i="20" s="1"/>
  <c r="H61" i="20" s="1"/>
  <c r="V15" i="19"/>
  <c r="H43" i="20" s="1"/>
  <c r="H45" i="20" s="1"/>
  <c r="H60" i="20" s="1"/>
  <c r="U29" i="19"/>
  <c r="K15" i="19"/>
  <c r="J13" i="19"/>
  <c r="AI70" i="19"/>
  <c r="AI68" i="19"/>
  <c r="AJ72" i="19"/>
  <c r="AJ71" i="19"/>
  <c r="AI69" i="19"/>
  <c r="W72" i="19"/>
  <c r="I253" i="20" s="1"/>
  <c r="I255" i="20" s="1"/>
  <c r="I279" i="20" s="1"/>
  <c r="V86" i="19"/>
  <c r="I70" i="19"/>
  <c r="I71" i="19"/>
  <c r="I69" i="19"/>
  <c r="I68" i="19"/>
  <c r="K72" i="19"/>
  <c r="AI39" i="19"/>
  <c r="AJ42" i="19"/>
  <c r="AI41" i="19"/>
  <c r="AI38" i="19"/>
  <c r="AI40" i="19"/>
  <c r="AI11" i="19"/>
  <c r="AI8" i="19"/>
  <c r="AK12" i="19"/>
  <c r="AI9" i="19"/>
  <c r="AI10" i="19"/>
  <c r="J41" i="19"/>
  <c r="W42" i="19"/>
  <c r="I142" i="20" s="1"/>
  <c r="I144" i="20" s="1"/>
  <c r="I168" i="20" s="1"/>
  <c r="V56" i="19"/>
  <c r="I39" i="19"/>
  <c r="I38" i="19"/>
  <c r="K42" i="19"/>
  <c r="H40" i="19"/>
  <c r="U54" i="19"/>
  <c r="W12" i="19"/>
  <c r="I31" i="20" s="1"/>
  <c r="I33" i="20" s="1"/>
  <c r="I57" i="20" s="1"/>
  <c r="V26" i="19"/>
  <c r="V11" i="19"/>
  <c r="H27" i="20" s="1"/>
  <c r="H29" i="20" s="1"/>
  <c r="U25" i="19"/>
  <c r="V10" i="19"/>
  <c r="H23" i="20" s="1"/>
  <c r="U24" i="19"/>
  <c r="V9" i="19"/>
  <c r="H19" i="20" s="1"/>
  <c r="H21" i="20" s="1"/>
  <c r="U23" i="19"/>
  <c r="V8" i="19"/>
  <c r="H15" i="20" s="1"/>
  <c r="U22" i="19"/>
  <c r="D7" i="1"/>
  <c r="B2" i="14"/>
  <c r="B1" i="14"/>
  <c r="B2" i="13"/>
  <c r="B1" i="13"/>
  <c r="B2" i="12"/>
  <c r="B1" i="12"/>
  <c r="B2" i="11"/>
  <c r="B1" i="11"/>
  <c r="B2" i="10"/>
  <c r="B1" i="10"/>
  <c r="B2" i="9"/>
  <c r="B1" i="9"/>
  <c r="B2" i="8"/>
  <c r="B1" i="8"/>
  <c r="B2" i="7"/>
  <c r="B1" i="7"/>
  <c r="B2" i="6"/>
  <c r="B1" i="6"/>
  <c r="B2" i="5"/>
  <c r="B1" i="5"/>
  <c r="B2" i="4"/>
  <c r="B1" i="4"/>
  <c r="B2" i="3"/>
  <c r="B1" i="3"/>
  <c r="B2" i="1"/>
  <c r="B1" i="1"/>
  <c r="H38" i="14"/>
  <c r="C38" i="14"/>
  <c r="C36" i="14" s="1"/>
  <c r="F36" i="14" s="1"/>
  <c r="E37" i="14"/>
  <c r="E36" i="14"/>
  <c r="E35" i="14"/>
  <c r="E34" i="14"/>
  <c r="E25" i="14"/>
  <c r="E24" i="14"/>
  <c r="C23" i="14"/>
  <c r="E23" i="14" s="1"/>
  <c r="C22" i="14"/>
  <c r="C17" i="14"/>
  <c r="C13" i="14"/>
  <c r="C12" i="14"/>
  <c r="C11" i="14"/>
  <c r="C23" i="13"/>
  <c r="A23" i="13"/>
  <c r="C22" i="13"/>
  <c r="A22" i="13"/>
  <c r="C21" i="13"/>
  <c r="A21" i="13"/>
  <c r="A20" i="13"/>
  <c r="C16" i="13"/>
  <c r="A16" i="13"/>
  <c r="C15" i="13"/>
  <c r="A15" i="13"/>
  <c r="E14" i="13" s="1"/>
  <c r="C14" i="13"/>
  <c r="A14" i="13"/>
  <c r="C13" i="13"/>
  <c r="A13" i="13"/>
  <c r="E13" i="13" s="1"/>
  <c r="D12" i="13"/>
  <c r="C9" i="13"/>
  <c r="C8" i="13"/>
  <c r="C7" i="13"/>
  <c r="C12" i="13" s="1"/>
  <c r="C19" i="13" s="1"/>
  <c r="F24" i="12"/>
  <c r="F23" i="12"/>
  <c r="G33" i="11"/>
  <c r="Q19" i="10"/>
  <c r="Q14" i="10"/>
  <c r="P14" i="10"/>
  <c r="O14" i="10"/>
  <c r="N14" i="10"/>
  <c r="M14" i="10"/>
  <c r="L14" i="10"/>
  <c r="K14" i="10"/>
  <c r="J14" i="10"/>
  <c r="Q11" i="10"/>
  <c r="P11" i="10"/>
  <c r="O11" i="10"/>
  <c r="N11" i="10"/>
  <c r="M11" i="10"/>
  <c r="L11" i="10"/>
  <c r="K11" i="10"/>
  <c r="J11" i="10"/>
  <c r="I11" i="10"/>
  <c r="H11" i="10"/>
  <c r="I7" i="10"/>
  <c r="J7" i="10" s="1"/>
  <c r="K7" i="10" s="1"/>
  <c r="L7" i="10" s="1"/>
  <c r="M7" i="10" s="1"/>
  <c r="N7" i="10" s="1"/>
  <c r="O7" i="10" s="1"/>
  <c r="P7" i="10" s="1"/>
  <c r="Q7" i="10" s="1"/>
  <c r="L3" i="10"/>
  <c r="Q22" i="9"/>
  <c r="P22" i="9"/>
  <c r="O22" i="9"/>
  <c r="N22" i="9"/>
  <c r="M22" i="9"/>
  <c r="L22" i="9"/>
  <c r="K22" i="9"/>
  <c r="J22" i="9"/>
  <c r="I22" i="9"/>
  <c r="I35" i="8"/>
  <c r="J35" i="8" s="1"/>
  <c r="Q27" i="8"/>
  <c r="P27" i="8"/>
  <c r="O27" i="8"/>
  <c r="N27" i="8"/>
  <c r="M27" i="8"/>
  <c r="L27" i="8"/>
  <c r="K27" i="8"/>
  <c r="J27" i="8"/>
  <c r="I27" i="8"/>
  <c r="H27" i="8"/>
  <c r="D128" i="7"/>
  <c r="E128" i="7" s="1"/>
  <c r="F128" i="7" s="1"/>
  <c r="G128" i="7" s="1"/>
  <c r="H128" i="7" s="1"/>
  <c r="I128" i="7" s="1"/>
  <c r="J128" i="7" s="1"/>
  <c r="K128" i="7" s="1"/>
  <c r="L128" i="7" s="1"/>
  <c r="L105" i="7"/>
  <c r="K105" i="7"/>
  <c r="J105" i="7"/>
  <c r="I105" i="7"/>
  <c r="H105" i="7"/>
  <c r="G105" i="7"/>
  <c r="F105" i="7"/>
  <c r="E105" i="7"/>
  <c r="D105" i="7"/>
  <c r="E64" i="7"/>
  <c r="F64" i="7" s="1"/>
  <c r="G64" i="7" s="1"/>
  <c r="H64" i="7" s="1"/>
  <c r="I64" i="7" s="1"/>
  <c r="J64" i="7" s="1"/>
  <c r="K64" i="7" s="1"/>
  <c r="L64" i="7" s="1"/>
  <c r="E58" i="7"/>
  <c r="F58" i="7" s="1"/>
  <c r="G58" i="7" s="1"/>
  <c r="H58" i="7" s="1"/>
  <c r="I58" i="7" s="1"/>
  <c r="J58" i="7" s="1"/>
  <c r="K58" i="7" s="1"/>
  <c r="L58" i="7" s="1"/>
  <c r="E52" i="7"/>
  <c r="F52" i="7" s="1"/>
  <c r="G52" i="7" s="1"/>
  <c r="H52" i="7" s="1"/>
  <c r="I52" i="7" s="1"/>
  <c r="J52" i="7" s="1"/>
  <c r="K52" i="7" s="1"/>
  <c r="L52" i="7" s="1"/>
  <c r="E46" i="7"/>
  <c r="F46" i="7" s="1"/>
  <c r="G46" i="7" s="1"/>
  <c r="H46" i="7" s="1"/>
  <c r="I46" i="7" s="1"/>
  <c r="J46" i="7" s="1"/>
  <c r="K46" i="7" s="1"/>
  <c r="L46" i="7" s="1"/>
  <c r="E40" i="7"/>
  <c r="F40" i="7" s="1"/>
  <c r="G40" i="7" s="1"/>
  <c r="H40" i="7" s="1"/>
  <c r="I40" i="7" s="1"/>
  <c r="J40" i="7" s="1"/>
  <c r="K40" i="7" s="1"/>
  <c r="L40" i="7" s="1"/>
  <c r="D22" i="7"/>
  <c r="E22" i="7" s="1"/>
  <c r="F22" i="7" s="1"/>
  <c r="G22" i="7" s="1"/>
  <c r="H22" i="7" s="1"/>
  <c r="I22" i="7" s="1"/>
  <c r="J22" i="7" s="1"/>
  <c r="K22" i="7" s="1"/>
  <c r="L22" i="7" s="1"/>
  <c r="C22" i="6"/>
  <c r="H21" i="6"/>
  <c r="H16" i="6" s="1"/>
  <c r="G21" i="6"/>
  <c r="G16" i="6" s="1"/>
  <c r="F21" i="6"/>
  <c r="E21" i="6"/>
  <c r="E16" i="6" s="1"/>
  <c r="D21" i="6"/>
  <c r="D16" i="6" s="1"/>
  <c r="H18" i="6"/>
  <c r="H17" i="6"/>
  <c r="H10" i="6" s="1"/>
  <c r="D29" i="6" s="1"/>
  <c r="G17" i="6"/>
  <c r="F17" i="6"/>
  <c r="E17" i="6"/>
  <c r="D17" i="6"/>
  <c r="D10" i="6" s="1"/>
  <c r="F16" i="6"/>
  <c r="C16" i="6"/>
  <c r="H13" i="6"/>
  <c r="H22" i="6" s="1"/>
  <c r="G13" i="6"/>
  <c r="F13" i="6"/>
  <c r="E13" i="6"/>
  <c r="D13" i="6"/>
  <c r="D22" i="6" s="1"/>
  <c r="H11" i="6"/>
  <c r="D30" i="6" s="1"/>
  <c r="G11" i="6"/>
  <c r="F11" i="6"/>
  <c r="E11" i="6"/>
  <c r="D11" i="6"/>
  <c r="H9" i="6"/>
  <c r="D28" i="6" s="1"/>
  <c r="G9" i="6"/>
  <c r="F9" i="6"/>
  <c r="E9" i="6"/>
  <c r="D9" i="6"/>
  <c r="H8" i="6"/>
  <c r="D27" i="6" s="1"/>
  <c r="G8" i="6"/>
  <c r="F8" i="6"/>
  <c r="E8" i="6"/>
  <c r="D8" i="6"/>
  <c r="D23" i="5"/>
  <c r="D22" i="5"/>
  <c r="D21" i="5"/>
  <c r="D20" i="5"/>
  <c r="H12" i="5"/>
  <c r="E24" i="5" s="1"/>
  <c r="G12" i="5"/>
  <c r="F12" i="5"/>
  <c r="E12" i="5"/>
  <c r="D12" i="5"/>
  <c r="C12" i="5"/>
  <c r="D24" i="5" s="1"/>
  <c r="H11" i="5"/>
  <c r="E23" i="5" s="1"/>
  <c r="G11" i="5"/>
  <c r="F11" i="5"/>
  <c r="E11" i="5"/>
  <c r="D11" i="5"/>
  <c r="H10" i="5"/>
  <c r="G10" i="5"/>
  <c r="F10" i="5"/>
  <c r="E10" i="5"/>
  <c r="D10" i="5"/>
  <c r="H9" i="5"/>
  <c r="I9" i="5" s="1"/>
  <c r="G9" i="5"/>
  <c r="F9" i="5"/>
  <c r="E9" i="5"/>
  <c r="D9" i="5"/>
  <c r="H8" i="5"/>
  <c r="E20" i="5" s="1"/>
  <c r="G8" i="5"/>
  <c r="F8" i="5"/>
  <c r="E8" i="5"/>
  <c r="D8" i="5"/>
  <c r="C35" i="4"/>
  <c r="C34" i="4"/>
  <c r="C33" i="4"/>
  <c r="C32" i="4"/>
  <c r="D31" i="4"/>
  <c r="C31" i="4"/>
  <c r="M30" i="4"/>
  <c r="C30" i="4"/>
  <c r="N29" i="4"/>
  <c r="M29" i="4"/>
  <c r="L29" i="4"/>
  <c r="D29" i="4"/>
  <c r="C29" i="4"/>
  <c r="D28" i="4"/>
  <c r="C25" i="4"/>
  <c r="C24" i="4"/>
  <c r="C23" i="4"/>
  <c r="C22" i="4"/>
  <c r="C21" i="4"/>
  <c r="L20" i="4"/>
  <c r="C20" i="4"/>
  <c r="C19" i="4"/>
  <c r="H18" i="4"/>
  <c r="G18" i="4"/>
  <c r="F18" i="4"/>
  <c r="E18" i="4"/>
  <c r="D18" i="4"/>
  <c r="C18" i="4"/>
  <c r="N15" i="4"/>
  <c r="M15" i="4"/>
  <c r="L15" i="4"/>
  <c r="N14" i="4"/>
  <c r="M14" i="4"/>
  <c r="H13" i="4"/>
  <c r="G13" i="4"/>
  <c r="F13" i="4"/>
  <c r="E13" i="4"/>
  <c r="D13" i="4"/>
  <c r="N12" i="4"/>
  <c r="M12" i="4"/>
  <c r="H12" i="4"/>
  <c r="D33" i="4" s="1"/>
  <c r="G12" i="4"/>
  <c r="F12" i="4"/>
  <c r="E12" i="4"/>
  <c r="D12" i="4"/>
  <c r="H11" i="4"/>
  <c r="G11" i="4"/>
  <c r="F11" i="4"/>
  <c r="E11" i="4"/>
  <c r="D11" i="4"/>
  <c r="H10" i="4"/>
  <c r="G10" i="4"/>
  <c r="F10" i="4"/>
  <c r="E10" i="4"/>
  <c r="D10" i="4"/>
  <c r="N9" i="4"/>
  <c r="H9" i="4"/>
  <c r="G9" i="4"/>
  <c r="F9" i="4"/>
  <c r="E9" i="4"/>
  <c r="D9" i="4"/>
  <c r="N8" i="4"/>
  <c r="N33" i="4" s="1"/>
  <c r="M8" i="4"/>
  <c r="L8" i="4"/>
  <c r="H8" i="4"/>
  <c r="G8" i="4"/>
  <c r="F8" i="4"/>
  <c r="E8" i="4"/>
  <c r="D8" i="4"/>
  <c r="N7" i="4"/>
  <c r="M7" i="4"/>
  <c r="C17" i="3"/>
  <c r="G16" i="3"/>
  <c r="D16" i="3"/>
  <c r="D17" i="3" s="1"/>
  <c r="D15" i="3"/>
  <c r="E10" i="3"/>
  <c r="E11" i="3" s="1"/>
  <c r="I9" i="3"/>
  <c r="I16" i="3" s="1"/>
  <c r="H9" i="3"/>
  <c r="H16" i="3" s="1"/>
  <c r="G9" i="3"/>
  <c r="F9" i="3"/>
  <c r="F16" i="3" s="1"/>
  <c r="E9" i="3"/>
  <c r="E16" i="3" s="1"/>
  <c r="I8" i="3"/>
  <c r="H8" i="3"/>
  <c r="H10" i="3" s="1"/>
  <c r="G8" i="3"/>
  <c r="G15" i="3" s="1"/>
  <c r="G17" i="3" s="1"/>
  <c r="F8" i="3"/>
  <c r="F15" i="3" s="1"/>
  <c r="E8" i="3"/>
  <c r="E15" i="3" s="1"/>
  <c r="H39" i="1"/>
  <c r="F39" i="1"/>
  <c r="H38" i="1"/>
  <c r="F38" i="1"/>
  <c r="H37" i="1"/>
  <c r="F37" i="1"/>
  <c r="I37" i="1" s="1"/>
  <c r="H36" i="1"/>
  <c r="F36" i="1"/>
  <c r="H35" i="1"/>
  <c r="F35" i="1"/>
  <c r="H34" i="1"/>
  <c r="F34" i="1"/>
  <c r="I34" i="1" s="1"/>
  <c r="G20" i="1"/>
  <c r="C120" i="7" s="1"/>
  <c r="D120" i="7" s="1"/>
  <c r="E120" i="7" s="1"/>
  <c r="F120" i="7" s="1"/>
  <c r="G120" i="7" s="1"/>
  <c r="H120" i="7" s="1"/>
  <c r="I120" i="7" s="1"/>
  <c r="J120" i="7" s="1"/>
  <c r="K120" i="7" s="1"/>
  <c r="L120" i="7" s="1"/>
  <c r="G17" i="1"/>
  <c r="C117" i="7" s="1"/>
  <c r="D117" i="7" s="1"/>
  <c r="E117" i="7" s="1"/>
  <c r="F117" i="7" s="1"/>
  <c r="G117" i="7" s="1"/>
  <c r="H117" i="7" s="1"/>
  <c r="I117" i="7" s="1"/>
  <c r="J117" i="7" s="1"/>
  <c r="K117" i="7" s="1"/>
  <c r="L117" i="7" s="1"/>
  <c r="G14" i="1"/>
  <c r="C114" i="7" s="1"/>
  <c r="D114" i="7" s="1"/>
  <c r="E114" i="7" s="1"/>
  <c r="F114" i="7" s="1"/>
  <c r="G114" i="7" s="1"/>
  <c r="H114" i="7" s="1"/>
  <c r="I114" i="7" s="1"/>
  <c r="J114" i="7" s="1"/>
  <c r="K114" i="7" s="1"/>
  <c r="L114" i="7" s="1"/>
  <c r="G13" i="1"/>
  <c r="C113" i="7" s="1"/>
  <c r="D113" i="7" s="1"/>
  <c r="E113" i="7" s="1"/>
  <c r="F113" i="7" s="1"/>
  <c r="G113" i="7" s="1"/>
  <c r="H113" i="7" s="1"/>
  <c r="I113" i="7" s="1"/>
  <c r="J113" i="7" s="1"/>
  <c r="K113" i="7" s="1"/>
  <c r="L113" i="7" s="1"/>
  <c r="G12" i="1"/>
  <c r="C112" i="7" s="1"/>
  <c r="D112" i="7" s="1"/>
  <c r="E112" i="7" s="1"/>
  <c r="F112" i="7" s="1"/>
  <c r="G112" i="7" s="1"/>
  <c r="H112" i="7" s="1"/>
  <c r="I112" i="7" s="1"/>
  <c r="J112" i="7" s="1"/>
  <c r="K112" i="7" s="1"/>
  <c r="L112" i="7" s="1"/>
  <c r="G11" i="1"/>
  <c r="C111" i="7" s="1"/>
  <c r="D111" i="7" s="1"/>
  <c r="E111" i="7" s="1"/>
  <c r="F111" i="7" s="1"/>
  <c r="G111" i="7" s="1"/>
  <c r="H111" i="7" s="1"/>
  <c r="I111" i="7" s="1"/>
  <c r="J111" i="7" s="1"/>
  <c r="K111" i="7" s="1"/>
  <c r="L111" i="7" s="1"/>
  <c r="G10" i="1"/>
  <c r="C110" i="7" s="1"/>
  <c r="D110" i="7" s="1"/>
  <c r="E110" i="7" s="1"/>
  <c r="F110" i="7" s="1"/>
  <c r="G110" i="7" s="1"/>
  <c r="H110" i="7" s="1"/>
  <c r="I110" i="7" s="1"/>
  <c r="J110" i="7" s="1"/>
  <c r="K110" i="7" s="1"/>
  <c r="L110" i="7" s="1"/>
  <c r="G9" i="1"/>
  <c r="AW75" i="19" l="1"/>
  <c r="I598" i="20" s="1"/>
  <c r="I600" i="20" s="1"/>
  <c r="I615" i="20" s="1"/>
  <c r="AW76" i="19"/>
  <c r="I602" i="20" s="1"/>
  <c r="I604" i="20" s="1"/>
  <c r="I616" i="20" s="1"/>
  <c r="AV90" i="19"/>
  <c r="AU91" i="19"/>
  <c r="AV89" i="19"/>
  <c r="F619" i="20"/>
  <c r="F662" i="20" s="1"/>
  <c r="F667" i="20" s="1"/>
  <c r="F671" i="20" s="1"/>
  <c r="F673" i="20" s="1"/>
  <c r="F675" i="20" s="1"/>
  <c r="AX72" i="19"/>
  <c r="AX86" i="19" s="1"/>
  <c r="I586" i="20"/>
  <c r="I588" i="20" s="1"/>
  <c r="I612" i="20" s="1"/>
  <c r="AW71" i="19"/>
  <c r="H582" i="20"/>
  <c r="H584" i="20" s="1"/>
  <c r="H611" i="20" s="1"/>
  <c r="AV85" i="19"/>
  <c r="AW70" i="19"/>
  <c r="AW84" i="19" s="1"/>
  <c r="H578" i="20"/>
  <c r="H580" i="20" s="1"/>
  <c r="H610" i="20" s="1"/>
  <c r="E677" i="20"/>
  <c r="AW69" i="19"/>
  <c r="AW83" i="19" s="1"/>
  <c r="H574" i="20"/>
  <c r="H576" i="20" s="1"/>
  <c r="G609" i="20"/>
  <c r="G617" i="20" s="1"/>
  <c r="G606" i="20"/>
  <c r="AW68" i="19"/>
  <c r="AW82" i="19" s="1"/>
  <c r="H570" i="20"/>
  <c r="H572" i="20" s="1"/>
  <c r="AV82" i="19"/>
  <c r="AV57" i="19"/>
  <c r="K652" i="20"/>
  <c r="L652" i="20"/>
  <c r="AW43" i="19"/>
  <c r="I479" i="20" s="1"/>
  <c r="I481" i="20" s="1"/>
  <c r="I502" i="20" s="1"/>
  <c r="AV60" i="19"/>
  <c r="AW46" i="19"/>
  <c r="I491" i="20" s="1"/>
  <c r="I493" i="20" s="1"/>
  <c r="I505" i="20" s="1"/>
  <c r="G658" i="20"/>
  <c r="G660" i="20" s="1"/>
  <c r="AU61" i="19"/>
  <c r="AV59" i="19"/>
  <c r="H487" i="20"/>
  <c r="H489" i="20" s="1"/>
  <c r="H504" i="20" s="1"/>
  <c r="AX42" i="19"/>
  <c r="I475" i="20"/>
  <c r="I477" i="20" s="1"/>
  <c r="I501" i="20" s="1"/>
  <c r="AW41" i="19"/>
  <c r="AW55" i="19" s="1"/>
  <c r="H471" i="20"/>
  <c r="H473" i="20" s="1"/>
  <c r="H500" i="20" s="1"/>
  <c r="AW40" i="19"/>
  <c r="AW54" i="19" s="1"/>
  <c r="H467" i="20"/>
  <c r="H469" i="20" s="1"/>
  <c r="H499" i="20" s="1"/>
  <c r="AW39" i="19"/>
  <c r="AW53" i="19" s="1"/>
  <c r="H463" i="20"/>
  <c r="H465" i="20" s="1"/>
  <c r="E566" i="20"/>
  <c r="G498" i="20"/>
  <c r="G506" i="20" s="1"/>
  <c r="G495" i="20"/>
  <c r="AW38" i="19"/>
  <c r="AW52" i="19" s="1"/>
  <c r="H459" i="20"/>
  <c r="H461" i="20" s="1"/>
  <c r="F508" i="20"/>
  <c r="F551" i="20" s="1"/>
  <c r="F556" i="20" s="1"/>
  <c r="F560" i="20" s="1"/>
  <c r="F562" i="20" s="1"/>
  <c r="F564" i="20" s="1"/>
  <c r="H544" i="20"/>
  <c r="G547" i="20"/>
  <c r="H541" i="20"/>
  <c r="I526" i="20"/>
  <c r="G549" i="20"/>
  <c r="F397" i="20"/>
  <c r="F440" i="20" s="1"/>
  <c r="F445" i="20" s="1"/>
  <c r="F449" i="20" s="1"/>
  <c r="F451" i="20" s="1"/>
  <c r="F453" i="20" s="1"/>
  <c r="AW26" i="19"/>
  <c r="I364" i="20"/>
  <c r="I366" i="20" s="1"/>
  <c r="I390" i="20" s="1"/>
  <c r="AY12" i="19"/>
  <c r="AY26" i="19" s="1"/>
  <c r="J364" i="20"/>
  <c r="J366" i="20" s="1"/>
  <c r="J390" i="20" s="1"/>
  <c r="AW11" i="19"/>
  <c r="AW25" i="19" s="1"/>
  <c r="H360" i="20"/>
  <c r="H362" i="20" s="1"/>
  <c r="H389" i="20" s="1"/>
  <c r="AW10" i="19"/>
  <c r="AW24" i="19" s="1"/>
  <c r="H356" i="20"/>
  <c r="H358" i="20" s="1"/>
  <c r="H388" i="20" s="1"/>
  <c r="AW9" i="19"/>
  <c r="AW23" i="19" s="1"/>
  <c r="H352" i="20"/>
  <c r="H354" i="20" s="1"/>
  <c r="E451" i="20"/>
  <c r="E453" i="20" s="1"/>
  <c r="E455" i="20" s="1"/>
  <c r="G387" i="20"/>
  <c r="G395" i="20" s="1"/>
  <c r="G384" i="20"/>
  <c r="AW8" i="19"/>
  <c r="AW22" i="19" s="1"/>
  <c r="H348" i="20"/>
  <c r="H350" i="20" s="1"/>
  <c r="G436" i="20"/>
  <c r="G438" i="20" s="1"/>
  <c r="H433" i="20"/>
  <c r="H430" i="20"/>
  <c r="I415" i="20"/>
  <c r="V89" i="19"/>
  <c r="W75" i="19"/>
  <c r="I265" i="20" s="1"/>
  <c r="I267" i="20" s="1"/>
  <c r="I282" i="20" s="1"/>
  <c r="W71" i="19"/>
  <c r="W85" i="19" s="1"/>
  <c r="H249" i="20"/>
  <c r="H251" i="20" s="1"/>
  <c r="H278" i="20" s="1"/>
  <c r="E344" i="20"/>
  <c r="W70" i="19"/>
  <c r="H245" i="20"/>
  <c r="H247" i="20" s="1"/>
  <c r="H277" i="20" s="1"/>
  <c r="F286" i="20"/>
  <c r="W69" i="19"/>
  <c r="W83" i="19" s="1"/>
  <c r="H241" i="20"/>
  <c r="H243" i="20" s="1"/>
  <c r="G276" i="20"/>
  <c r="G284" i="20" s="1"/>
  <c r="G273" i="20"/>
  <c r="W68" i="19"/>
  <c r="W82" i="19" s="1"/>
  <c r="H237" i="20"/>
  <c r="H239" i="20" s="1"/>
  <c r="K304" i="20"/>
  <c r="F327" i="20"/>
  <c r="H306" i="20"/>
  <c r="G319" i="20"/>
  <c r="H322" i="20"/>
  <c r="G325" i="20"/>
  <c r="G162" i="20"/>
  <c r="F218" i="20"/>
  <c r="F223" i="20" s="1"/>
  <c r="F227" i="20" s="1"/>
  <c r="F229" i="20" s="1"/>
  <c r="K208" i="20"/>
  <c r="L193" i="20"/>
  <c r="L208" i="20" s="1"/>
  <c r="H172" i="20"/>
  <c r="G214" i="20"/>
  <c r="G216" i="20" s="1"/>
  <c r="H211" i="20"/>
  <c r="G165" i="20"/>
  <c r="G173" i="20" s="1"/>
  <c r="V53" i="19"/>
  <c r="H130" i="20"/>
  <c r="H132" i="20" s="1"/>
  <c r="V52" i="19"/>
  <c r="H126" i="20"/>
  <c r="H128" i="20" s="1"/>
  <c r="F64" i="20"/>
  <c r="F107" i="20" s="1"/>
  <c r="F112" i="20" s="1"/>
  <c r="F116" i="20" s="1"/>
  <c r="F118" i="20" s="1"/>
  <c r="F120" i="20" s="1"/>
  <c r="E118" i="20"/>
  <c r="E120" i="20" s="1"/>
  <c r="E122" i="20" s="1"/>
  <c r="H103" i="20"/>
  <c r="I100" i="20"/>
  <c r="H82" i="20"/>
  <c r="G97" i="20"/>
  <c r="G105" i="20" s="1"/>
  <c r="G62" i="20"/>
  <c r="H56" i="20"/>
  <c r="H25" i="20"/>
  <c r="H55" i="20" s="1"/>
  <c r="H37" i="20"/>
  <c r="H58" i="20" s="1"/>
  <c r="G51" i="20"/>
  <c r="W41" i="19"/>
  <c r="I138" i="20" s="1"/>
  <c r="I140" i="20" s="1"/>
  <c r="I167" i="20" s="1"/>
  <c r="V55" i="19"/>
  <c r="W40" i="19"/>
  <c r="I134" i="20" s="1"/>
  <c r="I136" i="20" s="1"/>
  <c r="I166" i="20" s="1"/>
  <c r="W39" i="19"/>
  <c r="W38" i="19"/>
  <c r="H17" i="20"/>
  <c r="H54" i="20" s="1"/>
  <c r="AW45" i="19"/>
  <c r="U61" i="19"/>
  <c r="AU31" i="19"/>
  <c r="U91" i="19"/>
  <c r="U31" i="19"/>
  <c r="AW73" i="19"/>
  <c r="I590" i="20" s="1"/>
  <c r="I592" i="20" s="1"/>
  <c r="I613" i="20" s="1"/>
  <c r="AV87" i="19"/>
  <c r="AW15" i="19"/>
  <c r="I376" i="20" s="1"/>
  <c r="I378" i="20" s="1"/>
  <c r="I393" i="20" s="1"/>
  <c r="AV29" i="19"/>
  <c r="AW13" i="19"/>
  <c r="I368" i="20" s="1"/>
  <c r="I370" i="20" s="1"/>
  <c r="I391" i="20" s="1"/>
  <c r="AV27" i="19"/>
  <c r="AW16" i="19"/>
  <c r="I380" i="20" s="1"/>
  <c r="I382" i="20" s="1"/>
  <c r="I394" i="20" s="1"/>
  <c r="AV30" i="19"/>
  <c r="W76" i="19"/>
  <c r="I269" i="20" s="1"/>
  <c r="I271" i="20" s="1"/>
  <c r="I283" i="20" s="1"/>
  <c r="V90" i="19"/>
  <c r="W73" i="19"/>
  <c r="I257" i="20" s="1"/>
  <c r="I259" i="20" s="1"/>
  <c r="I280" i="20" s="1"/>
  <c r="V87" i="19"/>
  <c r="W43" i="19"/>
  <c r="I146" i="20" s="1"/>
  <c r="I148" i="20" s="1"/>
  <c r="I169" i="20" s="1"/>
  <c r="V57" i="19"/>
  <c r="W46" i="19"/>
  <c r="I158" i="20" s="1"/>
  <c r="I160" i="20" s="1"/>
  <c r="V60" i="19"/>
  <c r="W45" i="19"/>
  <c r="I154" i="20" s="1"/>
  <c r="I156" i="20" s="1"/>
  <c r="I171" i="20" s="1"/>
  <c r="V59" i="19"/>
  <c r="W13" i="19"/>
  <c r="I35" i="20" s="1"/>
  <c r="V27" i="19"/>
  <c r="W16" i="19"/>
  <c r="I47" i="20" s="1"/>
  <c r="I49" i="20" s="1"/>
  <c r="I61" i="20" s="1"/>
  <c r="V30" i="19"/>
  <c r="W15" i="19"/>
  <c r="I43" i="20" s="1"/>
  <c r="I45" i="20" s="1"/>
  <c r="I60" i="20" s="1"/>
  <c r="V29" i="19"/>
  <c r="L15" i="19"/>
  <c r="K13" i="19"/>
  <c r="AJ69" i="19"/>
  <c r="AK71" i="19"/>
  <c r="AK72" i="19"/>
  <c r="AJ68" i="19"/>
  <c r="AJ70" i="19"/>
  <c r="X72" i="19"/>
  <c r="J253" i="20" s="1"/>
  <c r="J255" i="20" s="1"/>
  <c r="J279" i="20" s="1"/>
  <c r="W86" i="19"/>
  <c r="L72" i="19"/>
  <c r="J69" i="19"/>
  <c r="J71" i="19"/>
  <c r="J70" i="19"/>
  <c r="J68" i="19"/>
  <c r="AJ40" i="19"/>
  <c r="AJ38" i="19"/>
  <c r="AJ41" i="19"/>
  <c r="AJ39" i="19"/>
  <c r="AK42" i="19"/>
  <c r="AJ10" i="19"/>
  <c r="AL12" i="19"/>
  <c r="AJ11" i="19"/>
  <c r="AJ9" i="19"/>
  <c r="AJ8" i="19"/>
  <c r="J39" i="19"/>
  <c r="X42" i="19"/>
  <c r="J142" i="20" s="1"/>
  <c r="J144" i="20" s="1"/>
  <c r="J168" i="20" s="1"/>
  <c r="W56" i="19"/>
  <c r="I40" i="19"/>
  <c r="V54" i="19"/>
  <c r="L42" i="19"/>
  <c r="J38" i="19"/>
  <c r="K41" i="19"/>
  <c r="X12" i="19"/>
  <c r="J31" i="20" s="1"/>
  <c r="J33" i="20" s="1"/>
  <c r="J57" i="20" s="1"/>
  <c r="W26" i="19"/>
  <c r="W11" i="19"/>
  <c r="I27" i="20" s="1"/>
  <c r="I29" i="20" s="1"/>
  <c r="V25" i="19"/>
  <c r="W10" i="19"/>
  <c r="I23" i="20" s="1"/>
  <c r="V24" i="19"/>
  <c r="W9" i="19"/>
  <c r="I19" i="20" s="1"/>
  <c r="I21" i="20" s="1"/>
  <c r="V23" i="19"/>
  <c r="W8" i="19"/>
  <c r="I15" i="20" s="1"/>
  <c r="V22" i="19"/>
  <c r="D12" i="6"/>
  <c r="F17" i="3"/>
  <c r="I39" i="1"/>
  <c r="M33" i="4"/>
  <c r="P33" i="4" s="1"/>
  <c r="J11" i="4"/>
  <c r="J13" i="4"/>
  <c r="E14" i="4"/>
  <c r="E21" i="4" s="1"/>
  <c r="L33" i="4"/>
  <c r="D26" i="1"/>
  <c r="C98" i="7" s="1"/>
  <c r="C105" i="7" s="1"/>
  <c r="C109" i="7"/>
  <c r="D109" i="7" s="1"/>
  <c r="E109" i="7" s="1"/>
  <c r="F109" i="7" s="1"/>
  <c r="G109" i="7" s="1"/>
  <c r="H109" i="7" s="1"/>
  <c r="I109" i="7" s="1"/>
  <c r="J109" i="7" s="1"/>
  <c r="K109" i="7" s="1"/>
  <c r="L109" i="7" s="1"/>
  <c r="F10" i="3"/>
  <c r="F11" i="3" s="1"/>
  <c r="E17" i="3"/>
  <c r="I10" i="4"/>
  <c r="E10" i="6"/>
  <c r="C14" i="14"/>
  <c r="C19" i="14" s="1"/>
  <c r="F14" i="4"/>
  <c r="F25" i="4" s="1"/>
  <c r="G14" i="4"/>
  <c r="G24" i="4" s="1"/>
  <c r="G13" i="5"/>
  <c r="G16" i="5" s="1"/>
  <c r="G10" i="3"/>
  <c r="G11" i="3" s="1"/>
  <c r="I8" i="4"/>
  <c r="I9" i="4"/>
  <c r="I11" i="5"/>
  <c r="C17" i="13"/>
  <c r="F14" i="13" s="1"/>
  <c r="E21" i="5"/>
  <c r="F10" i="6"/>
  <c r="F12" i="6" s="1"/>
  <c r="F26" i="12"/>
  <c r="C35" i="14"/>
  <c r="F35" i="14" s="1"/>
  <c r="I10" i="3"/>
  <c r="I11" i="3" s="1"/>
  <c r="D30" i="4"/>
  <c r="E13" i="5"/>
  <c r="E16" i="5" s="1"/>
  <c r="I10" i="5"/>
  <c r="G10" i="6"/>
  <c r="F13" i="5"/>
  <c r="F16" i="5" s="1"/>
  <c r="D14" i="6"/>
  <c r="D13" i="5"/>
  <c r="D16" i="5" s="1"/>
  <c r="E7" i="6"/>
  <c r="E14" i="6" s="1"/>
  <c r="C10" i="13"/>
  <c r="C26" i="14"/>
  <c r="G10" i="12"/>
  <c r="H13" i="17" s="1"/>
  <c r="G9" i="12"/>
  <c r="D46" i="1"/>
  <c r="C10" i="7"/>
  <c r="D10" i="7" s="1"/>
  <c r="I38" i="1"/>
  <c r="I35" i="1"/>
  <c r="I36" i="1"/>
  <c r="C130" i="7"/>
  <c r="C124" i="7"/>
  <c r="C34" i="14"/>
  <c r="F34" i="14" s="1"/>
  <c r="E22" i="14"/>
  <c r="E26" i="14" s="1"/>
  <c r="C37" i="14"/>
  <c r="F37" i="14" s="1"/>
  <c r="K35" i="8"/>
  <c r="C66" i="7"/>
  <c r="C87" i="7" s="1"/>
  <c r="C18" i="7"/>
  <c r="C79" i="7" s="1"/>
  <c r="C54" i="7"/>
  <c r="C85" i="7" s="1"/>
  <c r="C60" i="7"/>
  <c r="C86" i="7" s="1"/>
  <c r="C30" i="7"/>
  <c r="C81" i="7" s="1"/>
  <c r="C36" i="7"/>
  <c r="C82" i="7" s="1"/>
  <c r="D124" i="7"/>
  <c r="C48" i="7"/>
  <c r="C84" i="7" s="1"/>
  <c r="C42" i="7"/>
  <c r="C83" i="7" s="1"/>
  <c r="F14" i="6"/>
  <c r="F7" i="6"/>
  <c r="G7" i="6"/>
  <c r="G14" i="6" s="1"/>
  <c r="E22" i="6"/>
  <c r="H7" i="6"/>
  <c r="G12" i="6"/>
  <c r="F22" i="6"/>
  <c r="G22" i="6"/>
  <c r="I8" i="5"/>
  <c r="E22" i="5"/>
  <c r="E25" i="5" s="1"/>
  <c r="H13" i="5"/>
  <c r="F22" i="4"/>
  <c r="E25" i="4"/>
  <c r="J9" i="4"/>
  <c r="J10" i="4"/>
  <c r="D14" i="4"/>
  <c r="D24" i="4" s="1"/>
  <c r="J18" i="4"/>
  <c r="D32" i="4"/>
  <c r="D34" i="4"/>
  <c r="H14" i="4"/>
  <c r="H23" i="4" s="1"/>
  <c r="J8" i="4"/>
  <c r="I11" i="4"/>
  <c r="J12" i="4"/>
  <c r="I13" i="4"/>
  <c r="J16" i="4"/>
  <c r="I12" i="4"/>
  <c r="H11" i="3"/>
  <c r="L10" i="3"/>
  <c r="J9" i="3"/>
  <c r="J8" i="3"/>
  <c r="L9" i="3"/>
  <c r="L8" i="3"/>
  <c r="H15" i="3"/>
  <c r="H17" i="3" s="1"/>
  <c r="I15" i="3"/>
  <c r="I17" i="3" s="1"/>
  <c r="E679" i="20" l="1"/>
  <c r="AX75" i="19"/>
  <c r="J598" i="20" s="1"/>
  <c r="J600" i="20" s="1"/>
  <c r="J615" i="20" s="1"/>
  <c r="AW89" i="19"/>
  <c r="AX76" i="19"/>
  <c r="J602" i="20" s="1"/>
  <c r="J604" i="20" s="1"/>
  <c r="J616" i="20" s="1"/>
  <c r="AW90" i="19"/>
  <c r="AW57" i="19"/>
  <c r="AY72" i="19"/>
  <c r="AY86" i="19" s="1"/>
  <c r="J586" i="20"/>
  <c r="J588" i="20" s="1"/>
  <c r="J612" i="20" s="1"/>
  <c r="AX71" i="19"/>
  <c r="I582" i="20"/>
  <c r="I584" i="20" s="1"/>
  <c r="I611" i="20" s="1"/>
  <c r="AW85" i="19"/>
  <c r="AX43" i="19"/>
  <c r="J479" i="20" s="1"/>
  <c r="J481" i="20" s="1"/>
  <c r="J502" i="20" s="1"/>
  <c r="F677" i="20"/>
  <c r="AX70" i="19"/>
  <c r="AX84" i="19" s="1"/>
  <c r="I578" i="20"/>
  <c r="I580" i="20" s="1"/>
  <c r="I610" i="20" s="1"/>
  <c r="AV91" i="19"/>
  <c r="G619" i="20"/>
  <c r="G662" i="20" s="1"/>
  <c r="G667" i="20" s="1"/>
  <c r="G671" i="20" s="1"/>
  <c r="G673" i="20" s="1"/>
  <c r="G675" i="20" s="1"/>
  <c r="AX69" i="19"/>
  <c r="I574" i="20"/>
  <c r="I576" i="20" s="1"/>
  <c r="H609" i="20"/>
  <c r="H617" i="20" s="1"/>
  <c r="H606" i="20"/>
  <c r="AX68" i="19"/>
  <c r="AX82" i="19" s="1"/>
  <c r="I570" i="20"/>
  <c r="I572" i="20" s="1"/>
  <c r="AW60" i="19"/>
  <c r="AX46" i="19"/>
  <c r="J491" i="20" s="1"/>
  <c r="J493" i="20" s="1"/>
  <c r="J505" i="20" s="1"/>
  <c r="H658" i="20"/>
  <c r="H660" i="20" s="1"/>
  <c r="AV61" i="19"/>
  <c r="AW59" i="19"/>
  <c r="I487" i="20"/>
  <c r="I489" i="20" s="1"/>
  <c r="I504" i="20" s="1"/>
  <c r="AY42" i="19"/>
  <c r="J475" i="20"/>
  <c r="J477" i="20" s="1"/>
  <c r="J501" i="20" s="1"/>
  <c r="AX56" i="19"/>
  <c r="F566" i="20"/>
  <c r="AX41" i="19"/>
  <c r="AX55" i="19" s="1"/>
  <c r="I471" i="20"/>
  <c r="I473" i="20" s="1"/>
  <c r="I500" i="20" s="1"/>
  <c r="AX40" i="19"/>
  <c r="AX54" i="19" s="1"/>
  <c r="I467" i="20"/>
  <c r="I469" i="20" s="1"/>
  <c r="I499" i="20" s="1"/>
  <c r="AX39" i="19"/>
  <c r="AX53" i="19" s="1"/>
  <c r="I463" i="20"/>
  <c r="I465" i="20" s="1"/>
  <c r="G508" i="20"/>
  <c r="G551" i="20" s="1"/>
  <c r="G556" i="20" s="1"/>
  <c r="G560" i="20" s="1"/>
  <c r="G562" i="20" s="1"/>
  <c r="G564" i="20" s="1"/>
  <c r="H498" i="20"/>
  <c r="H506" i="20" s="1"/>
  <c r="H495" i="20"/>
  <c r="AX38" i="19"/>
  <c r="AX52" i="19" s="1"/>
  <c r="I459" i="20"/>
  <c r="I461" i="20" s="1"/>
  <c r="I541" i="20"/>
  <c r="J526" i="20"/>
  <c r="I544" i="20"/>
  <c r="H547" i="20"/>
  <c r="H549" i="20" s="1"/>
  <c r="AZ12" i="19"/>
  <c r="L364" i="20" s="1"/>
  <c r="L366" i="20" s="1"/>
  <c r="L390" i="20" s="1"/>
  <c r="K364" i="20"/>
  <c r="K366" i="20" s="1"/>
  <c r="K390" i="20" s="1"/>
  <c r="AX11" i="19"/>
  <c r="AX25" i="19" s="1"/>
  <c r="I360" i="20"/>
  <c r="I362" i="20" s="1"/>
  <c r="I389" i="20" s="1"/>
  <c r="AX10" i="19"/>
  <c r="AX24" i="19" s="1"/>
  <c r="I356" i="20"/>
  <c r="I358" i="20" s="1"/>
  <c r="I388" i="20" s="1"/>
  <c r="AX9" i="19"/>
  <c r="AX23" i="19" s="1"/>
  <c r="I352" i="20"/>
  <c r="I354" i="20" s="1"/>
  <c r="X75" i="19"/>
  <c r="J265" i="20" s="1"/>
  <c r="J267" i="20" s="1"/>
  <c r="J282" i="20" s="1"/>
  <c r="F455" i="20"/>
  <c r="AX8" i="19"/>
  <c r="AX22" i="19" s="1"/>
  <c r="I348" i="20"/>
  <c r="I350" i="20" s="1"/>
  <c r="G397" i="20"/>
  <c r="G440" i="20" s="1"/>
  <c r="G445" i="20" s="1"/>
  <c r="G449" i="20" s="1"/>
  <c r="G451" i="20" s="1"/>
  <c r="G453" i="20" s="1"/>
  <c r="H387" i="20"/>
  <c r="H395" i="20" s="1"/>
  <c r="H384" i="20"/>
  <c r="I430" i="20"/>
  <c r="J415" i="20"/>
  <c r="I433" i="20"/>
  <c r="H436" i="20"/>
  <c r="H438" i="20"/>
  <c r="W89" i="19"/>
  <c r="X71" i="19"/>
  <c r="X85" i="19" s="1"/>
  <c r="I249" i="20"/>
  <c r="I251" i="20" s="1"/>
  <c r="I278" i="20" s="1"/>
  <c r="X70" i="19"/>
  <c r="X84" i="19" s="1"/>
  <c r="I245" i="20"/>
  <c r="I247" i="20" s="1"/>
  <c r="I277" i="20" s="1"/>
  <c r="F329" i="20"/>
  <c r="F334" i="20" s="1"/>
  <c r="F338" i="20" s="1"/>
  <c r="F340" i="20" s="1"/>
  <c r="F342" i="20" s="1"/>
  <c r="F344" i="20" s="1"/>
  <c r="W84" i="19"/>
  <c r="X69" i="19"/>
  <c r="X83" i="19" s="1"/>
  <c r="I241" i="20"/>
  <c r="I243" i="20" s="1"/>
  <c r="H276" i="20"/>
  <c r="H284" i="20" s="1"/>
  <c r="H273" i="20"/>
  <c r="X68" i="19"/>
  <c r="X82" i="19" s="1"/>
  <c r="I237" i="20"/>
  <c r="I239" i="20" s="1"/>
  <c r="G286" i="20"/>
  <c r="I322" i="20"/>
  <c r="H325" i="20"/>
  <c r="G327" i="20"/>
  <c r="I306" i="20"/>
  <c r="H319" i="20"/>
  <c r="L304" i="20"/>
  <c r="G175" i="20"/>
  <c r="G218" i="20" s="1"/>
  <c r="G223" i="20" s="1"/>
  <c r="G227" i="20" s="1"/>
  <c r="G229" i="20" s="1"/>
  <c r="G231" i="20" s="1"/>
  <c r="H162" i="20"/>
  <c r="F231" i="20"/>
  <c r="F233" i="20" s="1"/>
  <c r="H165" i="20"/>
  <c r="H173" i="20" s="1"/>
  <c r="I172" i="20"/>
  <c r="H214" i="20"/>
  <c r="H216" i="20" s="1"/>
  <c r="I211" i="20"/>
  <c r="W52" i="19"/>
  <c r="I126" i="20"/>
  <c r="I128" i="20" s="1"/>
  <c r="W53" i="19"/>
  <c r="I130" i="20"/>
  <c r="I132" i="20" s="1"/>
  <c r="F122" i="20"/>
  <c r="I82" i="20"/>
  <c r="H97" i="20"/>
  <c r="H105" i="20" s="1"/>
  <c r="I103" i="20"/>
  <c r="J100" i="20"/>
  <c r="H62" i="20"/>
  <c r="G64" i="20"/>
  <c r="G107" i="20" s="1"/>
  <c r="G112" i="20" s="1"/>
  <c r="G116" i="20" s="1"/>
  <c r="I56" i="20"/>
  <c r="I25" i="20"/>
  <c r="I55" i="20" s="1"/>
  <c r="H51" i="20"/>
  <c r="I37" i="20"/>
  <c r="I58" i="20" s="1"/>
  <c r="X41" i="19"/>
  <c r="J138" i="20" s="1"/>
  <c r="J140" i="20" s="1"/>
  <c r="J167" i="20" s="1"/>
  <c r="W55" i="19"/>
  <c r="X40" i="19"/>
  <c r="J134" i="20" s="1"/>
  <c r="J136" i="20" s="1"/>
  <c r="J166" i="20" s="1"/>
  <c r="X39" i="19"/>
  <c r="X38" i="19"/>
  <c r="I17" i="20"/>
  <c r="AX45" i="19"/>
  <c r="AV31" i="19"/>
  <c r="V91" i="19"/>
  <c r="V61" i="19"/>
  <c r="V31" i="19"/>
  <c r="AW87" i="19"/>
  <c r="AX73" i="19"/>
  <c r="J590" i="20" s="1"/>
  <c r="J592" i="20" s="1"/>
  <c r="J613" i="20" s="1"/>
  <c r="AX16" i="19"/>
  <c r="J380" i="20" s="1"/>
  <c r="J382" i="20" s="1"/>
  <c r="J394" i="20" s="1"/>
  <c r="AW30" i="19"/>
  <c r="AX13" i="19"/>
  <c r="J368" i="20" s="1"/>
  <c r="J370" i="20" s="1"/>
  <c r="J391" i="20" s="1"/>
  <c r="AW27" i="19"/>
  <c r="AX15" i="19"/>
  <c r="J376" i="20" s="1"/>
  <c r="J378" i="20" s="1"/>
  <c r="J393" i="20" s="1"/>
  <c r="AW29" i="19"/>
  <c r="X73" i="19"/>
  <c r="J257" i="20" s="1"/>
  <c r="J259" i="20" s="1"/>
  <c r="J280" i="20" s="1"/>
  <c r="W87" i="19"/>
  <c r="X76" i="19"/>
  <c r="J269" i="20" s="1"/>
  <c r="J271" i="20" s="1"/>
  <c r="J283" i="20" s="1"/>
  <c r="W90" i="19"/>
  <c r="X45" i="19"/>
  <c r="J154" i="20" s="1"/>
  <c r="J156" i="20" s="1"/>
  <c r="J171" i="20" s="1"/>
  <c r="W59" i="19"/>
  <c r="X46" i="19"/>
  <c r="J158" i="20" s="1"/>
  <c r="J160" i="20" s="1"/>
  <c r="W60" i="19"/>
  <c r="X43" i="19"/>
  <c r="J146" i="20" s="1"/>
  <c r="J148" i="20" s="1"/>
  <c r="J169" i="20" s="1"/>
  <c r="W57" i="19"/>
  <c r="X13" i="19"/>
  <c r="J35" i="20" s="1"/>
  <c r="W27" i="19"/>
  <c r="X16" i="19"/>
  <c r="J47" i="20" s="1"/>
  <c r="J49" i="20" s="1"/>
  <c r="J61" i="20" s="1"/>
  <c r="W30" i="19"/>
  <c r="X15" i="19"/>
  <c r="J43" i="20" s="1"/>
  <c r="J45" i="20" s="1"/>
  <c r="J60" i="20" s="1"/>
  <c r="W29" i="19"/>
  <c r="L13" i="19"/>
  <c r="AK70" i="19"/>
  <c r="AK68" i="19"/>
  <c r="AL72" i="19"/>
  <c r="AL71" i="19"/>
  <c r="AK69" i="19"/>
  <c r="Y72" i="19"/>
  <c r="K253" i="20" s="1"/>
  <c r="K255" i="20" s="1"/>
  <c r="K279" i="20" s="1"/>
  <c r="X86" i="19"/>
  <c r="K69" i="19"/>
  <c r="K68" i="19"/>
  <c r="K70" i="19"/>
  <c r="K71" i="19"/>
  <c r="AK41" i="19"/>
  <c r="AL42" i="19"/>
  <c r="AK39" i="19"/>
  <c r="AK38" i="19"/>
  <c r="AK40" i="19"/>
  <c r="AK8" i="19"/>
  <c r="AK9" i="19"/>
  <c r="AK11" i="19"/>
  <c r="AK10" i="19"/>
  <c r="K38" i="19"/>
  <c r="Y42" i="19"/>
  <c r="K142" i="20" s="1"/>
  <c r="K144" i="20" s="1"/>
  <c r="K168" i="20" s="1"/>
  <c r="X56" i="19"/>
  <c r="L41" i="19"/>
  <c r="J40" i="19"/>
  <c r="W54" i="19"/>
  <c r="K39" i="19"/>
  <c r="Y12" i="19"/>
  <c r="K31" i="20" s="1"/>
  <c r="K33" i="20" s="1"/>
  <c r="K57" i="20" s="1"/>
  <c r="X26" i="19"/>
  <c r="X11" i="19"/>
  <c r="J27" i="20" s="1"/>
  <c r="J29" i="20" s="1"/>
  <c r="W25" i="19"/>
  <c r="X10" i="19"/>
  <c r="J23" i="20" s="1"/>
  <c r="W24" i="19"/>
  <c r="X9" i="19"/>
  <c r="J19" i="20" s="1"/>
  <c r="J21" i="20" s="1"/>
  <c r="W23" i="19"/>
  <c r="X8" i="19"/>
  <c r="J15" i="20" s="1"/>
  <c r="W22" i="19"/>
  <c r="G15" i="17"/>
  <c r="H20" i="18"/>
  <c r="H22" i="18" s="1"/>
  <c r="E124" i="7"/>
  <c r="F21" i="4"/>
  <c r="G19" i="4"/>
  <c r="F24" i="4"/>
  <c r="F19" i="4"/>
  <c r="F20" i="4"/>
  <c r="G23" i="4"/>
  <c r="G20" i="4"/>
  <c r="E23" i="4"/>
  <c r="E20" i="4"/>
  <c r="G12" i="12"/>
  <c r="H9" i="12" s="1"/>
  <c r="G15" i="10"/>
  <c r="H20" i="9"/>
  <c r="H22" i="9" s="1"/>
  <c r="E24" i="4"/>
  <c r="E12" i="6"/>
  <c r="G25" i="4"/>
  <c r="F23" i="4"/>
  <c r="C21" i="7"/>
  <c r="K46" i="1"/>
  <c r="J46" i="1" s="1"/>
  <c r="D45" i="1"/>
  <c r="K45" i="1" s="1"/>
  <c r="D47" i="1"/>
  <c r="G22" i="4"/>
  <c r="E22" i="4"/>
  <c r="E19" i="4"/>
  <c r="C136" i="7"/>
  <c r="H13" i="10"/>
  <c r="D13" i="13"/>
  <c r="C20" i="13"/>
  <c r="D20" i="13" s="1"/>
  <c r="D14" i="13"/>
  <c r="D16" i="13"/>
  <c r="D8" i="13"/>
  <c r="D9" i="13"/>
  <c r="D21" i="13"/>
  <c r="G21" i="4"/>
  <c r="D23" i="13"/>
  <c r="H20" i="4"/>
  <c r="H10" i="12"/>
  <c r="I10" i="12" s="1"/>
  <c r="D22" i="13"/>
  <c r="F13" i="13"/>
  <c r="G11" i="12"/>
  <c r="F15" i="13"/>
  <c r="D15" i="13"/>
  <c r="E130" i="7"/>
  <c r="D130" i="7"/>
  <c r="D132" i="7" s="1"/>
  <c r="C132" i="7"/>
  <c r="F38" i="14"/>
  <c r="C40" i="14" s="1"/>
  <c r="L35" i="8"/>
  <c r="D66" i="7"/>
  <c r="D87" i="7" s="1"/>
  <c r="D60" i="7"/>
  <c r="D86" i="7" s="1"/>
  <c r="D54" i="7"/>
  <c r="D85" i="7" s="1"/>
  <c r="D48" i="7"/>
  <c r="D84" i="7" s="1"/>
  <c r="D42" i="7"/>
  <c r="D83" i="7" s="1"/>
  <c r="D36" i="7"/>
  <c r="D82" i="7" s="1"/>
  <c r="E10" i="7"/>
  <c r="F130" i="7"/>
  <c r="F124" i="7"/>
  <c r="H12" i="6"/>
  <c r="D31" i="6" s="1"/>
  <c r="D26" i="6"/>
  <c r="H14" i="6"/>
  <c r="I13" i="5"/>
  <c r="H16" i="5"/>
  <c r="D25" i="4"/>
  <c r="D22" i="4"/>
  <c r="D20" i="4"/>
  <c r="D35" i="4"/>
  <c r="J14" i="4"/>
  <c r="H16" i="4"/>
  <c r="I14" i="4"/>
  <c r="H19" i="4"/>
  <c r="H24" i="4"/>
  <c r="K15" i="4"/>
  <c r="H25" i="4"/>
  <c r="H21" i="4"/>
  <c r="D23" i="4"/>
  <c r="H22" i="4"/>
  <c r="D21" i="4"/>
  <c r="D19" i="4"/>
  <c r="M10" i="3"/>
  <c r="F679" i="20" l="1"/>
  <c r="AY76" i="19"/>
  <c r="K602" i="20" s="1"/>
  <c r="K604" i="20" s="1"/>
  <c r="K616" i="20" s="1"/>
  <c r="AY75" i="19"/>
  <c r="K598" i="20" s="1"/>
  <c r="K600" i="20" s="1"/>
  <c r="K615" i="20" s="1"/>
  <c r="AX89" i="19"/>
  <c r="AX90" i="19"/>
  <c r="AW91" i="19"/>
  <c r="AY43" i="19"/>
  <c r="K479" i="20" s="1"/>
  <c r="K481" i="20" s="1"/>
  <c r="K502" i="20" s="1"/>
  <c r="AX57" i="19"/>
  <c r="AZ72" i="19"/>
  <c r="L586" i="20" s="1"/>
  <c r="L588" i="20" s="1"/>
  <c r="L612" i="20" s="1"/>
  <c r="K586" i="20"/>
  <c r="K588" i="20" s="1"/>
  <c r="K612" i="20" s="1"/>
  <c r="AY71" i="19"/>
  <c r="J582" i="20"/>
  <c r="J584" i="20" s="1"/>
  <c r="J611" i="20" s="1"/>
  <c r="AX85" i="19"/>
  <c r="H619" i="20"/>
  <c r="H662" i="20" s="1"/>
  <c r="H667" i="20" s="1"/>
  <c r="H671" i="20" s="1"/>
  <c r="H673" i="20" s="1"/>
  <c r="G677" i="20"/>
  <c r="AY70" i="19"/>
  <c r="AY84" i="19" s="1"/>
  <c r="J578" i="20"/>
  <c r="J580" i="20" s="1"/>
  <c r="J610" i="20" s="1"/>
  <c r="AW61" i="19"/>
  <c r="AY69" i="19"/>
  <c r="AY83" i="19" s="1"/>
  <c r="J574" i="20"/>
  <c r="J576" i="20" s="1"/>
  <c r="AX83" i="19"/>
  <c r="I609" i="20"/>
  <c r="I617" i="20" s="1"/>
  <c r="I606" i="20"/>
  <c r="AY68" i="19"/>
  <c r="AY82" i="19" s="1"/>
  <c r="J570" i="20"/>
  <c r="J572" i="20" s="1"/>
  <c r="AX60" i="19"/>
  <c r="AY46" i="19"/>
  <c r="K491" i="20" s="1"/>
  <c r="K493" i="20" s="1"/>
  <c r="K505" i="20" s="1"/>
  <c r="I658" i="20"/>
  <c r="I660" i="20" s="1"/>
  <c r="AX59" i="19"/>
  <c r="J487" i="20"/>
  <c r="J489" i="20" s="1"/>
  <c r="J504" i="20" s="1"/>
  <c r="AZ42" i="19"/>
  <c r="L475" i="20" s="1"/>
  <c r="L477" i="20" s="1"/>
  <c r="L501" i="20" s="1"/>
  <c r="K475" i="20"/>
  <c r="K477" i="20" s="1"/>
  <c r="K501" i="20" s="1"/>
  <c r="AY56" i="19"/>
  <c r="G566" i="20"/>
  <c r="AY41" i="19"/>
  <c r="AY55" i="19" s="1"/>
  <c r="J471" i="20"/>
  <c r="J473" i="20" s="1"/>
  <c r="J500" i="20" s="1"/>
  <c r="AY40" i="19"/>
  <c r="AY54" i="19" s="1"/>
  <c r="J467" i="20"/>
  <c r="J469" i="20" s="1"/>
  <c r="J499" i="20" s="1"/>
  <c r="H508" i="20"/>
  <c r="H551" i="20" s="1"/>
  <c r="H556" i="20" s="1"/>
  <c r="H560" i="20" s="1"/>
  <c r="H562" i="20" s="1"/>
  <c r="H564" i="20" s="1"/>
  <c r="AY39" i="19"/>
  <c r="AY53" i="19" s="1"/>
  <c r="J463" i="20"/>
  <c r="J465" i="20" s="1"/>
  <c r="I498" i="20"/>
  <c r="I506" i="20" s="1"/>
  <c r="I495" i="20"/>
  <c r="AY38" i="19"/>
  <c r="AY52" i="19" s="1"/>
  <c r="J459" i="20"/>
  <c r="J461" i="20" s="1"/>
  <c r="J544" i="20"/>
  <c r="I547" i="20"/>
  <c r="I549" i="20" s="1"/>
  <c r="J541" i="20"/>
  <c r="K526" i="20"/>
  <c r="H397" i="20"/>
  <c r="H440" i="20" s="1"/>
  <c r="H445" i="20" s="1"/>
  <c r="H449" i="20" s="1"/>
  <c r="H451" i="20" s="1"/>
  <c r="H453" i="20" s="1"/>
  <c r="AZ26" i="19"/>
  <c r="AY11" i="19"/>
  <c r="AY25" i="19" s="1"/>
  <c r="J360" i="20"/>
  <c r="J362" i="20" s="1"/>
  <c r="J389" i="20" s="1"/>
  <c r="Y75" i="19"/>
  <c r="K265" i="20" s="1"/>
  <c r="K267" i="20" s="1"/>
  <c r="K282" i="20" s="1"/>
  <c r="AY10" i="19"/>
  <c r="AY24" i="19" s="1"/>
  <c r="J356" i="20"/>
  <c r="J358" i="20" s="1"/>
  <c r="J388" i="20" s="1"/>
  <c r="G455" i="20"/>
  <c r="AY9" i="19"/>
  <c r="AY23" i="19" s="1"/>
  <c r="J352" i="20"/>
  <c r="J354" i="20" s="1"/>
  <c r="X89" i="19"/>
  <c r="I384" i="20"/>
  <c r="I387" i="20"/>
  <c r="I395" i="20" s="1"/>
  <c r="AY8" i="19"/>
  <c r="AY22" i="19" s="1"/>
  <c r="J348" i="20"/>
  <c r="J350" i="20" s="1"/>
  <c r="J430" i="20"/>
  <c r="K415" i="20"/>
  <c r="J433" i="20"/>
  <c r="I436" i="20"/>
  <c r="I438" i="20" s="1"/>
  <c r="Y71" i="19"/>
  <c r="Y85" i="19" s="1"/>
  <c r="J249" i="20"/>
  <c r="J251" i="20" s="1"/>
  <c r="J278" i="20" s="1"/>
  <c r="G329" i="20"/>
  <c r="G334" i="20" s="1"/>
  <c r="G338" i="20" s="1"/>
  <c r="G340" i="20" s="1"/>
  <c r="Y70" i="19"/>
  <c r="Y84" i="19" s="1"/>
  <c r="J245" i="20"/>
  <c r="J247" i="20" s="1"/>
  <c r="J277" i="20" s="1"/>
  <c r="Y69" i="19"/>
  <c r="Y83" i="19" s="1"/>
  <c r="J241" i="20"/>
  <c r="J243" i="20" s="1"/>
  <c r="I276" i="20"/>
  <c r="I284" i="20" s="1"/>
  <c r="I273" i="20"/>
  <c r="Y68" i="19"/>
  <c r="Y82" i="19" s="1"/>
  <c r="J237" i="20"/>
  <c r="J239" i="20" s="1"/>
  <c r="H286" i="20"/>
  <c r="H327" i="20"/>
  <c r="J306" i="20"/>
  <c r="I319" i="20"/>
  <c r="I325" i="20"/>
  <c r="J322" i="20"/>
  <c r="G233" i="20"/>
  <c r="H175" i="20"/>
  <c r="H218" i="20" s="1"/>
  <c r="H223" i="20" s="1"/>
  <c r="H227" i="20" s="1"/>
  <c r="H229" i="20" s="1"/>
  <c r="I162" i="20"/>
  <c r="J211" i="20"/>
  <c r="I214" i="20"/>
  <c r="I216" i="20" s="1"/>
  <c r="J172" i="20"/>
  <c r="I165" i="20"/>
  <c r="I173" i="20" s="1"/>
  <c r="X53" i="19"/>
  <c r="J130" i="20"/>
  <c r="J132" i="20" s="1"/>
  <c r="X52" i="19"/>
  <c r="J126" i="20"/>
  <c r="J128" i="20" s="1"/>
  <c r="G118" i="20"/>
  <c r="G120" i="20" s="1"/>
  <c r="G122" i="20" s="1"/>
  <c r="H64" i="20"/>
  <c r="H107" i="20" s="1"/>
  <c r="H112" i="20" s="1"/>
  <c r="H116" i="20" s="1"/>
  <c r="J103" i="20"/>
  <c r="K100" i="20"/>
  <c r="I97" i="20"/>
  <c r="I105" i="20" s="1"/>
  <c r="J82" i="20"/>
  <c r="J56" i="20"/>
  <c r="I54" i="20"/>
  <c r="I62" i="20" s="1"/>
  <c r="I51" i="20"/>
  <c r="J37" i="20"/>
  <c r="J58" i="20" s="1"/>
  <c r="J25" i="20"/>
  <c r="J55" i="20" s="1"/>
  <c r="Y41" i="19"/>
  <c r="K138" i="20" s="1"/>
  <c r="K140" i="20" s="1"/>
  <c r="K167" i="20" s="1"/>
  <c r="X55" i="19"/>
  <c r="Y40" i="19"/>
  <c r="K134" i="20" s="1"/>
  <c r="K136" i="20" s="1"/>
  <c r="K166" i="20" s="1"/>
  <c r="Y39" i="19"/>
  <c r="Y38" i="19"/>
  <c r="J17" i="20"/>
  <c r="J54" i="20" s="1"/>
  <c r="AY45" i="19"/>
  <c r="W91" i="19"/>
  <c r="AW31" i="19"/>
  <c r="W61" i="19"/>
  <c r="W31" i="19"/>
  <c r="AY73" i="19"/>
  <c r="K590" i="20" s="1"/>
  <c r="K592" i="20" s="1"/>
  <c r="K613" i="20" s="1"/>
  <c r="AX87" i="19"/>
  <c r="AY15" i="19"/>
  <c r="K376" i="20" s="1"/>
  <c r="K378" i="20" s="1"/>
  <c r="K393" i="20" s="1"/>
  <c r="AX29" i="19"/>
  <c r="AY13" i="19"/>
  <c r="K368" i="20" s="1"/>
  <c r="K370" i="20" s="1"/>
  <c r="K391" i="20" s="1"/>
  <c r="AX27" i="19"/>
  <c r="AY16" i="19"/>
  <c r="K380" i="20" s="1"/>
  <c r="K382" i="20" s="1"/>
  <c r="K394" i="20" s="1"/>
  <c r="AX30" i="19"/>
  <c r="Y76" i="19"/>
  <c r="K269" i="20" s="1"/>
  <c r="K271" i="20" s="1"/>
  <c r="K283" i="20" s="1"/>
  <c r="X90" i="19"/>
  <c r="Y73" i="19"/>
  <c r="K257" i="20" s="1"/>
  <c r="K259" i="20" s="1"/>
  <c r="K280" i="20" s="1"/>
  <c r="X87" i="19"/>
  <c r="Y43" i="19"/>
  <c r="K146" i="20" s="1"/>
  <c r="K148" i="20" s="1"/>
  <c r="K169" i="20" s="1"/>
  <c r="X57" i="19"/>
  <c r="Y46" i="19"/>
  <c r="K158" i="20" s="1"/>
  <c r="K160" i="20" s="1"/>
  <c r="X60" i="19"/>
  <c r="Y45" i="19"/>
  <c r="K154" i="20" s="1"/>
  <c r="K156" i="20" s="1"/>
  <c r="K171" i="20" s="1"/>
  <c r="X59" i="19"/>
  <c r="Y13" i="19"/>
  <c r="K35" i="20" s="1"/>
  <c r="X27" i="19"/>
  <c r="X30" i="19"/>
  <c r="Y16" i="19"/>
  <c r="K47" i="20" s="1"/>
  <c r="K49" i="20" s="1"/>
  <c r="K61" i="20" s="1"/>
  <c r="Y15" i="19"/>
  <c r="K43" i="20" s="1"/>
  <c r="K45" i="20" s="1"/>
  <c r="K60" i="20" s="1"/>
  <c r="X29" i="19"/>
  <c r="AL69" i="19"/>
  <c r="AL68" i="19"/>
  <c r="AL70" i="19"/>
  <c r="Z72" i="19"/>
  <c r="Y86" i="19"/>
  <c r="L71" i="19"/>
  <c r="L70" i="19"/>
  <c r="L68" i="19"/>
  <c r="L69" i="19"/>
  <c r="AL40" i="19"/>
  <c r="AL38" i="19"/>
  <c r="AL39" i="19"/>
  <c r="AL41" i="19"/>
  <c r="AL10" i="19"/>
  <c r="AL11" i="19"/>
  <c r="AL9" i="19"/>
  <c r="AL8" i="19"/>
  <c r="L39" i="19"/>
  <c r="X54" i="19"/>
  <c r="K40" i="19"/>
  <c r="Z42" i="19"/>
  <c r="L142" i="20" s="1"/>
  <c r="L144" i="20" s="1"/>
  <c r="L168" i="20" s="1"/>
  <c r="Y56" i="19"/>
  <c r="L38" i="19"/>
  <c r="Z12" i="19"/>
  <c r="Y26" i="19"/>
  <c r="Y11" i="19"/>
  <c r="K27" i="20" s="1"/>
  <c r="K29" i="20" s="1"/>
  <c r="X25" i="19"/>
  <c r="Y10" i="19"/>
  <c r="K23" i="20" s="1"/>
  <c r="X24" i="19"/>
  <c r="Y9" i="19"/>
  <c r="K19" i="20" s="1"/>
  <c r="K21" i="20" s="1"/>
  <c r="X23" i="19"/>
  <c r="Y8" i="19"/>
  <c r="K15" i="20" s="1"/>
  <c r="X22" i="19"/>
  <c r="E132" i="7"/>
  <c r="J13" i="10"/>
  <c r="J13" i="17"/>
  <c r="I13" i="10"/>
  <c r="I13" i="17"/>
  <c r="H10" i="9"/>
  <c r="H10" i="18"/>
  <c r="H11" i="12"/>
  <c r="I11" i="12" s="1"/>
  <c r="H17" i="8"/>
  <c r="H19" i="8" s="1"/>
  <c r="D21" i="7"/>
  <c r="D24" i="7" s="1"/>
  <c r="D80" i="7" s="1"/>
  <c r="C24" i="7"/>
  <c r="D15" i="7"/>
  <c r="J45" i="1"/>
  <c r="D27" i="7"/>
  <c r="K47" i="1"/>
  <c r="J47" i="1" s="1"/>
  <c r="D48" i="1"/>
  <c r="D136" i="7"/>
  <c r="H12" i="12"/>
  <c r="J10" i="12"/>
  <c r="K13" i="17" s="1"/>
  <c r="E136" i="7"/>
  <c r="M35" i="8"/>
  <c r="E42" i="7"/>
  <c r="E83" i="7" s="1"/>
  <c r="E66" i="7"/>
  <c r="E87" i="7" s="1"/>
  <c r="E60" i="7"/>
  <c r="E86" i="7" s="1"/>
  <c r="E54" i="7"/>
  <c r="E85" i="7" s="1"/>
  <c r="E48" i="7"/>
  <c r="E84" i="7" s="1"/>
  <c r="G130" i="7"/>
  <c r="F132" i="7"/>
  <c r="F10" i="7"/>
  <c r="G124" i="7"/>
  <c r="F31" i="6"/>
  <c r="G28" i="6"/>
  <c r="F28" i="6"/>
  <c r="E26" i="6"/>
  <c r="G31" i="6"/>
  <c r="G30" i="6"/>
  <c r="F30" i="6"/>
  <c r="G27" i="6"/>
  <c r="F27" i="6"/>
  <c r="G29" i="6"/>
  <c r="E32" i="6"/>
  <c r="F29" i="6"/>
  <c r="AY89" i="19" l="1"/>
  <c r="AY90" i="19"/>
  <c r="AZ76" i="19"/>
  <c r="L602" i="20" s="1"/>
  <c r="L604" i="20" s="1"/>
  <c r="L616" i="20" s="1"/>
  <c r="AZ75" i="19"/>
  <c r="AZ89" i="19" s="1"/>
  <c r="AY57" i="19"/>
  <c r="AZ43" i="19"/>
  <c r="AZ57" i="19" s="1"/>
  <c r="AZ86" i="19"/>
  <c r="AZ71" i="19"/>
  <c r="K582" i="20"/>
  <c r="K584" i="20" s="1"/>
  <c r="K611" i="20" s="1"/>
  <c r="AY85" i="19"/>
  <c r="AX91" i="19"/>
  <c r="AZ70" i="19"/>
  <c r="L578" i="20" s="1"/>
  <c r="L580" i="20" s="1"/>
  <c r="L610" i="20" s="1"/>
  <c r="K578" i="20"/>
  <c r="K580" i="20" s="1"/>
  <c r="K610" i="20" s="1"/>
  <c r="AZ46" i="19"/>
  <c r="AZ60" i="19" s="1"/>
  <c r="H675" i="20"/>
  <c r="AZ69" i="19"/>
  <c r="L574" i="20" s="1"/>
  <c r="L576" i="20" s="1"/>
  <c r="K574" i="20"/>
  <c r="K576" i="20" s="1"/>
  <c r="AY60" i="19"/>
  <c r="AX61" i="19"/>
  <c r="J609" i="20"/>
  <c r="J617" i="20" s="1"/>
  <c r="J606" i="20"/>
  <c r="AZ68" i="19"/>
  <c r="L570" i="20" s="1"/>
  <c r="L572" i="20" s="1"/>
  <c r="K570" i="20"/>
  <c r="K572" i="20" s="1"/>
  <c r="I619" i="20"/>
  <c r="I662" i="20" s="1"/>
  <c r="I667" i="20" s="1"/>
  <c r="I671" i="20" s="1"/>
  <c r="I673" i="20" s="1"/>
  <c r="I675" i="20" s="1"/>
  <c r="J658" i="20"/>
  <c r="J660" i="20" s="1"/>
  <c r="AY59" i="19"/>
  <c r="K487" i="20"/>
  <c r="K489" i="20" s="1"/>
  <c r="K504" i="20" s="1"/>
  <c r="AZ56" i="19"/>
  <c r="H566" i="20"/>
  <c r="AZ41" i="19"/>
  <c r="L471" i="20" s="1"/>
  <c r="L473" i="20" s="1"/>
  <c r="L500" i="20" s="1"/>
  <c r="K471" i="20"/>
  <c r="K473" i="20" s="1"/>
  <c r="K500" i="20" s="1"/>
  <c r="AZ40" i="19"/>
  <c r="L467" i="20" s="1"/>
  <c r="L469" i="20" s="1"/>
  <c r="L499" i="20" s="1"/>
  <c r="K467" i="20"/>
  <c r="K469" i="20" s="1"/>
  <c r="K499" i="20" s="1"/>
  <c r="AZ39" i="19"/>
  <c r="L463" i="20" s="1"/>
  <c r="L465" i="20" s="1"/>
  <c r="K463" i="20"/>
  <c r="K465" i="20" s="1"/>
  <c r="I508" i="20"/>
  <c r="I551" i="20" s="1"/>
  <c r="I556" i="20" s="1"/>
  <c r="I560" i="20" s="1"/>
  <c r="I562" i="20" s="1"/>
  <c r="I564" i="20" s="1"/>
  <c r="J498" i="20"/>
  <c r="J506" i="20" s="1"/>
  <c r="J495" i="20"/>
  <c r="AZ38" i="19"/>
  <c r="L459" i="20" s="1"/>
  <c r="L461" i="20" s="1"/>
  <c r="K459" i="20"/>
  <c r="K461" i="20" s="1"/>
  <c r="K541" i="20"/>
  <c r="L526" i="20"/>
  <c r="L541" i="20" s="1"/>
  <c r="J547" i="20"/>
  <c r="J549" i="20" s="1"/>
  <c r="K544" i="20"/>
  <c r="Y89" i="19"/>
  <c r="Z75" i="19"/>
  <c r="Z89" i="19" s="1"/>
  <c r="AZ11" i="19"/>
  <c r="L360" i="20" s="1"/>
  <c r="L362" i="20" s="1"/>
  <c r="L389" i="20" s="1"/>
  <c r="K360" i="20"/>
  <c r="K362" i="20" s="1"/>
  <c r="K389" i="20" s="1"/>
  <c r="AZ10" i="19"/>
  <c r="L356" i="20" s="1"/>
  <c r="L358" i="20" s="1"/>
  <c r="L388" i="20" s="1"/>
  <c r="K356" i="20"/>
  <c r="K358" i="20" s="1"/>
  <c r="K388" i="20" s="1"/>
  <c r="H455" i="20"/>
  <c r="AZ9" i="19"/>
  <c r="L352" i="20" s="1"/>
  <c r="L354" i="20" s="1"/>
  <c r="K352" i="20"/>
  <c r="K354" i="20" s="1"/>
  <c r="AZ8" i="19"/>
  <c r="L348" i="20" s="1"/>
  <c r="L350" i="20" s="1"/>
  <c r="K348" i="20"/>
  <c r="K350" i="20" s="1"/>
  <c r="J387" i="20"/>
  <c r="J395" i="20" s="1"/>
  <c r="J384" i="20"/>
  <c r="I397" i="20"/>
  <c r="I440" i="20" s="1"/>
  <c r="I445" i="20" s="1"/>
  <c r="I449" i="20" s="1"/>
  <c r="I451" i="20" s="1"/>
  <c r="I453" i="20" s="1"/>
  <c r="K430" i="20"/>
  <c r="L415" i="20"/>
  <c r="L430" i="20" s="1"/>
  <c r="K433" i="20"/>
  <c r="J436" i="20"/>
  <c r="J438" i="20" s="1"/>
  <c r="Z86" i="19"/>
  <c r="L253" i="20"/>
  <c r="L255" i="20" s="1"/>
  <c r="L279" i="20" s="1"/>
  <c r="Z71" i="19"/>
  <c r="L249" i="20" s="1"/>
  <c r="L251" i="20" s="1"/>
  <c r="L278" i="20" s="1"/>
  <c r="K249" i="20"/>
  <c r="K251" i="20" s="1"/>
  <c r="K278" i="20" s="1"/>
  <c r="G342" i="20"/>
  <c r="Z70" i="19"/>
  <c r="L245" i="20" s="1"/>
  <c r="L247" i="20" s="1"/>
  <c r="L277" i="20" s="1"/>
  <c r="K245" i="20"/>
  <c r="K247" i="20" s="1"/>
  <c r="K277" i="20" s="1"/>
  <c r="Z69" i="19"/>
  <c r="L241" i="20" s="1"/>
  <c r="L243" i="20" s="1"/>
  <c r="K241" i="20"/>
  <c r="K243" i="20" s="1"/>
  <c r="H329" i="20"/>
  <c r="H334" i="20" s="1"/>
  <c r="H338" i="20" s="1"/>
  <c r="H340" i="20" s="1"/>
  <c r="H342" i="20" s="1"/>
  <c r="J276" i="20"/>
  <c r="J284" i="20" s="1"/>
  <c r="J273" i="20"/>
  <c r="Z68" i="19"/>
  <c r="L237" i="20" s="1"/>
  <c r="L239" i="20" s="1"/>
  <c r="K237" i="20"/>
  <c r="K239" i="20" s="1"/>
  <c r="I286" i="20"/>
  <c r="J325" i="20"/>
  <c r="K322" i="20"/>
  <c r="I327" i="20"/>
  <c r="K306" i="20"/>
  <c r="J319" i="20"/>
  <c r="J327" i="20" s="1"/>
  <c r="I175" i="20"/>
  <c r="I218" i="20" s="1"/>
  <c r="I223" i="20" s="1"/>
  <c r="I227" i="20" s="1"/>
  <c r="I229" i="20" s="1"/>
  <c r="I231" i="20" s="1"/>
  <c r="H231" i="20"/>
  <c r="H233" i="20" s="1"/>
  <c r="J165" i="20"/>
  <c r="J173" i="20" s="1"/>
  <c r="J162" i="20"/>
  <c r="K172" i="20"/>
  <c r="K211" i="20"/>
  <c r="J214" i="20"/>
  <c r="J216" i="20" s="1"/>
  <c r="Y52" i="19"/>
  <c r="K126" i="20"/>
  <c r="K128" i="20" s="1"/>
  <c r="Y53" i="19"/>
  <c r="K130" i="20"/>
  <c r="K132" i="20" s="1"/>
  <c r="H118" i="20"/>
  <c r="H120" i="20" s="1"/>
  <c r="H122" i="20" s="1"/>
  <c r="K82" i="20"/>
  <c r="J97" i="20"/>
  <c r="J105" i="20" s="1"/>
  <c r="K103" i="20"/>
  <c r="L100" i="20"/>
  <c r="L103" i="20" s="1"/>
  <c r="I64" i="20"/>
  <c r="I107" i="20" s="1"/>
  <c r="I112" i="20" s="1"/>
  <c r="I116" i="20" s="1"/>
  <c r="J62" i="20"/>
  <c r="K56" i="20"/>
  <c r="K25" i="20"/>
  <c r="K55" i="20" s="1"/>
  <c r="K37" i="20"/>
  <c r="K58" i="20" s="1"/>
  <c r="J51" i="20"/>
  <c r="Z56" i="19"/>
  <c r="Z41" i="19"/>
  <c r="L138" i="20" s="1"/>
  <c r="L140" i="20" s="1"/>
  <c r="L167" i="20" s="1"/>
  <c r="Y55" i="19"/>
  <c r="Z40" i="19"/>
  <c r="L134" i="20" s="1"/>
  <c r="L136" i="20" s="1"/>
  <c r="L166" i="20" s="1"/>
  <c r="Z39" i="19"/>
  <c r="L130" i="20" s="1"/>
  <c r="L132" i="20" s="1"/>
  <c r="Z38" i="19"/>
  <c r="L126" i="20" s="1"/>
  <c r="L128" i="20" s="1"/>
  <c r="K17" i="20"/>
  <c r="Z26" i="19"/>
  <c r="L31" i="20"/>
  <c r="L33" i="20" s="1"/>
  <c r="L57" i="20" s="1"/>
  <c r="AZ45" i="19"/>
  <c r="AX31" i="19"/>
  <c r="X91" i="19"/>
  <c r="X61" i="19"/>
  <c r="X31" i="19"/>
  <c r="AZ73" i="19"/>
  <c r="AY87" i="19"/>
  <c r="AZ16" i="19"/>
  <c r="AY30" i="19"/>
  <c r="AZ13" i="19"/>
  <c r="AY27" i="19"/>
  <c r="AZ15" i="19"/>
  <c r="AY29" i="19"/>
  <c r="Z73" i="19"/>
  <c r="Y87" i="19"/>
  <c r="Z76" i="19"/>
  <c r="Y90" i="19"/>
  <c r="Z46" i="19"/>
  <c r="L158" i="20" s="1"/>
  <c r="L160" i="20" s="1"/>
  <c r="Y60" i="19"/>
  <c r="Z45" i="19"/>
  <c r="L154" i="20" s="1"/>
  <c r="L156" i="20" s="1"/>
  <c r="L171" i="20" s="1"/>
  <c r="Y59" i="19"/>
  <c r="Z43" i="19"/>
  <c r="L146" i="20" s="1"/>
  <c r="L148" i="20" s="1"/>
  <c r="L169" i="20" s="1"/>
  <c r="Y57" i="19"/>
  <c r="Z13" i="19"/>
  <c r="L35" i="20" s="1"/>
  <c r="Y27" i="19"/>
  <c r="Y30" i="19"/>
  <c r="Z16" i="19"/>
  <c r="L47" i="20" s="1"/>
  <c r="L49" i="20" s="1"/>
  <c r="L61" i="20" s="1"/>
  <c r="Z15" i="19"/>
  <c r="L43" i="20" s="1"/>
  <c r="L45" i="20" s="1"/>
  <c r="L60" i="20" s="1"/>
  <c r="Y29" i="19"/>
  <c r="L40" i="19"/>
  <c r="Y54" i="19"/>
  <c r="Z11" i="19"/>
  <c r="Y25" i="19"/>
  <c r="Z10" i="19"/>
  <c r="L23" i="20" s="1"/>
  <c r="Y24" i="19"/>
  <c r="Z9" i="19"/>
  <c r="Y23" i="19"/>
  <c r="Z8" i="19"/>
  <c r="Y22" i="19"/>
  <c r="J10" i="9"/>
  <c r="J10" i="18"/>
  <c r="I10" i="9"/>
  <c r="I10" i="18"/>
  <c r="E15" i="7"/>
  <c r="D18" i="7"/>
  <c r="K48" i="1"/>
  <c r="J48" i="1" s="1"/>
  <c r="N45" i="1" s="1"/>
  <c r="E33" i="7"/>
  <c r="E27" i="7"/>
  <c r="D30" i="7"/>
  <c r="D81" i="7" s="1"/>
  <c r="H12" i="8"/>
  <c r="H12" i="18" s="1"/>
  <c r="C80" i="7"/>
  <c r="C89" i="7" s="1"/>
  <c r="C68" i="7"/>
  <c r="C70" i="7" s="1"/>
  <c r="E21" i="7"/>
  <c r="J11" i="12"/>
  <c r="K13" i="10"/>
  <c r="I9" i="12"/>
  <c r="I12" i="12" s="1"/>
  <c r="I17" i="8"/>
  <c r="I19" i="8" s="1"/>
  <c r="K10" i="12"/>
  <c r="F136" i="7"/>
  <c r="G132" i="7"/>
  <c r="N35" i="8"/>
  <c r="F60" i="7"/>
  <c r="F86" i="7" s="1"/>
  <c r="F66" i="7"/>
  <c r="F87" i="7" s="1"/>
  <c r="F54" i="7"/>
  <c r="F85" i="7" s="1"/>
  <c r="F48" i="7"/>
  <c r="F84" i="7" s="1"/>
  <c r="F42" i="7"/>
  <c r="F83" i="7" s="1"/>
  <c r="G10" i="7"/>
  <c r="H130" i="7"/>
  <c r="H124" i="7"/>
  <c r="G344" i="20" l="1"/>
  <c r="G679" i="20"/>
  <c r="H677" i="20"/>
  <c r="H679" i="20"/>
  <c r="AZ90" i="19"/>
  <c r="L598" i="20"/>
  <c r="L600" i="20" s="1"/>
  <c r="L615" i="20" s="1"/>
  <c r="AY91" i="19"/>
  <c r="AZ87" i="19"/>
  <c r="L590" i="20"/>
  <c r="L592" i="20" s="1"/>
  <c r="L613" i="20" s="1"/>
  <c r="L479" i="20"/>
  <c r="L481" i="20" s="1"/>
  <c r="L502" i="20" s="1"/>
  <c r="J619" i="20"/>
  <c r="J662" i="20" s="1"/>
  <c r="J667" i="20" s="1"/>
  <c r="J671" i="20" s="1"/>
  <c r="J673" i="20" s="1"/>
  <c r="J675" i="20" s="1"/>
  <c r="L582" i="20"/>
  <c r="L584" i="20" s="1"/>
  <c r="L611" i="20" s="1"/>
  <c r="AZ85" i="19"/>
  <c r="AY61" i="19"/>
  <c r="I677" i="20"/>
  <c r="AZ84" i="19"/>
  <c r="L491" i="20"/>
  <c r="L493" i="20" s="1"/>
  <c r="L505" i="20" s="1"/>
  <c r="AZ83" i="19"/>
  <c r="K609" i="20"/>
  <c r="K617" i="20" s="1"/>
  <c r="K606" i="20"/>
  <c r="L609" i="20"/>
  <c r="AZ82" i="19"/>
  <c r="L658" i="20"/>
  <c r="L660" i="20" s="1"/>
  <c r="K658" i="20"/>
  <c r="K660" i="20" s="1"/>
  <c r="AZ59" i="19"/>
  <c r="L487" i="20"/>
  <c r="L489" i="20" s="1"/>
  <c r="L504" i="20" s="1"/>
  <c r="I566" i="20"/>
  <c r="AZ54" i="19"/>
  <c r="AZ55" i="19"/>
  <c r="AZ53" i="19"/>
  <c r="J508" i="20"/>
  <c r="J551" i="20" s="1"/>
  <c r="J556" i="20" s="1"/>
  <c r="J560" i="20" s="1"/>
  <c r="J562" i="20" s="1"/>
  <c r="J564" i="20" s="1"/>
  <c r="AZ52" i="19"/>
  <c r="L498" i="20"/>
  <c r="K498" i="20"/>
  <c r="K506" i="20" s="1"/>
  <c r="K495" i="20"/>
  <c r="K547" i="20"/>
  <c r="K549" i="20" s="1"/>
  <c r="L544" i="20"/>
  <c r="L547" i="20" s="1"/>
  <c r="L549" i="20"/>
  <c r="L265" i="20"/>
  <c r="L267" i="20" s="1"/>
  <c r="L282" i="20" s="1"/>
  <c r="AZ30" i="19"/>
  <c r="L380" i="20"/>
  <c r="L382" i="20" s="1"/>
  <c r="L394" i="20" s="1"/>
  <c r="AZ29" i="19"/>
  <c r="L376" i="20"/>
  <c r="L378" i="20" s="1"/>
  <c r="L393" i="20" s="1"/>
  <c r="AZ27" i="19"/>
  <c r="L368" i="20"/>
  <c r="L370" i="20" s="1"/>
  <c r="L391" i="20" s="1"/>
  <c r="AZ25" i="19"/>
  <c r="AZ24" i="19"/>
  <c r="I455" i="20"/>
  <c r="J397" i="20"/>
  <c r="J440" i="20" s="1"/>
  <c r="J445" i="20" s="1"/>
  <c r="J449" i="20" s="1"/>
  <c r="J451" i="20" s="1"/>
  <c r="J453" i="20" s="1"/>
  <c r="AZ23" i="19"/>
  <c r="AZ22" i="19"/>
  <c r="K387" i="20"/>
  <c r="K395" i="20" s="1"/>
  <c r="K384" i="20"/>
  <c r="L387" i="20"/>
  <c r="L433" i="20"/>
  <c r="L436" i="20" s="1"/>
  <c r="L438" i="20" s="1"/>
  <c r="K436" i="20"/>
  <c r="K438" i="20" s="1"/>
  <c r="Z90" i="19"/>
  <c r="L269" i="20"/>
  <c r="L271" i="20" s="1"/>
  <c r="L283" i="20" s="1"/>
  <c r="Z87" i="19"/>
  <c r="L257" i="20"/>
  <c r="L259" i="20" s="1"/>
  <c r="L280" i="20" s="1"/>
  <c r="H344" i="20"/>
  <c r="Z85" i="19"/>
  <c r="Z84" i="19"/>
  <c r="I329" i="20"/>
  <c r="I334" i="20" s="1"/>
  <c r="I338" i="20" s="1"/>
  <c r="I340" i="20" s="1"/>
  <c r="I342" i="20" s="1"/>
  <c r="Z83" i="19"/>
  <c r="K273" i="20"/>
  <c r="K276" i="20"/>
  <c r="K284" i="20" s="1"/>
  <c r="L276" i="20"/>
  <c r="Z82" i="19"/>
  <c r="J286" i="20"/>
  <c r="J329" i="20" s="1"/>
  <c r="J334" i="20" s="1"/>
  <c r="J338" i="20" s="1"/>
  <c r="J340" i="20" s="1"/>
  <c r="J342" i="20" s="1"/>
  <c r="L306" i="20"/>
  <c r="L319" i="20" s="1"/>
  <c r="K319" i="20"/>
  <c r="L322" i="20"/>
  <c r="L325" i="20" s="1"/>
  <c r="K325" i="20"/>
  <c r="K162" i="20"/>
  <c r="I233" i="20"/>
  <c r="J175" i="20"/>
  <c r="J218" i="20" s="1"/>
  <c r="J223" i="20" s="1"/>
  <c r="J227" i="20" s="1"/>
  <c r="K165" i="20"/>
  <c r="K173" i="20" s="1"/>
  <c r="L165" i="20"/>
  <c r="L211" i="20"/>
  <c r="L214" i="20" s="1"/>
  <c r="L216" i="20" s="1"/>
  <c r="K214" i="20"/>
  <c r="K216" i="20" s="1"/>
  <c r="L162" i="20"/>
  <c r="L172" i="20"/>
  <c r="J64" i="20"/>
  <c r="J107" i="20" s="1"/>
  <c r="J112" i="20" s="1"/>
  <c r="J116" i="20" s="1"/>
  <c r="J118" i="20" s="1"/>
  <c r="I118" i="20"/>
  <c r="I120" i="20" s="1"/>
  <c r="I122" i="20" s="1"/>
  <c r="L82" i="20"/>
  <c r="L97" i="20" s="1"/>
  <c r="L105" i="20" s="1"/>
  <c r="K97" i="20"/>
  <c r="K105" i="20" s="1"/>
  <c r="K54" i="20"/>
  <c r="K62" i="20" s="1"/>
  <c r="L37" i="20"/>
  <c r="L58" i="20" s="1"/>
  <c r="L25" i="20"/>
  <c r="L55" i="20" s="1"/>
  <c r="K51" i="20"/>
  <c r="Z57" i="19"/>
  <c r="Z55" i="19"/>
  <c r="Z54" i="19"/>
  <c r="Z53" i="19"/>
  <c r="Z52" i="19"/>
  <c r="Z60" i="19"/>
  <c r="Z59" i="19"/>
  <c r="Z30" i="19"/>
  <c r="Z29" i="19"/>
  <c r="Z25" i="19"/>
  <c r="L27" i="20"/>
  <c r="L29" i="20" s="1"/>
  <c r="Z27" i="19"/>
  <c r="Z24" i="19"/>
  <c r="Z23" i="19"/>
  <c r="L19" i="20"/>
  <c r="L21" i="20" s="1"/>
  <c r="Z22" i="19"/>
  <c r="L15" i="20"/>
  <c r="AY31" i="19"/>
  <c r="Y91" i="19"/>
  <c r="Y61" i="19"/>
  <c r="Y31" i="19"/>
  <c r="J6" i="11"/>
  <c r="H13" i="11" s="1"/>
  <c r="H24" i="18" s="1"/>
  <c r="K10" i="9"/>
  <c r="K10" i="18"/>
  <c r="L13" i="10"/>
  <c r="L13" i="17"/>
  <c r="K11" i="12"/>
  <c r="C72" i="7"/>
  <c r="C91" i="7" s="1"/>
  <c r="C134" i="7" s="1"/>
  <c r="C139" i="7" s="1"/>
  <c r="H11" i="8"/>
  <c r="F27" i="7"/>
  <c r="E30" i="7"/>
  <c r="E81" i="7" s="1"/>
  <c r="F21" i="7"/>
  <c r="E24" i="7"/>
  <c r="E80" i="7" s="1"/>
  <c r="H12" i="9"/>
  <c r="I12" i="8"/>
  <c r="I12" i="18" s="1"/>
  <c r="F33" i="7"/>
  <c r="E36" i="7"/>
  <c r="E82" i="7" s="1"/>
  <c r="D79" i="7"/>
  <c r="D89" i="7" s="1"/>
  <c r="D68" i="7"/>
  <c r="D70" i="7" s="1"/>
  <c r="F15" i="7"/>
  <c r="E18" i="7"/>
  <c r="J9" i="12"/>
  <c r="J12" i="12" s="1"/>
  <c r="J17" i="8"/>
  <c r="J19" i="8" s="1"/>
  <c r="L10" i="12"/>
  <c r="M13" i="17" s="1"/>
  <c r="G136" i="7"/>
  <c r="H132" i="7"/>
  <c r="O35" i="8"/>
  <c r="H10" i="7"/>
  <c r="G54" i="7"/>
  <c r="G85" i="7" s="1"/>
  <c r="G66" i="7"/>
  <c r="G87" i="7" s="1"/>
  <c r="G48" i="7"/>
  <c r="G84" i="7" s="1"/>
  <c r="G60" i="7"/>
  <c r="G86" i="7" s="1"/>
  <c r="G42" i="7"/>
  <c r="G83" i="7" s="1"/>
  <c r="I124" i="7"/>
  <c r="I130" i="7"/>
  <c r="I679" i="20" l="1"/>
  <c r="J677" i="20"/>
  <c r="K619" i="20"/>
  <c r="K662" i="20" s="1"/>
  <c r="K667" i="20" s="1"/>
  <c r="K671" i="20" s="1"/>
  <c r="K673" i="20" s="1"/>
  <c r="K675" i="20" s="1"/>
  <c r="L617" i="20"/>
  <c r="L606" i="20"/>
  <c r="AZ91" i="19"/>
  <c r="L495" i="20"/>
  <c r="L506" i="20"/>
  <c r="J566" i="20"/>
  <c r="AZ61" i="19"/>
  <c r="K508" i="20"/>
  <c r="K551" i="20" s="1"/>
  <c r="K556" i="20" s="1"/>
  <c r="K560" i="20" s="1"/>
  <c r="K562" i="20" s="1"/>
  <c r="K564" i="20" s="1"/>
  <c r="J455" i="20"/>
  <c r="L384" i="20"/>
  <c r="L395" i="20"/>
  <c r="AZ31" i="19"/>
  <c r="K397" i="20"/>
  <c r="K440" i="20" s="1"/>
  <c r="K445" i="20" s="1"/>
  <c r="K449" i="20" s="1"/>
  <c r="K451" i="20" s="1"/>
  <c r="K453" i="20" s="1"/>
  <c r="L273" i="20"/>
  <c r="L284" i="20"/>
  <c r="I344" i="20"/>
  <c r="J344" i="20" s="1"/>
  <c r="Z91" i="19"/>
  <c r="K286" i="20"/>
  <c r="K327" i="20"/>
  <c r="L327" i="20"/>
  <c r="K175" i="20"/>
  <c r="K218" i="20" s="1"/>
  <c r="K223" i="20" s="1"/>
  <c r="K227" i="20" s="1"/>
  <c r="K229" i="20" s="1"/>
  <c r="K231" i="20" s="1"/>
  <c r="J229" i="20"/>
  <c r="J231" i="20" s="1"/>
  <c r="J233" i="20" s="1"/>
  <c r="L173" i="20"/>
  <c r="L175" i="20" s="1"/>
  <c r="L218" i="20" s="1"/>
  <c r="L223" i="20" s="1"/>
  <c r="L227" i="20" s="1"/>
  <c r="J120" i="20"/>
  <c r="J122" i="20" s="1"/>
  <c r="K64" i="20"/>
  <c r="K107" i="20" s="1"/>
  <c r="K112" i="20" s="1"/>
  <c r="K116" i="20" s="1"/>
  <c r="L56" i="20"/>
  <c r="Z61" i="19"/>
  <c r="L17" i="20"/>
  <c r="Z31" i="19"/>
  <c r="D8" i="11"/>
  <c r="H14" i="11" s="1"/>
  <c r="I14" i="11" s="1"/>
  <c r="H22" i="11"/>
  <c r="H15" i="11"/>
  <c r="G30" i="11"/>
  <c r="G34" i="11" s="1"/>
  <c r="G16" i="17" s="1"/>
  <c r="H24" i="9"/>
  <c r="H11" i="9"/>
  <c r="H11" i="18"/>
  <c r="G14" i="17"/>
  <c r="G14" i="10"/>
  <c r="H14" i="10" s="1"/>
  <c r="D72" i="7"/>
  <c r="D91" i="7" s="1"/>
  <c r="D134" i="7" s="1"/>
  <c r="D139" i="7" s="1"/>
  <c r="I11" i="8"/>
  <c r="L10" i="9"/>
  <c r="L10" i="18"/>
  <c r="E79" i="7"/>
  <c r="E89" i="7" s="1"/>
  <c r="E68" i="7"/>
  <c r="E70" i="7" s="1"/>
  <c r="G15" i="7"/>
  <c r="F18" i="7"/>
  <c r="I12" i="9"/>
  <c r="J12" i="8"/>
  <c r="J12" i="18" s="1"/>
  <c r="G21" i="7"/>
  <c r="F24" i="7"/>
  <c r="F80" i="7" s="1"/>
  <c r="G33" i="7"/>
  <c r="F36" i="7"/>
  <c r="F82" i="7" s="1"/>
  <c r="G27" i="7"/>
  <c r="F30" i="7"/>
  <c r="F81" i="7" s="1"/>
  <c r="L11" i="12"/>
  <c r="M13" i="10"/>
  <c r="K9" i="12"/>
  <c r="K12" i="12" s="1"/>
  <c r="K17" i="8"/>
  <c r="K19" i="8" s="1"/>
  <c r="M10" i="12"/>
  <c r="H136" i="7"/>
  <c r="P35" i="8"/>
  <c r="J130" i="7"/>
  <c r="J124" i="7"/>
  <c r="I10" i="7"/>
  <c r="I132" i="7"/>
  <c r="H66" i="7"/>
  <c r="H87" i="7" s="1"/>
  <c r="H60" i="7"/>
  <c r="H86" i="7" s="1"/>
  <c r="H54" i="7"/>
  <c r="H85" i="7" s="1"/>
  <c r="H48" i="7"/>
  <c r="H84" i="7" s="1"/>
  <c r="H42" i="7"/>
  <c r="H83" i="7" s="1"/>
  <c r="J679" i="20" l="1"/>
  <c r="L619" i="20"/>
  <c r="L662" i="20" s="1"/>
  <c r="L667" i="20" s="1"/>
  <c r="L671" i="20" s="1"/>
  <c r="L673" i="20" s="1"/>
  <c r="L675" i="20" s="1"/>
  <c r="K677" i="20"/>
  <c r="L508" i="20"/>
  <c r="L551" i="20" s="1"/>
  <c r="L556" i="20" s="1"/>
  <c r="L560" i="20" s="1"/>
  <c r="L562" i="20" s="1"/>
  <c r="L564" i="20" s="1"/>
  <c r="K566" i="20"/>
  <c r="K455" i="20"/>
  <c r="L397" i="20"/>
  <c r="L440" i="20" s="1"/>
  <c r="L445" i="20" s="1"/>
  <c r="L449" i="20" s="1"/>
  <c r="L451" i="20" s="1"/>
  <c r="L453" i="20" s="1"/>
  <c r="L286" i="20"/>
  <c r="L329" i="20" s="1"/>
  <c r="L334" i="20" s="1"/>
  <c r="L338" i="20" s="1"/>
  <c r="L340" i="20" s="1"/>
  <c r="L342" i="20" s="1"/>
  <c r="K329" i="20"/>
  <c r="K334" i="20" s="1"/>
  <c r="K338" i="20" s="1"/>
  <c r="K340" i="20" s="1"/>
  <c r="K342" i="20" s="1"/>
  <c r="K344" i="20" s="1"/>
  <c r="K233" i="20"/>
  <c r="L229" i="20"/>
  <c r="L231" i="20" s="1"/>
  <c r="K118" i="20"/>
  <c r="K120" i="20" s="1"/>
  <c r="K122" i="20" s="1"/>
  <c r="L54" i="20"/>
  <c r="L62" i="20" s="1"/>
  <c r="L51" i="20"/>
  <c r="H16" i="11"/>
  <c r="H17" i="11" s="1"/>
  <c r="I13" i="11" s="1"/>
  <c r="I15" i="11" s="1"/>
  <c r="I16" i="11" s="1"/>
  <c r="I17" i="11" s="1"/>
  <c r="J13" i="11" s="1"/>
  <c r="J15" i="11" s="1"/>
  <c r="G16" i="10"/>
  <c r="G18" i="17"/>
  <c r="G21" i="17" s="1"/>
  <c r="G23" i="17" s="1"/>
  <c r="H30" i="11"/>
  <c r="G18" i="10"/>
  <c r="G21" i="10" s="1"/>
  <c r="G23" i="10" s="1"/>
  <c r="E72" i="7"/>
  <c r="E91" i="7" s="1"/>
  <c r="E134" i="7" s="1"/>
  <c r="E139" i="7" s="1"/>
  <c r="J11" i="8"/>
  <c r="N13" i="10"/>
  <c r="N13" i="17"/>
  <c r="I11" i="18"/>
  <c r="H14" i="17"/>
  <c r="I11" i="9"/>
  <c r="M10" i="9"/>
  <c r="M10" i="18"/>
  <c r="I14" i="10"/>
  <c r="H21" i="7"/>
  <c r="G24" i="7"/>
  <c r="G80" i="7" s="1"/>
  <c r="H15" i="7"/>
  <c r="G18" i="7"/>
  <c r="H33" i="7"/>
  <c r="G36" i="7"/>
  <c r="G82" i="7" s="1"/>
  <c r="J12" i="9"/>
  <c r="K12" i="8"/>
  <c r="K12" i="18" s="1"/>
  <c r="F79" i="7"/>
  <c r="F89" i="7" s="1"/>
  <c r="F68" i="7"/>
  <c r="F70" i="7" s="1"/>
  <c r="H27" i="7"/>
  <c r="G30" i="7"/>
  <c r="G81" i="7" s="1"/>
  <c r="J14" i="11"/>
  <c r="K14" i="11" s="1"/>
  <c r="L14" i="11" s="1"/>
  <c r="M14" i="11" s="1"/>
  <c r="N14" i="11" s="1"/>
  <c r="O14" i="11" s="1"/>
  <c r="L9" i="12"/>
  <c r="L12" i="12" s="1"/>
  <c r="L17" i="8"/>
  <c r="L19" i="8" s="1"/>
  <c r="N10" i="12"/>
  <c r="I136" i="7"/>
  <c r="M11" i="12"/>
  <c r="J132" i="7"/>
  <c r="Q35" i="8"/>
  <c r="I66" i="7"/>
  <c r="I87" i="7" s="1"/>
  <c r="I48" i="7"/>
  <c r="I84" i="7" s="1"/>
  <c r="I60" i="7"/>
  <c r="I86" i="7" s="1"/>
  <c r="I54" i="7"/>
  <c r="I85" i="7" s="1"/>
  <c r="I42" i="7"/>
  <c r="I83" i="7" s="1"/>
  <c r="K124" i="7"/>
  <c r="L124" i="7"/>
  <c r="K130" i="7"/>
  <c r="L130" i="7"/>
  <c r="J10" i="7"/>
  <c r="K679" i="20" l="1"/>
  <c r="L677" i="20"/>
  <c r="L566" i="20"/>
  <c r="L455" i="20"/>
  <c r="L344" i="20"/>
  <c r="L233" i="20"/>
  <c r="L64" i="20"/>
  <c r="L107" i="20" s="1"/>
  <c r="L112" i="20" s="1"/>
  <c r="L116" i="20" s="1"/>
  <c r="N11" i="12"/>
  <c r="F72" i="7"/>
  <c r="F91" i="7" s="1"/>
  <c r="F134" i="7" s="1"/>
  <c r="F139" i="7" s="1"/>
  <c r="K11" i="8"/>
  <c r="N10" i="9"/>
  <c r="N10" i="18"/>
  <c r="O13" i="10"/>
  <c r="O13" i="17"/>
  <c r="I14" i="17"/>
  <c r="J11" i="9"/>
  <c r="J11" i="18"/>
  <c r="I27" i="7"/>
  <c r="H30" i="7"/>
  <c r="H81" i="7" s="1"/>
  <c r="G79" i="7"/>
  <c r="G89" i="7" s="1"/>
  <c r="G68" i="7"/>
  <c r="G70" i="7" s="1"/>
  <c r="K12" i="9"/>
  <c r="L12" i="8"/>
  <c r="L12" i="18" s="1"/>
  <c r="I15" i="7"/>
  <c r="H18" i="7"/>
  <c r="I33" i="7"/>
  <c r="H36" i="7"/>
  <c r="H82" i="7" s="1"/>
  <c r="I21" i="7"/>
  <c r="H24" i="7"/>
  <c r="H80" i="7" s="1"/>
  <c r="M9" i="12"/>
  <c r="M12" i="12" s="1"/>
  <c r="M17" i="8"/>
  <c r="M19" i="8" s="1"/>
  <c r="O10" i="12"/>
  <c r="P13" i="17" s="1"/>
  <c r="J136" i="7"/>
  <c r="K132" i="7"/>
  <c r="P14" i="11"/>
  <c r="J16" i="11"/>
  <c r="K10" i="7"/>
  <c r="J66" i="7"/>
  <c r="J87" i="7" s="1"/>
  <c r="J60" i="7"/>
  <c r="J86" i="7" s="1"/>
  <c r="J54" i="7"/>
  <c r="J85" i="7" s="1"/>
  <c r="J48" i="7"/>
  <c r="J84" i="7" s="1"/>
  <c r="J42" i="7"/>
  <c r="J83" i="7" s="1"/>
  <c r="L132" i="7"/>
  <c r="L118" i="20" l="1"/>
  <c r="L120" i="20" s="1"/>
  <c r="J14" i="17"/>
  <c r="K11" i="18"/>
  <c r="K11" i="9"/>
  <c r="O10" i="9"/>
  <c r="O10" i="18"/>
  <c r="G72" i="7"/>
  <c r="G91" i="7" s="1"/>
  <c r="G134" i="7" s="1"/>
  <c r="G139" i="7" s="1"/>
  <c r="L11" i="8"/>
  <c r="J15" i="7"/>
  <c r="I18" i="7"/>
  <c r="J21" i="7"/>
  <c r="I24" i="7"/>
  <c r="I80" i="7" s="1"/>
  <c r="J33" i="7"/>
  <c r="I36" i="7"/>
  <c r="I82" i="7" s="1"/>
  <c r="H79" i="7"/>
  <c r="H89" i="7" s="1"/>
  <c r="H68" i="7"/>
  <c r="H70" i="7" s="1"/>
  <c r="L12" i="9"/>
  <c r="M12" i="8"/>
  <c r="M12" i="18" s="1"/>
  <c r="J27" i="7"/>
  <c r="I30" i="7"/>
  <c r="I81" i="7" s="1"/>
  <c r="O11" i="12"/>
  <c r="P13" i="10"/>
  <c r="N9" i="12"/>
  <c r="N12" i="12" s="1"/>
  <c r="N17" i="8"/>
  <c r="N19" i="8" s="1"/>
  <c r="P10" i="12"/>
  <c r="Q13" i="17" s="1"/>
  <c r="K136" i="7"/>
  <c r="Q14" i="11"/>
  <c r="J17" i="11"/>
  <c r="K13" i="11" s="1"/>
  <c r="K66" i="7"/>
  <c r="K87" i="7" s="1"/>
  <c r="K60" i="7"/>
  <c r="K86" i="7" s="1"/>
  <c r="K42" i="7"/>
  <c r="K83" i="7" s="1"/>
  <c r="K54" i="7"/>
  <c r="K85" i="7" s="1"/>
  <c r="K48" i="7"/>
  <c r="K84" i="7" s="1"/>
  <c r="L10" i="7"/>
  <c r="L122" i="20" l="1"/>
  <c r="L679" i="20"/>
  <c r="L11" i="18"/>
  <c r="K14" i="17"/>
  <c r="L11" i="9"/>
  <c r="H72" i="7"/>
  <c r="H91" i="7" s="1"/>
  <c r="H134" i="7" s="1"/>
  <c r="H139" i="7" s="1"/>
  <c r="M11" i="8"/>
  <c r="P10" i="9"/>
  <c r="P10" i="18"/>
  <c r="M12" i="9"/>
  <c r="N12" i="8"/>
  <c r="N12" i="18" s="1"/>
  <c r="K33" i="7"/>
  <c r="J36" i="7"/>
  <c r="J82" i="7" s="1"/>
  <c r="K27" i="7"/>
  <c r="J30" i="7"/>
  <c r="J81" i="7" s="1"/>
  <c r="K21" i="7"/>
  <c r="J24" i="7"/>
  <c r="J80" i="7" s="1"/>
  <c r="I79" i="7"/>
  <c r="I89" i="7" s="1"/>
  <c r="I68" i="7"/>
  <c r="I70" i="7" s="1"/>
  <c r="K15" i="7"/>
  <c r="J18" i="7"/>
  <c r="L136" i="7"/>
  <c r="Q13" i="10"/>
  <c r="O9" i="12"/>
  <c r="O12" i="12" s="1"/>
  <c r="O17" i="8"/>
  <c r="O19" i="8" s="1"/>
  <c r="P11" i="12"/>
  <c r="K15" i="11"/>
  <c r="R14" i="11"/>
  <c r="L66" i="7"/>
  <c r="L87" i="7" s="1"/>
  <c r="L60" i="7"/>
  <c r="L86" i="7" s="1"/>
  <c r="L54" i="7"/>
  <c r="L85" i="7" s="1"/>
  <c r="L48" i="7"/>
  <c r="L84" i="7" s="1"/>
  <c r="L42" i="7"/>
  <c r="L83" i="7" s="1"/>
  <c r="I72" i="7" l="1"/>
  <c r="I91" i="7" s="1"/>
  <c r="I134" i="7" s="1"/>
  <c r="I139" i="7" s="1"/>
  <c r="N11" i="8"/>
  <c r="Q10" i="9"/>
  <c r="Q10" i="18"/>
  <c r="M11" i="9"/>
  <c r="L14" i="17"/>
  <c r="M11" i="18"/>
  <c r="L27" i="7"/>
  <c r="L30" i="7" s="1"/>
  <c r="L81" i="7" s="1"/>
  <c r="K30" i="7"/>
  <c r="K81" i="7" s="1"/>
  <c r="L21" i="7"/>
  <c r="L24" i="7" s="1"/>
  <c r="L80" i="7" s="1"/>
  <c r="K24" i="7"/>
  <c r="K80" i="7" s="1"/>
  <c r="L33" i="7"/>
  <c r="L36" i="7" s="1"/>
  <c r="L82" i="7" s="1"/>
  <c r="K36" i="7"/>
  <c r="K82" i="7" s="1"/>
  <c r="J79" i="7"/>
  <c r="J89" i="7" s="1"/>
  <c r="J68" i="7"/>
  <c r="J70" i="7" s="1"/>
  <c r="L15" i="7"/>
  <c r="L18" i="7" s="1"/>
  <c r="L79" i="7" s="1"/>
  <c r="K18" i="7"/>
  <c r="N12" i="9"/>
  <c r="O12" i="8"/>
  <c r="O12" i="18" s="1"/>
  <c r="P9" i="12"/>
  <c r="P12" i="12" s="1"/>
  <c r="Q17" i="8" s="1"/>
  <c r="Q19" i="8" s="1"/>
  <c r="P17" i="8"/>
  <c r="P19" i="8" s="1"/>
  <c r="K16" i="11"/>
  <c r="S14" i="11"/>
  <c r="L89" i="7" l="1"/>
  <c r="J72" i="7"/>
  <c r="J91" i="7" s="1"/>
  <c r="J134" i="7" s="1"/>
  <c r="J139" i="7" s="1"/>
  <c r="O11" i="8"/>
  <c r="N11" i="9"/>
  <c r="M14" i="17"/>
  <c r="N11" i="18"/>
  <c r="O12" i="9"/>
  <c r="P12" i="8"/>
  <c r="P12" i="18" s="1"/>
  <c r="K79" i="7"/>
  <c r="K89" i="7" s="1"/>
  <c r="K68" i="7"/>
  <c r="K70" i="7" s="1"/>
  <c r="L68" i="7"/>
  <c r="L70" i="7" s="1"/>
  <c r="T14" i="11"/>
  <c r="H23" i="11"/>
  <c r="I23" i="11" s="1"/>
  <c r="J23" i="11" s="1"/>
  <c r="K23" i="11" s="1"/>
  <c r="L23" i="11" s="1"/>
  <c r="M23" i="11" s="1"/>
  <c r="N23" i="11" s="1"/>
  <c r="O23" i="11" s="1"/>
  <c r="P23" i="11" s="1"/>
  <c r="Q23" i="11" s="1"/>
  <c r="K17" i="11"/>
  <c r="L13" i="11" s="1"/>
  <c r="L72" i="7" l="1"/>
  <c r="L91" i="7" s="1"/>
  <c r="L134" i="7" s="1"/>
  <c r="L139" i="7" s="1"/>
  <c r="Q11" i="8"/>
  <c r="O11" i="9"/>
  <c r="N14" i="17"/>
  <c r="O11" i="18"/>
  <c r="K72" i="7"/>
  <c r="K91" i="7" s="1"/>
  <c r="K134" i="7" s="1"/>
  <c r="K139" i="7" s="1"/>
  <c r="P11" i="8"/>
  <c r="P12" i="9"/>
  <c r="Q12" i="8"/>
  <c r="L15" i="11"/>
  <c r="L16" i="11" s="1"/>
  <c r="L17" i="11" s="1"/>
  <c r="M13" i="11" s="1"/>
  <c r="U14" i="11"/>
  <c r="P11" i="9" l="1"/>
  <c r="O14" i="17"/>
  <c r="P11" i="18"/>
  <c r="Q11" i="18"/>
  <c r="Q11" i="9"/>
  <c r="P14" i="17"/>
  <c r="Q14" i="17"/>
  <c r="Q12" i="9"/>
  <c r="Q12" i="18"/>
  <c r="M15" i="11"/>
  <c r="M16" i="11" s="1"/>
  <c r="M17" i="11" s="1"/>
  <c r="N13" i="11" s="1"/>
  <c r="V14" i="11"/>
  <c r="N15" i="11" l="1"/>
  <c r="N16" i="11" s="1"/>
  <c r="N17" i="11" s="1"/>
  <c r="O13" i="11" s="1"/>
  <c r="W14" i="11"/>
  <c r="O15" i="11" l="1"/>
  <c r="O16" i="11" s="1"/>
  <c r="O17" i="11" s="1"/>
  <c r="P13" i="11" s="1"/>
  <c r="X14" i="11"/>
  <c r="P15" i="11" l="1"/>
  <c r="P16" i="11" s="1"/>
  <c r="P17" i="11" s="1"/>
  <c r="Q13" i="11" s="1"/>
  <c r="Y14" i="11"/>
  <c r="Q15" i="11" l="1"/>
  <c r="Q16" i="11" s="1"/>
  <c r="Q17" i="11" s="1"/>
  <c r="R13" i="11" s="1"/>
  <c r="Z14" i="11"/>
  <c r="R15" i="11" l="1"/>
  <c r="R16" i="11" s="1"/>
  <c r="R17" i="11" s="1"/>
  <c r="S13" i="11" s="1"/>
  <c r="AA14" i="11"/>
  <c r="S15" i="11" l="1"/>
  <c r="AB14" i="11"/>
  <c r="AC14" i="11" l="1"/>
  <c r="H24" i="11"/>
  <c r="S16" i="11"/>
  <c r="H31" i="11" l="1"/>
  <c r="H33" i="11" s="1"/>
  <c r="C141" i="7"/>
  <c r="C143" i="7" s="1"/>
  <c r="C145" i="7" s="1"/>
  <c r="C147" i="7" s="1"/>
  <c r="H12" i="17" s="1"/>
  <c r="AD14" i="11"/>
  <c r="H25" i="11"/>
  <c r="S17" i="11"/>
  <c r="T13" i="11" s="1"/>
  <c r="H25" i="9" l="1"/>
  <c r="H30" i="9" s="1"/>
  <c r="H25" i="18"/>
  <c r="H30" i="18" s="1"/>
  <c r="C149" i="7"/>
  <c r="H12" i="10"/>
  <c r="AE14" i="11"/>
  <c r="T15" i="11"/>
  <c r="H32" i="11"/>
  <c r="H26" i="11"/>
  <c r="H34" i="11" l="1"/>
  <c r="I30" i="11" s="1"/>
  <c r="H16" i="17"/>
  <c r="H18" i="17" s="1"/>
  <c r="H21" i="17" s="1"/>
  <c r="H23" i="17" s="1"/>
  <c r="H9" i="9"/>
  <c r="H9" i="18"/>
  <c r="H37" i="8"/>
  <c r="H38" i="8" s="1"/>
  <c r="I22" i="11"/>
  <c r="H29" i="8"/>
  <c r="H30" i="8" s="1"/>
  <c r="H32" i="8" s="1"/>
  <c r="H40" i="8" s="1"/>
  <c r="AF14" i="11"/>
  <c r="T16" i="11"/>
  <c r="H16" i="10" l="1"/>
  <c r="H18" i="10" s="1"/>
  <c r="H21" i="10" s="1"/>
  <c r="H23" i="10" s="1"/>
  <c r="H17" i="18"/>
  <c r="H32" i="18" s="1"/>
  <c r="H36" i="18" s="1"/>
  <c r="H17" i="9"/>
  <c r="H32" i="9" s="1"/>
  <c r="H36" i="9" s="1"/>
  <c r="T17" i="11"/>
  <c r="U13" i="11" s="1"/>
  <c r="AG14" i="11"/>
  <c r="I34" i="18" l="1"/>
  <c r="H10" i="8"/>
  <c r="H14" i="8" s="1"/>
  <c r="H21" i="8" s="1"/>
  <c r="H42" i="8" s="1"/>
  <c r="I34" i="9"/>
  <c r="U15" i="11"/>
  <c r="AH14" i="11"/>
  <c r="AI14" i="11" l="1"/>
  <c r="U16" i="11"/>
  <c r="U17" i="11" l="1"/>
  <c r="V13" i="11" s="1"/>
  <c r="AJ14" i="11"/>
  <c r="AK14" i="11" l="1"/>
  <c r="V15" i="11"/>
  <c r="V16" i="11" l="1"/>
  <c r="AL14" i="11"/>
  <c r="AM14" i="11" l="1"/>
  <c r="V17" i="11"/>
  <c r="W13" i="11" s="1"/>
  <c r="W15" i="11" l="1"/>
  <c r="AN14" i="11"/>
  <c r="AO14" i="11" l="1"/>
  <c r="W16" i="11"/>
  <c r="W17" i="11" l="1"/>
  <c r="X13" i="11" s="1"/>
  <c r="AP14" i="11"/>
  <c r="AQ14" i="11" l="1"/>
  <c r="X15" i="11"/>
  <c r="X16" i="11" l="1"/>
  <c r="AR14" i="11"/>
  <c r="AS14" i="11" l="1"/>
  <c r="X17" i="11"/>
  <c r="Y13" i="11" s="1"/>
  <c r="Y15" i="11" l="1"/>
  <c r="Y16" i="11" s="1"/>
  <c r="Y17" i="11" s="1"/>
  <c r="Z13" i="11" s="1"/>
  <c r="AT14" i="11"/>
  <c r="AU14" i="11" l="1"/>
  <c r="Z15" i="11"/>
  <c r="Z16" i="11" s="1"/>
  <c r="Z17" i="11" s="1"/>
  <c r="AA13" i="11" s="1"/>
  <c r="AA15" i="11" l="1"/>
  <c r="AA16" i="11" s="1"/>
  <c r="AA17" i="11" s="1"/>
  <c r="AB13" i="11" s="1"/>
  <c r="AV14" i="11"/>
  <c r="AB15" i="11" l="1"/>
  <c r="AB16" i="11" s="1"/>
  <c r="AB17" i="11" s="1"/>
  <c r="AC13" i="11" s="1"/>
  <c r="AW14" i="11"/>
  <c r="AC15" i="11" l="1"/>
  <c r="AC16" i="11" s="1"/>
  <c r="AC17" i="11" s="1"/>
  <c r="AD13" i="11" s="1"/>
  <c r="AX14" i="11"/>
  <c r="AD15" i="11" l="1"/>
  <c r="AD16" i="11" s="1"/>
  <c r="AD17" i="11" s="1"/>
  <c r="AE13" i="11" s="1"/>
  <c r="AY14" i="11"/>
  <c r="AE15" i="11" l="1"/>
  <c r="AZ14" i="11"/>
  <c r="BA14" i="11" l="1"/>
  <c r="AE16" i="11"/>
  <c r="I24" i="11"/>
  <c r="I31" i="11" l="1"/>
  <c r="I33" i="11" s="1"/>
  <c r="D141" i="7"/>
  <c r="D143" i="7" s="1"/>
  <c r="I25" i="11"/>
  <c r="AE17" i="11"/>
  <c r="AF13" i="11" s="1"/>
  <c r="BB14" i="11"/>
  <c r="I25" i="9" l="1"/>
  <c r="I30" i="9" s="1"/>
  <c r="I25" i="18"/>
  <c r="I30" i="18" s="1"/>
  <c r="D145" i="7"/>
  <c r="D147" i="7" s="1"/>
  <c r="I12" i="17" s="1"/>
  <c r="BC14" i="11"/>
  <c r="AF15" i="11"/>
  <c r="I32" i="11"/>
  <c r="I16" i="17" s="1"/>
  <c r="I26" i="11"/>
  <c r="I18" i="17" l="1"/>
  <c r="I21" i="17" s="1"/>
  <c r="I23" i="17" s="1"/>
  <c r="I12" i="10"/>
  <c r="D149" i="7"/>
  <c r="J22" i="11"/>
  <c r="I29" i="8"/>
  <c r="I30" i="8" s="1"/>
  <c r="I32" i="8" s="1"/>
  <c r="I34" i="11"/>
  <c r="AF16" i="11"/>
  <c r="BD14" i="11"/>
  <c r="I9" i="9" l="1"/>
  <c r="I9" i="18"/>
  <c r="J30" i="11"/>
  <c r="I16" i="10"/>
  <c r="I37" i="8"/>
  <c r="I38" i="8" s="1"/>
  <c r="I40" i="8" s="1"/>
  <c r="I18" i="10"/>
  <c r="I21" i="10" s="1"/>
  <c r="BE14" i="11"/>
  <c r="AF17" i="11"/>
  <c r="AG13" i="11" s="1"/>
  <c r="I17" i="18" l="1"/>
  <c r="I32" i="18" s="1"/>
  <c r="I36" i="18" s="1"/>
  <c r="I17" i="9"/>
  <c r="I32" i="9" s="1"/>
  <c r="I36" i="9" s="1"/>
  <c r="I23" i="10"/>
  <c r="AG15" i="11"/>
  <c r="BF14" i="11"/>
  <c r="J34" i="18" l="1"/>
  <c r="I10" i="8"/>
  <c r="I14" i="8" s="1"/>
  <c r="I21" i="8" s="1"/>
  <c r="I42" i="8" s="1"/>
  <c r="J34" i="9"/>
  <c r="BG14" i="11"/>
  <c r="AG16" i="11"/>
  <c r="AG17" i="11" l="1"/>
  <c r="AH13" i="11" s="1"/>
  <c r="BH14" i="11"/>
  <c r="BI14" i="11" l="1"/>
  <c r="AH15" i="11"/>
  <c r="AH16" i="11" l="1"/>
  <c r="BJ14" i="11"/>
  <c r="BK14" i="11" l="1"/>
  <c r="AH17" i="11"/>
  <c r="AI13" i="11" s="1"/>
  <c r="AI15" i="11" l="1"/>
  <c r="BL14" i="11"/>
  <c r="BM14" i="11" l="1"/>
  <c r="AI16" i="11"/>
  <c r="AI17" i="11" l="1"/>
  <c r="AJ13" i="11" s="1"/>
  <c r="BN14" i="11"/>
  <c r="BO14" i="11" l="1"/>
  <c r="AJ15" i="11"/>
  <c r="AJ16" i="11" l="1"/>
  <c r="BP14" i="11"/>
  <c r="BQ14" i="11" l="1"/>
  <c r="AJ17" i="11"/>
  <c r="AK13" i="11" s="1"/>
  <c r="AK15" i="11" l="1"/>
  <c r="AK16" i="11" s="1"/>
  <c r="AK17" i="11" s="1"/>
  <c r="AL13" i="11" s="1"/>
  <c r="BR14" i="11"/>
  <c r="AL15" i="11" l="1"/>
  <c r="AL16" i="11" s="1"/>
  <c r="AL17" i="11" s="1"/>
  <c r="AM13" i="11" s="1"/>
  <c r="BS14" i="11"/>
  <c r="AM15" i="11" l="1"/>
  <c r="AM16" i="11" s="1"/>
  <c r="AM17" i="11" s="1"/>
  <c r="AN13" i="11" s="1"/>
  <c r="BT14" i="11"/>
  <c r="AN15" i="11" l="1"/>
  <c r="AN16" i="11" s="1"/>
  <c r="AN17" i="11" s="1"/>
  <c r="AO13" i="11" s="1"/>
  <c r="BU14" i="11"/>
  <c r="AO15" i="11" l="1"/>
  <c r="AO16" i="11" s="1"/>
  <c r="AO17" i="11" s="1"/>
  <c r="AP13" i="11" s="1"/>
  <c r="BV14" i="11"/>
  <c r="AP15" i="11" l="1"/>
  <c r="AP16" i="11" s="1"/>
  <c r="AP17" i="11" s="1"/>
  <c r="AQ13" i="11" s="1"/>
  <c r="BW14" i="11"/>
  <c r="BX14" i="11" l="1"/>
  <c r="AQ15" i="11"/>
  <c r="AQ16" i="11" l="1"/>
  <c r="J24" i="11"/>
  <c r="BY14" i="11"/>
  <c r="J31" i="11" l="1"/>
  <c r="J33" i="11" s="1"/>
  <c r="E141" i="7"/>
  <c r="E143" i="7" s="1"/>
  <c r="BZ14" i="11"/>
  <c r="J25" i="11"/>
  <c r="AQ17" i="11"/>
  <c r="AR13" i="11" s="1"/>
  <c r="J25" i="9" l="1"/>
  <c r="J30" i="9" s="1"/>
  <c r="J25" i="18"/>
  <c r="J30" i="18" s="1"/>
  <c r="E145" i="7"/>
  <c r="E147" i="7" s="1"/>
  <c r="J12" i="17" s="1"/>
  <c r="AR15" i="11"/>
  <c r="J32" i="11"/>
  <c r="J16" i="17" s="1"/>
  <c r="J26" i="11"/>
  <c r="CA14" i="11"/>
  <c r="J18" i="17" l="1"/>
  <c r="J21" i="17" s="1"/>
  <c r="J23" i="17" s="1"/>
  <c r="E149" i="7"/>
  <c r="J12" i="10"/>
  <c r="K22" i="11"/>
  <c r="J29" i="8"/>
  <c r="J30" i="8" s="1"/>
  <c r="J32" i="8" s="1"/>
  <c r="J34" i="11"/>
  <c r="CB14" i="11"/>
  <c r="AR16" i="11"/>
  <c r="J9" i="9" l="1"/>
  <c r="J9" i="18"/>
  <c r="K30" i="11"/>
  <c r="J16" i="10"/>
  <c r="J18" i="10" s="1"/>
  <c r="J21" i="10" s="1"/>
  <c r="J37" i="8"/>
  <c r="J38" i="8" s="1"/>
  <c r="J40" i="8" s="1"/>
  <c r="AR17" i="11"/>
  <c r="AS13" i="11" s="1"/>
  <c r="CC14" i="11"/>
  <c r="J17" i="18" l="1"/>
  <c r="J32" i="18" s="1"/>
  <c r="J36" i="18" s="1"/>
  <c r="J17" i="9"/>
  <c r="J32" i="9" s="1"/>
  <c r="J36" i="9" s="1"/>
  <c r="J23" i="10"/>
  <c r="AS15" i="11"/>
  <c r="CD14" i="11"/>
  <c r="K34" i="18" l="1"/>
  <c r="J10" i="8"/>
  <c r="J14" i="8" s="1"/>
  <c r="J21" i="8" s="1"/>
  <c r="J42" i="8" s="1"/>
  <c r="K34" i="9"/>
  <c r="CE14" i="11"/>
  <c r="AS16" i="11"/>
  <c r="AS17" i="11" l="1"/>
  <c r="AT13" i="11" s="1"/>
  <c r="CF14" i="11"/>
  <c r="AT15" i="11" l="1"/>
  <c r="CG14" i="11"/>
  <c r="CH14" i="11" l="1"/>
  <c r="AT16" i="11"/>
  <c r="AT17" i="11" l="1"/>
  <c r="AU13" i="11" s="1"/>
  <c r="CI14" i="11"/>
  <c r="CJ14" i="11" l="1"/>
  <c r="AU15" i="11"/>
  <c r="AU16" i="11" l="1"/>
  <c r="CK14" i="11"/>
  <c r="CL14" i="11" l="1"/>
  <c r="AU17" i="11"/>
  <c r="AV13" i="11" s="1"/>
  <c r="AV15" i="11" l="1"/>
  <c r="CM14" i="11"/>
  <c r="CN14" i="11" l="1"/>
  <c r="AV16" i="11"/>
  <c r="AV17" i="11" l="1"/>
  <c r="AW13" i="11" s="1"/>
  <c r="CO14" i="11"/>
  <c r="CP14" i="11" l="1"/>
  <c r="AW15" i="11"/>
  <c r="AW16" i="11" s="1"/>
  <c r="AW17" i="11" s="1"/>
  <c r="AX13" i="11" s="1"/>
  <c r="AX15" i="11" l="1"/>
  <c r="AX16" i="11" s="1"/>
  <c r="AX17" i="11" s="1"/>
  <c r="AY13" i="11" s="1"/>
  <c r="CQ14" i="11"/>
  <c r="AY15" i="11" l="1"/>
  <c r="AY16" i="11" s="1"/>
  <c r="AY17" i="11" s="1"/>
  <c r="AZ13" i="11" s="1"/>
  <c r="CR14" i="11"/>
  <c r="AZ15" i="11" l="1"/>
  <c r="AZ16" i="11" s="1"/>
  <c r="AZ17" i="11" s="1"/>
  <c r="BA13" i="11" s="1"/>
  <c r="CS14" i="11"/>
  <c r="CT14" i="11" l="1"/>
  <c r="BA15" i="11"/>
  <c r="BA16" i="11" s="1"/>
  <c r="BA17" i="11" s="1"/>
  <c r="BB13" i="11" s="1"/>
  <c r="BB15" i="11" l="1"/>
  <c r="BB16" i="11" s="1"/>
  <c r="BB17" i="11" s="1"/>
  <c r="BC13" i="11" s="1"/>
  <c r="CU14" i="11"/>
  <c r="BC15" i="11" l="1"/>
  <c r="CV14" i="11"/>
  <c r="CW14" i="11" l="1"/>
  <c r="BC16" i="11"/>
  <c r="K24" i="11"/>
  <c r="K31" i="11" l="1"/>
  <c r="K33" i="11" s="1"/>
  <c r="F141" i="7"/>
  <c r="F143" i="7" s="1"/>
  <c r="K25" i="11"/>
  <c r="BC17" i="11"/>
  <c r="BD13" i="11" s="1"/>
  <c r="CX14" i="11"/>
  <c r="K25" i="9" l="1"/>
  <c r="K30" i="9" s="1"/>
  <c r="K25" i="18"/>
  <c r="K30" i="18" s="1"/>
  <c r="F145" i="7"/>
  <c r="F147" i="7" s="1"/>
  <c r="K12" i="17" s="1"/>
  <c r="CY14" i="11"/>
  <c r="BD15" i="11"/>
  <c r="K32" i="11"/>
  <c r="K16" i="17" s="1"/>
  <c r="K26" i="11"/>
  <c r="K18" i="17" l="1"/>
  <c r="K21" i="17" s="1"/>
  <c r="K23" i="17" s="1"/>
  <c r="F149" i="7"/>
  <c r="K12" i="10"/>
  <c r="L22" i="11"/>
  <c r="K29" i="8"/>
  <c r="K30" i="8" s="1"/>
  <c r="K32" i="8" s="1"/>
  <c r="K34" i="11"/>
  <c r="BD16" i="11"/>
  <c r="CZ14" i="11"/>
  <c r="K37" i="8" l="1"/>
  <c r="K38" i="8" s="1"/>
  <c r="K40" i="8" s="1"/>
  <c r="K9" i="18"/>
  <c r="L30" i="11"/>
  <c r="K16" i="10"/>
  <c r="K18" i="10" s="1"/>
  <c r="K21" i="10" s="1"/>
  <c r="K9" i="9"/>
  <c r="DA14" i="11"/>
  <c r="BD17" i="11"/>
  <c r="BE13" i="11" s="1"/>
  <c r="K17" i="18" l="1"/>
  <c r="K32" i="18" s="1"/>
  <c r="K36" i="18" s="1"/>
  <c r="K17" i="9"/>
  <c r="K32" i="9" s="1"/>
  <c r="K36" i="9" s="1"/>
  <c r="K23" i="10"/>
  <c r="BE15" i="11"/>
  <c r="DB14" i="11"/>
  <c r="L34" i="18" l="1"/>
  <c r="K10" i="8"/>
  <c r="L34" i="9"/>
  <c r="K14" i="8"/>
  <c r="K21" i="8" s="1"/>
  <c r="K42" i="8" s="1"/>
  <c r="DC14" i="11"/>
  <c r="BE16" i="11"/>
  <c r="BE17" i="11" l="1"/>
  <c r="BF13" i="11" s="1"/>
  <c r="DD14" i="11"/>
  <c r="DE14" i="11" l="1"/>
  <c r="BF15" i="11"/>
  <c r="BF16" i="11" l="1"/>
  <c r="DF14" i="11"/>
  <c r="DG14" i="11" l="1"/>
  <c r="BF17" i="11"/>
  <c r="BG13" i="11" s="1"/>
  <c r="BG15" i="11" l="1"/>
  <c r="DH14" i="11"/>
  <c r="DI14" i="11" l="1"/>
  <c r="BG16" i="11"/>
  <c r="BG17" i="11" l="1"/>
  <c r="BH13" i="11" s="1"/>
  <c r="DJ14" i="11"/>
  <c r="DK14" i="11" l="1"/>
  <c r="BH15" i="11"/>
  <c r="BH16" i="11" l="1"/>
  <c r="DL14" i="11"/>
  <c r="DM14" i="11" l="1"/>
  <c r="BH17" i="11"/>
  <c r="BI13" i="11" s="1"/>
  <c r="BI15" i="11" l="1"/>
  <c r="BI16" i="11" s="1"/>
  <c r="BI17" i="11" s="1"/>
  <c r="BJ13" i="11" s="1"/>
  <c r="DN14" i="11"/>
  <c r="BJ15" i="11" l="1"/>
  <c r="BJ16" i="11" s="1"/>
  <c r="BJ17" i="11" s="1"/>
  <c r="BK13" i="11" s="1"/>
  <c r="DO14" i="11"/>
  <c r="BK15" i="11" l="1"/>
  <c r="BK16" i="11" s="1"/>
  <c r="BK17" i="11" s="1"/>
  <c r="BL13" i="11" s="1"/>
  <c r="DP14" i="11"/>
  <c r="BL15" i="11" l="1"/>
  <c r="BL16" i="11" s="1"/>
  <c r="BL17" i="11" s="1"/>
  <c r="BM13" i="11" s="1"/>
  <c r="DQ14" i="11"/>
  <c r="DR14" i="11" l="1"/>
  <c r="BM15" i="11"/>
  <c r="BM16" i="11" s="1"/>
  <c r="BM17" i="11" s="1"/>
  <c r="BN13" i="11" s="1"/>
  <c r="BN15" i="11" l="1"/>
  <c r="BN16" i="11" s="1"/>
  <c r="BN17" i="11" s="1"/>
  <c r="BO13" i="11" s="1"/>
  <c r="DS14" i="11"/>
  <c r="BO15" i="11" l="1"/>
  <c r="DT14" i="11"/>
  <c r="DU14" i="11" l="1"/>
  <c r="BO16" i="11"/>
  <c r="L24" i="11"/>
  <c r="L31" i="11" l="1"/>
  <c r="L33" i="11" s="1"/>
  <c r="G141" i="7"/>
  <c r="G143" i="7" s="1"/>
  <c r="L25" i="11"/>
  <c r="BO17" i="11"/>
  <c r="BP13" i="11" s="1"/>
  <c r="DV14" i="11"/>
  <c r="L25" i="9" l="1"/>
  <c r="L30" i="9" s="1"/>
  <c r="L25" i="18"/>
  <c r="L30" i="18" s="1"/>
  <c r="G145" i="7"/>
  <c r="G147" i="7" s="1"/>
  <c r="L12" i="17" s="1"/>
  <c r="DW14" i="11"/>
  <c r="BP15" i="11"/>
  <c r="L32" i="11"/>
  <c r="L16" i="17" s="1"/>
  <c r="L26" i="11"/>
  <c r="L18" i="17" l="1"/>
  <c r="L21" i="17" s="1"/>
  <c r="L23" i="17" s="1"/>
  <c r="G149" i="7"/>
  <c r="L12" i="10"/>
  <c r="M22" i="11"/>
  <c r="L29" i="8"/>
  <c r="L30" i="8" s="1"/>
  <c r="L32" i="8" s="1"/>
  <c r="L34" i="11"/>
  <c r="BP16" i="11"/>
  <c r="L37" i="8" l="1"/>
  <c r="L38" i="8" s="1"/>
  <c r="L40" i="8" s="1"/>
  <c r="L9" i="18"/>
  <c r="L9" i="9"/>
  <c r="M30" i="11"/>
  <c r="L16" i="10"/>
  <c r="L18" i="10" s="1"/>
  <c r="L21" i="10" s="1"/>
  <c r="BP17" i="11"/>
  <c r="BQ13" i="11" s="1"/>
  <c r="L17" i="18" l="1"/>
  <c r="L32" i="18" s="1"/>
  <c r="L36" i="18" s="1"/>
  <c r="L17" i="9"/>
  <c r="L32" i="9" s="1"/>
  <c r="L36" i="9" s="1"/>
  <c r="L23" i="10"/>
  <c r="BQ15" i="11"/>
  <c r="M34" i="18" l="1"/>
  <c r="L10" i="8"/>
  <c r="L14" i="8" s="1"/>
  <c r="L21" i="8" s="1"/>
  <c r="L42" i="8" s="1"/>
  <c r="M34" i="9"/>
  <c r="BQ16" i="11"/>
  <c r="BQ17" i="11" l="1"/>
  <c r="BR13" i="11" s="1"/>
  <c r="BR15" i="11" l="1"/>
  <c r="BR16" i="11" l="1"/>
  <c r="BR17" i="11" l="1"/>
  <c r="BS13" i="11" s="1"/>
  <c r="BS15" i="11" l="1"/>
  <c r="BS16" i="11" l="1"/>
  <c r="BS17" i="11" l="1"/>
  <c r="BT13" i="11" s="1"/>
  <c r="BT15" i="11" l="1"/>
  <c r="BT16" i="11" l="1"/>
  <c r="BT17" i="11" l="1"/>
  <c r="BU13" i="11" s="1"/>
  <c r="BU15" i="11" l="1"/>
  <c r="BU16" i="11" s="1"/>
  <c r="BU17" i="11" s="1"/>
  <c r="BV13" i="11" s="1"/>
  <c r="BV15" i="11" l="1"/>
  <c r="BV16" i="11" s="1"/>
  <c r="BV17" i="11" s="1"/>
  <c r="BW13" i="11" s="1"/>
  <c r="BW15" i="11" l="1"/>
  <c r="BW16" i="11" s="1"/>
  <c r="BW17" i="11" s="1"/>
  <c r="BX13" i="11" s="1"/>
  <c r="BX15" i="11" l="1"/>
  <c r="BX16" i="11" s="1"/>
  <c r="BX17" i="11" s="1"/>
  <c r="BY13" i="11" s="1"/>
  <c r="BY15" i="11" l="1"/>
  <c r="BY16" i="11" s="1"/>
  <c r="BY17" i="11" s="1"/>
  <c r="BZ13" i="11" s="1"/>
  <c r="BZ15" i="11" l="1"/>
  <c r="BZ16" i="11" s="1"/>
  <c r="BZ17" i="11" s="1"/>
  <c r="CA13" i="11" s="1"/>
  <c r="CA15" i="11" l="1"/>
  <c r="CA16" i="11" l="1"/>
  <c r="M24" i="11"/>
  <c r="M31" i="11" l="1"/>
  <c r="M33" i="11" s="1"/>
  <c r="H141" i="7"/>
  <c r="H143" i="7" s="1"/>
  <c r="M25" i="11"/>
  <c r="CA17" i="11"/>
  <c r="CB13" i="11" s="1"/>
  <c r="M25" i="9" l="1"/>
  <c r="M30" i="9" s="1"/>
  <c r="M25" i="18"/>
  <c r="M30" i="18" s="1"/>
  <c r="H145" i="7"/>
  <c r="H147" i="7" s="1"/>
  <c r="M12" i="17" s="1"/>
  <c r="CB15" i="11"/>
  <c r="M32" i="11"/>
  <c r="M16" i="17" s="1"/>
  <c r="M26" i="11"/>
  <c r="M18" i="17" l="1"/>
  <c r="M21" i="17" s="1"/>
  <c r="M23" i="17" s="1"/>
  <c r="H149" i="7"/>
  <c r="M37" i="8" s="1"/>
  <c r="M38" i="8" s="1"/>
  <c r="M12" i="10"/>
  <c r="N22" i="11"/>
  <c r="M29" i="8"/>
  <c r="M30" i="8" s="1"/>
  <c r="M32" i="8" s="1"/>
  <c r="M34" i="11"/>
  <c r="CB16" i="11"/>
  <c r="M9" i="9" l="1"/>
  <c r="M9" i="18"/>
  <c r="M40" i="8"/>
  <c r="N30" i="11"/>
  <c r="M16" i="10"/>
  <c r="M18" i="10" s="1"/>
  <c r="M21" i="10" s="1"/>
  <c r="M23" i="10" s="1"/>
  <c r="CB17" i="11"/>
  <c r="CC13" i="11" s="1"/>
  <c r="M17" i="18" l="1"/>
  <c r="M32" i="18" s="1"/>
  <c r="M36" i="18" s="1"/>
  <c r="M17" i="9"/>
  <c r="M32" i="9" s="1"/>
  <c r="M36" i="9" s="1"/>
  <c r="CC15" i="11"/>
  <c r="N34" i="18" l="1"/>
  <c r="M10" i="8"/>
  <c r="M14" i="8" s="1"/>
  <c r="M21" i="8" s="1"/>
  <c r="M42" i="8" s="1"/>
  <c r="N34" i="9"/>
  <c r="CC16" i="11"/>
  <c r="CC17" i="11" l="1"/>
  <c r="CD13" i="11" s="1"/>
  <c r="CD15" i="11" l="1"/>
  <c r="CD16" i="11" l="1"/>
  <c r="CD17" i="11" l="1"/>
  <c r="CE13" i="11" s="1"/>
  <c r="CE15" i="11" l="1"/>
  <c r="CE16" i="11" l="1"/>
  <c r="CE17" i="11" l="1"/>
  <c r="CF13" i="11" s="1"/>
  <c r="CF15" i="11" l="1"/>
  <c r="CF16" i="11" l="1"/>
  <c r="CF17" i="11" l="1"/>
  <c r="CG13" i="11" s="1"/>
  <c r="CG15" i="11" l="1"/>
  <c r="CG16" i="11" s="1"/>
  <c r="CG17" i="11" s="1"/>
  <c r="CH13" i="11" s="1"/>
  <c r="CH15" i="11" l="1"/>
  <c r="CH16" i="11" s="1"/>
  <c r="CH17" i="11" s="1"/>
  <c r="CI13" i="11" s="1"/>
  <c r="CI15" i="11" l="1"/>
  <c r="CI16" i="11" s="1"/>
  <c r="CI17" i="11" s="1"/>
  <c r="CJ13" i="11" s="1"/>
  <c r="CJ15" i="11" l="1"/>
  <c r="CJ16" i="11" s="1"/>
  <c r="CJ17" i="11" s="1"/>
  <c r="CK13" i="11" s="1"/>
  <c r="CK15" i="11" l="1"/>
  <c r="CK16" i="11" s="1"/>
  <c r="CK17" i="11" s="1"/>
  <c r="CL13" i="11" s="1"/>
  <c r="CL15" i="11" l="1"/>
  <c r="CL16" i="11" s="1"/>
  <c r="CL17" i="11" s="1"/>
  <c r="CM13" i="11" s="1"/>
  <c r="CM15" i="11" l="1"/>
  <c r="CM16" i="11" l="1"/>
  <c r="N24" i="11"/>
  <c r="N31" i="11" l="1"/>
  <c r="N33" i="11" s="1"/>
  <c r="I141" i="7"/>
  <c r="I143" i="7" s="1"/>
  <c r="N25" i="11"/>
  <c r="CM17" i="11"/>
  <c r="CN13" i="11" s="1"/>
  <c r="N25" i="9" l="1"/>
  <c r="N30" i="9" s="1"/>
  <c r="N25" i="18"/>
  <c r="N30" i="18" s="1"/>
  <c r="I145" i="7"/>
  <c r="I147" i="7" s="1"/>
  <c r="N12" i="17" s="1"/>
  <c r="CN15" i="11"/>
  <c r="N32" i="11"/>
  <c r="N16" i="17" s="1"/>
  <c r="N26" i="11"/>
  <c r="N18" i="17" l="1"/>
  <c r="N21" i="17" s="1"/>
  <c r="N23" i="17" s="1"/>
  <c r="I149" i="7"/>
  <c r="N12" i="10"/>
  <c r="O22" i="11"/>
  <c r="N29" i="8"/>
  <c r="N30" i="8" s="1"/>
  <c r="N32" i="8" s="1"/>
  <c r="N34" i="11"/>
  <c r="CN16" i="11"/>
  <c r="N37" i="8" l="1"/>
  <c r="N38" i="8" s="1"/>
  <c r="N40" i="8" s="1"/>
  <c r="N9" i="18"/>
  <c r="N9" i="9"/>
  <c r="O30" i="11"/>
  <c r="N16" i="10"/>
  <c r="N18" i="10" s="1"/>
  <c r="N21" i="10" s="1"/>
  <c r="N23" i="10" s="1"/>
  <c r="CN17" i="11"/>
  <c r="CO13" i="11" s="1"/>
  <c r="N17" i="18" l="1"/>
  <c r="N32" i="18" s="1"/>
  <c r="N36" i="18" s="1"/>
  <c r="N17" i="9"/>
  <c r="N32" i="9" s="1"/>
  <c r="N36" i="9" s="1"/>
  <c r="CO15" i="11"/>
  <c r="O34" i="18" l="1"/>
  <c r="N10" i="8"/>
  <c r="O34" i="9"/>
  <c r="N14" i="8"/>
  <c r="N21" i="8" s="1"/>
  <c r="N42" i="8" s="1"/>
  <c r="CO16" i="11"/>
  <c r="CO17" i="11" l="1"/>
  <c r="CP13" i="11" s="1"/>
  <c r="CP15" i="11" l="1"/>
  <c r="CP16" i="11" l="1"/>
  <c r="CP17" i="11" l="1"/>
  <c r="CQ13" i="11" s="1"/>
  <c r="CQ15" i="11" l="1"/>
  <c r="CQ16" i="11" l="1"/>
  <c r="CQ17" i="11" l="1"/>
  <c r="CR13" i="11" s="1"/>
  <c r="CR15" i="11" l="1"/>
  <c r="CR16" i="11" l="1"/>
  <c r="CR17" i="11" l="1"/>
  <c r="CS13" i="11" s="1"/>
  <c r="CS15" i="11" l="1"/>
  <c r="CS16" i="11" s="1"/>
  <c r="CS17" i="11" s="1"/>
  <c r="CT13" i="11" s="1"/>
  <c r="CT15" i="11" l="1"/>
  <c r="CT16" i="11" s="1"/>
  <c r="CT17" i="11" s="1"/>
  <c r="CU13" i="11" s="1"/>
  <c r="CU15" i="11" l="1"/>
  <c r="CU16" i="11" s="1"/>
  <c r="CU17" i="11" s="1"/>
  <c r="CV13" i="11" s="1"/>
  <c r="CV15" i="11" l="1"/>
  <c r="CV16" i="11" s="1"/>
  <c r="CV17" i="11" s="1"/>
  <c r="CW13" i="11" s="1"/>
  <c r="CW15" i="11" l="1"/>
  <c r="CW16" i="11" s="1"/>
  <c r="CW17" i="11" s="1"/>
  <c r="CX13" i="11" s="1"/>
  <c r="CX15" i="11" l="1"/>
  <c r="CX16" i="11" s="1"/>
  <c r="CX17" i="11" s="1"/>
  <c r="CY13" i="11" s="1"/>
  <c r="CY15" i="11" l="1"/>
  <c r="CY16" i="11" l="1"/>
  <c r="O24" i="11"/>
  <c r="O31" i="11" l="1"/>
  <c r="O33" i="11" s="1"/>
  <c r="J141" i="7"/>
  <c r="J143" i="7" s="1"/>
  <c r="O25" i="11"/>
  <c r="CY17" i="11"/>
  <c r="CZ13" i="11" s="1"/>
  <c r="O25" i="9" l="1"/>
  <c r="O30" i="9" s="1"/>
  <c r="O25" i="18"/>
  <c r="O30" i="18" s="1"/>
  <c r="J145" i="7"/>
  <c r="J147" i="7" s="1"/>
  <c r="O12" i="17" s="1"/>
  <c r="CZ15" i="11"/>
  <c r="O32" i="11"/>
  <c r="O16" i="17" s="1"/>
  <c r="O26" i="11"/>
  <c r="O18" i="17" l="1"/>
  <c r="O21" i="17" s="1"/>
  <c r="O23" i="17" s="1"/>
  <c r="J149" i="7"/>
  <c r="O12" i="10"/>
  <c r="P22" i="11"/>
  <c r="O29" i="8"/>
  <c r="O30" i="8" s="1"/>
  <c r="O32" i="8" s="1"/>
  <c r="O34" i="11"/>
  <c r="CZ16" i="11"/>
  <c r="O9" i="9" l="1"/>
  <c r="O9" i="18"/>
  <c r="O37" i="8"/>
  <c r="O38" i="8" s="1"/>
  <c r="O40" i="8" s="1"/>
  <c r="P30" i="11"/>
  <c r="O16" i="10"/>
  <c r="O18" i="10" s="1"/>
  <c r="O21" i="10" s="1"/>
  <c r="O23" i="10" s="1"/>
  <c r="CZ17" i="11"/>
  <c r="DA13" i="11" s="1"/>
  <c r="O17" i="18" l="1"/>
  <c r="O32" i="18" s="1"/>
  <c r="O36" i="18" s="1"/>
  <c r="O17" i="9"/>
  <c r="O32" i="9" s="1"/>
  <c r="O36" i="9" s="1"/>
  <c r="DA15" i="11"/>
  <c r="P34" i="18" l="1"/>
  <c r="O10" i="8"/>
  <c r="O14" i="8" s="1"/>
  <c r="O21" i="8" s="1"/>
  <c r="O42" i="8" s="1"/>
  <c r="P34" i="9"/>
  <c r="DA16" i="11"/>
  <c r="DA17" i="11" l="1"/>
  <c r="DB13" i="11" s="1"/>
  <c r="DB15" i="11" l="1"/>
  <c r="DB16" i="11" l="1"/>
  <c r="DB17" i="11" l="1"/>
  <c r="DC13" i="11" s="1"/>
  <c r="DC15" i="11" l="1"/>
  <c r="DC16" i="11" l="1"/>
  <c r="DC17" i="11" l="1"/>
  <c r="DD13" i="11" s="1"/>
  <c r="DD15" i="11" l="1"/>
  <c r="DD16" i="11" l="1"/>
  <c r="DD17" i="11" l="1"/>
  <c r="DE13" i="11" s="1"/>
  <c r="DE15" i="11" l="1"/>
  <c r="DE16" i="11" s="1"/>
  <c r="DE17" i="11" s="1"/>
  <c r="DF13" i="11" s="1"/>
  <c r="DF15" i="11" l="1"/>
  <c r="DF16" i="11" s="1"/>
  <c r="DF17" i="11" s="1"/>
  <c r="DG13" i="11" s="1"/>
  <c r="DG15" i="11" l="1"/>
  <c r="DG16" i="11" s="1"/>
  <c r="DG17" i="11" s="1"/>
  <c r="DH13" i="11" s="1"/>
  <c r="DH15" i="11" l="1"/>
  <c r="DH16" i="11" s="1"/>
  <c r="DH17" i="11" s="1"/>
  <c r="DI13" i="11" s="1"/>
  <c r="DI15" i="11" l="1"/>
  <c r="DI16" i="11" s="1"/>
  <c r="DI17" i="11" s="1"/>
  <c r="DJ13" i="11" s="1"/>
  <c r="DJ15" i="11" l="1"/>
  <c r="DJ16" i="11" s="1"/>
  <c r="DJ17" i="11" s="1"/>
  <c r="DK13" i="11" s="1"/>
  <c r="DK15" i="11" l="1"/>
  <c r="DK16" i="11" l="1"/>
  <c r="P24" i="11"/>
  <c r="P31" i="11" l="1"/>
  <c r="P33" i="11" s="1"/>
  <c r="K141" i="7"/>
  <c r="K143" i="7" s="1"/>
  <c r="P25" i="11"/>
  <c r="DK17" i="11"/>
  <c r="DL13" i="11" s="1"/>
  <c r="P25" i="9" l="1"/>
  <c r="P30" i="9" s="1"/>
  <c r="P25" i="18"/>
  <c r="P30" i="18" s="1"/>
  <c r="K145" i="7"/>
  <c r="K147" i="7" s="1"/>
  <c r="P12" i="17" s="1"/>
  <c r="DL15" i="11"/>
  <c r="P32" i="11"/>
  <c r="P16" i="17" s="1"/>
  <c r="P26" i="11"/>
  <c r="P18" i="17" l="1"/>
  <c r="P21" i="17" s="1"/>
  <c r="P23" i="17" s="1"/>
  <c r="K149" i="7"/>
  <c r="P12" i="10"/>
  <c r="Q22" i="11"/>
  <c r="P29" i="8"/>
  <c r="P30" i="8" s="1"/>
  <c r="P32" i="8" s="1"/>
  <c r="P34" i="11"/>
  <c r="DL16" i="11"/>
  <c r="P9" i="9" l="1"/>
  <c r="P9" i="18"/>
  <c r="P37" i="8"/>
  <c r="P38" i="8" s="1"/>
  <c r="P40" i="8" s="1"/>
  <c r="Q30" i="11"/>
  <c r="P16" i="10"/>
  <c r="P18" i="10"/>
  <c r="P21" i="10" s="1"/>
  <c r="P23" i="10" s="1"/>
  <c r="DL17" i="11"/>
  <c r="DM13" i="11" s="1"/>
  <c r="P17" i="18" l="1"/>
  <c r="P32" i="18" s="1"/>
  <c r="P36" i="18" s="1"/>
  <c r="P17" i="9"/>
  <c r="P32" i="9" s="1"/>
  <c r="P36" i="9" s="1"/>
  <c r="DM15" i="11"/>
  <c r="Q34" i="18" l="1"/>
  <c r="P10" i="8"/>
  <c r="P14" i="8" s="1"/>
  <c r="P21" i="8" s="1"/>
  <c r="P42" i="8" s="1"/>
  <c r="Q34" i="9"/>
  <c r="DM16" i="11"/>
  <c r="DM17" i="11" l="1"/>
  <c r="DN13" i="11" s="1"/>
  <c r="DN15" i="11" l="1"/>
  <c r="DN16" i="11" l="1"/>
  <c r="DN17" i="11" l="1"/>
  <c r="DO13" i="11" s="1"/>
  <c r="DO15" i="11" l="1"/>
  <c r="DO16" i="11" l="1"/>
  <c r="DO17" i="11" l="1"/>
  <c r="DP13" i="11" s="1"/>
  <c r="DP15" i="11" l="1"/>
  <c r="DP16" i="11" l="1"/>
  <c r="DP17" i="11" l="1"/>
  <c r="DQ13" i="11" s="1"/>
  <c r="DQ15" i="11" l="1"/>
  <c r="DQ16" i="11" s="1"/>
  <c r="DQ17" i="11" s="1"/>
  <c r="DR13" i="11" s="1"/>
  <c r="DR15" i="11" l="1"/>
  <c r="DR16" i="11" s="1"/>
  <c r="DR17" i="11" s="1"/>
  <c r="DS13" i="11" s="1"/>
  <c r="DS15" i="11" l="1"/>
  <c r="DS16" i="11" s="1"/>
  <c r="DS17" i="11" s="1"/>
  <c r="DT13" i="11" s="1"/>
  <c r="DT15" i="11" l="1"/>
  <c r="DT16" i="11" s="1"/>
  <c r="DT17" i="11" s="1"/>
  <c r="DU13" i="11" s="1"/>
  <c r="DU15" i="11" l="1"/>
  <c r="DU16" i="11" s="1"/>
  <c r="DU17" i="11" s="1"/>
  <c r="DV13" i="11" s="1"/>
  <c r="DV15" i="11" l="1"/>
  <c r="DV16" i="11" s="1"/>
  <c r="DV17" i="11" s="1"/>
  <c r="DW13" i="11" s="1"/>
  <c r="DW15" i="11" l="1"/>
  <c r="DW16" i="11" l="1"/>
  <c r="Q24" i="11"/>
  <c r="Q31" i="11" l="1"/>
  <c r="Q33" i="11" s="1"/>
  <c r="L141" i="7"/>
  <c r="L143" i="7" s="1"/>
  <c r="Q25" i="11"/>
  <c r="DW17" i="11"/>
  <c r="Q25" i="9" l="1"/>
  <c r="Q30" i="9" s="1"/>
  <c r="Q25" i="18"/>
  <c r="Q30" i="18" s="1"/>
  <c r="L145" i="7"/>
  <c r="L147" i="7" s="1"/>
  <c r="Q12" i="17" s="1"/>
  <c r="Q32" i="11"/>
  <c r="Q26" i="11"/>
  <c r="Q29" i="8" s="1"/>
  <c r="Q30" i="8" s="1"/>
  <c r="Q32" i="8" s="1"/>
  <c r="Q34" i="11" l="1"/>
  <c r="Q16" i="10" s="1"/>
  <c r="Q16" i="17"/>
  <c r="Q18" i="17" s="1"/>
  <c r="Q19" i="17" s="1"/>
  <c r="L149" i="7"/>
  <c r="Q12" i="10"/>
  <c r="Q18" i="10" l="1"/>
  <c r="Q21" i="10" s="1"/>
  <c r="Q23" i="10" s="1"/>
  <c r="F25" i="10" s="1"/>
  <c r="Q9" i="9"/>
  <c r="Q9" i="18"/>
  <c r="Q37" i="8"/>
  <c r="Q38" i="8" s="1"/>
  <c r="Q40" i="8" s="1"/>
  <c r="F27" i="10" l="1"/>
  <c r="Q17" i="18"/>
  <c r="Q32" i="18" s="1"/>
  <c r="Q36" i="18" s="1"/>
  <c r="Q10" i="8" s="1"/>
  <c r="Q17" i="9"/>
  <c r="Q32" i="9" s="1"/>
  <c r="Q36" i="9" s="1"/>
  <c r="Q14" i="8" l="1"/>
  <c r="Q21" i="8" s="1"/>
  <c r="Q42" i="8" s="1"/>
  <c r="Q21" i="17"/>
  <c r="Q23" i="17" s="1"/>
  <c r="F25" i="17" s="1"/>
  <c r="F27" i="17" l="1"/>
</calcChain>
</file>

<file path=xl/sharedStrings.xml><?xml version="1.0" encoding="utf-8"?>
<sst xmlns="http://schemas.openxmlformats.org/spreadsheetml/2006/main" count="1898" uniqueCount="428">
  <si>
    <t>File</t>
  </si>
  <si>
    <t>Red</t>
  </si>
  <si>
    <t>Requires further attention</t>
  </si>
  <si>
    <t>Author</t>
  </si>
  <si>
    <t>Blue</t>
  </si>
  <si>
    <t>Input cells</t>
  </si>
  <si>
    <t>Tab</t>
  </si>
  <si>
    <t>Assumptions</t>
  </si>
  <si>
    <t>Green</t>
  </si>
  <si>
    <t>Cells linked to another sheet</t>
  </si>
  <si>
    <t>Created</t>
  </si>
  <si>
    <t>Black</t>
  </si>
  <si>
    <t>Cells containing a calculation on the same sheet</t>
  </si>
  <si>
    <t>Operating Costs</t>
  </si>
  <si>
    <t>Rent</t>
  </si>
  <si>
    <t>Utilities</t>
  </si>
  <si>
    <t>Annual CPI</t>
  </si>
  <si>
    <t>Telephone/ Internet</t>
  </si>
  <si>
    <t>Tax rate</t>
  </si>
  <si>
    <t>Courier/ postage</t>
  </si>
  <si>
    <t>Marketing &amp; Advertising</t>
  </si>
  <si>
    <t>Interest Rate</t>
  </si>
  <si>
    <t>Insurance</t>
  </si>
  <si>
    <t>Loan Term</t>
  </si>
  <si>
    <t>Years</t>
  </si>
  <si>
    <t>IT Support</t>
  </si>
  <si>
    <t>Depreciable life</t>
  </si>
  <si>
    <t>Legal/ Accountancy</t>
  </si>
  <si>
    <t>Startup Costs</t>
  </si>
  <si>
    <t>Salaries &amp; Benefits cost - Staff</t>
  </si>
  <si>
    <t>Equipment</t>
  </si>
  <si>
    <t>Security</t>
  </si>
  <si>
    <t>Security Equipment</t>
  </si>
  <si>
    <t>Subscriptions/ Memberships</t>
  </si>
  <si>
    <t>IT Installation</t>
  </si>
  <si>
    <t>Miscellaneous / Contingency</t>
  </si>
  <si>
    <t>Costs Occuring Once a Year</t>
  </si>
  <si>
    <t>Achitect/Designer Fees</t>
  </si>
  <si>
    <t>Repair/ Maintenance</t>
  </si>
  <si>
    <t>Licenses / Permits</t>
  </si>
  <si>
    <t>Utilities Deposit</t>
  </si>
  <si>
    <t>Marketing &amp; Advertising (Launch)</t>
  </si>
  <si>
    <t>Staff compensation per hour</t>
  </si>
  <si>
    <t>Legal</t>
  </si>
  <si>
    <t>Hours worked per week (per FTE)</t>
  </si>
  <si>
    <t>Training</t>
  </si>
  <si>
    <t># of weeks in a year</t>
  </si>
  <si>
    <t>% Patients opting</t>
  </si>
  <si>
    <t>Cash Fee</t>
  </si>
  <si>
    <t>Insurance Fee</t>
  </si>
  <si>
    <t>% Cash</t>
  </si>
  <si>
    <t>% Insurance</t>
  </si>
  <si>
    <t>Fee per test</t>
  </si>
  <si>
    <t>Eye Test</t>
  </si>
  <si>
    <t>Diabetes</t>
  </si>
  <si>
    <t>Hypertension</t>
  </si>
  <si>
    <t>Glaucoma</t>
  </si>
  <si>
    <t>Dry Eye</t>
  </si>
  <si>
    <t>Macular Degeneration</t>
  </si>
  <si>
    <t>Product</t>
  </si>
  <si>
    <t>Selling Price</t>
  </si>
  <si>
    <t>COGS</t>
  </si>
  <si>
    <t>Discounts</t>
  </si>
  <si>
    <t>Inventory</t>
  </si>
  <si>
    <t>Table of contents</t>
  </si>
  <si>
    <t>Worksheets</t>
  </si>
  <si>
    <t>Table of Contents</t>
  </si>
  <si>
    <t>Input Cells</t>
  </si>
  <si>
    <t>Description</t>
  </si>
  <si>
    <t>Yes</t>
  </si>
  <si>
    <t>All relevant assumptions</t>
  </si>
  <si>
    <t>Net Income Analysis</t>
  </si>
  <si>
    <t>No</t>
  </si>
  <si>
    <t>NI trend and related analysis</t>
  </si>
  <si>
    <t>Revenue Analysis</t>
  </si>
  <si>
    <t>Revenue trend and related analysis</t>
  </si>
  <si>
    <t>Expense Analysis</t>
  </si>
  <si>
    <t>Expense trend and related analysis</t>
  </si>
  <si>
    <t>Casflow Analysis</t>
  </si>
  <si>
    <t>Cashflow trend and waterfall</t>
  </si>
  <si>
    <t>Income Statement</t>
  </si>
  <si>
    <t>Balance Sheet</t>
  </si>
  <si>
    <t>Casflow Statement</t>
  </si>
  <si>
    <t>Statement of Cashflows</t>
  </si>
  <si>
    <t>Valuation</t>
  </si>
  <si>
    <t>NPV and IRR calculations</t>
  </si>
  <si>
    <t>Loan Repayment Schedule</t>
  </si>
  <si>
    <t>Depreciation Schedule</t>
  </si>
  <si>
    <t>Dashboard</t>
  </si>
  <si>
    <t>Key Metrics</t>
  </si>
  <si>
    <t>Existing Practice Valuation</t>
  </si>
  <si>
    <t>Valuation for purchase of existing practice</t>
  </si>
  <si>
    <t>sri rama jayam</t>
  </si>
  <si>
    <t>Metric</t>
  </si>
  <si>
    <t>CAGR *</t>
  </si>
  <si>
    <t>Revenue</t>
  </si>
  <si>
    <t>Expenses</t>
  </si>
  <si>
    <t>Net Income</t>
  </si>
  <si>
    <t>Profit Margin</t>
  </si>
  <si>
    <t>*Compound  Annual Growth Rate</t>
  </si>
  <si>
    <t># Earnings Before Interest, Taxes, Depreciation and Amortization</t>
  </si>
  <si>
    <t>FY09</t>
  </si>
  <si>
    <t>originally entered from 990</t>
  </si>
  <si>
    <t>990 - FY10</t>
  </si>
  <si>
    <t>990 - FY11</t>
  </si>
  <si>
    <t>990 - FY12</t>
  </si>
  <si>
    <t>Salaries and Wages</t>
  </si>
  <si>
    <t>Professional Services</t>
  </si>
  <si>
    <t>Other Cash Expenses</t>
  </si>
  <si>
    <t>Travel</t>
  </si>
  <si>
    <t>Other Direct Costs</t>
  </si>
  <si>
    <t>Miscellaneous</t>
  </si>
  <si>
    <t>Total Expenses</t>
  </si>
  <si>
    <t>Common Size Analysis</t>
  </si>
  <si>
    <t>Pie Chart</t>
  </si>
  <si>
    <t>Revenues</t>
  </si>
  <si>
    <t>Medical Exams</t>
  </si>
  <si>
    <t>Product Sales</t>
  </si>
  <si>
    <t>Misc 1</t>
  </si>
  <si>
    <t>Misc 2</t>
  </si>
  <si>
    <t>Total Revenue</t>
  </si>
  <si>
    <t>Break down of revenue</t>
  </si>
  <si>
    <t>Total</t>
  </si>
  <si>
    <t>Cashflow Analysis</t>
  </si>
  <si>
    <t>Beginning Cash</t>
  </si>
  <si>
    <t>Net Income (Loss)</t>
  </si>
  <si>
    <t>Depreciation</t>
  </si>
  <si>
    <t>(Incr) Decr Current Assets</t>
  </si>
  <si>
    <t>Incr (Decr) Current Liabilities</t>
  </si>
  <si>
    <t>Other (net)</t>
  </si>
  <si>
    <t>Ending Cash</t>
  </si>
  <si>
    <t>Incr (Decr) in Cash</t>
  </si>
  <si>
    <t>Current Assets</t>
  </si>
  <si>
    <t>Current Liabilities</t>
  </si>
  <si>
    <t>Year End Cash Balances</t>
  </si>
  <si>
    <t>January 1 - Dec 31 2013</t>
  </si>
  <si>
    <t>End Points</t>
  </si>
  <si>
    <t>Before</t>
  </si>
  <si>
    <t>After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</si>
  <si>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</si>
  <si>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</si>
  <si>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</si>
  <si>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</si>
  <si>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</si>
  <si>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</si>
  <si>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</si>
  <si>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</si>
  <si>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</si>
  <si>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</si>
  <si>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Sales Discount</t>
  </si>
  <si>
    <t>Total Product Sales Income (less discounts)</t>
  </si>
  <si>
    <t>Total Gross Income</t>
  </si>
  <si>
    <t>Target Profit (pre tax)</t>
  </si>
  <si>
    <t>New Patients per day</t>
  </si>
  <si>
    <t>% Increase Required</t>
  </si>
  <si>
    <t>Cost of Good Sold</t>
  </si>
  <si>
    <t>Total COGS</t>
  </si>
  <si>
    <t>Gross Profit</t>
  </si>
  <si>
    <t>Total - Startup Costs</t>
  </si>
  <si>
    <t>Total - Operating Costs</t>
  </si>
  <si>
    <t>Total - Costs Occuring Once a Year</t>
  </si>
  <si>
    <t>Earnings before Interest, taxes and Dep. (EBITDA)</t>
  </si>
  <si>
    <t>Depreciation Expense</t>
  </si>
  <si>
    <t>Amortization</t>
  </si>
  <si>
    <t>Earnings Before Interest and Taxes (EBIT)</t>
  </si>
  <si>
    <t>Interest Expense</t>
  </si>
  <si>
    <t>Income Before Taxes (EBT)</t>
  </si>
  <si>
    <t>Taxes</t>
  </si>
  <si>
    <t>Cumulative Net Income</t>
  </si>
  <si>
    <t>Projected Financials</t>
  </si>
  <si>
    <t>Assets</t>
  </si>
  <si>
    <t>Cash and Equivalents</t>
  </si>
  <si>
    <t>Accounts Receivable</t>
  </si>
  <si>
    <t>Other Current Assets</t>
  </si>
  <si>
    <t>Total Current Assets</t>
  </si>
  <si>
    <t>Net Property, Plant &amp; Equipment</t>
  </si>
  <si>
    <t>Other Non-Current Assets</t>
  </si>
  <si>
    <t>Total Non-Current Assets</t>
  </si>
  <si>
    <t>Total Assets</t>
  </si>
  <si>
    <t>Liabilities and Shareholders' Equity</t>
  </si>
  <si>
    <t>Accounts Payable</t>
  </si>
  <si>
    <t>Dividends Payable</t>
  </si>
  <si>
    <t>Short Term Debt</t>
  </si>
  <si>
    <t>Long Term Debt</t>
  </si>
  <si>
    <t>Non-Current Liabilities</t>
  </si>
  <si>
    <t>Total Liabilities</t>
  </si>
  <si>
    <t>Shareholders' Equity</t>
  </si>
  <si>
    <t>Common Stock</t>
  </si>
  <si>
    <t>Preferred Stock</t>
  </si>
  <si>
    <t>Accumulated earnings (deficit)</t>
  </si>
  <si>
    <t>Total Shareholder's Equity</t>
  </si>
  <si>
    <t>Total Liabilities &amp; Shareholder's Equity</t>
  </si>
  <si>
    <t>Balance Sheet Check</t>
  </si>
  <si>
    <t>Cashflow Statement</t>
  </si>
  <si>
    <t>Cash Flow Statement</t>
  </si>
  <si>
    <t>(+) Depreciation &amp; Amortization</t>
  </si>
  <si>
    <t>(Increase)/Decrease in Accounts Receivable</t>
  </si>
  <si>
    <t>(Increase)/Decrease in Inventory</t>
  </si>
  <si>
    <t>(Increase)/Decrease in Other Current Assets</t>
  </si>
  <si>
    <t>Increase/(Decrease) in Accounts Payable</t>
  </si>
  <si>
    <t>Increase/(Decrease) in Accrued Expenses &amp; Other Current Liabilities</t>
  </si>
  <si>
    <t>Total Cash Flow from Operating Activities</t>
  </si>
  <si>
    <t>(-) Capital Expenditures on PP&amp;E</t>
  </si>
  <si>
    <t>(-) Capital Expenditures on Other Non-Current Assets</t>
  </si>
  <si>
    <t>Total Cash Flow from Investing Activities</t>
  </si>
  <si>
    <t>Proceeds from LT Loan</t>
  </si>
  <si>
    <t>Payment of LT Debt</t>
  </si>
  <si>
    <t>(-) Payment of Secured Debt</t>
  </si>
  <si>
    <t>Increase/(Decrease) in Common Stock</t>
  </si>
  <si>
    <t>Increase/(Decrease) in Common Dividends Payable</t>
  </si>
  <si>
    <t>Changes in Long Term Debt</t>
  </si>
  <si>
    <t>Total Cash Flow from Financing Activities</t>
  </si>
  <si>
    <t>Change in Cash Balance</t>
  </si>
  <si>
    <t>Opening Cash Balance</t>
  </si>
  <si>
    <t>Required Return</t>
  </si>
  <si>
    <t>LT Growth Rate</t>
  </si>
  <si>
    <t>TV to be included</t>
  </si>
  <si>
    <t>Net Present Value Calculation</t>
  </si>
  <si>
    <t>Valuation- FCFE</t>
  </si>
  <si>
    <t>Year 0</t>
  </si>
  <si>
    <t>Preferred Stock Issuance (Repayment)</t>
  </si>
  <si>
    <t>Net Income (Common Share Holders)</t>
  </si>
  <si>
    <t>Working Capital Investment</t>
  </si>
  <si>
    <t>Capital Expenditure</t>
  </si>
  <si>
    <t>Net Debt</t>
  </si>
  <si>
    <t>Free Cash Flow to Equity</t>
  </si>
  <si>
    <t>Terminal Value</t>
  </si>
  <si>
    <t>Total F.C.F.E</t>
  </si>
  <si>
    <t>Present Value of Cash Flows</t>
  </si>
  <si>
    <t>NPV</t>
  </si>
  <si>
    <t>IRR</t>
  </si>
  <si>
    <t>Fixed Assets + Inventory</t>
  </si>
  <si>
    <t>EMI</t>
  </si>
  <si>
    <t>Loan Repayment Schedule - Monthly</t>
  </si>
  <si>
    <t>Beginning Loan Balance</t>
  </si>
  <si>
    <t>Interest Payment</t>
  </si>
  <si>
    <t>Principal Payment</t>
  </si>
  <si>
    <t>Ending Loan Balance</t>
  </si>
  <si>
    <t>Loan Repayment Schedule - Annual</t>
  </si>
  <si>
    <t>New Debt Issued</t>
  </si>
  <si>
    <t>Existing Debt Interest payments</t>
  </si>
  <si>
    <t>Existing Debt Principal payments</t>
  </si>
  <si>
    <t>Interest x (1 - Tax Rate)</t>
  </si>
  <si>
    <t>Total Beginning Value</t>
  </si>
  <si>
    <t>Total Depreciation Expense</t>
  </si>
  <si>
    <t>Accumlated Depreciation</t>
  </si>
  <si>
    <t>Total Ending Balance</t>
  </si>
  <si>
    <t>Details of depreciable items:</t>
  </si>
  <si>
    <t>Amount</t>
  </si>
  <si>
    <t>IT installation</t>
  </si>
  <si>
    <t>Total depreciable items</t>
  </si>
  <si>
    <t>Revenue Break-down</t>
  </si>
  <si>
    <t>Proportion</t>
  </si>
  <si>
    <t>Expenses Break-down</t>
  </si>
  <si>
    <t>w/o start-up</t>
  </si>
  <si>
    <t>Annual Expenses</t>
  </si>
  <si>
    <t>Margins</t>
  </si>
  <si>
    <t>Existing Practice - Purchase valuation</t>
  </si>
  <si>
    <t>Net Income for 3 years preceding the sale</t>
  </si>
  <si>
    <t>Year</t>
  </si>
  <si>
    <t>1 Year Back</t>
  </si>
  <si>
    <t>2 Years Back</t>
  </si>
  <si>
    <t>3 Years Back</t>
  </si>
  <si>
    <t>Average</t>
  </si>
  <si>
    <t>Discount</t>
  </si>
  <si>
    <t>( 1 - Discount)</t>
  </si>
  <si>
    <t>Value of Net Income</t>
  </si>
  <si>
    <t>Tangible Assets</t>
  </si>
  <si>
    <t xml:space="preserve"> Book Value</t>
  </si>
  <si>
    <t>Fair Market Value</t>
  </si>
  <si>
    <t>Fixed Assets</t>
  </si>
  <si>
    <t>Patient Records</t>
  </si>
  <si>
    <t>Goodwill</t>
  </si>
  <si>
    <t>Age Bucket</t>
  </si>
  <si>
    <t>Nominal Value</t>
  </si>
  <si>
    <t>Discounted Value</t>
  </si>
  <si>
    <t>Assumed Distribution of receivables</t>
  </si>
  <si>
    <t>0 - 30 days</t>
  </si>
  <si>
    <t>31 - 60 days</t>
  </si>
  <si>
    <t>61 - 90 days</t>
  </si>
  <si>
    <t>91 - 120 days</t>
  </si>
  <si>
    <t>Total Value</t>
  </si>
  <si>
    <t>Electronics Manufacturing Venture</t>
  </si>
  <si>
    <t>Krishnamurthy Bindumadhavan</t>
  </si>
  <si>
    <t>No of business days</t>
  </si>
  <si>
    <t>No of Business days</t>
  </si>
  <si>
    <t>Growth rate (annual)</t>
  </si>
  <si>
    <t>Factory Fit-out</t>
  </si>
  <si>
    <t>Software</t>
  </si>
  <si>
    <t>Rental Deposit (Lease)</t>
  </si>
  <si>
    <t>Software Systems</t>
  </si>
  <si>
    <t>Salaries &amp; Benefits cost - Engineers</t>
  </si>
  <si>
    <t>Units per day (initial)</t>
  </si>
  <si>
    <t>Product Type</t>
  </si>
  <si>
    <t>srj srj srj srj srj srj srj srj srj</t>
  </si>
  <si>
    <t>4 product lines</t>
  </si>
  <si>
    <t>Far Edge</t>
  </si>
  <si>
    <t>Edge</t>
  </si>
  <si>
    <t>FOG</t>
  </si>
  <si>
    <t>Enterprise/ Cloud</t>
  </si>
  <si>
    <t>1.0 Product Sales</t>
  </si>
  <si>
    <t>1.1 Sales - Far Edge</t>
  </si>
  <si>
    <t>Far Edge Income</t>
  </si>
  <si>
    <t>Total Edge income</t>
  </si>
  <si>
    <t>Total FOG income</t>
  </si>
  <si>
    <t>Total Enterprise income</t>
  </si>
  <si>
    <t>Total Product 5 income</t>
  </si>
  <si>
    <t>Total Product 6 income</t>
  </si>
  <si>
    <t>Total Product 7 income</t>
  </si>
  <si>
    <t>Total Product 8 income</t>
  </si>
  <si>
    <t>Total Product 9 income</t>
  </si>
  <si>
    <t>Units Sold per Year</t>
  </si>
  <si>
    <t>Enterprise</t>
  </si>
  <si>
    <t>Product 5</t>
  </si>
  <si>
    <t>Product 6</t>
  </si>
  <si>
    <t>Product 7</t>
  </si>
  <si>
    <t>Product 8</t>
  </si>
  <si>
    <t>Product 9</t>
  </si>
  <si>
    <t>Annual Growth rate</t>
  </si>
  <si>
    <t>Units per Year (Yr1)</t>
  </si>
  <si>
    <t>1.2 Sales - Edge</t>
  </si>
  <si>
    <t>1.3 Sales - FOG</t>
  </si>
  <si>
    <t>1.4 Sales - Enterprise</t>
  </si>
  <si>
    <t>1.5 Sales - Product 5</t>
  </si>
  <si>
    <t>1.6 Sales - Product 6</t>
  </si>
  <si>
    <t>1.7 Sales - Product 7</t>
  </si>
  <si>
    <t>1.8 Sales - Product 8</t>
  </si>
  <si>
    <t>1.9 Sales - Product 9</t>
  </si>
  <si>
    <t>Cost of Far Edge</t>
  </si>
  <si>
    <t>Cost of Edge</t>
  </si>
  <si>
    <t>Cost of FOG</t>
  </si>
  <si>
    <t>Cost of Enterprise</t>
  </si>
  <si>
    <t>Cost of Product 5</t>
  </si>
  <si>
    <t>Cost of Product 6</t>
  </si>
  <si>
    <t>Cost of Product 7</t>
  </si>
  <si>
    <t>Cost of Product 8</t>
  </si>
  <si>
    <t>Cost of Product 9</t>
  </si>
  <si>
    <t>Start year</t>
  </si>
  <si>
    <t>Geography</t>
  </si>
  <si>
    <t>Industry</t>
  </si>
  <si>
    <t>India</t>
  </si>
  <si>
    <t>Middle East</t>
  </si>
  <si>
    <t>Far East</t>
  </si>
  <si>
    <t>Australia/ NZ</t>
  </si>
  <si>
    <t>Europe</t>
  </si>
  <si>
    <t>Africa</t>
  </si>
  <si>
    <t>USA</t>
  </si>
  <si>
    <t>Mexico</t>
  </si>
  <si>
    <t>South America</t>
  </si>
  <si>
    <t>Canada</t>
  </si>
  <si>
    <t>Other Countries</t>
  </si>
  <si>
    <t>Manufacturing</t>
  </si>
  <si>
    <t>Oil and Energy</t>
  </si>
  <si>
    <t>BFSI</t>
  </si>
  <si>
    <t>Pharmaceuticals</t>
  </si>
  <si>
    <t>Demand for Edge Boxes</t>
  </si>
  <si>
    <t>Rental Deposit (lease)</t>
  </si>
  <si>
    <t>Security system</t>
  </si>
  <si>
    <t>Pick and Place</t>
  </si>
  <si>
    <t>Wave Soldering</t>
  </si>
  <si>
    <t>Moulding Machine</t>
  </si>
  <si>
    <t>3D Printer</t>
  </si>
  <si>
    <t>Quality Inspection machines</t>
  </si>
  <si>
    <t>Miscellaneous equipment</t>
  </si>
  <si>
    <t>1)</t>
  </si>
  <si>
    <t>2)</t>
  </si>
  <si>
    <t>3)</t>
  </si>
  <si>
    <t>4)</t>
  </si>
  <si>
    <t>5)</t>
  </si>
  <si>
    <t>6)</t>
  </si>
  <si>
    <t>7)</t>
  </si>
  <si>
    <t>SMT Stencil Printer</t>
  </si>
  <si>
    <t>Rupees</t>
  </si>
  <si>
    <t>INR/ USD</t>
  </si>
  <si>
    <t>USD Cost</t>
  </si>
  <si>
    <t>Machinery</t>
  </si>
  <si>
    <t>Factory Preparation, False Ceiling, Power backup, Airconditioning, Electronics Assembly line, Workbench, Furniture, Installation, etc.</t>
  </si>
  <si>
    <t>Note difference between Yr0 and Yr1</t>
  </si>
  <si>
    <t>Drone</t>
  </si>
  <si>
    <t>Rover</t>
  </si>
  <si>
    <t>Ruggedized Laptop</t>
  </si>
  <si>
    <t>Computer server</t>
  </si>
  <si>
    <t>AWS</t>
  </si>
  <si>
    <t>Fog</t>
  </si>
  <si>
    <t>By Product and by Geography</t>
  </si>
  <si>
    <t>Staff growth rate</t>
  </si>
  <si>
    <t>Engineers growth rate</t>
  </si>
  <si>
    <t>Headcount increase(annual)</t>
  </si>
  <si>
    <t>Days sales outstanding</t>
  </si>
  <si>
    <t>Days inventory outstanding</t>
  </si>
  <si>
    <t>yes</t>
  </si>
  <si>
    <t>Days payable outstanding</t>
  </si>
  <si>
    <t>software stacks</t>
  </si>
  <si>
    <t>system integration</t>
  </si>
  <si>
    <t>liscencing</t>
  </si>
  <si>
    <t>maintenance</t>
  </si>
  <si>
    <t>CPI</t>
  </si>
  <si>
    <t>SELLING PRICE</t>
  </si>
  <si>
    <t>UNITS SOLD</t>
  </si>
  <si>
    <t>REVENUE FROM SALES</t>
  </si>
  <si>
    <t>INDIA</t>
  </si>
  <si>
    <t>AUSTRALIA</t>
  </si>
  <si>
    <t>CANADA</t>
  </si>
  <si>
    <t>EUROPE</t>
  </si>
  <si>
    <t>SOUTH AMERICA</t>
  </si>
  <si>
    <t>TOTAL</t>
  </si>
  <si>
    <t>1.1.1 Sales - Far Edge (Drones)</t>
  </si>
  <si>
    <t>1.1.2 Sales - Far Edge (Rovers)</t>
  </si>
  <si>
    <t>1.1.3 Sales - Edge</t>
  </si>
  <si>
    <t>Units sold per year</t>
  </si>
  <si>
    <t>Selling price</t>
  </si>
  <si>
    <t>1.1.4 Sales - FOG</t>
  </si>
  <si>
    <t>1.1.6 Sales - Software Stacks</t>
  </si>
  <si>
    <t>1.1.5 Sales - Enterprise</t>
  </si>
  <si>
    <t>1.1.7 Sales - System Integration</t>
  </si>
  <si>
    <t>1.1.8 Sales - Liscencing</t>
  </si>
  <si>
    <t>1.1.8 Sales - Maintenance</t>
  </si>
  <si>
    <t>Imcome</t>
  </si>
  <si>
    <t>Income</t>
  </si>
  <si>
    <t>Total Income</t>
  </si>
  <si>
    <t>Cost of Software Stacks</t>
  </si>
  <si>
    <t>Cost of System Integration</t>
  </si>
  <si>
    <t>Cost of Liscencing</t>
  </si>
  <si>
    <t>Cost of Maintenance</t>
  </si>
  <si>
    <t>EBITDA</t>
  </si>
  <si>
    <t>EBIT</t>
  </si>
  <si>
    <t>EBT</t>
  </si>
  <si>
    <t>TOTAL NET INCOME (ALL REGIONS)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</si>
</sst>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8" formatCode="&quot;₹&quot;\ #,##0.00;[Red]&quot;₹&quot;\ \-#,##0.00"/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#,##0;\(#,##0\);\-"/>
    <numFmt numFmtId="165" formatCode="&quot;$&quot;#,##0"/>
    <numFmt numFmtId="166" formatCode="_(&quot;$&quot;* #,##0.00_);_(&quot;$&quot;* \(#,##0.00\);_(&quot;$&quot;* &quot;-&quot;??_);_(@_)"/>
    <numFmt numFmtId="167" formatCode="&quot;$&quot;#,##0_);[Red]\(&quot;$&quot;#,##0\)"/>
    <numFmt numFmtId="168" formatCode="&quot;$&quot;#,##0.0"/>
    <numFmt numFmtId="169" formatCode="&quot;$&quot;#,##0_);\(&quot;$&quot;#,##0\)"/>
    <numFmt numFmtId="170" formatCode="&quot;$&quot;#,##0.0_);\(&quot;$&quot;#,##0.0\)"/>
    <numFmt numFmtId="171" formatCode="_(&quot;$&quot;* #,##0_);_(&quot;$&quot;* \(#,##0\);_(&quot;$&quot;* &quot;-&quot;_);_(@_)"/>
    <numFmt numFmtId="172" formatCode="_(&quot;$&quot;* #,##0_);_(&quot;$&quot;* \(#,##0\);_(&quot;$&quot;* &quot;-&quot;??_);_(@_)"/>
    <numFmt numFmtId="173" formatCode="[$-409]mmm\-yy;@"/>
    <numFmt numFmtId="174" formatCode="_(* #,##0_);_(* \(#,##0\);_(* &quot;-&quot;??_);_(@_)"/>
    <numFmt numFmtId="175" formatCode="_ * #,##0_ ;_ * \-#,##0_ ;_ * &quot;-&quot;??_ ;_ @_ "/>
    <numFmt numFmtId="176" formatCode="_ [$₹-4009]\ * #,##0.00_ ;_ [$₹-4009]\ * \-#,##0.00_ ;_ [$₹-4009]\ * &quot;-&quot;??_ ;_ @_ "/>
    <numFmt numFmtId="182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indexed="10"/>
      <name val="Arial"/>
      <family val="2"/>
    </font>
    <font>
      <sz val="9"/>
      <color indexed="12"/>
      <name val="Arial"/>
      <family val="2"/>
    </font>
    <font>
      <sz val="9"/>
      <color indexed="17"/>
      <name val="Arial"/>
      <family val="2"/>
    </font>
    <font>
      <sz val="9"/>
      <name val="Arial"/>
      <family val="2"/>
    </font>
    <font>
      <sz val="11"/>
      <color rgb="FF0000FF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0"/>
      <color rgb="FF000000"/>
      <name val="Lucida Grande"/>
    </font>
    <font>
      <b/>
      <sz val="14"/>
      <color theme="1"/>
      <name val="Calibri"/>
      <family val="2"/>
      <scheme val="minor"/>
    </font>
    <font>
      <sz val="10"/>
      <name val="Frutiger 45 Light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sz val="10"/>
      <name val="Times New Roman"/>
      <family val="1"/>
    </font>
    <font>
      <b/>
      <u/>
      <sz val="9"/>
      <color indexed="9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u/>
      <sz val="9"/>
      <name val="Arial"/>
      <family val="2"/>
    </font>
    <font>
      <b/>
      <u/>
      <sz val="9"/>
      <color indexed="9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sz val="11"/>
      <color theme="6" tint="-0.249977111117893"/>
      <name val="Calibri"/>
      <family val="2"/>
      <scheme val="minor"/>
    </font>
    <font>
      <sz val="11"/>
      <color theme="6" tint="-0.49998474074526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44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thin">
        <color rgb="FFC00000"/>
      </bottom>
      <diagonal/>
    </border>
    <border>
      <left/>
      <right style="medium">
        <color rgb="FFC00000"/>
      </right>
      <top style="medium">
        <color rgb="FFC00000"/>
      </top>
      <bottom style="thin">
        <color rgb="FFC00000"/>
      </bottom>
      <diagonal/>
    </border>
    <border>
      <left style="medium">
        <color rgb="FFC00000"/>
      </left>
      <right style="medium">
        <color rgb="FFC00000"/>
      </right>
      <top style="thin">
        <color rgb="FFC00000"/>
      </top>
      <bottom style="thin">
        <color rgb="FFC00000"/>
      </bottom>
      <diagonal/>
    </border>
    <border>
      <left/>
      <right style="medium">
        <color rgb="FFC00000"/>
      </right>
      <top style="thin">
        <color rgb="FFC00000"/>
      </top>
      <bottom style="thin">
        <color rgb="FFC00000"/>
      </bottom>
      <diagonal/>
    </border>
    <border>
      <left style="medium">
        <color rgb="FFC00000"/>
      </left>
      <right style="medium">
        <color rgb="FFC00000"/>
      </right>
      <top style="thin">
        <color rgb="FFC00000"/>
      </top>
      <bottom/>
      <diagonal/>
    </border>
    <border>
      <left/>
      <right style="medium">
        <color rgb="FFC00000"/>
      </right>
      <top style="thin">
        <color rgb="FFC00000"/>
      </top>
      <bottom/>
      <diagonal/>
    </border>
    <border>
      <left style="medium">
        <color rgb="FFC00000"/>
      </left>
      <right style="medium">
        <color rgb="FFC00000"/>
      </right>
      <top style="thin">
        <color rgb="FFC00000"/>
      </top>
      <bottom style="medium">
        <color rgb="FFC00000"/>
      </bottom>
      <diagonal/>
    </border>
    <border>
      <left/>
      <right style="medium">
        <color rgb="FFC00000"/>
      </right>
      <top style="thin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rgb="FFC00000"/>
      </left>
      <right style="thin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/>
      <bottom style="thin">
        <color rgb="FFC00000"/>
      </bottom>
      <diagonal/>
    </border>
    <border>
      <left/>
      <right style="thin">
        <color rgb="FFC00000"/>
      </right>
      <top/>
      <bottom style="thin">
        <color rgb="FFC00000"/>
      </bottom>
      <diagonal/>
    </border>
    <border>
      <left style="thin">
        <color rgb="FFC00000"/>
      </left>
      <right style="thin">
        <color rgb="FFC00000"/>
      </right>
      <top/>
      <bottom style="thin">
        <color rgb="FFC00000"/>
      </bottom>
      <diagonal/>
    </border>
    <border>
      <left style="thin">
        <color rgb="FFC00000"/>
      </left>
      <right style="medium">
        <color rgb="FFC00000"/>
      </right>
      <top/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 style="medium">
        <color rgb="FFC00000"/>
      </right>
      <top style="thin">
        <color rgb="FFC00000"/>
      </top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 style="medium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medium">
        <color rgb="FFC00000"/>
      </bottom>
      <diagonal/>
    </border>
    <border>
      <left style="thin">
        <color rgb="FFC00000"/>
      </left>
      <right style="medium">
        <color rgb="FFC00000"/>
      </right>
      <top style="thin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C00000"/>
      </right>
      <top style="medium">
        <color rgb="FFC00000"/>
      </top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medium">
        <color rgb="FFC00000"/>
      </top>
      <bottom style="thin">
        <color rgb="FFC00000"/>
      </bottom>
      <diagonal/>
    </border>
    <border>
      <left style="thin">
        <color rgb="FFC00000"/>
      </left>
      <right style="medium">
        <color rgb="FFC00000"/>
      </right>
      <top style="medium">
        <color rgb="FFC00000"/>
      </top>
      <bottom style="thin">
        <color rgb="FFC00000"/>
      </bottom>
      <diagonal/>
    </border>
    <border>
      <left style="medium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medium">
        <color rgb="FFC00000"/>
      </left>
      <right style="thin">
        <color rgb="FFC00000"/>
      </right>
      <top style="thin">
        <color rgb="FFC00000"/>
      </top>
      <bottom style="medium">
        <color rgb="FFC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800000"/>
      </left>
      <right style="thin">
        <color rgb="FF800000"/>
      </right>
      <top style="medium">
        <color indexed="64"/>
      </top>
      <bottom style="thick">
        <color rgb="FF8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800000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800000"/>
      </right>
      <top/>
      <bottom style="thin">
        <color rgb="FF800000"/>
      </bottom>
      <diagonal/>
    </border>
    <border>
      <left/>
      <right style="thin">
        <color rgb="FF8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C00000"/>
      </left>
      <right/>
      <top style="thin">
        <color rgb="FFC00000"/>
      </top>
      <bottom style="thin">
        <color rgb="FFC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/>
      <right style="thin">
        <color rgb="FFC00000"/>
      </right>
      <top style="medium">
        <color rgb="FFC00000"/>
      </top>
      <bottom style="thin">
        <color rgb="FFC00000"/>
      </bottom>
      <diagonal/>
    </border>
    <border>
      <left style="medium">
        <color theme="3"/>
      </left>
      <right/>
      <top style="medium">
        <color theme="3"/>
      </top>
      <bottom/>
      <diagonal/>
    </border>
    <border>
      <left/>
      <right/>
      <top style="medium">
        <color theme="3"/>
      </top>
      <bottom/>
      <diagonal/>
    </border>
    <border>
      <left/>
      <right style="medium">
        <color theme="3"/>
      </right>
      <top style="medium">
        <color theme="3"/>
      </top>
      <bottom/>
      <diagonal/>
    </border>
    <border>
      <left/>
      <right style="thin">
        <color auto="1"/>
      </right>
      <top style="medium">
        <color theme="3"/>
      </top>
      <bottom/>
      <diagonal/>
    </border>
    <border>
      <left style="medium">
        <color theme="3"/>
      </left>
      <right/>
      <top/>
      <bottom style="medium">
        <color theme="3"/>
      </bottom>
      <diagonal/>
    </border>
    <border>
      <left/>
      <right/>
      <top/>
      <bottom style="medium">
        <color theme="3"/>
      </bottom>
      <diagonal/>
    </border>
    <border>
      <left/>
      <right style="medium">
        <color theme="3"/>
      </right>
      <top/>
      <bottom style="medium">
        <color theme="3"/>
      </bottom>
      <diagonal/>
    </border>
    <border>
      <left style="medium">
        <color theme="3"/>
      </left>
      <right style="thin">
        <color theme="3"/>
      </right>
      <top style="medium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medium">
        <color theme="3"/>
      </top>
      <bottom style="thin">
        <color theme="3"/>
      </bottom>
      <diagonal/>
    </border>
    <border>
      <left style="thin">
        <color theme="3"/>
      </left>
      <right style="medium">
        <color theme="3"/>
      </right>
      <top style="medium">
        <color theme="3"/>
      </top>
      <bottom style="thin">
        <color theme="3"/>
      </bottom>
      <diagonal/>
    </border>
    <border>
      <left/>
      <right style="thin">
        <color theme="3"/>
      </right>
      <top style="medium">
        <color theme="3"/>
      </top>
      <bottom style="thin">
        <color theme="3"/>
      </bottom>
      <diagonal/>
    </border>
    <border>
      <left style="medium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medium">
        <color theme="3"/>
      </right>
      <top style="thin">
        <color theme="3"/>
      </top>
      <bottom style="thin">
        <color theme="3"/>
      </bottom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medium">
        <color theme="3"/>
      </left>
      <right style="thin">
        <color theme="3"/>
      </right>
      <top style="thin">
        <color theme="3"/>
      </top>
      <bottom style="medium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medium">
        <color theme="3"/>
      </bottom>
      <diagonal/>
    </border>
    <border>
      <left style="thin">
        <color theme="3"/>
      </left>
      <right style="medium">
        <color theme="3"/>
      </right>
      <top style="thin">
        <color theme="3"/>
      </top>
      <bottom style="medium">
        <color theme="3"/>
      </bottom>
      <diagonal/>
    </border>
    <border>
      <left/>
      <right style="thin">
        <color theme="3"/>
      </right>
      <top style="thin">
        <color theme="3"/>
      </top>
      <bottom style="medium">
        <color theme="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3"/>
      </left>
      <right/>
      <top/>
      <bottom/>
      <diagonal/>
    </border>
    <border>
      <left/>
      <right style="medium">
        <color theme="3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theme="3"/>
      </left>
      <right style="thin">
        <color theme="3"/>
      </right>
      <top style="thin">
        <color theme="3"/>
      </top>
      <bottom/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  <border>
      <left style="thin">
        <color theme="3"/>
      </left>
      <right style="medium">
        <color theme="3"/>
      </right>
      <top style="thin">
        <color theme="3"/>
      </top>
      <bottom/>
      <diagonal/>
    </border>
    <border>
      <left style="medium">
        <color theme="3"/>
      </left>
      <right style="thin">
        <color theme="3"/>
      </right>
      <top style="medium">
        <color theme="3"/>
      </top>
      <bottom style="medium">
        <color theme="3"/>
      </bottom>
      <diagonal/>
    </border>
    <border>
      <left style="thin">
        <color theme="3"/>
      </left>
      <right style="thin">
        <color theme="3"/>
      </right>
      <top style="medium">
        <color theme="3"/>
      </top>
      <bottom style="medium">
        <color theme="3"/>
      </bottom>
      <diagonal/>
    </border>
    <border>
      <left style="thin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theme="3"/>
      </left>
      <right style="thin">
        <color theme="3"/>
      </right>
      <top/>
      <bottom/>
      <diagonal/>
    </border>
    <border>
      <left style="thin">
        <color theme="3"/>
      </left>
      <right style="thin">
        <color theme="3"/>
      </right>
      <top/>
      <bottom/>
      <diagonal/>
    </border>
    <border>
      <left style="thin">
        <color theme="3"/>
      </left>
      <right style="medium">
        <color theme="3"/>
      </right>
      <top/>
      <bottom/>
      <diagonal/>
    </border>
    <border>
      <left style="medium">
        <color theme="3"/>
      </left>
      <right style="thin">
        <color theme="3"/>
      </right>
      <top/>
      <bottom style="medium">
        <color theme="3"/>
      </bottom>
      <diagonal/>
    </border>
    <border>
      <left style="thin">
        <color theme="3"/>
      </left>
      <right style="thin">
        <color theme="3"/>
      </right>
      <top/>
      <bottom style="medium">
        <color theme="3"/>
      </bottom>
      <diagonal/>
    </border>
    <border>
      <left style="thin">
        <color theme="3"/>
      </left>
      <right style="medium">
        <color theme="3"/>
      </right>
      <top/>
      <bottom style="medium">
        <color theme="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theme="3"/>
      </left>
      <right style="thin">
        <color theme="3"/>
      </right>
      <top/>
      <bottom style="thin">
        <color theme="3"/>
      </bottom>
      <diagonal/>
    </border>
    <border>
      <left style="thin">
        <color theme="3"/>
      </left>
      <right style="thin">
        <color theme="3"/>
      </right>
      <top/>
      <bottom style="thin">
        <color theme="3"/>
      </bottom>
      <diagonal/>
    </border>
    <border>
      <left style="thin">
        <color theme="3"/>
      </left>
      <right style="medium">
        <color theme="3"/>
      </right>
      <top/>
      <bottom style="thin">
        <color theme="3"/>
      </bottom>
      <diagonal/>
    </border>
    <border>
      <left style="medium">
        <color theme="3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theme="3"/>
      </right>
      <top/>
      <bottom style="thin">
        <color auto="1"/>
      </bottom>
      <diagonal/>
    </border>
    <border>
      <left style="medium">
        <color theme="3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theme="3"/>
      </right>
      <top style="thin">
        <color auto="1"/>
      </top>
      <bottom/>
      <diagonal/>
    </border>
    <border>
      <left style="medium">
        <color theme="3"/>
      </left>
      <right style="thin">
        <color indexed="64"/>
      </right>
      <top style="medium">
        <color theme="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3"/>
      </top>
      <bottom style="thin">
        <color indexed="64"/>
      </bottom>
      <diagonal/>
    </border>
    <border>
      <left style="thin">
        <color indexed="64"/>
      </left>
      <right style="medium">
        <color theme="3"/>
      </right>
      <top style="medium">
        <color theme="3"/>
      </top>
      <bottom style="thin">
        <color indexed="64"/>
      </bottom>
      <diagonal/>
    </border>
    <border>
      <left style="medium">
        <color theme="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3"/>
      </right>
      <top style="thin">
        <color indexed="64"/>
      </top>
      <bottom style="thin">
        <color indexed="64"/>
      </bottom>
      <diagonal/>
    </border>
    <border>
      <left style="medium">
        <color theme="3"/>
      </left>
      <right style="thin">
        <color indexed="64"/>
      </right>
      <top style="thin">
        <color indexed="64"/>
      </top>
      <bottom style="medium">
        <color theme="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3"/>
      </bottom>
      <diagonal/>
    </border>
    <border>
      <left style="thin">
        <color indexed="64"/>
      </left>
      <right style="medium">
        <color theme="3"/>
      </right>
      <top style="thin">
        <color indexed="64"/>
      </top>
      <bottom style="medium">
        <color theme="3"/>
      </bottom>
      <diagonal/>
    </border>
    <border>
      <left style="medium">
        <color rgb="FFC00000"/>
      </left>
      <right style="thin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C00000"/>
      </right>
      <top/>
      <bottom style="thin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C00000"/>
      </right>
      <top/>
      <bottom/>
      <diagonal/>
    </border>
    <border>
      <left style="medium">
        <color rgb="FFC00000"/>
      </left>
      <right style="medium">
        <color rgb="FFC00000"/>
      </right>
      <top style="thin">
        <color indexed="64"/>
      </top>
      <bottom style="thin">
        <color rgb="FFC00000"/>
      </bottom>
      <diagonal/>
    </border>
    <border>
      <left/>
      <right style="medium">
        <color rgb="FFC00000"/>
      </right>
      <top style="thin">
        <color indexed="64"/>
      </top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/>
      <diagonal/>
    </border>
    <border>
      <left style="thin">
        <color rgb="FFC00000"/>
      </left>
      <right style="thin">
        <color rgb="FFC00000"/>
      </right>
      <top style="thin">
        <color rgb="FFC00000"/>
      </top>
      <bottom/>
      <diagonal/>
    </border>
    <border>
      <left style="thin">
        <color rgb="FFC00000"/>
      </left>
      <right style="medium">
        <color rgb="FFC00000"/>
      </right>
      <top style="thin">
        <color rgb="FFC00000"/>
      </top>
      <bottom/>
      <diagonal/>
    </border>
    <border>
      <left style="thin">
        <color rgb="FFC00000"/>
      </left>
      <right style="thin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thin">
        <color rgb="FFC00000"/>
      </top>
      <bottom style="thin">
        <color rgb="FFFF0000"/>
      </bottom>
      <diagonal/>
    </border>
    <border>
      <left style="thin">
        <color rgb="FFFF0000"/>
      </left>
      <right style="thin">
        <color indexed="64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/>
      <top style="thin">
        <color rgb="FFC00000"/>
      </top>
      <bottom/>
      <diagonal/>
    </border>
    <border>
      <left style="thick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ck">
        <color rgb="FFC00000"/>
      </left>
      <right style="thin">
        <color rgb="FFC00000"/>
      </right>
      <top style="thin">
        <color rgb="FFC00000"/>
      </top>
      <bottom style="thick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ck">
        <color rgb="FFC00000"/>
      </bottom>
      <diagonal/>
    </border>
    <border>
      <left style="thin">
        <color rgb="FFC00000"/>
      </left>
      <right style="thick">
        <color rgb="FFC00000"/>
      </right>
      <top style="thin">
        <color rgb="FFC00000"/>
      </top>
      <bottom style="thin">
        <color rgb="FFC00000"/>
      </bottom>
      <diagonal/>
    </border>
    <border>
      <left style="thick">
        <color rgb="FFC00000"/>
      </left>
      <right style="thin">
        <color rgb="FFC00000"/>
      </right>
      <top style="thick">
        <color rgb="FFC00000"/>
      </top>
      <bottom style="thin">
        <color rgb="FFC00000"/>
      </bottom>
      <diagonal/>
    </border>
    <border>
      <left style="thin">
        <color rgb="FFC00000"/>
      </left>
      <right style="thick">
        <color rgb="FFC00000"/>
      </right>
      <top style="thin">
        <color rgb="FFC00000"/>
      </top>
      <bottom style="thick">
        <color rgb="FFC00000"/>
      </bottom>
      <diagonal/>
    </border>
    <border>
      <left style="medium">
        <color rgb="FFC00000"/>
      </left>
      <right style="thick">
        <color rgb="FFC00000"/>
      </right>
      <top style="thin">
        <color rgb="FFC00000"/>
      </top>
      <bottom style="thin">
        <color rgb="FFC00000"/>
      </bottom>
      <diagonal/>
    </border>
    <border>
      <left/>
      <right style="thick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FF0000"/>
      </left>
      <right style="thick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ck">
        <color rgb="FFC00000"/>
      </top>
      <bottom style="thin">
        <color rgb="FFC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14" fillId="0" borderId="0" applyNumberFormat="0" applyFill="0" applyBorder="0" applyAlignment="0" applyProtection="0"/>
    <xf numFmtId="0" fontId="22" fillId="0" borderId="0"/>
    <xf numFmtId="0" fontId="25" fillId="0" borderId="0" applyBorder="0"/>
    <xf numFmtId="166" fontId="5" fillId="0" borderId="0" applyFont="0" applyFill="0" applyBorder="0" applyAlignment="0" applyProtection="0"/>
  </cellStyleXfs>
  <cellXfs count="528">
    <xf numFmtId="0" fontId="0" fillId="0" borderId="0" xfId="0"/>
    <xf numFmtId="0" fontId="6" fillId="2" borderId="0" xfId="4" applyFont="1" applyFill="1"/>
    <xf numFmtId="0" fontId="7" fillId="2" borderId="0" xfId="4" applyFont="1" applyFill="1" applyAlignment="1">
      <alignment horizontal="left"/>
    </xf>
    <xf numFmtId="0" fontId="0" fillId="2" borderId="0" xfId="0" applyFill="1"/>
    <xf numFmtId="164" fontId="8" fillId="0" borderId="1" xfId="4" applyNumberFormat="1" applyFont="1" applyBorder="1" applyAlignment="1">
      <alignment horizontal="right"/>
    </xf>
    <xf numFmtId="164" fontId="5" fillId="0" borderId="0" xfId="4" applyNumberFormat="1" applyAlignment="1">
      <alignment horizontal="left" indent="1"/>
    </xf>
    <xf numFmtId="164" fontId="9" fillId="0" borderId="1" xfId="4" applyNumberFormat="1" applyFont="1" applyBorder="1" applyAlignment="1">
      <alignment horizontal="right"/>
    </xf>
    <xf numFmtId="164" fontId="10" fillId="0" borderId="1" xfId="4" applyNumberFormat="1" applyFont="1" applyBorder="1" applyAlignment="1">
      <alignment horizontal="right"/>
    </xf>
    <xf numFmtId="0" fontId="6" fillId="2" borderId="0" xfId="4" applyFont="1" applyFill="1" applyAlignment="1">
      <alignment horizontal="left"/>
    </xf>
    <xf numFmtId="17" fontId="7" fillId="2" borderId="0" xfId="4" applyNumberFormat="1" applyFont="1" applyFill="1" applyAlignment="1">
      <alignment horizontal="left"/>
    </xf>
    <xf numFmtId="164" fontId="11" fillId="0" borderId="2" xfId="4" applyNumberFormat="1" applyFont="1" applyBorder="1" applyAlignment="1">
      <alignment horizontal="right"/>
    </xf>
    <xf numFmtId="0" fontId="12" fillId="0" borderId="0" xfId="0" applyFont="1"/>
    <xf numFmtId="0" fontId="0" fillId="0" borderId="3" xfId="0" applyBorder="1"/>
    <xf numFmtId="0" fontId="12" fillId="0" borderId="4" xfId="0" applyFont="1" applyBorder="1"/>
    <xf numFmtId="0" fontId="0" fillId="0" borderId="5" xfId="0" applyBorder="1"/>
    <xf numFmtId="0" fontId="12" fillId="0" borderId="6" xfId="0" applyFont="1" applyBorder="1"/>
    <xf numFmtId="9" fontId="12" fillId="0" borderId="6" xfId="0" applyNumberFormat="1" applyFont="1" applyBorder="1"/>
    <xf numFmtId="165" fontId="12" fillId="0" borderId="6" xfId="0" applyNumberFormat="1" applyFont="1" applyBorder="1"/>
    <xf numFmtId="0" fontId="13" fillId="0" borderId="5" xfId="0" applyFont="1" applyBorder="1"/>
    <xf numFmtId="0" fontId="0" fillId="0" borderId="7" xfId="0" applyBorder="1"/>
    <xf numFmtId="165" fontId="12" fillId="0" borderId="8" xfId="0" applyNumberFormat="1" applyFont="1" applyBorder="1"/>
    <xf numFmtId="0" fontId="0" fillId="0" borderId="6" xfId="0" applyBorder="1"/>
    <xf numFmtId="165" fontId="0" fillId="0" borderId="6" xfId="0" applyNumberFormat="1" applyBorder="1"/>
    <xf numFmtId="0" fontId="0" fillId="0" borderId="9" xfId="0" applyBorder="1"/>
    <xf numFmtId="165" fontId="12" fillId="0" borderId="10" xfId="0" applyNumberFormat="1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9" fontId="12" fillId="0" borderId="16" xfId="3" applyFont="1" applyBorder="1"/>
    <xf numFmtId="165" fontId="12" fillId="0" borderId="17" xfId="0" applyNumberFormat="1" applyFont="1" applyBorder="1"/>
    <xf numFmtId="9" fontId="12" fillId="0" borderId="17" xfId="0" applyNumberFormat="1" applyFont="1" applyBorder="1"/>
    <xf numFmtId="165" fontId="12" fillId="0" borderId="18" xfId="2" applyNumberFormat="1" applyFont="1" applyBorder="1"/>
    <xf numFmtId="9" fontId="12" fillId="0" borderId="19" xfId="3" applyFont="1" applyBorder="1"/>
    <xf numFmtId="165" fontId="12" fillId="0" borderId="20" xfId="0" applyNumberFormat="1" applyFont="1" applyBorder="1"/>
    <xf numFmtId="9" fontId="12" fillId="0" borderId="20" xfId="0" applyNumberFormat="1" applyFont="1" applyBorder="1"/>
    <xf numFmtId="165" fontId="12" fillId="0" borderId="21" xfId="2" applyNumberFormat="1" applyFont="1" applyBorder="1"/>
    <xf numFmtId="9" fontId="12" fillId="0" borderId="23" xfId="0" applyNumberFormat="1" applyFont="1" applyBorder="1"/>
    <xf numFmtId="0" fontId="0" fillId="0" borderId="12" xfId="0" applyBorder="1" applyAlignment="1">
      <alignment wrapText="1"/>
    </xf>
    <xf numFmtId="9" fontId="12" fillId="0" borderId="16" xfId="0" applyNumberFormat="1" applyFont="1" applyBorder="1"/>
    <xf numFmtId="167" fontId="12" fillId="0" borderId="17" xfId="0" applyNumberFormat="1" applyFont="1" applyBorder="1"/>
    <xf numFmtId="165" fontId="12" fillId="0" borderId="18" xfId="0" applyNumberFormat="1" applyFont="1" applyBorder="1"/>
    <xf numFmtId="167" fontId="12" fillId="0" borderId="20" xfId="0" applyNumberFormat="1" applyFont="1" applyBorder="1"/>
    <xf numFmtId="167" fontId="12" fillId="0" borderId="23" xfId="0" applyNumberFormat="1" applyFont="1" applyBorder="1"/>
    <xf numFmtId="168" fontId="0" fillId="0" borderId="0" xfId="0" applyNumberFormat="1"/>
    <xf numFmtId="0" fontId="3" fillId="0" borderId="0" xfId="0" applyFont="1"/>
    <xf numFmtId="0" fontId="2" fillId="2" borderId="25" xfId="0" applyFont="1" applyFill="1" applyBorder="1" applyAlignment="1">
      <alignment horizontal="left"/>
    </xf>
    <xf numFmtId="0" fontId="2" fillId="2" borderId="26" xfId="0" applyFont="1" applyFill="1" applyBorder="1" applyAlignment="1">
      <alignment horizontal="center"/>
    </xf>
    <xf numFmtId="164" fontId="6" fillId="2" borderId="26" xfId="4" applyNumberFormat="1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left"/>
    </xf>
    <xf numFmtId="0" fontId="4" fillId="0" borderId="0" xfId="0" applyFont="1"/>
    <xf numFmtId="0" fontId="14" fillId="0" borderId="28" xfId="5" applyBorder="1" applyAlignment="1" applyProtection="1"/>
    <xf numFmtId="0" fontId="0" fillId="0" borderId="20" xfId="0" applyBorder="1"/>
    <xf numFmtId="0" fontId="0" fillId="0" borderId="21" xfId="0" applyBorder="1"/>
    <xf numFmtId="0" fontId="14" fillId="0" borderId="29" xfId="5" applyBorder="1" applyAlignment="1" applyProtection="1"/>
    <xf numFmtId="0" fontId="0" fillId="0" borderId="23" xfId="0" applyBorder="1"/>
    <xf numFmtId="0" fontId="0" fillId="0" borderId="24" xfId="0" applyBorder="1"/>
    <xf numFmtId="169" fontId="0" fillId="0" borderId="0" xfId="0" applyNumberFormat="1"/>
    <xf numFmtId="0" fontId="15" fillId="4" borderId="32" xfId="0" applyFont="1" applyFill="1" applyBorder="1" applyAlignment="1">
      <alignment horizontal="center" vertical="center" wrapText="1"/>
    </xf>
    <xf numFmtId="0" fontId="15" fillId="3" borderId="31" xfId="0" applyFont="1" applyFill="1" applyBorder="1" applyAlignment="1">
      <alignment horizontal="center" wrapText="1"/>
    </xf>
    <xf numFmtId="0" fontId="13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169" fontId="13" fillId="0" borderId="35" xfId="1" applyNumberFormat="1" applyFont="1" applyBorder="1" applyAlignment="1">
      <alignment horizontal="center" vertical="center"/>
    </xf>
    <xf numFmtId="9" fontId="13" fillId="0" borderId="34" xfId="3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169" fontId="13" fillId="0" borderId="37" xfId="1" applyNumberFormat="1" applyFont="1" applyBorder="1" applyAlignment="1">
      <alignment horizontal="center" vertical="center"/>
    </xf>
    <xf numFmtId="9" fontId="13" fillId="0" borderId="36" xfId="3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169" fontId="3" fillId="0" borderId="37" xfId="0" applyNumberFormat="1" applyFont="1" applyBorder="1" applyAlignment="1">
      <alignment horizontal="center" vertical="center"/>
    </xf>
    <xf numFmtId="169" fontId="3" fillId="0" borderId="38" xfId="0" applyNumberFormat="1" applyFont="1" applyBorder="1" applyAlignment="1">
      <alignment horizontal="center" vertical="center"/>
    </xf>
    <xf numFmtId="10" fontId="0" fillId="0" borderId="0" xfId="3" applyNumberFormat="1" applyFont="1"/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9" fontId="3" fillId="0" borderId="41" xfId="3" applyFont="1" applyBorder="1" applyAlignment="1">
      <alignment horizontal="center" vertical="center"/>
    </xf>
    <xf numFmtId="9" fontId="3" fillId="0" borderId="42" xfId="3" applyFont="1" applyBorder="1" applyAlignment="1">
      <alignment horizontal="center" vertical="center"/>
    </xf>
    <xf numFmtId="9" fontId="3" fillId="0" borderId="40" xfId="3" applyFont="1" applyBorder="1" applyAlignment="1">
      <alignment horizontal="center" vertical="center"/>
    </xf>
    <xf numFmtId="0" fontId="16" fillId="0" borderId="0" xfId="0" applyFont="1"/>
    <xf numFmtId="0" fontId="0" fillId="0" borderId="0" xfId="0" applyAlignment="1">
      <alignment horizontal="center"/>
    </xf>
    <xf numFmtId="170" fontId="0" fillId="0" borderId="0" xfId="0" applyNumberFormat="1"/>
    <xf numFmtId="0" fontId="17" fillId="0" borderId="0" xfId="0" applyFont="1"/>
    <xf numFmtId="0" fontId="15" fillId="4" borderId="43" xfId="0" applyFont="1" applyFill="1" applyBorder="1" applyAlignment="1">
      <alignment horizontal="center" wrapText="1"/>
    </xf>
    <xf numFmtId="0" fontId="15" fillId="3" borderId="44" xfId="0" applyFont="1" applyFill="1" applyBorder="1" applyAlignment="1">
      <alignment horizontal="center" vertical="center" wrapText="1"/>
    </xf>
    <xf numFmtId="169" fontId="13" fillId="0" borderId="45" xfId="1" applyNumberFormat="1" applyFont="1" applyBorder="1"/>
    <xf numFmtId="0" fontId="0" fillId="0" borderId="46" xfId="0" applyBorder="1" applyAlignment="1">
      <alignment horizontal="center" vertical="center"/>
    </xf>
    <xf numFmtId="171" fontId="13" fillId="0" borderId="35" xfId="2" applyNumberFormat="1" applyFont="1" applyBorder="1"/>
    <xf numFmtId="9" fontId="13" fillId="0" borderId="34" xfId="3" applyFont="1" applyBorder="1" applyAlignment="1">
      <alignment horizontal="center"/>
    </xf>
    <xf numFmtId="9" fontId="3" fillId="0" borderId="47" xfId="3" applyFont="1" applyFill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169" fontId="3" fillId="0" borderId="41" xfId="0" applyNumberFormat="1" applyFont="1" applyBorder="1" applyAlignment="1">
      <alignment horizontal="center" vertical="center"/>
    </xf>
    <xf numFmtId="169" fontId="3" fillId="0" borderId="42" xfId="0" applyNumberFormat="1" applyFont="1" applyBorder="1" applyAlignment="1">
      <alignment horizontal="center" vertical="center"/>
    </xf>
    <xf numFmtId="9" fontId="13" fillId="0" borderId="50" xfId="3" applyFont="1" applyBorder="1" applyAlignment="1">
      <alignment horizontal="center"/>
    </xf>
    <xf numFmtId="9" fontId="0" fillId="0" borderId="0" xfId="3" applyFont="1"/>
    <xf numFmtId="9" fontId="3" fillId="0" borderId="0" xfId="3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 wrapText="1"/>
    </xf>
    <xf numFmtId="9" fontId="0" fillId="0" borderId="0" xfId="3" applyFont="1" applyFill="1"/>
    <xf numFmtId="1" fontId="0" fillId="0" borderId="0" xfId="3" applyNumberFormat="1" applyFont="1" applyFill="1"/>
    <xf numFmtId="165" fontId="0" fillId="0" borderId="0" xfId="3" applyNumberFormat="1" applyFont="1" applyFill="1"/>
    <xf numFmtId="169" fontId="13" fillId="0" borderId="51" xfId="1" applyNumberFormat="1" applyFont="1" applyBorder="1"/>
    <xf numFmtId="169" fontId="18" fillId="0" borderId="52" xfId="0" applyNumberFormat="1" applyFont="1" applyBorder="1"/>
    <xf numFmtId="0" fontId="15" fillId="3" borderId="44" xfId="0" applyFont="1" applyFill="1" applyBorder="1" applyAlignment="1">
      <alignment horizontal="center" wrapText="1"/>
    </xf>
    <xf numFmtId="0" fontId="18" fillId="0" borderId="46" xfId="0" applyFont="1" applyBorder="1" applyAlignment="1">
      <alignment horizontal="center" vertical="center"/>
    </xf>
    <xf numFmtId="9" fontId="13" fillId="0" borderId="36" xfId="3" applyFont="1" applyBorder="1" applyAlignment="1">
      <alignment horizontal="center"/>
    </xf>
    <xf numFmtId="0" fontId="18" fillId="0" borderId="48" xfId="0" applyFont="1" applyBorder="1" applyAlignment="1">
      <alignment horizontal="center" vertical="center"/>
    </xf>
    <xf numFmtId="166" fontId="0" fillId="0" borderId="0" xfId="0" applyNumberFormat="1"/>
    <xf numFmtId="0" fontId="18" fillId="0" borderId="49" xfId="0" applyFont="1" applyBorder="1" applyAlignment="1">
      <alignment horizontal="center" vertical="center"/>
    </xf>
    <xf numFmtId="169" fontId="18" fillId="0" borderId="41" xfId="2" applyNumberFormat="1" applyFont="1" applyBorder="1"/>
    <xf numFmtId="169" fontId="18" fillId="0" borderId="42" xfId="2" applyNumberFormat="1" applyFont="1" applyBorder="1"/>
    <xf numFmtId="10" fontId="18" fillId="5" borderId="40" xfId="3" applyNumberFormat="1" applyFont="1" applyFill="1" applyBorder="1" applyAlignment="1">
      <alignment horizontal="center"/>
    </xf>
    <xf numFmtId="0" fontId="15" fillId="4" borderId="44" xfId="0" applyFont="1" applyFill="1" applyBorder="1" applyAlignment="1">
      <alignment horizontal="center" vertical="center" wrapText="1"/>
    </xf>
    <xf numFmtId="0" fontId="19" fillId="0" borderId="0" xfId="0" applyFont="1"/>
    <xf numFmtId="0" fontId="3" fillId="0" borderId="46" xfId="0" applyFont="1" applyBorder="1" applyAlignment="1">
      <alignment horizontal="center" vertical="center"/>
    </xf>
    <xf numFmtId="165" fontId="3" fillId="0" borderId="35" xfId="2" applyNumberFormat="1" applyFont="1" applyBorder="1" applyAlignment="1">
      <alignment horizontal="center"/>
    </xf>
    <xf numFmtId="165" fontId="3" fillId="0" borderId="53" xfId="0" applyNumberFormat="1" applyFont="1" applyBorder="1" applyAlignment="1">
      <alignment horizontal="center"/>
    </xf>
    <xf numFmtId="165" fontId="3" fillId="0" borderId="34" xfId="0" applyNumberFormat="1" applyFont="1" applyBorder="1" applyAlignment="1">
      <alignment horizontal="center"/>
    </xf>
    <xf numFmtId="165" fontId="0" fillId="0" borderId="37" xfId="2" applyNumberFormat="1" applyFont="1" applyBorder="1" applyAlignment="1">
      <alignment horizontal="center"/>
    </xf>
    <xf numFmtId="165" fontId="0" fillId="0" borderId="38" xfId="2" applyNumberFormat="1" applyFont="1" applyBorder="1" applyAlignment="1">
      <alignment horizontal="center"/>
    </xf>
    <xf numFmtId="165" fontId="0" fillId="0" borderId="36" xfId="2" applyNumberFormat="1" applyFont="1" applyBorder="1" applyAlignment="1">
      <alignment horizontal="center"/>
    </xf>
    <xf numFmtId="0" fontId="3" fillId="0" borderId="48" xfId="0" applyFont="1" applyBorder="1" applyAlignment="1">
      <alignment horizontal="center" vertical="center"/>
    </xf>
    <xf numFmtId="165" fontId="3" fillId="0" borderId="37" xfId="2" applyNumberFormat="1" applyFont="1" applyBorder="1" applyAlignment="1">
      <alignment horizontal="center"/>
    </xf>
    <xf numFmtId="165" fontId="3" fillId="0" borderId="41" xfId="2" applyNumberFormat="1" applyFont="1" applyBorder="1" applyAlignment="1">
      <alignment horizontal="center"/>
    </xf>
    <xf numFmtId="165" fontId="3" fillId="0" borderId="42" xfId="2" applyNumberFormat="1" applyFont="1" applyBorder="1" applyAlignment="1">
      <alignment horizontal="center"/>
    </xf>
    <xf numFmtId="165" fontId="3" fillId="0" borderId="40" xfId="2" applyNumberFormat="1" applyFont="1" applyBorder="1" applyAlignment="1">
      <alignment horizontal="center"/>
    </xf>
    <xf numFmtId="37" fontId="20" fillId="0" borderId="0" xfId="0" applyNumberFormat="1" applyFont="1"/>
    <xf numFmtId="165" fontId="0" fillId="0" borderId="0" xfId="0" applyNumberFormat="1"/>
    <xf numFmtId="0" fontId="0" fillId="0" borderId="0" xfId="0" applyAlignment="1">
      <alignment horizontal="right"/>
    </xf>
    <xf numFmtId="172" fontId="1" fillId="0" borderId="0" xfId="2" applyNumberFormat="1" applyFont="1" applyBorder="1"/>
    <xf numFmtId="172" fontId="0" fillId="0" borderId="0" xfId="2" applyNumberFormat="1" applyFont="1"/>
    <xf numFmtId="0" fontId="21" fillId="0" borderId="11" xfId="0" applyFont="1" applyBorder="1"/>
    <xf numFmtId="0" fontId="21" fillId="0" borderId="15" xfId="0" applyFont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21" fillId="0" borderId="5" xfId="0" applyFont="1" applyBorder="1"/>
    <xf numFmtId="0" fontId="0" fillId="0" borderId="19" xfId="0" applyBorder="1"/>
    <xf numFmtId="1" fontId="0" fillId="0" borderId="20" xfId="0" applyNumberFormat="1" applyBorder="1"/>
    <xf numFmtId="0" fontId="18" fillId="0" borderId="5" xfId="0" applyFont="1" applyBorder="1"/>
    <xf numFmtId="165" fontId="0" fillId="0" borderId="20" xfId="0" applyNumberFormat="1" applyBorder="1"/>
    <xf numFmtId="165" fontId="0" fillId="0" borderId="21" xfId="0" applyNumberFormat="1" applyBorder="1"/>
    <xf numFmtId="167" fontId="0" fillId="0" borderId="20" xfId="0" applyNumberFormat="1" applyBorder="1"/>
    <xf numFmtId="0" fontId="0" fillId="0" borderId="54" xfId="0" applyBorder="1"/>
    <xf numFmtId="0" fontId="3" fillId="0" borderId="5" xfId="0" applyFont="1" applyBorder="1"/>
    <xf numFmtId="10" fontId="0" fillId="0" borderId="20" xfId="3" applyNumberFormat="1" applyFont="1" applyBorder="1"/>
    <xf numFmtId="0" fontId="18" fillId="0" borderId="9" xfId="0" applyFont="1" applyBorder="1"/>
    <xf numFmtId="0" fontId="0" fillId="0" borderId="22" xfId="0" applyBorder="1"/>
    <xf numFmtId="165" fontId="0" fillId="0" borderId="23" xfId="0" applyNumberFormat="1" applyBorder="1"/>
    <xf numFmtId="165" fontId="0" fillId="0" borderId="24" xfId="0" applyNumberFormat="1" applyBorder="1"/>
    <xf numFmtId="0" fontId="23" fillId="2" borderId="55" xfId="6" applyFont="1" applyFill="1" applyBorder="1"/>
    <xf numFmtId="0" fontId="24" fillId="2" borderId="56" xfId="6" applyFont="1" applyFill="1" applyBorder="1"/>
    <xf numFmtId="0" fontId="24" fillId="2" borderId="57" xfId="6" applyFont="1" applyFill="1" applyBorder="1"/>
    <xf numFmtId="0" fontId="26" fillId="6" borderId="56" xfId="7" applyFont="1" applyFill="1" applyBorder="1" applyAlignment="1">
      <alignment horizontal="centerContinuous"/>
    </xf>
    <xf numFmtId="0" fontId="26" fillId="6" borderId="57" xfId="7" applyFont="1" applyFill="1" applyBorder="1" applyAlignment="1">
      <alignment horizontal="centerContinuous"/>
    </xf>
    <xf numFmtId="0" fontId="23" fillId="2" borderId="58" xfId="6" applyFont="1" applyFill="1" applyBorder="1"/>
    <xf numFmtId="0" fontId="23" fillId="2" borderId="59" xfId="0" applyFont="1" applyFill="1" applyBorder="1"/>
    <xf numFmtId="0" fontId="24" fillId="2" borderId="59" xfId="6" applyFont="1" applyFill="1" applyBorder="1"/>
    <xf numFmtId="0" fontId="24" fillId="2" borderId="60" xfId="6" applyFont="1" applyFill="1" applyBorder="1"/>
    <xf numFmtId="0" fontId="27" fillId="6" borderId="59" xfId="7" applyFont="1" applyFill="1" applyBorder="1" applyAlignment="1">
      <alignment horizontal="center"/>
    </xf>
    <xf numFmtId="0" fontId="27" fillId="6" borderId="60" xfId="7" applyFont="1" applyFill="1" applyBorder="1" applyAlignment="1">
      <alignment horizontal="center"/>
    </xf>
    <xf numFmtId="0" fontId="11" fillId="0" borderId="25" xfId="6" applyFont="1" applyBorder="1"/>
    <xf numFmtId="0" fontId="28" fillId="0" borderId="26" xfId="0" applyFont="1" applyBorder="1"/>
    <xf numFmtId="0" fontId="11" fillId="0" borderId="26" xfId="6" applyFont="1" applyBorder="1"/>
    <xf numFmtId="0" fontId="11" fillId="0" borderId="27" xfId="6" applyFont="1" applyBorder="1"/>
    <xf numFmtId="0" fontId="0" fillId="0" borderId="61" xfId="0" applyBorder="1"/>
    <xf numFmtId="0" fontId="0" fillId="0" borderId="26" xfId="0" applyBorder="1"/>
    <xf numFmtId="0" fontId="0" fillId="0" borderId="27" xfId="0" applyBorder="1"/>
    <xf numFmtId="0" fontId="11" fillId="0" borderId="28" xfId="6" applyFont="1" applyBorder="1"/>
    <xf numFmtId="0" fontId="11" fillId="0" borderId="20" xfId="0" applyFont="1" applyBorder="1"/>
    <xf numFmtId="0" fontId="11" fillId="0" borderId="21" xfId="6" applyFont="1" applyBorder="1"/>
    <xf numFmtId="172" fontId="0" fillId="0" borderId="19" xfId="2" applyNumberFormat="1" applyFont="1" applyBorder="1"/>
    <xf numFmtId="172" fontId="0" fillId="0" borderId="20" xfId="2" applyNumberFormat="1" applyFont="1" applyBorder="1"/>
    <xf numFmtId="172" fontId="0" fillId="0" borderId="21" xfId="2" applyNumberFormat="1" applyFont="1" applyBorder="1"/>
    <xf numFmtId="0" fontId="28" fillId="0" borderId="20" xfId="6" applyFont="1" applyBorder="1"/>
    <xf numFmtId="0" fontId="11" fillId="0" borderId="20" xfId="6" applyFont="1" applyBorder="1"/>
    <xf numFmtId="0" fontId="28" fillId="0" borderId="20" xfId="0" applyFont="1" applyBorder="1"/>
    <xf numFmtId="0" fontId="28" fillId="0" borderId="20" xfId="0" applyFont="1" applyBorder="1" applyAlignment="1">
      <alignment horizontal="left" vertical="center"/>
    </xf>
    <xf numFmtId="0" fontId="11" fillId="0" borderId="20" xfId="0" applyFont="1" applyBorder="1" applyAlignment="1">
      <alignment horizontal="left" vertical="center" indent="1"/>
    </xf>
    <xf numFmtId="0" fontId="28" fillId="0" borderId="21" xfId="6" applyFont="1" applyBorder="1"/>
    <xf numFmtId="0" fontId="11" fillId="0" borderId="29" xfId="6" applyFont="1" applyBorder="1"/>
    <xf numFmtId="0" fontId="28" fillId="0" borderId="23" xfId="6" applyFont="1" applyBorder="1"/>
    <xf numFmtId="0" fontId="11" fillId="0" borderId="23" xfId="6" applyFont="1" applyBorder="1"/>
    <xf numFmtId="0" fontId="11" fillId="0" borderId="24" xfId="6" applyFont="1" applyBorder="1"/>
    <xf numFmtId="171" fontId="5" fillId="0" borderId="22" xfId="8" applyNumberFormat="1" applyFont="1" applyBorder="1"/>
    <xf numFmtId="171" fontId="5" fillId="0" borderId="23" xfId="8" applyNumberFormat="1" applyFont="1" applyBorder="1"/>
    <xf numFmtId="171" fontId="5" fillId="0" borderId="24" xfId="8" applyNumberFormat="1" applyFont="1" applyBorder="1"/>
    <xf numFmtId="173" fontId="28" fillId="7" borderId="62" xfId="7" applyNumberFormat="1" applyFont="1" applyFill="1" applyBorder="1"/>
    <xf numFmtId="0" fontId="29" fillId="7" borderId="63" xfId="0" applyFont="1" applyFill="1" applyBorder="1" applyAlignment="1">
      <alignment horizontal="centerContinuous"/>
    </xf>
    <xf numFmtId="0" fontId="29" fillId="7" borderId="64" xfId="0" applyFont="1" applyFill="1" applyBorder="1" applyAlignment="1">
      <alignment horizontal="centerContinuous"/>
    </xf>
    <xf numFmtId="0" fontId="30" fillId="6" borderId="63" xfId="7" applyFont="1" applyFill="1" applyBorder="1" applyAlignment="1">
      <alignment horizontal="centerContinuous"/>
    </xf>
    <xf numFmtId="0" fontId="30" fillId="6" borderId="65" xfId="7" applyFont="1" applyFill="1" applyBorder="1" applyAlignment="1">
      <alignment horizontal="centerContinuous"/>
    </xf>
    <xf numFmtId="0" fontId="30" fillId="6" borderId="64" xfId="7" applyFont="1" applyFill="1" applyBorder="1" applyAlignment="1">
      <alignment horizontal="centerContinuous"/>
    </xf>
    <xf numFmtId="173" fontId="28" fillId="7" borderId="66" xfId="7" applyNumberFormat="1" applyFont="1" applyFill="1" applyBorder="1"/>
    <xf numFmtId="0" fontId="28" fillId="7" borderId="67" xfId="7" applyFont="1" applyFill="1" applyBorder="1"/>
    <xf numFmtId="0" fontId="28" fillId="7" borderId="67" xfId="7" applyFont="1" applyFill="1" applyBorder="1" applyAlignment="1">
      <alignment horizontal="center"/>
    </xf>
    <xf numFmtId="0" fontId="28" fillId="7" borderId="68" xfId="7" applyFont="1" applyFill="1" applyBorder="1" applyAlignment="1">
      <alignment horizontal="center"/>
    </xf>
    <xf numFmtId="0" fontId="27" fillId="6" borderId="67" xfId="7" applyFont="1" applyFill="1" applyBorder="1" applyAlignment="1">
      <alignment horizontal="center"/>
    </xf>
    <xf numFmtId="0" fontId="27" fillId="6" borderId="68" xfId="7" applyFont="1" applyFill="1" applyBorder="1" applyAlignment="1">
      <alignment horizontal="center"/>
    </xf>
    <xf numFmtId="0" fontId="31" fillId="0" borderId="69" xfId="6" applyFont="1" applyBorder="1"/>
    <xf numFmtId="0" fontId="31" fillId="0" borderId="70" xfId="6" applyFont="1" applyBorder="1"/>
    <xf numFmtId="0" fontId="0" fillId="0" borderId="70" xfId="0" applyBorder="1"/>
    <xf numFmtId="0" fontId="0" fillId="0" borderId="71" xfId="0" applyBorder="1"/>
    <xf numFmtId="0" fontId="0" fillId="0" borderId="72" xfId="0" applyBorder="1"/>
    <xf numFmtId="0" fontId="31" fillId="0" borderId="73" xfId="0" applyFont="1" applyBorder="1"/>
    <xf numFmtId="0" fontId="31" fillId="0" borderId="74" xfId="0" applyFont="1" applyBorder="1"/>
    <xf numFmtId="0" fontId="31" fillId="0" borderId="74" xfId="6" applyFont="1" applyBorder="1"/>
    <xf numFmtId="0" fontId="0" fillId="0" borderId="74" xfId="0" applyBorder="1"/>
    <xf numFmtId="0" fontId="0" fillId="0" borderId="75" xfId="0" applyBorder="1"/>
    <xf numFmtId="167" fontId="0" fillId="0" borderId="76" xfId="0" applyNumberFormat="1" applyBorder="1"/>
    <xf numFmtId="167" fontId="0" fillId="0" borderId="74" xfId="0" applyNumberFormat="1" applyBorder="1"/>
    <xf numFmtId="167" fontId="0" fillId="0" borderId="75" xfId="0" applyNumberFormat="1" applyBorder="1"/>
    <xf numFmtId="172" fontId="0" fillId="0" borderId="76" xfId="0" applyNumberFormat="1" applyBorder="1"/>
    <xf numFmtId="172" fontId="0" fillId="0" borderId="74" xfId="0" applyNumberFormat="1" applyBorder="1"/>
    <xf numFmtId="172" fontId="0" fillId="0" borderId="75" xfId="0" applyNumberFormat="1" applyBorder="1"/>
    <xf numFmtId="0" fontId="0" fillId="0" borderId="76" xfId="0" applyBorder="1"/>
    <xf numFmtId="0" fontId="32" fillId="0" borderId="73" xfId="6" applyFont="1" applyBorder="1"/>
    <xf numFmtId="0" fontId="31" fillId="0" borderId="73" xfId="6" applyFont="1" applyBorder="1"/>
    <xf numFmtId="0" fontId="32" fillId="0" borderId="74" xfId="0" applyFont="1" applyBorder="1"/>
    <xf numFmtId="165" fontId="0" fillId="0" borderId="76" xfId="0" applyNumberFormat="1" applyBorder="1"/>
    <xf numFmtId="165" fontId="0" fillId="0" borderId="74" xfId="0" applyNumberFormat="1" applyBorder="1"/>
    <xf numFmtId="165" fontId="0" fillId="0" borderId="75" xfId="0" applyNumberFormat="1" applyBorder="1"/>
    <xf numFmtId="172" fontId="0" fillId="0" borderId="76" xfId="2" applyNumberFormat="1" applyFont="1" applyBorder="1"/>
    <xf numFmtId="172" fontId="0" fillId="0" borderId="74" xfId="2" applyNumberFormat="1" applyFont="1" applyBorder="1"/>
    <xf numFmtId="172" fontId="0" fillId="0" borderId="75" xfId="2" applyNumberFormat="1" applyFont="1" applyBorder="1"/>
    <xf numFmtId="0" fontId="33" fillId="0" borderId="73" xfId="0" applyFont="1" applyBorder="1"/>
    <xf numFmtId="0" fontId="33" fillId="0" borderId="74" xfId="0" applyFont="1" applyBorder="1"/>
    <xf numFmtId="0" fontId="34" fillId="0" borderId="73" xfId="0" applyFont="1" applyBorder="1" applyAlignment="1">
      <alignment horizontal="left"/>
    </xf>
    <xf numFmtId="0" fontId="33" fillId="0" borderId="73" xfId="0" applyFont="1" applyBorder="1" applyAlignment="1">
      <alignment horizontal="left"/>
    </xf>
    <xf numFmtId="0" fontId="34" fillId="0" borderId="77" xfId="0" applyFont="1" applyBorder="1" applyAlignment="1">
      <alignment horizontal="left"/>
    </xf>
    <xf numFmtId="0" fontId="34" fillId="0" borderId="78" xfId="0" applyFont="1" applyBorder="1"/>
    <xf numFmtId="0" fontId="0" fillId="0" borderId="78" xfId="0" applyBorder="1"/>
    <xf numFmtId="0" fontId="0" fillId="0" borderId="79" xfId="0" applyBorder="1"/>
    <xf numFmtId="167" fontId="0" fillId="0" borderId="80" xfId="0" applyNumberFormat="1" applyBorder="1"/>
    <xf numFmtId="167" fontId="0" fillId="0" borderId="78" xfId="0" applyNumberFormat="1" applyBorder="1"/>
    <xf numFmtId="167" fontId="0" fillId="0" borderId="79" xfId="0" applyNumberFormat="1" applyBorder="1"/>
    <xf numFmtId="164" fontId="8" fillId="0" borderId="0" xfId="4" applyNumberFormat="1" applyFont="1" applyAlignment="1">
      <alignment horizontal="right"/>
    </xf>
    <xf numFmtId="0" fontId="0" fillId="0" borderId="81" xfId="0" applyBorder="1"/>
    <xf numFmtId="9" fontId="3" fillId="0" borderId="82" xfId="0" applyNumberFormat="1" applyFont="1" applyBorder="1"/>
    <xf numFmtId="164" fontId="9" fillId="0" borderId="0" xfId="4" applyNumberFormat="1" applyFont="1" applyAlignment="1">
      <alignment horizontal="right"/>
    </xf>
    <xf numFmtId="0" fontId="0" fillId="0" borderId="1" xfId="0" applyBorder="1"/>
    <xf numFmtId="9" fontId="3" fillId="0" borderId="36" xfId="0" applyNumberFormat="1" applyFont="1" applyBorder="1"/>
    <xf numFmtId="164" fontId="10" fillId="0" borderId="0" xfId="4" applyNumberFormat="1" applyFont="1" applyAlignment="1">
      <alignment horizontal="right"/>
    </xf>
    <xf numFmtId="0" fontId="0" fillId="0" borderId="39" xfId="0" applyBorder="1"/>
    <xf numFmtId="0" fontId="3" fillId="0" borderId="40" xfId="0" applyFont="1" applyBorder="1" applyAlignment="1">
      <alignment horizontal="right"/>
    </xf>
    <xf numFmtId="164" fontId="11" fillId="0" borderId="0" xfId="4" applyNumberFormat="1" applyFont="1" applyAlignment="1">
      <alignment horizontal="right"/>
    </xf>
    <xf numFmtId="0" fontId="2" fillId="2" borderId="62" xfId="0" applyFont="1" applyFill="1" applyBorder="1"/>
    <xf numFmtId="0" fontId="2" fillId="2" borderId="63" xfId="0" applyFont="1" applyFill="1" applyBorder="1"/>
    <xf numFmtId="0" fontId="2" fillId="2" borderId="64" xfId="0" applyFont="1" applyFill="1" applyBorder="1"/>
    <xf numFmtId="0" fontId="0" fillId="2" borderId="64" xfId="0" applyFill="1" applyBorder="1"/>
    <xf numFmtId="0" fontId="2" fillId="2" borderId="66" xfId="0" applyFont="1" applyFill="1" applyBorder="1"/>
    <xf numFmtId="0" fontId="2" fillId="2" borderId="67" xfId="0" applyFont="1" applyFill="1" applyBorder="1"/>
    <xf numFmtId="174" fontId="2" fillId="2" borderId="68" xfId="0" applyNumberFormat="1" applyFont="1" applyFill="1" applyBorder="1" applyAlignment="1">
      <alignment horizontal="center"/>
    </xf>
    <xf numFmtId="174" fontId="2" fillId="2" borderId="67" xfId="0" applyNumberFormat="1" applyFont="1" applyFill="1" applyBorder="1" applyAlignment="1">
      <alignment horizontal="center"/>
    </xf>
    <xf numFmtId="0" fontId="2" fillId="0" borderId="83" xfId="0" applyFont="1" applyBorder="1"/>
    <xf numFmtId="0" fontId="2" fillId="0" borderId="0" xfId="0" applyFont="1"/>
    <xf numFmtId="174" fontId="2" fillId="0" borderId="84" xfId="0" applyNumberFormat="1" applyFont="1" applyBorder="1" applyAlignment="1">
      <alignment horizontal="center"/>
    </xf>
    <xf numFmtId="174" fontId="2" fillId="0" borderId="0" xfId="0" applyNumberFormat="1" applyFont="1" applyAlignment="1">
      <alignment horizontal="center"/>
    </xf>
    <xf numFmtId="0" fontId="0" fillId="0" borderId="85" xfId="0" applyBorder="1"/>
    <xf numFmtId="0" fontId="35" fillId="0" borderId="83" xfId="0" applyFont="1" applyBorder="1"/>
    <xf numFmtId="172" fontId="36" fillId="0" borderId="84" xfId="2" applyNumberFormat="1" applyFont="1" applyFill="1" applyBorder="1" applyAlignment="1">
      <alignment horizontal="center"/>
    </xf>
    <xf numFmtId="172" fontId="36" fillId="0" borderId="0" xfId="2" applyNumberFormat="1" applyFont="1" applyFill="1" applyBorder="1" applyAlignment="1">
      <alignment horizontal="center"/>
    </xf>
    <xf numFmtId="172" fontId="36" fillId="0" borderId="85" xfId="2" applyNumberFormat="1" applyFont="1" applyFill="1" applyBorder="1" applyAlignment="1">
      <alignment horizontal="center"/>
    </xf>
    <xf numFmtId="0" fontId="0" fillId="0" borderId="69" xfId="0" applyBorder="1"/>
    <xf numFmtId="172" fontId="37" fillId="0" borderId="71" xfId="2" applyNumberFormat="1" applyFont="1" applyBorder="1" applyAlignment="1">
      <alignment horizontal="center"/>
    </xf>
    <xf numFmtId="165" fontId="37" fillId="0" borderId="72" xfId="2" applyNumberFormat="1" applyFont="1" applyBorder="1" applyAlignment="1">
      <alignment horizontal="center"/>
    </xf>
    <xf numFmtId="165" fontId="37" fillId="0" borderId="70" xfId="2" applyNumberFormat="1" applyFont="1" applyBorder="1" applyAlignment="1">
      <alignment horizontal="center"/>
    </xf>
    <xf numFmtId="0" fontId="0" fillId="0" borderId="73" xfId="0" applyBorder="1"/>
    <xf numFmtId="172" fontId="38" fillId="0" borderId="75" xfId="2" applyNumberFormat="1" applyFont="1" applyBorder="1" applyAlignment="1">
      <alignment horizontal="center"/>
    </xf>
    <xf numFmtId="165" fontId="38" fillId="0" borderId="76" xfId="2" applyNumberFormat="1" applyFont="1" applyBorder="1" applyAlignment="1">
      <alignment horizontal="center"/>
    </xf>
    <xf numFmtId="165" fontId="37" fillId="0" borderId="74" xfId="2" applyNumberFormat="1" applyFont="1" applyBorder="1" applyAlignment="1">
      <alignment horizontal="center"/>
    </xf>
    <xf numFmtId="165" fontId="37" fillId="0" borderId="75" xfId="2" applyNumberFormat="1" applyFont="1" applyBorder="1" applyAlignment="1">
      <alignment horizontal="center"/>
    </xf>
    <xf numFmtId="165" fontId="3" fillId="0" borderId="75" xfId="0" applyNumberFormat="1" applyFont="1" applyBorder="1" applyAlignment="1">
      <alignment horizontal="center"/>
    </xf>
    <xf numFmtId="165" fontId="36" fillId="0" borderId="76" xfId="2" applyNumberFormat="1" applyFont="1" applyBorder="1" applyAlignment="1">
      <alignment horizontal="center"/>
    </xf>
    <xf numFmtId="165" fontId="36" fillId="0" borderId="74" xfId="2" applyNumberFormat="1" applyFont="1" applyBorder="1" applyAlignment="1">
      <alignment horizontal="center"/>
    </xf>
    <xf numFmtId="165" fontId="36" fillId="0" borderId="75" xfId="2" applyNumberFormat="1" applyFont="1" applyBorder="1" applyAlignment="1">
      <alignment horizontal="center"/>
    </xf>
    <xf numFmtId="165" fontId="0" fillId="0" borderId="75" xfId="0" applyNumberFormat="1" applyBorder="1" applyAlignment="1">
      <alignment horizontal="center"/>
    </xf>
    <xf numFmtId="165" fontId="37" fillId="0" borderId="76" xfId="2" applyNumberFormat="1" applyFont="1" applyBorder="1" applyAlignment="1">
      <alignment horizontal="center"/>
    </xf>
    <xf numFmtId="165" fontId="0" fillId="0" borderId="76" xfId="0" applyNumberFormat="1" applyBorder="1" applyAlignment="1">
      <alignment horizontal="center"/>
    </xf>
    <xf numFmtId="165" fontId="0" fillId="0" borderId="74" xfId="0" applyNumberFormat="1" applyBorder="1" applyAlignment="1">
      <alignment horizontal="center"/>
    </xf>
    <xf numFmtId="165" fontId="0" fillId="0" borderId="74" xfId="2" applyNumberFormat="1" applyFont="1" applyBorder="1" applyAlignment="1">
      <alignment horizontal="center"/>
    </xf>
    <xf numFmtId="165" fontId="0" fillId="0" borderId="75" xfId="2" applyNumberFormat="1" applyFont="1" applyBorder="1"/>
    <xf numFmtId="0" fontId="3" fillId="0" borderId="74" xfId="0" applyFont="1" applyBorder="1"/>
    <xf numFmtId="169" fontId="0" fillId="0" borderId="75" xfId="0" applyNumberFormat="1" applyBorder="1" applyAlignment="1">
      <alignment horizontal="center"/>
    </xf>
    <xf numFmtId="165" fontId="0" fillId="0" borderId="76" xfId="2" applyNumberFormat="1" applyFont="1" applyBorder="1" applyAlignment="1">
      <alignment horizontal="center"/>
    </xf>
    <xf numFmtId="165" fontId="0" fillId="0" borderId="75" xfId="2" applyNumberFormat="1" applyFont="1" applyBorder="1" applyAlignment="1">
      <alignment horizontal="center"/>
    </xf>
    <xf numFmtId="172" fontId="0" fillId="0" borderId="0" xfId="0" applyNumberFormat="1"/>
    <xf numFmtId="44" fontId="0" fillId="0" borderId="0" xfId="2" applyFont="1"/>
    <xf numFmtId="165" fontId="3" fillId="0" borderId="76" xfId="0" applyNumberFormat="1" applyFont="1" applyBorder="1" applyAlignment="1">
      <alignment horizontal="center"/>
    </xf>
    <xf numFmtId="165" fontId="3" fillId="0" borderId="74" xfId="2" applyNumberFormat="1" applyFont="1" applyBorder="1" applyAlignment="1">
      <alignment horizontal="center"/>
    </xf>
    <xf numFmtId="0" fontId="3" fillId="8" borderId="73" xfId="0" applyFont="1" applyFill="1" applyBorder="1"/>
    <xf numFmtId="0" fontId="3" fillId="8" borderId="74" xfId="0" applyFont="1" applyFill="1" applyBorder="1"/>
    <xf numFmtId="169" fontId="3" fillId="8" borderId="75" xfId="0" applyNumberFormat="1" applyFont="1" applyFill="1" applyBorder="1" applyAlignment="1">
      <alignment horizontal="center"/>
    </xf>
    <xf numFmtId="165" fontId="3" fillId="8" borderId="76" xfId="2" applyNumberFormat="1" applyFont="1" applyFill="1" applyBorder="1" applyAlignment="1">
      <alignment horizontal="center"/>
    </xf>
    <xf numFmtId="165" fontId="3" fillId="8" borderId="74" xfId="2" applyNumberFormat="1" applyFont="1" applyFill="1" applyBorder="1" applyAlignment="1">
      <alignment horizontal="center"/>
    </xf>
    <xf numFmtId="165" fontId="3" fillId="8" borderId="75" xfId="2" applyNumberFormat="1" applyFont="1" applyFill="1" applyBorder="1" applyAlignment="1">
      <alignment horizontal="center"/>
    </xf>
    <xf numFmtId="0" fontId="3" fillId="0" borderId="73" xfId="0" applyFont="1" applyBorder="1"/>
    <xf numFmtId="0" fontId="0" fillId="0" borderId="86" xfId="0" applyBorder="1"/>
    <xf numFmtId="0" fontId="0" fillId="0" borderId="87" xfId="0" applyBorder="1"/>
    <xf numFmtId="165" fontId="0" fillId="0" borderId="88" xfId="0" applyNumberFormat="1" applyBorder="1" applyAlignment="1">
      <alignment horizontal="center"/>
    </xf>
    <xf numFmtId="0" fontId="3" fillId="9" borderId="89" xfId="0" applyFont="1" applyFill="1" applyBorder="1" applyAlignment="1">
      <alignment vertical="center"/>
    </xf>
    <xf numFmtId="0" fontId="3" fillId="9" borderId="90" xfId="0" applyFont="1" applyFill="1" applyBorder="1" applyAlignment="1">
      <alignment vertical="center"/>
    </xf>
    <xf numFmtId="165" fontId="3" fillId="9" borderId="91" xfId="0" applyNumberFormat="1" applyFont="1" applyFill="1" applyBorder="1" applyAlignment="1">
      <alignment horizontal="center" vertical="center"/>
    </xf>
    <xf numFmtId="172" fontId="3" fillId="0" borderId="76" xfId="0" applyNumberFormat="1" applyFont="1" applyBorder="1" applyAlignment="1">
      <alignment horizontal="center" vertical="center"/>
    </xf>
    <xf numFmtId="167" fontId="3" fillId="0" borderId="74" xfId="0" applyNumberFormat="1" applyFont="1" applyBorder="1" applyAlignment="1">
      <alignment horizontal="center" vertical="center"/>
    </xf>
    <xf numFmtId="165" fontId="3" fillId="0" borderId="74" xfId="0" applyNumberFormat="1" applyFont="1" applyBorder="1" applyAlignment="1">
      <alignment horizontal="center"/>
    </xf>
    <xf numFmtId="0" fontId="0" fillId="0" borderId="92" xfId="0" applyBorder="1"/>
    <xf numFmtId="0" fontId="0" fillId="0" borderId="93" xfId="0" applyBorder="1"/>
    <xf numFmtId="0" fontId="0" fillId="0" borderId="94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4" xfId="0" applyBorder="1" applyAlignment="1">
      <alignment horizontal="center"/>
    </xf>
    <xf numFmtId="0" fontId="3" fillId="9" borderId="89" xfId="0" applyFont="1" applyFill="1" applyBorder="1"/>
    <xf numFmtId="0" fontId="3" fillId="9" borderId="90" xfId="0" applyFont="1" applyFill="1" applyBorder="1"/>
    <xf numFmtId="10" fontId="39" fillId="0" borderId="76" xfId="0" applyNumberFormat="1" applyFont="1" applyBorder="1" applyAlignment="1">
      <alignment horizontal="center"/>
    </xf>
    <xf numFmtId="10" fontId="39" fillId="0" borderId="74" xfId="0" applyNumberFormat="1" applyFont="1" applyBorder="1" applyAlignment="1">
      <alignment horizontal="center"/>
    </xf>
    <xf numFmtId="0" fontId="0" fillId="0" borderId="95" xfId="0" applyBorder="1"/>
    <xf numFmtId="0" fontId="0" fillId="0" borderId="96" xfId="0" applyBorder="1"/>
    <xf numFmtId="9" fontId="0" fillId="0" borderId="97" xfId="0" applyNumberFormat="1" applyBorder="1"/>
    <xf numFmtId="9" fontId="0" fillId="0" borderId="80" xfId="0" applyNumberFormat="1" applyBorder="1"/>
    <xf numFmtId="9" fontId="0" fillId="0" borderId="78" xfId="0" applyNumberFormat="1" applyBorder="1"/>
    <xf numFmtId="9" fontId="0" fillId="0" borderId="0" xfId="0" applyNumberFormat="1"/>
    <xf numFmtId="0" fontId="6" fillId="0" borderId="0" xfId="4" applyFont="1" applyAlignment="1">
      <alignment horizontal="left"/>
    </xf>
    <xf numFmtId="17" fontId="7" fillId="0" borderId="0" xfId="4" applyNumberFormat="1" applyFont="1" applyAlignment="1">
      <alignment horizontal="left"/>
    </xf>
    <xf numFmtId="0" fontId="0" fillId="0" borderId="98" xfId="0" applyBorder="1"/>
    <xf numFmtId="9" fontId="0" fillId="0" borderId="98" xfId="0" applyNumberFormat="1" applyBorder="1"/>
    <xf numFmtId="0" fontId="0" fillId="0" borderId="99" xfId="0" applyBorder="1"/>
    <xf numFmtId="0" fontId="0" fillId="0" borderId="100" xfId="0" applyBorder="1"/>
    <xf numFmtId="165" fontId="0" fillId="0" borderId="100" xfId="0" applyNumberFormat="1" applyBorder="1"/>
    <xf numFmtId="0" fontId="0" fillId="0" borderId="48" xfId="0" applyBorder="1"/>
    <xf numFmtId="174" fontId="0" fillId="0" borderId="98" xfId="1" applyNumberFormat="1" applyFont="1" applyBorder="1"/>
    <xf numFmtId="0" fontId="0" fillId="0" borderId="49" xfId="0" applyBorder="1"/>
    <xf numFmtId="167" fontId="0" fillId="0" borderId="49" xfId="0" applyNumberFormat="1" applyBorder="1"/>
    <xf numFmtId="0" fontId="23" fillId="2" borderId="62" xfId="6" applyFont="1" applyFill="1" applyBorder="1"/>
    <xf numFmtId="0" fontId="24" fillId="2" borderId="63" xfId="6" applyFont="1" applyFill="1" applyBorder="1"/>
    <xf numFmtId="0" fontId="26" fillId="6" borderId="63" xfId="7" applyFont="1" applyFill="1" applyBorder="1" applyAlignment="1">
      <alignment horizontal="centerContinuous"/>
    </xf>
    <xf numFmtId="0" fontId="26" fillId="6" borderId="64" xfId="7" applyFont="1" applyFill="1" applyBorder="1" applyAlignment="1">
      <alignment horizontal="centerContinuous"/>
    </xf>
    <xf numFmtId="0" fontId="23" fillId="2" borderId="66" xfId="6" applyFont="1" applyFill="1" applyBorder="1"/>
    <xf numFmtId="0" fontId="23" fillId="2" borderId="67" xfId="0" applyFont="1" applyFill="1" applyBorder="1"/>
    <xf numFmtId="0" fontId="24" fillId="2" borderId="67" xfId="6" applyFont="1" applyFill="1" applyBorder="1"/>
    <xf numFmtId="0" fontId="0" fillId="0" borderId="101" xfId="0" applyBorder="1"/>
    <xf numFmtId="0" fontId="0" fillId="0" borderId="102" xfId="0" applyBorder="1"/>
    <xf numFmtId="165" fontId="0" fillId="0" borderId="102" xfId="0" applyNumberFormat="1" applyBorder="1"/>
    <xf numFmtId="165" fontId="0" fillId="0" borderId="103" xfId="0" applyNumberFormat="1" applyBorder="1"/>
    <xf numFmtId="0" fontId="0" fillId="0" borderId="77" xfId="0" applyBorder="1"/>
    <xf numFmtId="165" fontId="0" fillId="0" borderId="78" xfId="0" applyNumberFormat="1" applyBorder="1"/>
    <xf numFmtId="165" fontId="0" fillId="0" borderId="79" xfId="0" applyNumberFormat="1" applyBorder="1"/>
    <xf numFmtId="0" fontId="23" fillId="2" borderId="104" xfId="6" applyFont="1" applyFill="1" applyBorder="1"/>
    <xf numFmtId="0" fontId="23" fillId="2" borderId="105" xfId="0" applyFont="1" applyFill="1" applyBorder="1"/>
    <xf numFmtId="0" fontId="24" fillId="2" borderId="105" xfId="6" applyFont="1" applyFill="1" applyBorder="1"/>
    <xf numFmtId="0" fontId="27" fillId="6" borderId="105" xfId="7" applyFont="1" applyFill="1" applyBorder="1" applyAlignment="1">
      <alignment horizontal="center"/>
    </xf>
    <xf numFmtId="0" fontId="27" fillId="6" borderId="106" xfId="7" applyFont="1" applyFill="1" applyBorder="1" applyAlignment="1">
      <alignment horizontal="center"/>
    </xf>
    <xf numFmtId="0" fontId="0" fillId="0" borderId="107" xfId="0" applyBorder="1"/>
    <xf numFmtId="0" fontId="0" fillId="0" borderId="108" xfId="0" applyBorder="1"/>
    <xf numFmtId="165" fontId="0" fillId="0" borderId="108" xfId="0" applyNumberFormat="1" applyBorder="1"/>
    <xf numFmtId="165" fontId="0" fillId="0" borderId="109" xfId="0" applyNumberFormat="1" applyBorder="1"/>
    <xf numFmtId="0" fontId="0" fillId="0" borderId="83" xfId="0" applyBorder="1"/>
    <xf numFmtId="165" fontId="0" fillId="0" borderId="84" xfId="0" applyNumberFormat="1" applyBorder="1"/>
    <xf numFmtId="0" fontId="0" fillId="0" borderId="66" xfId="0" applyBorder="1"/>
    <xf numFmtId="0" fontId="0" fillId="0" borderId="67" xfId="0" applyBorder="1"/>
    <xf numFmtId="165" fontId="0" fillId="0" borderId="67" xfId="0" applyNumberFormat="1" applyBorder="1"/>
    <xf numFmtId="165" fontId="0" fillId="0" borderId="68" xfId="0" applyNumberFormat="1" applyBorder="1"/>
    <xf numFmtId="0" fontId="23" fillId="2" borderId="110" xfId="6" applyFont="1" applyFill="1" applyBorder="1"/>
    <xf numFmtId="0" fontId="23" fillId="2" borderId="111" xfId="0" applyFont="1" applyFill="1" applyBorder="1"/>
    <xf numFmtId="0" fontId="0" fillId="0" borderId="111" xfId="0" applyBorder="1"/>
    <xf numFmtId="174" fontId="2" fillId="2" borderId="111" xfId="0" applyNumberFormat="1" applyFont="1" applyFill="1" applyBorder="1" applyAlignment="1">
      <alignment horizontal="center"/>
    </xf>
    <xf numFmtId="0" fontId="27" fillId="6" borderId="111" xfId="7" applyFont="1" applyFill="1" applyBorder="1" applyAlignment="1">
      <alignment horizontal="center"/>
    </xf>
    <xf numFmtId="0" fontId="27" fillId="6" borderId="112" xfId="7" applyFont="1" applyFill="1" applyBorder="1" applyAlignment="1">
      <alignment horizontal="center"/>
    </xf>
    <xf numFmtId="0" fontId="0" fillId="0" borderId="113" xfId="0" applyBorder="1"/>
    <xf numFmtId="2" fontId="0" fillId="0" borderId="38" xfId="0" applyNumberFormat="1" applyBorder="1"/>
    <xf numFmtId="0" fontId="0" fillId="0" borderId="38" xfId="0" applyBorder="1"/>
    <xf numFmtId="165" fontId="0" fillId="0" borderId="38" xfId="0" applyNumberFormat="1" applyBorder="1"/>
    <xf numFmtId="165" fontId="0" fillId="0" borderId="114" xfId="0" applyNumberFormat="1" applyBorder="1"/>
    <xf numFmtId="0" fontId="0" fillId="0" borderId="115" xfId="0" applyBorder="1"/>
    <xf numFmtId="2" fontId="0" fillId="0" borderId="116" xfId="0" applyNumberFormat="1" applyBorder="1"/>
    <xf numFmtId="0" fontId="0" fillId="0" borderId="116" xfId="0" applyBorder="1"/>
    <xf numFmtId="165" fontId="0" fillId="0" borderId="116" xfId="0" applyNumberFormat="1" applyBorder="1"/>
    <xf numFmtId="165" fontId="0" fillId="0" borderId="117" xfId="0" applyNumberFormat="1" applyBorder="1"/>
    <xf numFmtId="172" fontId="0" fillId="0" borderId="108" xfId="0" applyNumberFormat="1" applyBorder="1"/>
    <xf numFmtId="172" fontId="0" fillId="0" borderId="109" xfId="0" applyNumberFormat="1" applyBorder="1"/>
    <xf numFmtId="172" fontId="0" fillId="0" borderId="84" xfId="0" applyNumberFormat="1" applyBorder="1"/>
    <xf numFmtId="172" fontId="0" fillId="0" borderId="67" xfId="0" applyNumberFormat="1" applyBorder="1"/>
    <xf numFmtId="172" fontId="0" fillId="0" borderId="68" xfId="0" applyNumberFormat="1" applyBorder="1"/>
    <xf numFmtId="0" fontId="0" fillId="0" borderId="89" xfId="0" applyBorder="1"/>
    <xf numFmtId="0" fontId="0" fillId="0" borderId="90" xfId="0" applyBorder="1"/>
    <xf numFmtId="0" fontId="0" fillId="0" borderId="91" xfId="0" applyBorder="1"/>
    <xf numFmtId="165" fontId="0" fillId="0" borderId="88" xfId="0" applyNumberFormat="1" applyBorder="1"/>
    <xf numFmtId="0" fontId="3" fillId="0" borderId="11" xfId="0" applyFont="1" applyBorder="1"/>
    <xf numFmtId="9" fontId="0" fillId="0" borderId="21" xfId="3" applyFont="1" applyBorder="1"/>
    <xf numFmtId="9" fontId="0" fillId="0" borderId="20" xfId="3" applyFont="1" applyBorder="1"/>
    <xf numFmtId="0" fontId="3" fillId="0" borderId="3" xfId="0" applyFont="1" applyBorder="1"/>
    <xf numFmtId="9" fontId="0" fillId="0" borderId="24" xfId="3" applyFont="1" applyBorder="1"/>
    <xf numFmtId="0" fontId="21" fillId="0" borderId="0" xfId="0" applyFont="1"/>
    <xf numFmtId="0" fontId="18" fillId="0" borderId="0" xfId="0" applyFont="1"/>
    <xf numFmtId="0" fontId="3" fillId="0" borderId="4" xfId="0" applyFont="1" applyBorder="1"/>
    <xf numFmtId="9" fontId="0" fillId="0" borderId="6" xfId="0" applyNumberFormat="1" applyBorder="1"/>
    <xf numFmtId="0" fontId="0" fillId="0" borderId="5" xfId="0" quotePrefix="1" applyBorder="1"/>
    <xf numFmtId="0" fontId="3" fillId="0" borderId="9" xfId="0" applyFont="1" applyBorder="1"/>
    <xf numFmtId="165" fontId="0" fillId="0" borderId="10" xfId="0" applyNumberFormat="1" applyBorder="1"/>
    <xf numFmtId="0" fontId="3" fillId="0" borderId="118" xfId="0" applyFont="1" applyBorder="1"/>
    <xf numFmtId="0" fontId="3" fillId="0" borderId="13" xfId="0" applyFont="1" applyBorder="1"/>
    <xf numFmtId="0" fontId="3" fillId="0" borderId="14" xfId="0" applyFont="1" applyBorder="1"/>
    <xf numFmtId="0" fontId="0" fillId="0" borderId="119" xfId="0" applyBorder="1"/>
    <xf numFmtId="165" fontId="0" fillId="0" borderId="17" xfId="0" applyNumberFormat="1" applyBorder="1"/>
    <xf numFmtId="9" fontId="0" fillId="0" borderId="17" xfId="0" applyNumberFormat="1" applyBorder="1"/>
    <xf numFmtId="165" fontId="0" fillId="0" borderId="18" xfId="0" applyNumberFormat="1" applyBorder="1"/>
    <xf numFmtId="0" fontId="0" fillId="0" borderId="28" xfId="0" applyBorder="1"/>
    <xf numFmtId="9" fontId="0" fillId="0" borderId="20" xfId="0" applyNumberFormat="1" applyBorder="1"/>
    <xf numFmtId="0" fontId="3" fillId="0" borderId="29" xfId="0" applyFont="1" applyBorder="1"/>
    <xf numFmtId="165" fontId="0" fillId="0" borderId="120" xfId="0" applyNumberFormat="1" applyBorder="1"/>
    <xf numFmtId="0" fontId="3" fillId="0" borderId="12" xfId="0" applyFont="1" applyBorder="1"/>
    <xf numFmtId="0" fontId="3" fillId="0" borderId="13" xfId="0" quotePrefix="1" applyFont="1" applyBorder="1"/>
    <xf numFmtId="0" fontId="0" fillId="0" borderId="15" xfId="0" quotePrefix="1" applyBorder="1"/>
    <xf numFmtId="165" fontId="0" fillId="0" borderId="16" xfId="0" quotePrefix="1" applyNumberFormat="1" applyBorder="1"/>
    <xf numFmtId="9" fontId="0" fillId="0" borderId="17" xfId="0" quotePrefix="1" applyNumberFormat="1" applyBorder="1"/>
    <xf numFmtId="9" fontId="0" fillId="0" borderId="5" xfId="0" applyNumberFormat="1" applyBorder="1"/>
    <xf numFmtId="165" fontId="0" fillId="0" borderId="19" xfId="0" quotePrefix="1" applyNumberFormat="1" applyBorder="1"/>
    <xf numFmtId="9" fontId="0" fillId="0" borderId="20" xfId="0" quotePrefix="1" applyNumberFormat="1" applyBorder="1"/>
    <xf numFmtId="165" fontId="0" fillId="0" borderId="22" xfId="0" applyNumberFormat="1" applyBorder="1"/>
    <xf numFmtId="9" fontId="0" fillId="0" borderId="9" xfId="0" applyNumberFormat="1" applyBorder="1"/>
    <xf numFmtId="175" fontId="12" fillId="0" borderId="18" xfId="1" applyNumberFormat="1" applyFont="1" applyBorder="1"/>
    <xf numFmtId="175" fontId="12" fillId="0" borderId="21" xfId="1" applyNumberFormat="1" applyFont="1" applyBorder="1"/>
    <xf numFmtId="175" fontId="12" fillId="0" borderId="24" xfId="1" applyNumberFormat="1" applyFont="1" applyBorder="1"/>
    <xf numFmtId="43" fontId="12" fillId="0" borderId="16" xfId="1" applyFont="1" applyBorder="1"/>
    <xf numFmtId="43" fontId="12" fillId="0" borderId="121" xfId="1" applyFont="1" applyBorder="1"/>
    <xf numFmtId="175" fontId="12" fillId="0" borderId="16" xfId="1" applyNumberFormat="1" applyFont="1" applyBorder="1"/>
    <xf numFmtId="175" fontId="0" fillId="0" borderId="0" xfId="0" applyNumberFormat="1"/>
    <xf numFmtId="43" fontId="0" fillId="0" borderId="0" xfId="1" applyFont="1"/>
    <xf numFmtId="0" fontId="15" fillId="3" borderId="30" xfId="0" applyFont="1" applyFill="1" applyBorder="1" applyAlignment="1">
      <alignment horizontal="center" vertical="center" wrapText="1"/>
    </xf>
    <xf numFmtId="0" fontId="15" fillId="3" borderId="31" xfId="0" applyFont="1" applyFill="1" applyBorder="1" applyAlignment="1">
      <alignment horizontal="center" vertical="center" wrapText="1"/>
    </xf>
    <xf numFmtId="176" fontId="0" fillId="0" borderId="0" xfId="1" applyNumberFormat="1" applyFont="1"/>
    <xf numFmtId="9" fontId="39" fillId="9" borderId="91" xfId="3" applyFont="1" applyFill="1" applyBorder="1" applyAlignment="1">
      <alignment horizontal="center"/>
    </xf>
    <xf numFmtId="8" fontId="39" fillId="0" borderId="74" xfId="0" applyNumberFormat="1" applyFont="1" applyBorder="1" applyAlignment="1">
      <alignment horizontal="center"/>
    </xf>
    <xf numFmtId="182" fontId="0" fillId="0" borderId="76" xfId="0" applyNumberFormat="1" applyBorder="1"/>
    <xf numFmtId="182" fontId="0" fillId="0" borderId="74" xfId="0" applyNumberFormat="1" applyBorder="1"/>
    <xf numFmtId="0" fontId="0" fillId="0" borderId="122" xfId="0" applyBorder="1"/>
    <xf numFmtId="0" fontId="0" fillId="0" borderId="123" xfId="0" applyBorder="1"/>
    <xf numFmtId="9" fontId="12" fillId="0" borderId="124" xfId="3" applyFont="1" applyBorder="1"/>
    <xf numFmtId="165" fontId="12" fillId="0" borderId="125" xfId="0" applyNumberFormat="1" applyFont="1" applyBorder="1"/>
    <xf numFmtId="9" fontId="12" fillId="0" borderId="125" xfId="0" applyNumberFormat="1" applyFont="1" applyBorder="1"/>
    <xf numFmtId="165" fontId="12" fillId="0" borderId="126" xfId="2" applyNumberFormat="1" applyFont="1" applyBorder="1"/>
    <xf numFmtId="0" fontId="0" fillId="0" borderId="0" xfId="0" applyBorder="1"/>
    <xf numFmtId="9" fontId="12" fillId="0" borderId="0" xfId="3" applyFont="1" applyBorder="1"/>
    <xf numFmtId="165" fontId="12" fillId="0" borderId="0" xfId="0" applyNumberFormat="1" applyFont="1" applyBorder="1"/>
    <xf numFmtId="9" fontId="12" fillId="0" borderId="0" xfId="0" applyNumberFormat="1" applyFont="1" applyBorder="1"/>
    <xf numFmtId="165" fontId="12" fillId="0" borderId="0" xfId="2" applyNumberFormat="1" applyFont="1" applyBorder="1"/>
    <xf numFmtId="0" fontId="0" fillId="0" borderId="127" xfId="0" applyBorder="1"/>
    <xf numFmtId="0" fontId="0" fillId="0" borderId="129" xfId="0" applyBorder="1"/>
    <xf numFmtId="0" fontId="0" fillId="0" borderId="128" xfId="0" applyBorder="1"/>
    <xf numFmtId="0" fontId="0" fillId="0" borderId="130" xfId="0" applyFill="1" applyBorder="1"/>
    <xf numFmtId="0" fontId="0" fillId="0" borderId="131" xfId="0" applyBorder="1"/>
    <xf numFmtId="9" fontId="39" fillId="0" borderId="74" xfId="0" applyNumberFormat="1" applyFont="1" applyBorder="1" applyAlignment="1">
      <alignment horizontal="center"/>
    </xf>
    <xf numFmtId="165" fontId="12" fillId="0" borderId="133" xfId="0" applyNumberFormat="1" applyFont="1" applyBorder="1"/>
    <xf numFmtId="9" fontId="12" fillId="0" borderId="133" xfId="0" applyNumberFormat="1" applyFont="1" applyBorder="1"/>
    <xf numFmtId="182" fontId="0" fillId="0" borderId="0" xfId="0" applyNumberFormat="1"/>
    <xf numFmtId="0" fontId="0" fillId="9" borderId="132" xfId="0" applyFill="1" applyBorder="1"/>
    <xf numFmtId="10" fontId="0" fillId="9" borderId="132" xfId="0" applyNumberFormat="1" applyFill="1" applyBorder="1"/>
    <xf numFmtId="182" fontId="0" fillId="9" borderId="132" xfId="0" applyNumberFormat="1" applyFill="1" applyBorder="1"/>
    <xf numFmtId="9" fontId="0" fillId="9" borderId="132" xfId="0" applyNumberFormat="1" applyFill="1" applyBorder="1"/>
    <xf numFmtId="0" fontId="0" fillId="9" borderId="0" xfId="0" applyFill="1" applyAlignment="1">
      <alignment horizontal="center"/>
    </xf>
    <xf numFmtId="0" fontId="0" fillId="10" borderId="132" xfId="0" applyFill="1" applyBorder="1"/>
    <xf numFmtId="10" fontId="0" fillId="10" borderId="132" xfId="0" applyNumberFormat="1" applyFill="1" applyBorder="1"/>
    <xf numFmtId="182" fontId="0" fillId="10" borderId="132" xfId="0" applyNumberFormat="1" applyFill="1" applyBorder="1"/>
    <xf numFmtId="9" fontId="0" fillId="10" borderId="132" xfId="0" applyNumberFormat="1" applyFill="1" applyBorder="1"/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1" borderId="132" xfId="0" applyFill="1" applyBorder="1"/>
    <xf numFmtId="10" fontId="0" fillId="11" borderId="132" xfId="0" applyNumberFormat="1" applyFill="1" applyBorder="1"/>
    <xf numFmtId="182" fontId="0" fillId="11" borderId="132" xfId="0" applyNumberFormat="1" applyFill="1" applyBorder="1"/>
    <xf numFmtId="9" fontId="0" fillId="11" borderId="132" xfId="0" applyNumberFormat="1" applyFill="1" applyBorder="1"/>
    <xf numFmtId="1" fontId="0" fillId="11" borderId="132" xfId="0" applyNumberFormat="1" applyFill="1" applyBorder="1"/>
    <xf numFmtId="1" fontId="0" fillId="9" borderId="132" xfId="0" applyNumberFormat="1" applyFill="1" applyBorder="1"/>
    <xf numFmtId="1" fontId="0" fillId="10" borderId="132" xfId="0" applyNumberFormat="1" applyFill="1" applyBorder="1"/>
    <xf numFmtId="0" fontId="0" fillId="12" borderId="0" xfId="0" applyFill="1" applyAlignment="1">
      <alignment horizontal="center"/>
    </xf>
    <xf numFmtId="0" fontId="0" fillId="12" borderId="132" xfId="0" applyFill="1" applyBorder="1"/>
    <xf numFmtId="10" fontId="0" fillId="12" borderId="132" xfId="0" applyNumberFormat="1" applyFill="1" applyBorder="1"/>
    <xf numFmtId="182" fontId="0" fillId="12" borderId="132" xfId="0" applyNumberFormat="1" applyFill="1" applyBorder="1"/>
    <xf numFmtId="1" fontId="0" fillId="12" borderId="132" xfId="0" applyNumberFormat="1" applyFill="1" applyBorder="1"/>
    <xf numFmtId="9" fontId="0" fillId="12" borderId="132" xfId="0" applyNumberFormat="1" applyFill="1" applyBorder="1"/>
    <xf numFmtId="0" fontId="0" fillId="13" borderId="0" xfId="0" applyFill="1" applyAlignment="1">
      <alignment horizontal="center"/>
    </xf>
    <xf numFmtId="0" fontId="0" fillId="13" borderId="132" xfId="0" applyFill="1" applyBorder="1"/>
    <xf numFmtId="10" fontId="0" fillId="13" borderId="132" xfId="0" applyNumberFormat="1" applyFill="1" applyBorder="1"/>
    <xf numFmtId="182" fontId="0" fillId="13" borderId="132" xfId="0" applyNumberFormat="1" applyFill="1" applyBorder="1"/>
    <xf numFmtId="1" fontId="0" fillId="13" borderId="132" xfId="0" applyNumberFormat="1" applyFill="1" applyBorder="1"/>
    <xf numFmtId="9" fontId="0" fillId="13" borderId="132" xfId="0" applyNumberFormat="1" applyFill="1" applyBorder="1"/>
    <xf numFmtId="0" fontId="0" fillId="14" borderId="0" xfId="0" applyFill="1"/>
    <xf numFmtId="0" fontId="0" fillId="14" borderId="132" xfId="0" applyFill="1" applyBorder="1"/>
    <xf numFmtId="10" fontId="0" fillId="14" borderId="132" xfId="0" applyNumberFormat="1" applyFill="1" applyBorder="1"/>
    <xf numFmtId="182" fontId="0" fillId="14" borderId="132" xfId="0" applyNumberFormat="1" applyFill="1" applyBorder="1"/>
    <xf numFmtId="1" fontId="0" fillId="14" borderId="132" xfId="0" applyNumberFormat="1" applyFill="1" applyBorder="1"/>
    <xf numFmtId="9" fontId="0" fillId="14" borderId="132" xfId="0" applyNumberFormat="1" applyFill="1" applyBorder="1"/>
    <xf numFmtId="9" fontId="0" fillId="9" borderId="132" xfId="3" applyFont="1" applyFill="1" applyBorder="1"/>
    <xf numFmtId="9" fontId="0" fillId="10" borderId="132" xfId="3" applyFont="1" applyFill="1" applyBorder="1"/>
    <xf numFmtId="9" fontId="0" fillId="13" borderId="132" xfId="3" applyFont="1" applyFill="1" applyBorder="1"/>
    <xf numFmtId="182" fontId="0" fillId="15" borderId="132" xfId="0" applyNumberFormat="1" applyFill="1" applyBorder="1"/>
    <xf numFmtId="0" fontId="0" fillId="15" borderId="132" xfId="0" applyFill="1" applyBorder="1"/>
    <xf numFmtId="9" fontId="0" fillId="15" borderId="132" xfId="0" applyNumberFormat="1" applyFill="1" applyBorder="1"/>
    <xf numFmtId="9" fontId="0" fillId="15" borderId="132" xfId="3" applyFont="1" applyFill="1" applyBorder="1"/>
    <xf numFmtId="9" fontId="0" fillId="12" borderId="132" xfId="3" applyFont="1" applyFill="1" applyBorder="1"/>
    <xf numFmtId="9" fontId="0" fillId="14" borderId="132" xfId="3" applyFont="1" applyFill="1" applyBorder="1"/>
    <xf numFmtId="0" fontId="0" fillId="5" borderId="0" xfId="0" applyFill="1"/>
    <xf numFmtId="182" fontId="0" fillId="0" borderId="20" xfId="0" applyNumberFormat="1" applyBorder="1"/>
    <xf numFmtId="0" fontId="0" fillId="0" borderId="134" xfId="0" applyBorder="1"/>
    <xf numFmtId="0" fontId="0" fillId="0" borderId="135" xfId="0" applyBorder="1"/>
    <xf numFmtId="182" fontId="0" fillId="0" borderId="136" xfId="0" applyNumberFormat="1" applyBorder="1"/>
    <xf numFmtId="0" fontId="0" fillId="0" borderId="137" xfId="0" applyBorder="1"/>
    <xf numFmtId="0" fontId="18" fillId="0" borderId="137" xfId="0" applyFont="1" applyFill="1" applyBorder="1"/>
    <xf numFmtId="0" fontId="18" fillId="0" borderId="137" xfId="0" applyFont="1" applyBorder="1"/>
    <xf numFmtId="0" fontId="18" fillId="0" borderId="137" xfId="0" applyFont="1" applyBorder="1" applyAlignment="1">
      <alignment horizontal="center"/>
    </xf>
    <xf numFmtId="0" fontId="0" fillId="0" borderId="137" xfId="0" applyFont="1" applyFill="1" applyBorder="1"/>
    <xf numFmtId="0" fontId="21" fillId="0" borderId="137" xfId="0" applyFont="1" applyBorder="1"/>
    <xf numFmtId="0" fontId="18" fillId="0" borderId="139" xfId="0" applyFont="1" applyBorder="1"/>
    <xf numFmtId="0" fontId="18" fillId="0" borderId="140" xfId="0" applyFont="1" applyBorder="1" applyAlignment="1">
      <alignment horizontal="center"/>
    </xf>
    <xf numFmtId="0" fontId="18" fillId="0" borderId="140" xfId="0" applyFont="1" applyBorder="1"/>
    <xf numFmtId="0" fontId="0" fillId="0" borderId="140" xfId="0" applyBorder="1"/>
    <xf numFmtId="0" fontId="18" fillId="0" borderId="142" xfId="0" applyFont="1" applyBorder="1"/>
    <xf numFmtId="0" fontId="0" fillId="0" borderId="142" xfId="0" applyBorder="1"/>
    <xf numFmtId="0" fontId="0" fillId="0" borderId="142" xfId="0" applyFont="1" applyFill="1" applyBorder="1"/>
    <xf numFmtId="0" fontId="0" fillId="0" borderId="141" xfId="0" applyFont="1" applyFill="1" applyBorder="1"/>
    <xf numFmtId="0" fontId="0" fillId="0" borderId="141" xfId="0" applyBorder="1"/>
    <xf numFmtId="0" fontId="0" fillId="0" borderId="138" xfId="0" applyBorder="1"/>
    <xf numFmtId="0" fontId="0" fillId="0" borderId="143" xfId="0" applyBorder="1"/>
    <xf numFmtId="0" fontId="18" fillId="0" borderId="0" xfId="0" applyFont="1" applyBorder="1"/>
    <xf numFmtId="165" fontId="0" fillId="0" borderId="0" xfId="0" applyNumberFormat="1" applyBorder="1"/>
    <xf numFmtId="1" fontId="0" fillId="0" borderId="0" xfId="0" applyNumberFormat="1" applyBorder="1"/>
    <xf numFmtId="167" fontId="0" fillId="0" borderId="0" xfId="0" applyNumberFormat="1" applyBorder="1"/>
    <xf numFmtId="0" fontId="21" fillId="0" borderId="0" xfId="0" applyFont="1" applyBorder="1"/>
    <xf numFmtId="0" fontId="3" fillId="0" borderId="0" xfId="0" applyFont="1" applyBorder="1"/>
    <xf numFmtId="10" fontId="0" fillId="0" borderId="0" xfId="3" applyNumberFormat="1" applyFont="1" applyBorder="1"/>
  </cellXfs>
  <cellStyles count="9">
    <cellStyle name="Comma" xfId="1" builtinId="3"/>
    <cellStyle name="Currency" xfId="2" builtinId="4"/>
    <cellStyle name="Currency 2" xfId="8" xr:uid="{02AADD72-57CB-4D46-BDA4-DE9BC65FA649}"/>
    <cellStyle name="Hyperlink" xfId="5" builtinId="8"/>
    <cellStyle name="Normal" xfId="0" builtinId="0"/>
    <cellStyle name="Normal_MO_GEN49 model_TL_v21" xfId="4" xr:uid="{5BEC7079-4601-4E19-9E4A-37FF7FDE507B}"/>
    <cellStyle name="Normal_Republic - Mesa Merger Model v.5 - Beta" xfId="7" xr:uid="{020583D8-39BD-4790-9166-F925A383EC08}"/>
    <cellStyle name="Normal_Simple LBO" xfId="6" xr:uid="{5E46F013-E8EB-499B-8957-2D671AD8DAC3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 </a:t>
            </a:r>
            <a:r>
              <a:rPr lang="en-US" sz="1600"/>
              <a:t>Operating</a:t>
            </a:r>
            <a:r>
              <a:rPr lang="en-US" sz="1600" baseline="0"/>
              <a:t> Summary</a:t>
            </a:r>
            <a:endParaRPr lang="en-US" sz="1600"/>
          </a:p>
        </c:rich>
      </c:tx>
      <c:layout>
        <c:manualLayout>
          <c:xMode val="edge"/>
          <c:yMode val="edge"/>
          <c:x val="0.29584213681543181"/>
          <c:y val="8.965251927789794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9.9363517060367473E-2"/>
          <c:y val="0.17083075478185036"/>
          <c:w val="0.87008092738408016"/>
          <c:h val="0.743752190720568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'[1]Net Income Analysis'!$C$15</c:f>
              <c:strCache>
                <c:ptCount val="1"/>
                <c:pt idx="0">
                  <c:v>Revenue</c:v>
                </c:pt>
              </c:strCache>
            </c:strRef>
          </c:tx>
          <c:invertIfNegative val="0"/>
          <c:dLbls>
            <c:dLbl>
              <c:idx val="0"/>
              <c:layout>
                <c:manualLayout>
                  <c:x val="-1.179555454118964E-2"/>
                  <c:y val="1.16668416447944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822-491F-BB6F-D2E77556ABDE}"/>
                </c:ext>
              </c:extLst>
            </c:dLbl>
            <c:dLbl>
              <c:idx val="1"/>
              <c:layout>
                <c:manualLayout>
                  <c:x val="-3.1399698226127612E-3"/>
                  <c:y val="1.9629396325459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822-491F-BB6F-D2E77556ABDE}"/>
                </c:ext>
              </c:extLst>
            </c:dLbl>
            <c:dLbl>
              <c:idx val="2"/>
              <c:layout>
                <c:manualLayout>
                  <c:x val="-1.3687854235611942E-2"/>
                  <c:y val="1.18519685039370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822-491F-BB6F-D2E77556ABDE}"/>
                </c:ext>
              </c:extLst>
            </c:dLbl>
            <c:dLbl>
              <c:idx val="3"/>
              <c:layout>
                <c:manualLayout>
                  <c:x val="-1.4130371384736341E-2"/>
                  <c:y val="2.4073490813648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822-491F-BB6F-D2E77556ABDE}"/>
                </c:ext>
              </c:extLst>
            </c:dLbl>
            <c:dLbl>
              <c:idx val="4"/>
              <c:layout>
                <c:manualLayout>
                  <c:x val="-1.0909759468472309E-2"/>
                  <c:y val="1.1296237970253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822-491F-BB6F-D2E77556AB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'[1]Net Income Analysis'!$D$14:$I$14</c:f>
              <c:strCache>
                <c:ptCount val="6"/>
                <c:pt idx="0">
                  <c:v>FY09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</c:strCache>
            </c:strRef>
          </c:cat>
          <c:val>
            <c:numRef>
              <c:f>'[1]Net Income Analysis'!$D$15:$I$15</c:f>
              <c:numCache>
                <c:formatCode>General</c:formatCode>
                <c:ptCount val="6"/>
                <c:pt idx="0">
                  <c:v>262.52703015867206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105</c:v>
                </c:pt>
                <c:pt idx="5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22-491F-BB6F-D2E77556ABDE}"/>
            </c:ext>
          </c:extLst>
        </c:ser>
        <c:ser>
          <c:idx val="1"/>
          <c:order val="1"/>
          <c:tx>
            <c:strRef>
              <c:f>'[1]Net Income Analysis'!$C$16</c:f>
              <c:strCache>
                <c:ptCount val="1"/>
                <c:pt idx="0">
                  <c:v>Expenses</c:v>
                </c:pt>
              </c:strCache>
            </c:strRef>
          </c:tx>
          <c:invertIfNegative val="0"/>
          <c:dLbls>
            <c:dLbl>
              <c:idx val="0"/>
              <c:layout>
                <c:manualLayout>
                  <c:x val="4.5491777295954003E-3"/>
                  <c:y val="1.88888888888889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822-491F-BB6F-D2E77556ABDE}"/>
                </c:ext>
              </c:extLst>
            </c:dLbl>
            <c:dLbl>
              <c:idx val="1"/>
              <c:layout>
                <c:manualLayout>
                  <c:x val="7.7697896458595048E-3"/>
                  <c:y val="1.87037620297462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822-491F-BB6F-D2E77556ABDE}"/>
                </c:ext>
              </c:extLst>
            </c:dLbl>
            <c:dLbl>
              <c:idx val="2"/>
              <c:layout>
                <c:manualLayout>
                  <c:x val="0"/>
                  <c:y val="1.388888888888897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822-491F-BB6F-D2E77556ABDE}"/>
                </c:ext>
              </c:extLst>
            </c:dLbl>
            <c:dLbl>
              <c:idx val="3"/>
              <c:layout>
                <c:manualLayout>
                  <c:x val="5.981229313706345E-3"/>
                  <c:y val="1.50212904561329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822-491F-BB6F-D2E77556ABDE}"/>
                </c:ext>
              </c:extLst>
            </c:dLbl>
            <c:dLbl>
              <c:idx val="4"/>
              <c:layout>
                <c:manualLayout>
                  <c:x val="9.7424194336552684E-3"/>
                  <c:y val="1.539189797794457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822-491F-BB6F-D2E77556AB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'[1]Net Income Analysis'!$D$14:$I$14</c:f>
              <c:strCache>
                <c:ptCount val="6"/>
                <c:pt idx="0">
                  <c:v>FY09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</c:strCache>
            </c:strRef>
          </c:cat>
          <c:val>
            <c:numRef>
              <c:f>'[1]Net Income Analysis'!$D$16:$I$16</c:f>
              <c:numCache>
                <c:formatCode>General</c:formatCode>
                <c:ptCount val="6"/>
                <c:pt idx="0">
                  <c:v>25.421749999999999</c:v>
                </c:pt>
                <c:pt idx="1">
                  <c:v>89</c:v>
                </c:pt>
                <c:pt idx="2">
                  <c:v>91</c:v>
                </c:pt>
                <c:pt idx="3">
                  <c:v>94</c:v>
                </c:pt>
                <c:pt idx="4">
                  <c:v>96</c:v>
                </c:pt>
                <c:pt idx="5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822-491F-BB6F-D2E77556ABDE}"/>
            </c:ext>
          </c:extLst>
        </c:ser>
        <c:ser>
          <c:idx val="2"/>
          <c:order val="2"/>
          <c:tx>
            <c:strRef>
              <c:f>'[1]Net Income Analysis'!$C$17</c:f>
              <c:strCache>
                <c:ptCount val="1"/>
                <c:pt idx="0">
                  <c:v>Profit Margin</c:v>
                </c:pt>
              </c:strCache>
            </c:strRef>
          </c:tx>
          <c:invertIfNegative val="0"/>
          <c:dLbls>
            <c:dLbl>
              <c:idx val="0"/>
              <c:layout>
                <c:manualLayout>
                  <c:x val="2.1104322009740891E-3"/>
                  <c:y val="9.2495786269527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822-491F-BB6F-D2E77556ABDE}"/>
                </c:ext>
              </c:extLst>
            </c:dLbl>
            <c:dLbl>
              <c:idx val="1"/>
              <c:layout>
                <c:manualLayout>
                  <c:x val="4.3075050401308506E-3"/>
                  <c:y val="2.592475940507439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822-491F-BB6F-D2E77556ABDE}"/>
                </c:ext>
              </c:extLst>
            </c:dLbl>
            <c:dLbl>
              <c:idx val="2"/>
              <c:layout>
                <c:manualLayout>
                  <c:x val="7.7560759450523388E-3"/>
                  <c:y val="5.045456274487427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822-491F-BB6F-D2E77556ABDE}"/>
                </c:ext>
              </c:extLst>
            </c:dLbl>
            <c:dLbl>
              <c:idx val="3"/>
              <c:layout>
                <c:manualLayout>
                  <c:x val="2.8869118632898192E-3"/>
                  <c:y val="0.1093168245273688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822-491F-BB6F-D2E77556ABDE}"/>
                </c:ext>
              </c:extLst>
            </c:dLbl>
            <c:dLbl>
              <c:idx val="4"/>
              <c:layout>
                <c:manualLayout>
                  <c:x val="1.109656747452023E-2"/>
                  <c:y val="8.86435391228270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822-491F-BB6F-D2E77556AB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'[1]Net Income Analysis'!$D$14:$I$14</c:f>
              <c:strCache>
                <c:ptCount val="6"/>
                <c:pt idx="0">
                  <c:v>FY09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</c:strCache>
            </c:strRef>
          </c:cat>
          <c:val>
            <c:numRef>
              <c:f>'[1]Net Income Analysis'!$D$17:$I$17</c:f>
              <c:numCache>
                <c:formatCode>General</c:formatCode>
                <c:ptCount val="6"/>
                <c:pt idx="0">
                  <c:v>237.10528015867206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822-491F-BB6F-D2E77556A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377415936"/>
        <c:axId val="380293120"/>
      </c:barChart>
      <c:catAx>
        <c:axId val="377415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380293120"/>
        <c:crosses val="autoZero"/>
        <c:auto val="1"/>
        <c:lblAlgn val="ctr"/>
        <c:lblOffset val="100"/>
        <c:noMultiLvlLbl val="0"/>
      </c:catAx>
      <c:valAx>
        <c:axId val="380293120"/>
        <c:scaling>
          <c:orientation val="minMax"/>
        </c:scaling>
        <c:delete val="0"/>
        <c:axPos val="l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US"/>
                  <a:t>($Thousands)</a:t>
                </a:r>
              </a:p>
            </c:rich>
          </c:tx>
          <c:layout>
            <c:manualLayout>
              <c:xMode val="edge"/>
              <c:yMode val="edge"/>
              <c:x val="0.10177208618153517"/>
              <c:y val="0.1563734209482807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377415936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0169895358009599"/>
          <c:y val="2.8416895172448551E-3"/>
          <c:w val="0.64649813184515381"/>
          <c:h val="7.7030514955598969E-2"/>
        </c:manualLayout>
      </c:layout>
      <c:overlay val="0"/>
    </c:legend>
    <c:plotVisOnly val="1"/>
    <c:dispBlanksAs val="gap"/>
    <c:showDLblsOverMax val="0"/>
  </c:chart>
  <c:spPr>
    <a:ln>
      <a:noFill/>
    </a:ln>
  </c:spPr>
  <c:txPr>
    <a:bodyPr/>
    <a:lstStyle/>
    <a:p>
      <a:pPr>
        <a:defRPr b="1"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8709004387155782"/>
          <c:y val="0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'[1]Expense Analysis'!$C$14</c:f>
              <c:strCache>
                <c:ptCount val="1"/>
                <c:pt idx="0">
                  <c:v>Total Expenses</c:v>
                </c:pt>
              </c:strCache>
            </c:strRef>
          </c:tx>
          <c:invertIfNegative val="0"/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'[1]Expense Analysis'!$D$7:$H$7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'[1]Expense Analysis'!$D$14:$H$14</c:f>
              <c:numCache>
                <c:formatCode>General</c:formatCode>
                <c:ptCount val="5"/>
                <c:pt idx="0">
                  <c:v>88695.62966398921</c:v>
                </c:pt>
                <c:pt idx="1">
                  <c:v>91148.092493528457</c:v>
                </c:pt>
                <c:pt idx="2">
                  <c:v>93700.472442696511</c:v>
                </c:pt>
                <c:pt idx="3">
                  <c:v>96356.840289111249</c:v>
                </c:pt>
                <c:pt idx="4">
                  <c:v>99121.432660151506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1F-4786-89D2-7468E4512BD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53398144"/>
        <c:axId val="353440896"/>
      </c:barChart>
      <c:catAx>
        <c:axId val="353398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53440896"/>
        <c:crosses val="autoZero"/>
        <c:auto val="1"/>
        <c:lblAlgn val="ctr"/>
        <c:lblOffset val="100"/>
        <c:noMultiLvlLbl val="0"/>
      </c:catAx>
      <c:valAx>
        <c:axId val="353440896"/>
        <c:scaling>
          <c:orientation val="minMax"/>
        </c:scaling>
        <c:delete val="0"/>
        <c:axPos val="l"/>
        <c:numFmt formatCode="&quot;$&quot;#,##0_);\(&quot;$&quot;#,##0\)" sourceLinked="0"/>
        <c:majorTickMark val="out"/>
        <c:minorTickMark val="none"/>
        <c:tickLblPos val="nextTo"/>
        <c:crossAx val="353398144"/>
        <c:crosses val="autoZero"/>
        <c:crossBetween val="between"/>
        <c:dispUnits>
          <c:builtInUnit val="thousands"/>
          <c:dispUnitsLbl>
            <c:layout>
              <c:manualLayout>
                <c:xMode val="edge"/>
                <c:yMode val="edge"/>
                <c:x val="1.6938898971566849E-2"/>
                <c:y val="0.19988219976439972"/>
              </c:manualLayout>
            </c:layout>
            <c:tx>
              <c:rich>
                <a:bodyPr/>
                <a:lstStyle/>
                <a:p>
                  <a:pPr>
                    <a:defRPr/>
                  </a:pPr>
                  <a:r>
                    <a:rPr lang="en-SG"/>
                    <a:t>(Thousands)</a:t>
                  </a:r>
                </a:p>
              </c:rich>
            </c:tx>
          </c:dispUnitsLbl>
        </c:dispUnits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b="1"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31421517209987537"/>
          <c:y val="0.29165107368322568"/>
          <c:w val="0.42526483588007835"/>
          <c:h val="0.53127983425759528"/>
        </c:manualLayout>
      </c:layout>
      <c:pieChart>
        <c:varyColors val="1"/>
        <c:ser>
          <c:idx val="0"/>
          <c:order val="0"/>
          <c:dPt>
            <c:idx val="2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E673-4740-8D15-2347D462F9B9}"/>
              </c:ext>
            </c:extLst>
          </c:dPt>
          <c:dLbls>
            <c:dLbl>
              <c:idx val="0"/>
              <c:layout>
                <c:manualLayout>
                  <c:x val="-0.20299505347663618"/>
                  <c:y val="-8.8515874011528897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673-4740-8D15-2347D462F9B9}"/>
                </c:ext>
              </c:extLst>
            </c:dLbl>
            <c:dLbl>
              <c:idx val="1"/>
              <c:layout>
                <c:manualLayout>
                  <c:x val="1.7932278005183201E-2"/>
                  <c:y val="0.1517506036000078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673-4740-8D15-2347D462F9B9}"/>
                </c:ext>
              </c:extLst>
            </c:dLbl>
            <c:dLbl>
              <c:idx val="2"/>
              <c:layout>
                <c:manualLayout>
                  <c:x val="-7.0958256180297413E-2"/>
                  <c:y val="-4.67196792665060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673-4740-8D15-2347D462F9B9}"/>
                </c:ext>
              </c:extLst>
            </c:dLbl>
            <c:dLbl>
              <c:idx val="3"/>
              <c:layout>
                <c:manualLayout>
                  <c:x val="-5.661481443038327E-2"/>
                  <c:y val="-5.3891477087882811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673-4740-8D15-2347D462F9B9}"/>
                </c:ext>
              </c:extLst>
            </c:dLbl>
            <c:dLbl>
              <c:idx val="4"/>
              <c:layout>
                <c:manualLayout>
                  <c:x val="-6.9460348537302265E-3"/>
                  <c:y val="-8.1053834066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673-4740-8D15-2347D462F9B9}"/>
                </c:ext>
              </c:extLst>
            </c:dLbl>
            <c:dLbl>
              <c:idx val="5"/>
              <c:layout>
                <c:manualLayout>
                  <c:x val="7.3631730883227484E-2"/>
                  <c:y val="-6.3885693508570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673-4740-8D15-2347D462F9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'[1]Expense Analysis'!$C$29:$C$34</c:f>
              <c:strCache>
                <c:ptCount val="6"/>
                <c:pt idx="0">
                  <c:v>Salaries and Wages</c:v>
                </c:pt>
                <c:pt idx="1">
                  <c:v>Professional Services</c:v>
                </c:pt>
                <c:pt idx="2">
                  <c:v>Other Cash Expenses</c:v>
                </c:pt>
                <c:pt idx="3">
                  <c:v>Travel</c:v>
                </c:pt>
                <c:pt idx="4">
                  <c:v>Other Direct Costs</c:v>
                </c:pt>
                <c:pt idx="5">
                  <c:v>Miscellaneous</c:v>
                </c:pt>
              </c:strCache>
            </c:strRef>
          </c:cat>
          <c:val>
            <c:numRef>
              <c:f>'[1]Expense Analysis'!$D$29:$D$34</c:f>
              <c:numCache>
                <c:formatCode>General</c:formatCode>
                <c:ptCount val="6"/>
                <c:pt idx="0">
                  <c:v>48395.398015839855</c:v>
                </c:pt>
                <c:pt idx="1">
                  <c:v>1000.0000000000001</c:v>
                </c:pt>
                <c:pt idx="2">
                  <c:v>16999.999999999996</c:v>
                </c:pt>
                <c:pt idx="3">
                  <c:v>9000</c:v>
                </c:pt>
                <c:pt idx="4">
                  <c:v>600</c:v>
                </c:pt>
                <c:pt idx="5">
                  <c:v>23126.034644311661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73-4740-8D15-2347D462F9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0"/>
  </c:chart>
  <c:spPr>
    <a:ln>
      <a:noFill/>
    </a:ln>
  </c:spPr>
  <c:printSettings>
    <c:headerFooter/>
    <c:pageMargins b="0.75000000000000167" l="0.70000000000000062" r="0.70000000000000062" t="0.75000000000000167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1"/>
    </mc:Choice>
    <mc:Fallback>
      <c:style val="3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/>
              <a:t>Total Revenue </a:t>
            </a:r>
          </a:p>
        </c:rich>
      </c:tx>
      <c:layout>
        <c:manualLayout>
          <c:xMode val="edge"/>
          <c:yMode val="edge"/>
          <c:x val="0.40578203076606534"/>
          <c:y val="4.20428315553835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9363517060367473E-2"/>
          <c:y val="0.19480351414406533"/>
          <c:w val="0.87008092738407994"/>
          <c:h val="0.591994386118401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'[1]Revenue Analysis'!$C$16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dLbls>
            <c:dLbl>
              <c:idx val="0"/>
              <c:layout>
                <c:manualLayout>
                  <c:x val="0"/>
                  <c:y val="2.3148148148148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B72-4F72-9D7A-B37961412598}"/>
                </c:ext>
              </c:extLst>
            </c:dLbl>
            <c:dLbl>
              <c:idx val="4"/>
              <c:layout>
                <c:manualLayout>
                  <c:x val="0"/>
                  <c:y val="1.3888888888888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B72-4F72-9D7A-B37961412598}"/>
                </c:ext>
              </c:extLst>
            </c:dLbl>
            <c:dLbl>
              <c:idx val="5"/>
              <c:layout>
                <c:manualLayout>
                  <c:x val="0"/>
                  <c:y val="1.3888888888888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B72-4F72-9D7A-B37961412598}"/>
                </c:ext>
              </c:extLst>
            </c:dLbl>
            <c:numFmt formatCode="&quot;$&quot;#,##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'[1]Revenue Analysis'!$D$15:$H$15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'[1]Revenue Analysis'!$D$16:$H$16</c:f>
              <c:numCache>
                <c:formatCode>General</c:formatCode>
                <c:ptCount val="5"/>
                <c:pt idx="0">
                  <c:v>95</c:v>
                </c:pt>
                <c:pt idx="1">
                  <c:v>100</c:v>
                </c:pt>
                <c:pt idx="2">
                  <c:v>105</c:v>
                </c:pt>
                <c:pt idx="3">
                  <c:v>105</c:v>
                </c:pt>
                <c:pt idx="4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72-4F72-9D7A-B37961412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0637440"/>
        <c:axId val="390638976"/>
      </c:barChart>
      <c:catAx>
        <c:axId val="390637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90638976"/>
        <c:crosses val="autoZero"/>
        <c:auto val="1"/>
        <c:lblAlgn val="ctr"/>
        <c:lblOffset val="100"/>
        <c:noMultiLvlLbl val="0"/>
      </c:catAx>
      <c:valAx>
        <c:axId val="390638976"/>
        <c:scaling>
          <c:orientation val="minMax"/>
        </c:scaling>
        <c:delete val="0"/>
        <c:axPos val="l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US"/>
                  <a:t>($Thousands)</a:t>
                </a:r>
              </a:p>
            </c:rich>
          </c:tx>
          <c:layout>
            <c:manualLayout>
              <c:xMode val="edge"/>
              <c:yMode val="edge"/>
              <c:x val="1.3888931269591703E-2"/>
              <c:y val="7.839444697726089E-2"/>
            </c:manualLayout>
          </c:layout>
          <c:overlay val="0"/>
        </c:title>
        <c:numFmt formatCode="&quot;$&quot;#,##0_);\(&quot;$&quot;#,##0\)" sourceLinked="0"/>
        <c:majorTickMark val="out"/>
        <c:minorTickMark val="none"/>
        <c:tickLblPos val="nextTo"/>
        <c:crossAx val="39063744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b="1"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1132204364865337"/>
          <c:y val="0.21859938612719507"/>
          <c:w val="0.40564628051630525"/>
          <c:h val="0.63454620581461851"/>
        </c:manualLayout>
      </c:layout>
      <c:pieChart>
        <c:varyColors val="1"/>
        <c:ser>
          <c:idx val="0"/>
          <c:order val="0"/>
          <c:dPt>
            <c:idx val="1"/>
            <c:bubble3D val="0"/>
            <c:spPr>
              <a:solidFill>
                <a:srgbClr val="FFFF00">
                  <a:alpha val="99000"/>
                </a:srgbClr>
              </a:solidFill>
            </c:spPr>
            <c:extLst>
              <c:ext xmlns:c16="http://schemas.microsoft.com/office/drawing/2014/chart" uri="{C3380CC4-5D6E-409C-BE32-E72D297353CC}">
                <c16:uniqueId val="{00000001-D329-4B3C-A68A-A677F7FD1AE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D329-4B3C-A68A-A677F7FD1AEA}"/>
              </c:ext>
            </c:extLst>
          </c:dPt>
          <c:dPt>
            <c:idx val="3"/>
            <c:bubble3D val="0"/>
            <c:spPr>
              <a:solidFill>
                <a:srgbClr val="7030A0"/>
              </a:solidFill>
            </c:spPr>
            <c:extLst>
              <c:ext xmlns:c16="http://schemas.microsoft.com/office/drawing/2014/chart" uri="{C3380CC4-5D6E-409C-BE32-E72D297353CC}">
                <c16:uniqueId val="{00000005-D329-4B3C-A68A-A677F7FD1AEA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D329-4B3C-A68A-A677F7FD1AEA}"/>
              </c:ext>
            </c:extLst>
          </c:dPt>
          <c:dLbls>
            <c:dLbl>
              <c:idx val="0"/>
              <c:layout>
                <c:manualLayout>
                  <c:x val="-0.14039358093936891"/>
                  <c:y val="-0.22265862567782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329-4B3C-A68A-A677F7FD1AEA}"/>
                </c:ext>
              </c:extLst>
            </c:dLbl>
            <c:dLbl>
              <c:idx val="1"/>
              <c:layout>
                <c:manualLayout>
                  <c:x val="-8.7544193962056233E-3"/>
                  <c:y val="-5.3625756561112396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329-4B3C-A68A-A677F7FD1AEA}"/>
                </c:ext>
              </c:extLst>
            </c:dLbl>
            <c:dLbl>
              <c:idx val="2"/>
              <c:layout>
                <c:manualLayout>
                  <c:x val="-5.4954397823559757E-2"/>
                  <c:y val="-9.333588801208260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29-4B3C-A68A-A677F7FD1AEA}"/>
                </c:ext>
              </c:extLst>
            </c:dLbl>
            <c:dLbl>
              <c:idx val="3"/>
              <c:layout>
                <c:manualLayout>
                  <c:x val="0.11307062644566694"/>
                  <c:y val="-1.589612606214769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329-4B3C-A68A-A677F7FD1AEA}"/>
                </c:ext>
              </c:extLst>
            </c:dLbl>
            <c:dLbl>
              <c:idx val="4"/>
              <c:layout>
                <c:manualLayout>
                  <c:x val="0.15251620944642216"/>
                  <c:y val="-1.30952282750444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329-4B3C-A68A-A677F7FD1AE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'[1]Revenue Analysis'!$D$20:$D$24</c:f>
              <c:strCache>
                <c:ptCount val="5"/>
                <c:pt idx="0">
                  <c:v>Medical Exams</c:v>
                </c:pt>
                <c:pt idx="1">
                  <c:v>Product Sales</c:v>
                </c:pt>
                <c:pt idx="2">
                  <c:v>Misc 1</c:v>
                </c:pt>
                <c:pt idx="3">
                  <c:v>Misc 2</c:v>
                </c:pt>
                <c:pt idx="4">
                  <c:v>Other Revenue</c:v>
                </c:pt>
              </c:strCache>
            </c:strRef>
          </c:cat>
          <c:val>
            <c:numRef>
              <c:f>'[1]Revenue Analysis'!$E$20:$E$24</c:f>
              <c:numCache>
                <c:formatCode>General</c:formatCode>
                <c:ptCount val="5"/>
                <c:pt idx="0">
                  <c:v>83000</c:v>
                </c:pt>
                <c:pt idx="1">
                  <c:v>8000.0000000000009</c:v>
                </c:pt>
                <c:pt idx="2">
                  <c:v>5000</c:v>
                </c:pt>
                <c:pt idx="3">
                  <c:v>9000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329-4B3C-A68A-A677F7FD1AE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0"/>
  </c:chart>
  <c:spPr>
    <a:ln>
      <a:noFill/>
    </a:ln>
  </c:sp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/>
              <a:t>Year-end</a:t>
            </a:r>
            <a:r>
              <a:rPr lang="en-US" sz="1400" baseline="0"/>
              <a:t> Cash Balances</a:t>
            </a:r>
            <a:endParaRPr lang="en-US" sz="1400"/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2744685039370079"/>
          <c:y val="0.18565981335666376"/>
          <c:w val="0.77170538057743043"/>
          <c:h val="0.69836030912802549"/>
        </c:manualLayout>
      </c:layout>
      <c:lineChart>
        <c:grouping val="standard"/>
        <c:varyColors val="0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'[1]Cashflow Analysis'!$D$21:$H$21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'[1]Cashflow Analysis'!$D$22:$H$22</c:f>
              <c:numCache>
                <c:formatCode>General</c:formatCode>
                <c:ptCount val="5"/>
                <c:pt idx="0">
                  <c:v>2704.3703360107847</c:v>
                </c:pt>
                <c:pt idx="1">
                  <c:v>12456.277842482341</c:v>
                </c:pt>
                <c:pt idx="2">
                  <c:v>24655.80539978579</c:v>
                </c:pt>
                <c:pt idx="3">
                  <c:v>34198.965110674515</c:v>
                </c:pt>
                <c:pt idx="4">
                  <c:v>40977.532450523038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A1-49C3-8CA9-226CF5DE9F0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5323264"/>
        <c:axId val="375341440"/>
      </c:lineChart>
      <c:catAx>
        <c:axId val="3753232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75341440"/>
        <c:crosses val="autoZero"/>
        <c:auto val="1"/>
        <c:lblAlgn val="ctr"/>
        <c:lblOffset val="100"/>
        <c:noMultiLvlLbl val="0"/>
      </c:catAx>
      <c:valAx>
        <c:axId val="37534144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375323264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b="1"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'[1]Cashflow Analysis'!$E$25</c:f>
              <c:strCache>
                <c:ptCount val="1"/>
                <c:pt idx="0">
                  <c:v>End Points</c:v>
                </c:pt>
              </c:strCache>
            </c:strRef>
          </c:tx>
          <c:invertIfNegative val="0"/>
          <c:cat>
            <c:strRef>
              <c:f>'[1]Cashflow Analysis'!$C$26:$C$32</c:f>
              <c:strCache>
                <c:ptCount val="7"/>
                <c:pt idx="0">
                  <c:v>Beginning Cash</c:v>
                </c:pt>
                <c:pt idx="1">
                  <c:v>Net Income (Loss)</c:v>
                </c:pt>
                <c:pt idx="2">
                  <c:v>Depreciation</c:v>
                </c:pt>
                <c:pt idx="3">
                  <c:v>(Incr) Decr Current Assets</c:v>
                </c:pt>
                <c:pt idx="4">
                  <c:v>Incr (Decr) Current Liabilities</c:v>
                </c:pt>
                <c:pt idx="5">
                  <c:v>Other (net)</c:v>
                </c:pt>
                <c:pt idx="6">
                  <c:v>Ending Cash</c:v>
                </c:pt>
              </c:strCache>
            </c:strRef>
          </c:cat>
          <c:val>
            <c:numRef>
              <c:f>'[1]Cashflow Analysis'!$E$26:$E$32</c:f>
              <c:numCache>
                <c:formatCode>General</c:formatCode>
                <c:ptCount val="7"/>
                <c:pt idx="0">
                  <c:v>34198.965110674515</c:v>
                </c:pt>
                <c:pt idx="6">
                  <c:v>40977.532450523038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36-4D34-A019-4A4EFDF6D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75384320"/>
        <c:axId val="375128064"/>
      </c:barChart>
      <c:lineChart>
        <c:grouping val="standard"/>
        <c:varyColors val="0"/>
        <c:ser>
          <c:idx val="1"/>
          <c:order val="1"/>
          <c:tx>
            <c:strRef>
              <c:f>'[1]Cashflow Analysis'!$F$25</c:f>
              <c:strCache>
                <c:ptCount val="1"/>
                <c:pt idx="0">
                  <c:v>Before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cat>
            <c:strRef>
              <c:f>'[1]Cashflow Analysis'!$C$26:$C$32</c:f>
              <c:strCache>
                <c:ptCount val="7"/>
                <c:pt idx="0">
                  <c:v>Beginning Cash</c:v>
                </c:pt>
                <c:pt idx="1">
                  <c:v>Net Income (Loss)</c:v>
                </c:pt>
                <c:pt idx="2">
                  <c:v>Depreciation</c:v>
                </c:pt>
                <c:pt idx="3">
                  <c:v>(Incr) Decr Current Assets</c:v>
                </c:pt>
                <c:pt idx="4">
                  <c:v>Incr (Decr) Current Liabilities</c:v>
                </c:pt>
                <c:pt idx="5">
                  <c:v>Other (net)</c:v>
                </c:pt>
                <c:pt idx="6">
                  <c:v>Ending Cash</c:v>
                </c:pt>
              </c:strCache>
            </c:strRef>
          </c:cat>
          <c:val>
            <c:numRef>
              <c:f>'[1]Cashflow Analysis'!$F$26:$F$32</c:f>
              <c:numCache>
                <c:formatCode>General</c:formatCode>
                <c:ptCount val="7"/>
                <c:pt idx="1">
                  <c:v>34198.965110674515</c:v>
                </c:pt>
                <c:pt idx="2">
                  <c:v>40077.532450523038</c:v>
                </c:pt>
                <c:pt idx="3">
                  <c:v>40977.532450523038</c:v>
                </c:pt>
                <c:pt idx="4">
                  <c:v>34198.965110674522</c:v>
                </c:pt>
                <c:pt idx="5">
                  <c:v>34198.965110674522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36-4D34-A019-4A4EFDF6DF4F}"/>
            </c:ext>
          </c:extLst>
        </c:ser>
        <c:ser>
          <c:idx val="2"/>
          <c:order val="2"/>
          <c:tx>
            <c:strRef>
              <c:f>'[1]Cashflow Analysis'!$G$25</c:f>
              <c:strCache>
                <c:ptCount val="1"/>
                <c:pt idx="0">
                  <c:v>After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cat>
            <c:strRef>
              <c:f>'[1]Cashflow Analysis'!$C$26:$C$32</c:f>
              <c:strCache>
                <c:ptCount val="7"/>
                <c:pt idx="0">
                  <c:v>Beginning Cash</c:v>
                </c:pt>
                <c:pt idx="1">
                  <c:v>Net Income (Loss)</c:v>
                </c:pt>
                <c:pt idx="2">
                  <c:v>Depreciation</c:v>
                </c:pt>
                <c:pt idx="3">
                  <c:v>(Incr) Decr Current Assets</c:v>
                </c:pt>
                <c:pt idx="4">
                  <c:v>Incr (Decr) Current Liabilities</c:v>
                </c:pt>
                <c:pt idx="5">
                  <c:v>Other (net)</c:v>
                </c:pt>
                <c:pt idx="6">
                  <c:v>Ending Cash</c:v>
                </c:pt>
              </c:strCache>
            </c:strRef>
          </c:cat>
          <c:val>
            <c:numRef>
              <c:f>'[1]Cashflow Analysis'!$G$26:$G$32</c:f>
              <c:numCache>
                <c:formatCode>General</c:formatCode>
                <c:ptCount val="7"/>
                <c:pt idx="1">
                  <c:v>40077.532450523038</c:v>
                </c:pt>
                <c:pt idx="2">
                  <c:v>40977.532450523038</c:v>
                </c:pt>
                <c:pt idx="3">
                  <c:v>34198.965110674522</c:v>
                </c:pt>
                <c:pt idx="4">
                  <c:v>34198.965110674522</c:v>
                </c:pt>
                <c:pt idx="5">
                  <c:v>40977.532450523038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36-4D34-A019-4A4EFDF6D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75"/>
          <c:upBars>
            <c:spPr>
              <a:solidFill>
                <a:srgbClr val="00B050"/>
              </a:solidFill>
              <a:ln>
                <a:noFill/>
              </a:ln>
            </c:spPr>
          </c:upBars>
          <c:downBars>
            <c:spPr>
              <a:solidFill>
                <a:srgbClr val="FF0000"/>
              </a:solidFill>
              <a:ln>
                <a:noFill/>
              </a:ln>
            </c:spPr>
          </c:downBars>
        </c:upDownBars>
        <c:marker val="1"/>
        <c:smooth val="0"/>
        <c:axId val="375384320"/>
        <c:axId val="375128064"/>
      </c:lineChart>
      <c:catAx>
        <c:axId val="375384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375128064"/>
        <c:crosses val="autoZero"/>
        <c:auto val="1"/>
        <c:lblAlgn val="ctr"/>
        <c:lblOffset val="100"/>
        <c:noMultiLvlLbl val="0"/>
      </c:catAx>
      <c:valAx>
        <c:axId val="375128064"/>
        <c:scaling>
          <c:orientation val="minMax"/>
          <c:min val="0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37538432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SG"/>
              <a:t>Revenue Break-down</a:t>
            </a:r>
          </a:p>
        </c:rich>
      </c:tx>
      <c:overlay val="0"/>
    </c:title>
    <c:autoTitleDeleted val="0"/>
    <c:view3D>
      <c:rotX val="7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9.3055555555555683E-2"/>
          <c:y val="0.27564377369495502"/>
          <c:w val="0.78055555555555567"/>
          <c:h val="0.61989319043452984"/>
        </c:manualLayout>
      </c:layout>
      <c:pie3DChart>
        <c:varyColors val="1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[1]Dashboard!$A$8:$A$9</c:f>
              <c:strCache>
                <c:ptCount val="2"/>
                <c:pt idx="0">
                  <c:v>Medical Exams</c:v>
                </c:pt>
                <c:pt idx="1">
                  <c:v>Product Sales</c:v>
                </c:pt>
              </c:strCache>
            </c:strRef>
          </c:cat>
          <c:val>
            <c:numRef>
              <c:f>[1]Dashboard!$D$8:$D$9</c:f>
              <c:numCache>
                <c:formatCode>General</c:formatCode>
                <c:ptCount val="2"/>
                <c:pt idx="0">
                  <c:v>0.47229959764778706</c:v>
                </c:pt>
                <c:pt idx="1">
                  <c:v>0.52770040235221305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5-4C37-BC86-AEC0D01CA9C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</c:plotArea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SG"/>
              <a:t>Expenses</a:t>
            </a:r>
            <a:r>
              <a:rPr lang="en-SG" baseline="0"/>
              <a:t> Break-down</a:t>
            </a:r>
            <a:endParaRPr lang="en-SG"/>
          </a:p>
        </c:rich>
      </c:tx>
      <c:overlay val="0"/>
    </c:title>
    <c:autoTitleDeleted val="0"/>
    <c:view3D>
      <c:rotX val="30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9.4593175853018366E-2"/>
          <c:y val="0.25601097445900856"/>
          <c:w val="0.76996755055508703"/>
          <c:h val="0.64497720262308733"/>
        </c:manualLayout>
      </c:layout>
      <c:pie3DChart>
        <c:varyColors val="1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[1]Dashboard!$E$13:$E$15</c:f>
              <c:strCache>
                <c:ptCount val="3"/>
                <c:pt idx="0">
                  <c:v>Cost of Good Sold</c:v>
                </c:pt>
                <c:pt idx="1">
                  <c:v>Operating Costs</c:v>
                </c:pt>
                <c:pt idx="2">
                  <c:v>Annual Expenses</c:v>
                </c:pt>
              </c:strCache>
            </c:strRef>
          </c:cat>
          <c:val>
            <c:numRef>
              <c:f>[1]Dashboard!$F$13:$F$15</c:f>
              <c:numCache>
                <c:formatCode>General</c:formatCode>
                <c:ptCount val="3"/>
                <c:pt idx="0">
                  <c:v>0.46961992384286094</c:v>
                </c:pt>
                <c:pt idx="1">
                  <c:v>0.51953990366043057</c:v>
                </c:pt>
                <c:pt idx="2">
                  <c:v>1.0840172496708529E-2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417D-B520-8AF3EADDE9B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</c:plotArea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[1]Dashboard!$A$20:$A$23</c:f>
              <c:strCache>
                <c:ptCount val="4"/>
                <c:pt idx="0">
                  <c:v>Earnings before Interest, taxes and Dep. (EBITDA)</c:v>
                </c:pt>
                <c:pt idx="1">
                  <c:v>Earnings Before Interest and Taxes (EBIT)</c:v>
                </c:pt>
                <c:pt idx="2">
                  <c:v>Income Before Taxes (EBT)</c:v>
                </c:pt>
                <c:pt idx="3">
                  <c:v>Net Income</c:v>
                </c:pt>
              </c:strCache>
            </c:strRef>
          </c:cat>
          <c:val>
            <c:numRef>
              <c:f>[1]Dashboard!$D$20:$D$23</c:f>
              <c:numCache>
                <c:formatCode>General</c:formatCode>
                <c:ptCount val="4"/>
                <c:pt idx="0">
                  <c:v>0.562851413391107</c:v>
                </c:pt>
                <c:pt idx="1">
                  <c:v>0.54592553904879815</c:v>
                </c:pt>
                <c:pt idx="2">
                  <c:v>0.52831920259985754</c:v>
                </c:pt>
                <c:pt idx="3">
                  <c:v>0.34340748168990737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A0-447C-B95B-4C3ADE02B5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91166592"/>
        <c:axId val="391194496"/>
      </c:barChart>
      <c:catAx>
        <c:axId val="391166592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391194496"/>
        <c:crosses val="autoZero"/>
        <c:auto val="1"/>
        <c:lblAlgn val="ctr"/>
        <c:lblOffset val="100"/>
        <c:noMultiLvlLbl val="0"/>
      </c:catAx>
      <c:valAx>
        <c:axId val="3911944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911665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38100</xdr:colOff>
      <xdr:row>5</xdr:row>
      <xdr:rowOff>0</xdr:rowOff>
    </xdr:from>
    <xdr:ext cx="91884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8C30997-8E2D-44C4-B035-C829E3E455E8}"/>
            </a:ext>
          </a:extLst>
        </xdr:cNvPr>
        <xdr:cNvSpPr txBox="1"/>
      </xdr:nvSpPr>
      <xdr:spPr>
        <a:xfrm>
          <a:off x="6454140" y="73914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8</xdr:col>
      <xdr:colOff>38100</xdr:colOff>
      <xdr:row>5</xdr:row>
      <xdr:rowOff>0</xdr:rowOff>
    </xdr:from>
    <xdr:ext cx="91884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B64E477-7AA0-4C06-832C-46F5CED15C94}"/>
            </a:ext>
          </a:extLst>
        </xdr:cNvPr>
        <xdr:cNvSpPr txBox="1"/>
      </xdr:nvSpPr>
      <xdr:spPr>
        <a:xfrm>
          <a:off x="6454140" y="73914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twoCellAnchor>
    <xdr:from>
      <xdr:col>0</xdr:col>
      <xdr:colOff>152400</xdr:colOff>
      <xdr:row>12</xdr:row>
      <xdr:rowOff>76200</xdr:rowOff>
    </xdr:from>
    <xdr:to>
      <xdr:col>6</xdr:col>
      <xdr:colOff>257175</xdr:colOff>
      <xdr:row>26</xdr:row>
      <xdr:rowOff>104774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8F544C-D696-4631-89BB-B79D6BEC4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571499</xdr:colOff>
      <xdr:row>15</xdr:row>
      <xdr:rowOff>28575</xdr:rowOff>
    </xdr:from>
    <xdr:to>
      <xdr:col>16</xdr:col>
      <xdr:colOff>123824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33D3E3-562F-4AE0-8F2F-09B959E3A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1200149</xdr:colOff>
      <xdr:row>15</xdr:row>
      <xdr:rowOff>19050</xdr:rowOff>
    </xdr:from>
    <xdr:to>
      <xdr:col>5</xdr:col>
      <xdr:colOff>619125</xdr:colOff>
      <xdr:row>33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95846F-D77A-4B26-AA08-100682506C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38100</xdr:colOff>
      <xdr:row>5</xdr:row>
      <xdr:rowOff>0</xdr:rowOff>
    </xdr:from>
    <xdr:ext cx="91884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586E4D2-0A8A-437A-8646-8C7C00667B2C}"/>
            </a:ext>
          </a:extLst>
        </xdr:cNvPr>
        <xdr:cNvSpPr txBox="1"/>
      </xdr:nvSpPr>
      <xdr:spPr>
        <a:xfrm>
          <a:off x="7018020" y="9220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7</xdr:col>
      <xdr:colOff>38100</xdr:colOff>
      <xdr:row>5</xdr:row>
      <xdr:rowOff>0</xdr:rowOff>
    </xdr:from>
    <xdr:ext cx="91884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AAD756C-AD22-497D-ABA8-B4266B463117}"/>
            </a:ext>
          </a:extLst>
        </xdr:cNvPr>
        <xdr:cNvSpPr txBox="1"/>
      </xdr:nvSpPr>
      <xdr:spPr>
        <a:xfrm>
          <a:off x="7018020" y="9220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333375</xdr:colOff>
      <xdr:row>2</xdr:row>
      <xdr:rowOff>57150</xdr:rowOff>
    </xdr:from>
    <xdr:to>
      <xdr:col>17</xdr:col>
      <xdr:colOff>44617</xdr:colOff>
      <xdr:row>15</xdr:row>
      <xdr:rowOff>33086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8EB91B-52F7-4BD5-9A97-C5175C7C1F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438151</xdr:colOff>
      <xdr:row>17</xdr:row>
      <xdr:rowOff>9524</xdr:rowOff>
    </xdr:from>
    <xdr:to>
      <xdr:col>6</xdr:col>
      <xdr:colOff>200026</xdr:colOff>
      <xdr:row>31</xdr:row>
      <xdr:rowOff>9526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B0AE53-0DCB-4D5D-ADBF-0E2E03CF51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38100</xdr:colOff>
      <xdr:row>5</xdr:row>
      <xdr:rowOff>0</xdr:rowOff>
    </xdr:from>
    <xdr:ext cx="91884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F5E2D97-A394-4B01-B0F7-D49E10FEF351}"/>
            </a:ext>
          </a:extLst>
        </xdr:cNvPr>
        <xdr:cNvSpPr txBox="1"/>
      </xdr:nvSpPr>
      <xdr:spPr>
        <a:xfrm>
          <a:off x="6652260" y="91440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7</xdr:col>
      <xdr:colOff>38100</xdr:colOff>
      <xdr:row>5</xdr:row>
      <xdr:rowOff>0</xdr:rowOff>
    </xdr:from>
    <xdr:ext cx="91884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DE64402-DA0B-45D2-98F1-D1BAADD3F9B4}"/>
            </a:ext>
          </a:extLst>
        </xdr:cNvPr>
        <xdr:cNvSpPr txBox="1"/>
      </xdr:nvSpPr>
      <xdr:spPr>
        <a:xfrm>
          <a:off x="6652260" y="91440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8</xdr:col>
      <xdr:colOff>38100</xdr:colOff>
      <xdr:row>13</xdr:row>
      <xdr:rowOff>0</xdr:rowOff>
    </xdr:from>
    <xdr:ext cx="91884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D86A3E6-E136-480E-8728-8D6A5BEBA8AA}"/>
            </a:ext>
          </a:extLst>
        </xdr:cNvPr>
        <xdr:cNvSpPr txBox="1"/>
      </xdr:nvSpPr>
      <xdr:spPr>
        <a:xfrm>
          <a:off x="7520940" y="250698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8</xdr:col>
      <xdr:colOff>38100</xdr:colOff>
      <xdr:row>13</xdr:row>
      <xdr:rowOff>0</xdr:rowOff>
    </xdr:from>
    <xdr:ext cx="918841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924A29A-F881-4C9D-A19E-3F87F95E1A29}"/>
            </a:ext>
          </a:extLst>
        </xdr:cNvPr>
        <xdr:cNvSpPr txBox="1"/>
      </xdr:nvSpPr>
      <xdr:spPr>
        <a:xfrm>
          <a:off x="7520940" y="250698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8</xdr:col>
      <xdr:colOff>38100</xdr:colOff>
      <xdr:row>13</xdr:row>
      <xdr:rowOff>0</xdr:rowOff>
    </xdr:from>
    <xdr:ext cx="918841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44618E10-330A-4339-974E-7DF5702F9C35}"/>
            </a:ext>
          </a:extLst>
        </xdr:cNvPr>
        <xdr:cNvSpPr txBox="1"/>
      </xdr:nvSpPr>
      <xdr:spPr>
        <a:xfrm>
          <a:off x="7520940" y="250698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8</xdr:col>
      <xdr:colOff>38100</xdr:colOff>
      <xdr:row>13</xdr:row>
      <xdr:rowOff>0</xdr:rowOff>
    </xdr:from>
    <xdr:ext cx="918841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38BF822-9201-4ABC-96EF-02B7D84C8143}"/>
            </a:ext>
          </a:extLst>
        </xdr:cNvPr>
        <xdr:cNvSpPr txBox="1"/>
      </xdr:nvSpPr>
      <xdr:spPr>
        <a:xfrm>
          <a:off x="7520940" y="250698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8</xdr:col>
      <xdr:colOff>38100</xdr:colOff>
      <xdr:row>13</xdr:row>
      <xdr:rowOff>0</xdr:rowOff>
    </xdr:from>
    <xdr:ext cx="918841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C09A873-B874-4511-BEEA-B7F2D8CA54B7}"/>
            </a:ext>
          </a:extLst>
        </xdr:cNvPr>
        <xdr:cNvSpPr txBox="1"/>
      </xdr:nvSpPr>
      <xdr:spPr>
        <a:xfrm>
          <a:off x="7520940" y="250698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704849</xdr:colOff>
      <xdr:row>4</xdr:row>
      <xdr:rowOff>171450</xdr:rowOff>
    </xdr:from>
    <xdr:to>
      <xdr:col>17</xdr:col>
      <xdr:colOff>561975</xdr:colOff>
      <xdr:row>18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F5312E-8E5E-4501-99C0-27ADBDDD4F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1066799</xdr:colOff>
      <xdr:row>15</xdr:row>
      <xdr:rowOff>47625</xdr:rowOff>
    </xdr:from>
    <xdr:to>
      <xdr:col>8</xdr:col>
      <xdr:colOff>419099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12FAB8-28B1-4A76-B908-A72E9ABE5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38100</xdr:colOff>
      <xdr:row>4</xdr:row>
      <xdr:rowOff>0</xdr:rowOff>
    </xdr:from>
    <xdr:ext cx="91884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AD5C1EE-50EF-4F36-BBB3-E9975341096B}"/>
            </a:ext>
          </a:extLst>
        </xdr:cNvPr>
        <xdr:cNvSpPr txBox="1"/>
      </xdr:nvSpPr>
      <xdr:spPr>
        <a:xfrm>
          <a:off x="6522720" y="7315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7</xdr:col>
      <xdr:colOff>38100</xdr:colOff>
      <xdr:row>4</xdr:row>
      <xdr:rowOff>0</xdr:rowOff>
    </xdr:from>
    <xdr:ext cx="91884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9CA0E7C-0642-45F4-9513-685A0214F219}"/>
            </a:ext>
          </a:extLst>
        </xdr:cNvPr>
        <xdr:cNvSpPr txBox="1"/>
      </xdr:nvSpPr>
      <xdr:spPr>
        <a:xfrm>
          <a:off x="6522720" y="7315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7</xdr:col>
      <xdr:colOff>38100</xdr:colOff>
      <xdr:row>4</xdr:row>
      <xdr:rowOff>0</xdr:rowOff>
    </xdr:from>
    <xdr:ext cx="91884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9F944F3-D40C-489A-A1C8-23E8977F476F}"/>
            </a:ext>
          </a:extLst>
        </xdr:cNvPr>
        <xdr:cNvSpPr txBox="1"/>
      </xdr:nvSpPr>
      <xdr:spPr>
        <a:xfrm>
          <a:off x="6522720" y="7315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7</xdr:col>
      <xdr:colOff>38100</xdr:colOff>
      <xdr:row>4</xdr:row>
      <xdr:rowOff>0</xdr:rowOff>
    </xdr:from>
    <xdr:ext cx="918841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3463979-B892-476C-A8C1-78264FD62C99}"/>
            </a:ext>
          </a:extLst>
        </xdr:cNvPr>
        <xdr:cNvSpPr txBox="1"/>
      </xdr:nvSpPr>
      <xdr:spPr>
        <a:xfrm>
          <a:off x="6522720" y="7315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7</xdr:col>
      <xdr:colOff>38100</xdr:colOff>
      <xdr:row>4</xdr:row>
      <xdr:rowOff>0</xdr:rowOff>
    </xdr:from>
    <xdr:ext cx="918841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E4C9FE1-9A5A-4329-9586-34C941335A37}"/>
            </a:ext>
          </a:extLst>
        </xdr:cNvPr>
        <xdr:cNvSpPr txBox="1"/>
      </xdr:nvSpPr>
      <xdr:spPr>
        <a:xfrm>
          <a:off x="6522720" y="7315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581025</xdr:colOff>
      <xdr:row>5</xdr:row>
      <xdr:rowOff>47625</xdr:rowOff>
    </xdr:from>
    <xdr:to>
      <xdr:col>14</xdr:col>
      <xdr:colOff>19050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56E9C-CB3A-4894-82A4-CA802A119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28575</xdr:colOff>
      <xdr:row>21</xdr:row>
      <xdr:rowOff>9526</xdr:rowOff>
    </xdr:from>
    <xdr:to>
      <xdr:col>14</xdr:col>
      <xdr:colOff>47625</xdr:colOff>
      <xdr:row>35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C64389-AB10-4CE4-BB62-90CA619125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209550</xdr:colOff>
      <xdr:row>25</xdr:row>
      <xdr:rowOff>47625</xdr:rowOff>
    </xdr:from>
    <xdr:to>
      <xdr:col>3</xdr:col>
      <xdr:colOff>457200</xdr:colOff>
      <xdr:row>39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4606FFC-E863-4D2A-BEAA-0D372A7950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BITS,%20Pilani,%20Off%20Campus\NPV%20Model%20srj.xlsx" TargetMode="External"/><Relationship Id="rId1" Type="http://schemas.openxmlformats.org/officeDocument/2006/relationships/externalLinkPath" Target="file:///D:\BITS,%20Pilani,%20Off%20Campus\NPV%20Model%20srj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K%20Bindumadhavan\Documents\srj%20Consulting\Files%20relating%20to%20BA%20fit\Copied%20from%20pen%20drive\BA_FIT_MODEL_REV-4%20updated%201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K%20Bindumadhavan\Documents\srj%20Consulting\EN!\Backyard%20Gardners\Proforma%20Model%20for%20Backyard%20Gardner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K%20Bindumadhavan\Documents\srj%20Consulting\EN!\Renaissance%20Project\Renaissance%20Analysis%20srj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K%20Bindumadhavan\Documents\srj%20Consulting\EN!\BRYC\Historical%20Analysis\BRYC%20Historical%20Analysis%20srj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 of Contents"/>
      <sheetName val="Assumptions"/>
      <sheetName val="Net Income Analysis"/>
      <sheetName val="Expense Analysis"/>
      <sheetName val="Revenue Analysis"/>
      <sheetName val="Cashflow Analysis"/>
      <sheetName val="Income Statement"/>
      <sheetName val="Balance Sheet"/>
      <sheetName val="Cashflow Statement"/>
      <sheetName val="Valuation"/>
      <sheetName val="Loan Repayment Schedule"/>
      <sheetName val="Depreciation Schedule"/>
      <sheetName val="Dashboard"/>
      <sheetName val="Existing Practice Valuation"/>
    </sheetNames>
    <sheetDataSet>
      <sheetData sheetId="0"/>
      <sheetData sheetId="1">
        <row r="11">
          <cell r="D11">
            <v>0.03</v>
          </cell>
        </row>
        <row r="12">
          <cell r="D12">
            <v>0.35</v>
          </cell>
        </row>
        <row r="16">
          <cell r="D16">
            <v>10</v>
          </cell>
        </row>
      </sheetData>
      <sheetData sheetId="2">
        <row r="14">
          <cell r="D14" t="str">
            <v>FY09</v>
          </cell>
          <cell r="E14">
            <v>2009</v>
          </cell>
          <cell r="F14">
            <v>2010</v>
          </cell>
          <cell r="G14">
            <v>2011</v>
          </cell>
          <cell r="H14">
            <v>2012</v>
          </cell>
          <cell r="I14">
            <v>2013</v>
          </cell>
        </row>
        <row r="15">
          <cell r="C15" t="str">
            <v>Revenue</v>
          </cell>
          <cell r="D15">
            <v>262.52703015867206</v>
          </cell>
          <cell r="E15">
            <v>95</v>
          </cell>
          <cell r="F15">
            <v>100</v>
          </cell>
          <cell r="G15">
            <v>105</v>
          </cell>
          <cell r="H15">
            <v>105</v>
          </cell>
          <cell r="I15">
            <v>105</v>
          </cell>
        </row>
        <row r="16">
          <cell r="C16" t="str">
            <v>Expenses</v>
          </cell>
          <cell r="D16">
            <v>25.421749999999999</v>
          </cell>
          <cell r="E16">
            <v>89</v>
          </cell>
          <cell r="F16">
            <v>91</v>
          </cell>
          <cell r="G16">
            <v>94</v>
          </cell>
          <cell r="H16">
            <v>96</v>
          </cell>
          <cell r="I16">
            <v>99</v>
          </cell>
        </row>
        <row r="17">
          <cell r="C17" t="str">
            <v>Profit Margin</v>
          </cell>
          <cell r="D17">
            <v>237.10528015867206</v>
          </cell>
          <cell r="E17">
            <v>6</v>
          </cell>
          <cell r="F17">
            <v>9</v>
          </cell>
          <cell r="G17">
            <v>11</v>
          </cell>
          <cell r="H17">
            <v>9</v>
          </cell>
          <cell r="I17">
            <v>6</v>
          </cell>
        </row>
      </sheetData>
      <sheetData sheetId="3">
        <row r="7">
          <cell r="D7">
            <v>2015</v>
          </cell>
          <cell r="E7">
            <v>2016</v>
          </cell>
          <cell r="F7">
            <v>2017</v>
          </cell>
          <cell r="G7">
            <v>2018</v>
          </cell>
          <cell r="H7">
            <v>2019</v>
          </cell>
        </row>
        <row r="14">
          <cell r="C14" t="str">
            <v>Total Expenses</v>
          </cell>
          <cell r="D14">
            <v>88695.62966398921</v>
          </cell>
          <cell r="E14">
            <v>91148.092493528457</v>
          </cell>
          <cell r="F14">
            <v>93700.472442696511</v>
          </cell>
          <cell r="G14">
            <v>96356.840289111249</v>
          </cell>
          <cell r="H14">
            <v>99121.432660151506</v>
          </cell>
        </row>
        <row r="29">
          <cell r="C29" t="str">
            <v>Salaries and Wages</v>
          </cell>
          <cell r="D29">
            <v>48395.398015839855</v>
          </cell>
        </row>
        <row r="30">
          <cell r="C30" t="str">
            <v>Professional Services</v>
          </cell>
          <cell r="D30">
            <v>1000.0000000000001</v>
          </cell>
        </row>
        <row r="31">
          <cell r="C31" t="str">
            <v>Other Cash Expenses</v>
          </cell>
          <cell r="D31">
            <v>16999.999999999996</v>
          </cell>
        </row>
        <row r="32">
          <cell r="C32" t="str">
            <v>Travel</v>
          </cell>
          <cell r="D32">
            <v>9000</v>
          </cell>
        </row>
        <row r="33">
          <cell r="C33" t="str">
            <v>Other Direct Costs</v>
          </cell>
          <cell r="D33">
            <v>600</v>
          </cell>
        </row>
        <row r="34">
          <cell r="C34" t="str">
            <v>Miscellaneous</v>
          </cell>
          <cell r="D34">
            <v>23126.034644311661</v>
          </cell>
        </row>
      </sheetData>
      <sheetData sheetId="4">
        <row r="15">
          <cell r="D15">
            <v>2015</v>
          </cell>
          <cell r="E15">
            <v>2016</v>
          </cell>
          <cell r="F15">
            <v>2017</v>
          </cell>
          <cell r="G15">
            <v>2018</v>
          </cell>
          <cell r="H15">
            <v>2019</v>
          </cell>
        </row>
        <row r="16">
          <cell r="C16" t="str">
            <v>Total Revenue</v>
          </cell>
          <cell r="D16">
            <v>95</v>
          </cell>
          <cell r="E16">
            <v>100</v>
          </cell>
          <cell r="F16">
            <v>105</v>
          </cell>
          <cell r="G16">
            <v>105</v>
          </cell>
          <cell r="H16">
            <v>105</v>
          </cell>
        </row>
        <row r="20">
          <cell r="D20" t="str">
            <v>Medical Exams</v>
          </cell>
          <cell r="E20">
            <v>83000</v>
          </cell>
        </row>
        <row r="21">
          <cell r="D21" t="str">
            <v>Product Sales</v>
          </cell>
          <cell r="E21">
            <v>8000.0000000000009</v>
          </cell>
        </row>
        <row r="22">
          <cell r="D22" t="str">
            <v>Misc 1</v>
          </cell>
          <cell r="E22">
            <v>5000</v>
          </cell>
        </row>
        <row r="23">
          <cell r="D23" t="str">
            <v>Misc 2</v>
          </cell>
          <cell r="E23">
            <v>9000</v>
          </cell>
        </row>
        <row r="24">
          <cell r="D24" t="str">
            <v>Other Revenue</v>
          </cell>
          <cell r="E24">
            <v>0</v>
          </cell>
        </row>
      </sheetData>
      <sheetData sheetId="5">
        <row r="21">
          <cell r="D21">
            <v>2015</v>
          </cell>
          <cell r="E21">
            <v>2016</v>
          </cell>
          <cell r="F21">
            <v>2017</v>
          </cell>
          <cell r="G21">
            <v>2018</v>
          </cell>
          <cell r="H21">
            <v>2019</v>
          </cell>
        </row>
        <row r="22">
          <cell r="D22">
            <v>2704.3703360107847</v>
          </cell>
          <cell r="E22">
            <v>12456.277842482341</v>
          </cell>
          <cell r="F22">
            <v>24655.80539978579</v>
          </cell>
          <cell r="G22">
            <v>34198.965110674515</v>
          </cell>
          <cell r="H22">
            <v>40977.532450523038</v>
          </cell>
        </row>
        <row r="25">
          <cell r="E25" t="str">
            <v>End Points</v>
          </cell>
          <cell r="F25" t="str">
            <v>Before</v>
          </cell>
          <cell r="G25" t="str">
            <v>After</v>
          </cell>
        </row>
        <row r="26">
          <cell r="C26" t="str">
            <v>Beginning Cash</v>
          </cell>
          <cell r="E26">
            <v>34198.965110674515</v>
          </cell>
          <cell r="F26"/>
          <cell r="G26"/>
        </row>
        <row r="27">
          <cell r="C27" t="str">
            <v>Net Income (Loss)</v>
          </cell>
          <cell r="E27"/>
          <cell r="F27">
            <v>34198.965110674515</v>
          </cell>
          <cell r="G27">
            <v>40077.532450523038</v>
          </cell>
        </row>
        <row r="28">
          <cell r="C28" t="str">
            <v>Depreciation</v>
          </cell>
          <cell r="E28"/>
          <cell r="F28">
            <v>40077.532450523038</v>
          </cell>
          <cell r="G28">
            <v>40977.532450523038</v>
          </cell>
        </row>
        <row r="29">
          <cell r="C29" t="str">
            <v>(Incr) Decr Current Assets</v>
          </cell>
          <cell r="E29"/>
          <cell r="F29">
            <v>40977.532450523038</v>
          </cell>
          <cell r="G29">
            <v>34198.965110674522</v>
          </cell>
        </row>
        <row r="30">
          <cell r="C30" t="str">
            <v>Incr (Decr) Current Liabilities</v>
          </cell>
          <cell r="E30"/>
          <cell r="F30">
            <v>34198.965110674522</v>
          </cell>
          <cell r="G30">
            <v>34198.965110674522</v>
          </cell>
        </row>
        <row r="31">
          <cell r="C31" t="str">
            <v>Other (net)</v>
          </cell>
          <cell r="E31"/>
          <cell r="F31">
            <v>34198.965110674522</v>
          </cell>
          <cell r="G31">
            <v>40977.532450523038</v>
          </cell>
        </row>
        <row r="32">
          <cell r="C32" t="str">
            <v>Ending Cash</v>
          </cell>
          <cell r="E32">
            <v>40977.532450523038</v>
          </cell>
          <cell r="F32"/>
          <cell r="G32"/>
        </row>
      </sheetData>
      <sheetData sheetId="6">
        <row r="6">
          <cell r="C6" t="str">
            <v>Year 1</v>
          </cell>
        </row>
        <row r="70">
          <cell r="C70">
            <v>585984</v>
          </cell>
        </row>
        <row r="139">
          <cell r="C139">
            <v>654720.00000000012</v>
          </cell>
        </row>
        <row r="141">
          <cell r="C141">
            <v>1240704</v>
          </cell>
        </row>
        <row r="147">
          <cell r="A147" t="str">
            <v>Cost of Good Sold</v>
          </cell>
        </row>
        <row r="158">
          <cell r="C158">
            <v>238272.00000000003</v>
          </cell>
        </row>
        <row r="164">
          <cell r="A164" t="str">
            <v>Startup Costs</v>
          </cell>
        </row>
        <row r="174">
          <cell r="C174">
            <v>35000</v>
          </cell>
        </row>
        <row r="176">
          <cell r="A176" t="str">
            <v>Operating Costs</v>
          </cell>
        </row>
        <row r="193">
          <cell r="C193">
            <v>263600</v>
          </cell>
        </row>
        <row r="195">
          <cell r="A195" t="str">
            <v>Costs Occuring Once a Year</v>
          </cell>
        </row>
        <row r="199">
          <cell r="C199">
            <v>5500</v>
          </cell>
        </row>
        <row r="203">
          <cell r="A203" t="str">
            <v>Earnings before Interest, taxes and Dep. (EBITDA)</v>
          </cell>
        </row>
        <row r="208">
          <cell r="A208" t="str">
            <v>Earnings Before Interest and Taxes (EBIT)</v>
          </cell>
          <cell r="C208">
            <v>677332</v>
          </cell>
        </row>
        <row r="212">
          <cell r="A212" t="str">
            <v>Income Before Taxes (EBT)</v>
          </cell>
          <cell r="C212">
            <v>655487.7479424536</v>
          </cell>
        </row>
        <row r="216">
          <cell r="A216" t="str">
            <v>Net Income</v>
          </cell>
          <cell r="C216">
            <v>426067.03616259486</v>
          </cell>
        </row>
        <row r="218">
          <cell r="C218">
            <v>426067.03616259486</v>
          </cell>
          <cell r="D218">
            <v>898543.40938122838</v>
          </cell>
          <cell r="E218">
            <v>1395961.1552380896</v>
          </cell>
        </row>
      </sheetData>
      <sheetData sheetId="7">
        <row r="11"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</row>
        <row r="12">
          <cell r="H12">
            <v>110000</v>
          </cell>
          <cell r="I12">
            <v>110000</v>
          </cell>
          <cell r="J12">
            <v>110000</v>
          </cell>
          <cell r="K12">
            <v>110000</v>
          </cell>
          <cell r="L12">
            <v>110000</v>
          </cell>
          <cell r="M12">
            <v>110000</v>
          </cell>
          <cell r="N12">
            <v>110000</v>
          </cell>
          <cell r="O12">
            <v>110000</v>
          </cell>
          <cell r="P12">
            <v>110000</v>
          </cell>
          <cell r="Q12">
            <v>110000</v>
          </cell>
        </row>
        <row r="13"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</row>
        <row r="27"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</row>
      </sheetData>
      <sheetData sheetId="8"/>
      <sheetData sheetId="9"/>
      <sheetData sheetId="10"/>
      <sheetData sheetId="11">
        <row r="23">
          <cell r="F23">
            <v>210000</v>
          </cell>
        </row>
      </sheetData>
      <sheetData sheetId="12">
        <row r="8">
          <cell r="A8" t="str">
            <v>Medical Exams</v>
          </cell>
          <cell r="D8">
            <v>0.47229959764778706</v>
          </cell>
        </row>
        <row r="9">
          <cell r="A9" t="str">
            <v>Product Sales</v>
          </cell>
          <cell r="D9">
            <v>0.52770040235221305</v>
          </cell>
        </row>
        <row r="13">
          <cell r="E13" t="str">
            <v>Cost of Good Sold</v>
          </cell>
          <cell r="F13">
            <v>0.46961992384286094</v>
          </cell>
        </row>
        <row r="14">
          <cell r="E14" t="str">
            <v>Operating Costs</v>
          </cell>
          <cell r="F14">
            <v>0.51953990366043057</v>
          </cell>
        </row>
        <row r="15">
          <cell r="E15" t="str">
            <v>Annual Expenses</v>
          </cell>
          <cell r="F15">
            <v>1.0840172496708529E-2</v>
          </cell>
        </row>
        <row r="20">
          <cell r="A20" t="str">
            <v>Earnings before Interest, taxes and Dep. (EBITDA)</v>
          </cell>
          <cell r="D20">
            <v>0.562851413391107</v>
          </cell>
        </row>
        <row r="21">
          <cell r="A21" t="str">
            <v>Earnings Before Interest and Taxes (EBIT)</v>
          </cell>
          <cell r="D21">
            <v>0.54592553904879815</v>
          </cell>
        </row>
        <row r="22">
          <cell r="A22" t="str">
            <v>Income Before Taxes (EBT)</v>
          </cell>
          <cell r="D22">
            <v>0.52831920259985754</v>
          </cell>
        </row>
        <row r="23">
          <cell r="A23" t="str">
            <v>Net Income</v>
          </cell>
          <cell r="D23">
            <v>0.34340748168990737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 of Contents"/>
      <sheetName val="Assumptions(Ops)"/>
      <sheetName val="Assumptions (Control)"/>
      <sheetName val="Income Statement"/>
      <sheetName val="Revenue, Expense Trend"/>
      <sheetName val="Revenue Drivers"/>
      <sheetName val="Expense Drivers"/>
      <sheetName val="Chart Data"/>
      <sheetName val="Balance Sheet"/>
      <sheetName val="Cash Flow Statement"/>
      <sheetName val="CF Waterfall"/>
      <sheetName val="ROE, ROA Trend"/>
      <sheetName val="Growth in Gym Locations"/>
      <sheetName val="Growth in Gym Members"/>
      <sheetName val="Concise Summary"/>
      <sheetName val="Valuation"/>
      <sheetName val="NPV Sensitivity Analysis"/>
      <sheetName val="Staffing"/>
      <sheetName val="CapEx &amp; Depreciation Schedule"/>
      <sheetName val="Working Capital"/>
      <sheetName val="Preferred Investment"/>
      <sheetName val="Indiv. Gym Openig Schdule&amp;Costs"/>
      <sheetName val="Gym Members Schedule"/>
      <sheetName val="Gym Classes &amp; Trainer Fee"/>
      <sheetName val="Single Gym Financials"/>
      <sheetName val="Roll up of Gyms - IS"/>
      <sheetName val="Corporate Expenses"/>
      <sheetName val="Trial Sheet"/>
      <sheetName val="Summary"/>
      <sheetName val="Dashboard"/>
    </sheetNames>
    <sheetDataSet>
      <sheetData sheetId="0" refreshError="1"/>
      <sheetData sheetId="1" refreshError="1">
        <row r="52">
          <cell r="C52">
            <v>0.04</v>
          </cell>
        </row>
        <row r="53">
          <cell r="C53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17">
          <cell r="F17">
            <v>8000000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BM17">
            <v>0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Table of Contents"/>
      <sheetName val="Assumptions"/>
      <sheetName val="Net Income Analysis"/>
      <sheetName val="Revenue Analysis"/>
      <sheetName val="Expense Analysis"/>
      <sheetName val="Cashflow Analysis"/>
      <sheetName val="Ratio Analysis"/>
      <sheetName val="Dashboard"/>
      <sheetName val="Income Statement"/>
      <sheetName val="Balance Sheet"/>
      <sheetName val="Cashflow Statement"/>
      <sheetName val="General and Admin Costs"/>
      <sheetName val="Capex and Depreciation"/>
    </sheetNames>
    <sheetDataSet>
      <sheetData sheetId="0"/>
      <sheetData sheetId="1"/>
      <sheetData sheetId="2"/>
      <sheetData sheetId="3"/>
      <sheetData sheetId="4">
        <row r="13">
          <cell r="D13">
            <v>95000</v>
          </cell>
          <cell r="E13">
            <v>100000</v>
          </cell>
          <cell r="F13">
            <v>105000</v>
          </cell>
          <cell r="G13">
            <v>105000</v>
          </cell>
          <cell r="H13">
            <v>105000</v>
          </cell>
        </row>
      </sheetData>
      <sheetData sheetId="5">
        <row r="14">
          <cell r="D14">
            <v>88695.62966398921</v>
          </cell>
          <cell r="E14">
            <v>91148.092493528457</v>
          </cell>
          <cell r="F14">
            <v>93700.472442696511</v>
          </cell>
          <cell r="G14">
            <v>96356.840289111249</v>
          </cell>
          <cell r="H14">
            <v>99121.432660151506</v>
          </cell>
        </row>
      </sheetData>
      <sheetData sheetId="6"/>
      <sheetData sheetId="7"/>
      <sheetData sheetId="8">
        <row r="10">
          <cell r="C10">
            <v>7204.3703360107847</v>
          </cell>
          <cell r="D10">
            <v>9751.9075064715562</v>
          </cell>
          <cell r="E10">
            <v>12199.527557303449</v>
          </cell>
          <cell r="F10">
            <v>9543.1597108887236</v>
          </cell>
          <cell r="G10">
            <v>6778.5673398485214</v>
          </cell>
        </row>
        <row r="11">
          <cell r="C11">
            <v>6304.3703360107847</v>
          </cell>
          <cell r="D11">
            <v>8851.9075064715562</v>
          </cell>
          <cell r="E11">
            <v>11299.527557303449</v>
          </cell>
          <cell r="F11">
            <v>8643.1597108887236</v>
          </cell>
          <cell r="G11">
            <v>5878.5673398485214</v>
          </cell>
        </row>
        <row r="12">
          <cell r="C12">
            <v>6304.3703360107847</v>
          </cell>
          <cell r="D12">
            <v>8851.9075064715562</v>
          </cell>
          <cell r="E12">
            <v>11299.527557303449</v>
          </cell>
          <cell r="F12">
            <v>8643.1597108887236</v>
          </cell>
          <cell r="G12">
            <v>5878.5673398485214</v>
          </cell>
        </row>
        <row r="18">
          <cell r="C18">
            <v>2704.3703360107847</v>
          </cell>
          <cell r="D18">
            <v>12456.277842482341</v>
          </cell>
          <cell r="E18">
            <v>24655.805399785786</v>
          </cell>
          <cell r="F18">
            <v>34198.965110674508</v>
          </cell>
          <cell r="G18">
            <v>40977.532450523024</v>
          </cell>
        </row>
        <row r="34">
          <cell r="C34">
            <v>2704.3703360107847</v>
          </cell>
          <cell r="D34">
            <v>12456.277842482341</v>
          </cell>
          <cell r="E34">
            <v>24655.80539978579</v>
          </cell>
          <cell r="F34">
            <v>34198.965110674515</v>
          </cell>
          <cell r="G34">
            <v>40977.532450523038</v>
          </cell>
        </row>
      </sheetData>
      <sheetData sheetId="9">
        <row r="17">
          <cell r="C17">
            <v>6083.333333333333</v>
          </cell>
          <cell r="D17">
            <v>6083.333333333333</v>
          </cell>
          <cell r="E17">
            <v>6083.333333333333</v>
          </cell>
          <cell r="F17">
            <v>6083.333333333333</v>
          </cell>
          <cell r="G17">
            <v>6083.333333333333</v>
          </cell>
          <cell r="H17">
            <v>6083.333333333333</v>
          </cell>
          <cell r="I17">
            <v>6083.333333333333</v>
          </cell>
          <cell r="J17">
            <v>6083.333333333333</v>
          </cell>
          <cell r="K17">
            <v>6083.333333333333</v>
          </cell>
          <cell r="L17">
            <v>6083.333333333333</v>
          </cell>
          <cell r="M17">
            <v>6083.333333333333</v>
          </cell>
          <cell r="N17">
            <v>6083.333333333333</v>
          </cell>
          <cell r="O17">
            <v>6500</v>
          </cell>
          <cell r="P17">
            <v>6500</v>
          </cell>
          <cell r="Q17">
            <v>6500</v>
          </cell>
          <cell r="R17">
            <v>6500</v>
          </cell>
          <cell r="S17">
            <v>6500</v>
          </cell>
          <cell r="T17">
            <v>6500</v>
          </cell>
          <cell r="U17">
            <v>6500</v>
          </cell>
          <cell r="V17">
            <v>6500</v>
          </cell>
          <cell r="W17">
            <v>6500</v>
          </cell>
          <cell r="X17">
            <v>6500</v>
          </cell>
          <cell r="Y17">
            <v>6500</v>
          </cell>
          <cell r="Z17">
            <v>6500</v>
          </cell>
          <cell r="AA17">
            <v>6916.666666666667</v>
          </cell>
          <cell r="AB17">
            <v>6916.666666666667</v>
          </cell>
          <cell r="AC17">
            <v>6916.666666666667</v>
          </cell>
          <cell r="AD17">
            <v>6916.666666666667</v>
          </cell>
          <cell r="AE17">
            <v>6916.666666666667</v>
          </cell>
          <cell r="AF17">
            <v>6916.666666666667</v>
          </cell>
          <cell r="AG17">
            <v>6916.666666666667</v>
          </cell>
          <cell r="AH17">
            <v>6916.666666666667</v>
          </cell>
          <cell r="AI17">
            <v>6916.666666666667</v>
          </cell>
          <cell r="AJ17">
            <v>6916.666666666667</v>
          </cell>
          <cell r="AK17">
            <v>6916.666666666667</v>
          </cell>
          <cell r="AL17">
            <v>6916.666666666667</v>
          </cell>
          <cell r="AM17">
            <v>6916.666666666667</v>
          </cell>
          <cell r="AN17">
            <v>6916.666666666667</v>
          </cell>
          <cell r="AO17">
            <v>6916.666666666667</v>
          </cell>
          <cell r="AP17">
            <v>6916.666666666667</v>
          </cell>
          <cell r="AQ17">
            <v>6916.666666666667</v>
          </cell>
          <cell r="AR17">
            <v>6916.666666666667</v>
          </cell>
          <cell r="AS17">
            <v>6916.666666666667</v>
          </cell>
          <cell r="AT17">
            <v>6916.666666666667</v>
          </cell>
          <cell r="AU17">
            <v>6916.666666666667</v>
          </cell>
          <cell r="AV17">
            <v>6916.666666666667</v>
          </cell>
          <cell r="AW17">
            <v>6916.666666666667</v>
          </cell>
          <cell r="AX17">
            <v>6916.666666666667</v>
          </cell>
          <cell r="AY17">
            <v>6916.666666666667</v>
          </cell>
          <cell r="AZ17">
            <v>6916.666666666667</v>
          </cell>
          <cell r="BA17">
            <v>6916.666666666667</v>
          </cell>
          <cell r="BB17">
            <v>6916.666666666667</v>
          </cell>
          <cell r="BC17">
            <v>6916.666666666667</v>
          </cell>
          <cell r="BD17">
            <v>6916.666666666667</v>
          </cell>
          <cell r="BE17">
            <v>6916.666666666667</v>
          </cell>
          <cell r="BF17">
            <v>6916.666666666667</v>
          </cell>
          <cell r="BG17">
            <v>6916.666666666667</v>
          </cell>
          <cell r="BH17">
            <v>6916.666666666667</v>
          </cell>
          <cell r="BI17">
            <v>6916.666666666667</v>
          </cell>
          <cell r="BJ17">
            <v>6916.666666666667</v>
          </cell>
        </row>
        <row r="23">
          <cell r="C23">
            <v>666.66666666666663</v>
          </cell>
          <cell r="D23">
            <v>666.66666666666663</v>
          </cell>
          <cell r="E23">
            <v>666.66666666666663</v>
          </cell>
          <cell r="F23">
            <v>666.66666666666663</v>
          </cell>
          <cell r="G23">
            <v>666.66666666666663</v>
          </cell>
          <cell r="H23">
            <v>666.66666666666663</v>
          </cell>
          <cell r="I23">
            <v>666.66666666666663</v>
          </cell>
          <cell r="J23">
            <v>666.66666666666663</v>
          </cell>
          <cell r="K23">
            <v>666.66666666666663</v>
          </cell>
          <cell r="L23">
            <v>666.66666666666663</v>
          </cell>
          <cell r="M23">
            <v>666.66666666666663</v>
          </cell>
          <cell r="N23">
            <v>666.66666666666663</v>
          </cell>
          <cell r="O23">
            <v>666.66666666666663</v>
          </cell>
          <cell r="P23">
            <v>666.66666666666663</v>
          </cell>
          <cell r="Q23">
            <v>666.66666666666663</v>
          </cell>
          <cell r="R23">
            <v>666.66666666666663</v>
          </cell>
          <cell r="S23">
            <v>666.66666666666663</v>
          </cell>
          <cell r="T23">
            <v>666.66666666666663</v>
          </cell>
          <cell r="U23">
            <v>666.66666666666663</v>
          </cell>
          <cell r="V23">
            <v>666.66666666666663</v>
          </cell>
          <cell r="W23">
            <v>666.66666666666663</v>
          </cell>
          <cell r="X23">
            <v>666.66666666666663</v>
          </cell>
          <cell r="Y23">
            <v>666.66666666666663</v>
          </cell>
          <cell r="Z23">
            <v>666.66666666666663</v>
          </cell>
          <cell r="AA23">
            <v>666.66666666666663</v>
          </cell>
          <cell r="AB23">
            <v>666.66666666666663</v>
          </cell>
          <cell r="AC23">
            <v>666.66666666666663</v>
          </cell>
          <cell r="AD23">
            <v>666.66666666666663</v>
          </cell>
          <cell r="AE23">
            <v>666.66666666666663</v>
          </cell>
          <cell r="AF23">
            <v>666.66666666666663</v>
          </cell>
          <cell r="AG23">
            <v>666.66666666666663</v>
          </cell>
          <cell r="AH23">
            <v>666.66666666666663</v>
          </cell>
          <cell r="AI23">
            <v>666.66666666666663</v>
          </cell>
          <cell r="AJ23">
            <v>666.66666666666663</v>
          </cell>
          <cell r="AK23">
            <v>666.66666666666663</v>
          </cell>
          <cell r="AL23">
            <v>666.66666666666663</v>
          </cell>
          <cell r="AM23">
            <v>666.66666666666663</v>
          </cell>
          <cell r="AN23">
            <v>666.66666666666663</v>
          </cell>
          <cell r="AO23">
            <v>666.66666666666663</v>
          </cell>
          <cell r="AP23">
            <v>666.66666666666663</v>
          </cell>
          <cell r="AQ23">
            <v>666.66666666666663</v>
          </cell>
          <cell r="AR23">
            <v>666.66666666666663</v>
          </cell>
          <cell r="AS23">
            <v>666.66666666666663</v>
          </cell>
          <cell r="AT23">
            <v>666.66666666666663</v>
          </cell>
          <cell r="AU23">
            <v>666.66666666666663</v>
          </cell>
          <cell r="AV23">
            <v>666.66666666666663</v>
          </cell>
          <cell r="AW23">
            <v>666.66666666666663</v>
          </cell>
          <cell r="AX23">
            <v>666.66666666666663</v>
          </cell>
          <cell r="AY23">
            <v>666.66666666666663</v>
          </cell>
          <cell r="AZ23">
            <v>666.66666666666663</v>
          </cell>
          <cell r="BA23">
            <v>666.66666666666663</v>
          </cell>
          <cell r="BB23">
            <v>666.66666666666663</v>
          </cell>
          <cell r="BC23">
            <v>666.66666666666663</v>
          </cell>
          <cell r="BD23">
            <v>666.66666666666663</v>
          </cell>
          <cell r="BE23">
            <v>666.66666666666663</v>
          </cell>
          <cell r="BF23">
            <v>666.66666666666663</v>
          </cell>
          <cell r="BG23">
            <v>666.66666666666663</v>
          </cell>
          <cell r="BH23">
            <v>666.66666666666663</v>
          </cell>
          <cell r="BI23">
            <v>666.66666666666663</v>
          </cell>
          <cell r="BJ23">
            <v>666.66666666666663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2500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2500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2500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2500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2500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2500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2500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2500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2500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2500</v>
          </cell>
        </row>
        <row r="35">
          <cell r="C35">
            <v>750</v>
          </cell>
          <cell r="D35">
            <v>750</v>
          </cell>
          <cell r="E35">
            <v>750</v>
          </cell>
          <cell r="F35">
            <v>750</v>
          </cell>
          <cell r="G35">
            <v>750</v>
          </cell>
          <cell r="H35">
            <v>750</v>
          </cell>
          <cell r="I35">
            <v>750</v>
          </cell>
          <cell r="J35">
            <v>750</v>
          </cell>
          <cell r="K35">
            <v>750</v>
          </cell>
          <cell r="L35">
            <v>750</v>
          </cell>
          <cell r="M35">
            <v>750</v>
          </cell>
          <cell r="N35">
            <v>750</v>
          </cell>
          <cell r="O35">
            <v>750</v>
          </cell>
          <cell r="P35">
            <v>750</v>
          </cell>
          <cell r="Q35">
            <v>750</v>
          </cell>
          <cell r="R35">
            <v>750</v>
          </cell>
          <cell r="S35">
            <v>750</v>
          </cell>
          <cell r="T35">
            <v>750</v>
          </cell>
          <cell r="U35">
            <v>750</v>
          </cell>
          <cell r="V35">
            <v>750</v>
          </cell>
          <cell r="W35">
            <v>750</v>
          </cell>
          <cell r="X35">
            <v>750</v>
          </cell>
          <cell r="Y35">
            <v>750</v>
          </cell>
          <cell r="Z35">
            <v>750</v>
          </cell>
          <cell r="AA35">
            <v>750</v>
          </cell>
          <cell r="AB35">
            <v>750</v>
          </cell>
          <cell r="AC35">
            <v>750</v>
          </cell>
          <cell r="AD35">
            <v>750</v>
          </cell>
          <cell r="AE35">
            <v>750</v>
          </cell>
          <cell r="AF35">
            <v>750</v>
          </cell>
          <cell r="AG35">
            <v>750</v>
          </cell>
          <cell r="AH35">
            <v>750</v>
          </cell>
          <cell r="AI35">
            <v>750</v>
          </cell>
          <cell r="AJ35">
            <v>750</v>
          </cell>
          <cell r="AK35">
            <v>750</v>
          </cell>
          <cell r="AL35">
            <v>750</v>
          </cell>
          <cell r="AM35">
            <v>750</v>
          </cell>
          <cell r="AN35">
            <v>750</v>
          </cell>
          <cell r="AO35">
            <v>750</v>
          </cell>
          <cell r="AP35">
            <v>750</v>
          </cell>
          <cell r="AQ35">
            <v>750</v>
          </cell>
          <cell r="AR35">
            <v>750</v>
          </cell>
          <cell r="AS35">
            <v>750</v>
          </cell>
          <cell r="AT35">
            <v>750</v>
          </cell>
          <cell r="AU35">
            <v>750</v>
          </cell>
          <cell r="AV35">
            <v>750</v>
          </cell>
          <cell r="AW35">
            <v>750</v>
          </cell>
          <cell r="AX35">
            <v>750</v>
          </cell>
          <cell r="AY35">
            <v>750</v>
          </cell>
          <cell r="AZ35">
            <v>750</v>
          </cell>
          <cell r="BA35">
            <v>750</v>
          </cell>
          <cell r="BB35">
            <v>750</v>
          </cell>
          <cell r="BC35">
            <v>750</v>
          </cell>
          <cell r="BD35">
            <v>750</v>
          </cell>
          <cell r="BE35">
            <v>750</v>
          </cell>
          <cell r="BF35">
            <v>750</v>
          </cell>
          <cell r="BG35">
            <v>750</v>
          </cell>
          <cell r="BH35">
            <v>750</v>
          </cell>
          <cell r="BI35">
            <v>750</v>
          </cell>
          <cell r="BJ35">
            <v>750</v>
          </cell>
        </row>
        <row r="37">
          <cell r="B37" t="str">
            <v>Other Revenue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</row>
        <row r="68">
          <cell r="C68">
            <v>1416.6666666666667</v>
          </cell>
          <cell r="D68">
            <v>1416.6666666666667</v>
          </cell>
          <cell r="E68">
            <v>1416.6666666666667</v>
          </cell>
          <cell r="F68">
            <v>1416.6666666666667</v>
          </cell>
          <cell r="G68">
            <v>1416.6666666666667</v>
          </cell>
          <cell r="H68">
            <v>1416.6666666666667</v>
          </cell>
          <cell r="I68">
            <v>1416.6666666666667</v>
          </cell>
          <cell r="J68">
            <v>1416.6666666666667</v>
          </cell>
          <cell r="K68">
            <v>1416.6666666666667</v>
          </cell>
          <cell r="L68">
            <v>1416.6666666666667</v>
          </cell>
          <cell r="M68">
            <v>1416.6666666666667</v>
          </cell>
          <cell r="N68">
            <v>1416.6666666666667</v>
          </cell>
          <cell r="O68">
            <v>1416.6666666666667</v>
          </cell>
          <cell r="P68">
            <v>1416.6666666666667</v>
          </cell>
          <cell r="Q68">
            <v>1416.6666666666667</v>
          </cell>
          <cell r="R68">
            <v>1416.6666666666667</v>
          </cell>
          <cell r="S68">
            <v>1416.6666666666667</v>
          </cell>
          <cell r="T68">
            <v>1416.6666666666667</v>
          </cell>
          <cell r="U68">
            <v>1416.6666666666667</v>
          </cell>
          <cell r="V68">
            <v>1416.6666666666667</v>
          </cell>
          <cell r="W68">
            <v>1416.6666666666667</v>
          </cell>
          <cell r="X68">
            <v>1416.6666666666667</v>
          </cell>
          <cell r="Y68">
            <v>1416.6666666666667</v>
          </cell>
          <cell r="Z68">
            <v>1416.6666666666667</v>
          </cell>
          <cell r="AA68">
            <v>1416.6666666666667</v>
          </cell>
          <cell r="AB68">
            <v>1416.6666666666667</v>
          </cell>
          <cell r="AC68">
            <v>1416.6666666666667</v>
          </cell>
          <cell r="AD68">
            <v>1416.6666666666667</v>
          </cell>
          <cell r="AE68">
            <v>1416.6666666666667</v>
          </cell>
          <cell r="AF68">
            <v>1416.6666666666667</v>
          </cell>
          <cell r="AG68">
            <v>1416.6666666666667</v>
          </cell>
          <cell r="AH68">
            <v>1416.6666666666667</v>
          </cell>
          <cell r="AI68">
            <v>1416.6666666666667</v>
          </cell>
          <cell r="AJ68">
            <v>1416.6666666666667</v>
          </cell>
          <cell r="AK68">
            <v>1416.6666666666667</v>
          </cell>
          <cell r="AL68">
            <v>1416.6666666666667</v>
          </cell>
          <cell r="AM68">
            <v>1416.6666666666667</v>
          </cell>
          <cell r="AN68">
            <v>1416.6666666666667</v>
          </cell>
          <cell r="AO68">
            <v>1416.6666666666667</v>
          </cell>
          <cell r="AP68">
            <v>1416.6666666666667</v>
          </cell>
          <cell r="AQ68">
            <v>1416.6666666666667</v>
          </cell>
          <cell r="AR68">
            <v>1416.6666666666667</v>
          </cell>
          <cell r="AS68">
            <v>1416.6666666666667</v>
          </cell>
          <cell r="AT68">
            <v>1416.6666666666667</v>
          </cell>
          <cell r="AU68">
            <v>1416.6666666666667</v>
          </cell>
          <cell r="AV68">
            <v>1416.6666666666667</v>
          </cell>
          <cell r="AW68">
            <v>1416.6666666666667</v>
          </cell>
          <cell r="AX68">
            <v>1416.6666666666667</v>
          </cell>
          <cell r="AY68">
            <v>1416.6666666666667</v>
          </cell>
          <cell r="AZ68">
            <v>1416.6666666666667</v>
          </cell>
          <cell r="BA68">
            <v>1416.6666666666667</v>
          </cell>
          <cell r="BB68">
            <v>1416.6666666666667</v>
          </cell>
          <cell r="BC68">
            <v>1416.6666666666667</v>
          </cell>
          <cell r="BD68">
            <v>1416.6666666666667</v>
          </cell>
          <cell r="BE68">
            <v>1416.6666666666667</v>
          </cell>
          <cell r="BF68">
            <v>1416.6666666666667</v>
          </cell>
          <cell r="BG68">
            <v>1416.6666666666667</v>
          </cell>
          <cell r="BH68">
            <v>1416.6666666666667</v>
          </cell>
          <cell r="BI68">
            <v>1416.6666666666667</v>
          </cell>
          <cell r="BJ68">
            <v>1416.6666666666667</v>
          </cell>
        </row>
        <row r="69">
          <cell r="C69">
            <v>750</v>
          </cell>
          <cell r="D69">
            <v>750</v>
          </cell>
          <cell r="E69">
            <v>750</v>
          </cell>
          <cell r="F69">
            <v>750</v>
          </cell>
          <cell r="G69">
            <v>750</v>
          </cell>
          <cell r="H69">
            <v>750</v>
          </cell>
          <cell r="I69">
            <v>750</v>
          </cell>
          <cell r="J69">
            <v>750</v>
          </cell>
          <cell r="K69">
            <v>750</v>
          </cell>
          <cell r="L69">
            <v>750</v>
          </cell>
          <cell r="M69">
            <v>750</v>
          </cell>
          <cell r="N69">
            <v>750</v>
          </cell>
          <cell r="O69">
            <v>750</v>
          </cell>
          <cell r="P69">
            <v>750</v>
          </cell>
          <cell r="Q69">
            <v>750</v>
          </cell>
          <cell r="R69">
            <v>750</v>
          </cell>
          <cell r="S69">
            <v>750</v>
          </cell>
          <cell r="T69">
            <v>750</v>
          </cell>
          <cell r="U69">
            <v>750</v>
          </cell>
          <cell r="V69">
            <v>750</v>
          </cell>
          <cell r="W69">
            <v>750</v>
          </cell>
          <cell r="X69">
            <v>750</v>
          </cell>
          <cell r="Y69">
            <v>750</v>
          </cell>
          <cell r="Z69">
            <v>750</v>
          </cell>
          <cell r="AA69">
            <v>750</v>
          </cell>
          <cell r="AB69">
            <v>750</v>
          </cell>
          <cell r="AC69">
            <v>750</v>
          </cell>
          <cell r="AD69">
            <v>750</v>
          </cell>
          <cell r="AE69">
            <v>750</v>
          </cell>
          <cell r="AF69">
            <v>750</v>
          </cell>
          <cell r="AG69">
            <v>750</v>
          </cell>
          <cell r="AH69">
            <v>750</v>
          </cell>
          <cell r="AI69">
            <v>750</v>
          </cell>
          <cell r="AJ69">
            <v>750</v>
          </cell>
          <cell r="AK69">
            <v>750</v>
          </cell>
          <cell r="AL69">
            <v>750</v>
          </cell>
          <cell r="AM69">
            <v>750</v>
          </cell>
          <cell r="AN69">
            <v>750</v>
          </cell>
          <cell r="AO69">
            <v>750</v>
          </cell>
          <cell r="AP69">
            <v>750</v>
          </cell>
          <cell r="AQ69">
            <v>750</v>
          </cell>
          <cell r="AR69">
            <v>750</v>
          </cell>
          <cell r="AS69">
            <v>750</v>
          </cell>
          <cell r="AT69">
            <v>750</v>
          </cell>
          <cell r="AU69">
            <v>750</v>
          </cell>
          <cell r="AV69">
            <v>750</v>
          </cell>
          <cell r="AW69">
            <v>750</v>
          </cell>
          <cell r="AX69">
            <v>750</v>
          </cell>
          <cell r="AY69">
            <v>750</v>
          </cell>
          <cell r="AZ69">
            <v>750</v>
          </cell>
          <cell r="BA69">
            <v>750</v>
          </cell>
          <cell r="BB69">
            <v>750</v>
          </cell>
          <cell r="BC69">
            <v>750</v>
          </cell>
          <cell r="BD69">
            <v>750</v>
          </cell>
          <cell r="BE69">
            <v>750</v>
          </cell>
          <cell r="BF69">
            <v>750</v>
          </cell>
          <cell r="BG69">
            <v>750</v>
          </cell>
          <cell r="BH69">
            <v>750</v>
          </cell>
          <cell r="BI69">
            <v>750</v>
          </cell>
          <cell r="BJ69">
            <v>750</v>
          </cell>
        </row>
        <row r="77">
          <cell r="C77">
            <v>83.333333333333329</v>
          </cell>
          <cell r="D77">
            <v>83.333333333333329</v>
          </cell>
          <cell r="E77">
            <v>83.333333333333329</v>
          </cell>
          <cell r="F77">
            <v>83.333333333333329</v>
          </cell>
          <cell r="G77">
            <v>83.333333333333329</v>
          </cell>
          <cell r="H77">
            <v>83.333333333333329</v>
          </cell>
          <cell r="I77">
            <v>83.333333333333329</v>
          </cell>
          <cell r="J77">
            <v>83.333333333333329</v>
          </cell>
          <cell r="K77">
            <v>83.333333333333329</v>
          </cell>
          <cell r="L77">
            <v>83.333333333333329</v>
          </cell>
          <cell r="M77">
            <v>83.333333333333329</v>
          </cell>
          <cell r="N77">
            <v>83.333333333333329</v>
          </cell>
          <cell r="O77">
            <v>83.333333333333329</v>
          </cell>
          <cell r="P77">
            <v>83.333333333333329</v>
          </cell>
          <cell r="Q77">
            <v>83.333333333333329</v>
          </cell>
          <cell r="R77">
            <v>83.333333333333329</v>
          </cell>
          <cell r="S77">
            <v>83.333333333333329</v>
          </cell>
          <cell r="T77">
            <v>83.333333333333329</v>
          </cell>
          <cell r="U77">
            <v>83.333333333333329</v>
          </cell>
          <cell r="V77">
            <v>83.333333333333329</v>
          </cell>
          <cell r="W77">
            <v>83.333333333333329</v>
          </cell>
          <cell r="X77">
            <v>83.333333333333329</v>
          </cell>
          <cell r="Y77">
            <v>83.333333333333329</v>
          </cell>
          <cell r="Z77">
            <v>83.333333333333329</v>
          </cell>
          <cell r="AA77">
            <v>83.333333333333329</v>
          </cell>
          <cell r="AB77">
            <v>83.333333333333329</v>
          </cell>
          <cell r="AC77">
            <v>83.333333333333329</v>
          </cell>
          <cell r="AD77">
            <v>83.333333333333329</v>
          </cell>
          <cell r="AE77">
            <v>83.333333333333329</v>
          </cell>
          <cell r="AF77">
            <v>83.333333333333329</v>
          </cell>
          <cell r="AG77">
            <v>83.333333333333329</v>
          </cell>
          <cell r="AH77">
            <v>83.333333333333329</v>
          </cell>
          <cell r="AI77">
            <v>83.333333333333329</v>
          </cell>
          <cell r="AJ77">
            <v>83.333333333333329</v>
          </cell>
          <cell r="AK77">
            <v>83.333333333333329</v>
          </cell>
          <cell r="AL77">
            <v>83.333333333333329</v>
          </cell>
          <cell r="AM77">
            <v>83.333333333333329</v>
          </cell>
          <cell r="AN77">
            <v>83.333333333333329</v>
          </cell>
          <cell r="AO77">
            <v>83.333333333333329</v>
          </cell>
          <cell r="AP77">
            <v>83.333333333333329</v>
          </cell>
          <cell r="AQ77">
            <v>83.333333333333329</v>
          </cell>
          <cell r="AR77">
            <v>83.333333333333329</v>
          </cell>
          <cell r="AS77">
            <v>83.333333333333329</v>
          </cell>
          <cell r="AT77">
            <v>83.333333333333329</v>
          </cell>
          <cell r="AU77">
            <v>83.333333333333329</v>
          </cell>
          <cell r="AV77">
            <v>83.333333333333329</v>
          </cell>
          <cell r="AW77">
            <v>83.333333333333329</v>
          </cell>
          <cell r="AX77">
            <v>83.333333333333329</v>
          </cell>
          <cell r="AY77">
            <v>83.333333333333329</v>
          </cell>
          <cell r="AZ77">
            <v>83.333333333333329</v>
          </cell>
          <cell r="BA77">
            <v>83.333333333333329</v>
          </cell>
          <cell r="BB77">
            <v>83.333333333333329</v>
          </cell>
          <cell r="BC77">
            <v>83.333333333333329</v>
          </cell>
          <cell r="BD77">
            <v>83.333333333333329</v>
          </cell>
          <cell r="BE77">
            <v>83.333333333333329</v>
          </cell>
          <cell r="BF77">
            <v>83.333333333333329</v>
          </cell>
          <cell r="BG77">
            <v>83.333333333333329</v>
          </cell>
          <cell r="BH77">
            <v>83.333333333333329</v>
          </cell>
          <cell r="BI77">
            <v>83.333333333333329</v>
          </cell>
          <cell r="BJ77">
            <v>83.333333333333329</v>
          </cell>
        </row>
        <row r="84">
          <cell r="C84">
            <v>50</v>
          </cell>
          <cell r="D84">
            <v>50</v>
          </cell>
          <cell r="E84">
            <v>50</v>
          </cell>
          <cell r="F84">
            <v>50</v>
          </cell>
          <cell r="G84">
            <v>50</v>
          </cell>
          <cell r="H84">
            <v>50</v>
          </cell>
          <cell r="I84">
            <v>50</v>
          </cell>
          <cell r="J84">
            <v>50</v>
          </cell>
          <cell r="K84">
            <v>50</v>
          </cell>
          <cell r="L84">
            <v>50</v>
          </cell>
          <cell r="M84">
            <v>50</v>
          </cell>
          <cell r="N84">
            <v>50</v>
          </cell>
          <cell r="O84">
            <v>50</v>
          </cell>
          <cell r="P84">
            <v>50</v>
          </cell>
          <cell r="Q84">
            <v>50</v>
          </cell>
          <cell r="R84">
            <v>50</v>
          </cell>
          <cell r="S84">
            <v>50</v>
          </cell>
          <cell r="T84">
            <v>50</v>
          </cell>
          <cell r="U84">
            <v>50</v>
          </cell>
          <cell r="V84">
            <v>50</v>
          </cell>
          <cell r="W84">
            <v>50</v>
          </cell>
          <cell r="X84">
            <v>50</v>
          </cell>
          <cell r="Y84">
            <v>50</v>
          </cell>
          <cell r="Z84">
            <v>50</v>
          </cell>
          <cell r="AA84">
            <v>50</v>
          </cell>
          <cell r="AB84">
            <v>50</v>
          </cell>
          <cell r="AC84">
            <v>50</v>
          </cell>
          <cell r="AD84">
            <v>50</v>
          </cell>
          <cell r="AE84">
            <v>50</v>
          </cell>
          <cell r="AF84">
            <v>50</v>
          </cell>
          <cell r="AG84">
            <v>50</v>
          </cell>
          <cell r="AH84">
            <v>50</v>
          </cell>
          <cell r="AI84">
            <v>50</v>
          </cell>
          <cell r="AJ84">
            <v>50</v>
          </cell>
          <cell r="AK84">
            <v>50</v>
          </cell>
          <cell r="AL84">
            <v>50</v>
          </cell>
          <cell r="AM84">
            <v>50</v>
          </cell>
          <cell r="AN84">
            <v>50</v>
          </cell>
          <cell r="AO84">
            <v>50</v>
          </cell>
          <cell r="AP84">
            <v>50</v>
          </cell>
          <cell r="AQ84">
            <v>50</v>
          </cell>
          <cell r="AR84">
            <v>50</v>
          </cell>
          <cell r="AS84">
            <v>50</v>
          </cell>
          <cell r="AT84">
            <v>50</v>
          </cell>
          <cell r="AU84">
            <v>50</v>
          </cell>
          <cell r="AV84">
            <v>50</v>
          </cell>
          <cell r="AW84">
            <v>50</v>
          </cell>
          <cell r="AX84">
            <v>50</v>
          </cell>
          <cell r="AY84">
            <v>50</v>
          </cell>
          <cell r="AZ84">
            <v>50</v>
          </cell>
          <cell r="BA84">
            <v>50</v>
          </cell>
          <cell r="BB84">
            <v>50</v>
          </cell>
          <cell r="BC84">
            <v>50</v>
          </cell>
          <cell r="BD84">
            <v>50</v>
          </cell>
          <cell r="BE84">
            <v>50</v>
          </cell>
          <cell r="BF84">
            <v>50</v>
          </cell>
          <cell r="BG84">
            <v>50</v>
          </cell>
          <cell r="BH84">
            <v>50</v>
          </cell>
          <cell r="BI84">
            <v>50</v>
          </cell>
          <cell r="BJ84">
            <v>50</v>
          </cell>
        </row>
        <row r="92">
          <cell r="C92">
            <v>2500</v>
          </cell>
          <cell r="D92">
            <v>2508.3333333333335</v>
          </cell>
          <cell r="E92">
            <v>2516.6944444444448</v>
          </cell>
          <cell r="F92">
            <v>2525.0834259259263</v>
          </cell>
          <cell r="G92">
            <v>2533.500370679013</v>
          </cell>
          <cell r="H92">
            <v>2541.94537191461</v>
          </cell>
          <cell r="I92">
            <v>2550.4185231543256</v>
          </cell>
          <cell r="J92">
            <v>2558.9199182315069</v>
          </cell>
          <cell r="K92">
            <v>2567.4496512922788</v>
          </cell>
          <cell r="L92">
            <v>2576.0078167965867</v>
          </cell>
          <cell r="M92">
            <v>2584.5945095192424</v>
          </cell>
          <cell r="N92">
            <v>2593.2098245509733</v>
          </cell>
          <cell r="O92">
            <v>2601.8538572994767</v>
          </cell>
          <cell r="P92">
            <v>2610.526703490475</v>
          </cell>
          <cell r="Q92">
            <v>2619.2284591687767</v>
          </cell>
          <cell r="R92">
            <v>2627.9592206993393</v>
          </cell>
          <cell r="S92">
            <v>2636.7190847683373</v>
          </cell>
          <cell r="T92">
            <v>2645.5081483842318</v>
          </cell>
          <cell r="U92">
            <v>2654.3265088788462</v>
          </cell>
          <cell r="V92">
            <v>2663.1742639084428</v>
          </cell>
          <cell r="W92">
            <v>2672.0515114548043</v>
          </cell>
          <cell r="X92">
            <v>2680.9583498263205</v>
          </cell>
          <cell r="Y92">
            <v>2689.8948776590751</v>
          </cell>
          <cell r="Z92">
            <v>2698.8611939179386</v>
          </cell>
          <cell r="AA92">
            <v>2707.8573978976651</v>
          </cell>
          <cell r="AB92">
            <v>2716.8835892239908</v>
          </cell>
          <cell r="AC92">
            <v>2725.9398678547377</v>
          </cell>
          <cell r="AD92">
            <v>2735.0263340809206</v>
          </cell>
          <cell r="AE92">
            <v>2744.1430885278573</v>
          </cell>
          <cell r="AF92">
            <v>2753.2902321562838</v>
          </cell>
          <cell r="AG92">
            <v>2762.4678662634715</v>
          </cell>
          <cell r="AH92">
            <v>2771.6760924843497</v>
          </cell>
          <cell r="AI92">
            <v>2780.9150127926309</v>
          </cell>
          <cell r="AJ92">
            <v>2790.1847295019397</v>
          </cell>
          <cell r="AK92">
            <v>2799.4853452669463</v>
          </cell>
          <cell r="AL92">
            <v>2808.8169630845032</v>
          </cell>
          <cell r="AM92">
            <v>2818.1796862947849</v>
          </cell>
          <cell r="AN92">
            <v>2827.5736185824344</v>
          </cell>
          <cell r="AO92">
            <v>2836.9988639777093</v>
          </cell>
          <cell r="AP92">
            <v>2846.455526857635</v>
          </cell>
          <cell r="AQ92">
            <v>2855.9437119471609</v>
          </cell>
          <cell r="AR92">
            <v>2865.4635243203184</v>
          </cell>
          <cell r="AS92">
            <v>2875.0150694013864</v>
          </cell>
          <cell r="AT92">
            <v>2884.5984529660577</v>
          </cell>
          <cell r="AU92">
            <v>2894.2137811426114</v>
          </cell>
          <cell r="AV92">
            <v>2903.861160413087</v>
          </cell>
          <cell r="AW92">
            <v>2913.5406976144641</v>
          </cell>
          <cell r="AX92">
            <v>2923.2524999398461</v>
          </cell>
          <cell r="AY92">
            <v>2932.9966749396458</v>
          </cell>
          <cell r="AZ92">
            <v>2942.773330522778</v>
          </cell>
          <cell r="BA92">
            <v>2952.5825749578544</v>
          </cell>
          <cell r="BB92">
            <v>2962.424516874381</v>
          </cell>
          <cell r="BC92">
            <v>2972.2992652639623</v>
          </cell>
          <cell r="BD92">
            <v>2982.2069294815092</v>
          </cell>
          <cell r="BE92">
            <v>2992.1476192464479</v>
          </cell>
          <cell r="BF92">
            <v>3002.1214446439362</v>
          </cell>
          <cell r="BG92">
            <v>3012.128516126083</v>
          </cell>
          <cell r="BH92">
            <v>3022.1689445131701</v>
          </cell>
          <cell r="BI92">
            <v>3032.2428409948811</v>
          </cell>
          <cell r="BJ92">
            <v>3042.350317131531</v>
          </cell>
        </row>
        <row r="93">
          <cell r="C93">
            <v>875</v>
          </cell>
          <cell r="D93">
            <v>877.91666666666663</v>
          </cell>
          <cell r="E93">
            <v>880.84305555555568</v>
          </cell>
          <cell r="F93">
            <v>883.7791990740742</v>
          </cell>
          <cell r="G93">
            <v>886.72512973765447</v>
          </cell>
          <cell r="H93">
            <v>889.68088017011348</v>
          </cell>
          <cell r="I93">
            <v>892.6464831040139</v>
          </cell>
          <cell r="J93">
            <v>895.62197138102738</v>
          </cell>
          <cell r="K93">
            <v>898.6073779522975</v>
          </cell>
          <cell r="L93">
            <v>901.60273587880522</v>
          </cell>
          <cell r="M93">
            <v>904.60807833173476</v>
          </cell>
          <cell r="N93">
            <v>907.62343859284056</v>
          </cell>
          <cell r="O93">
            <v>910.64885005481676</v>
          </cell>
          <cell r="P93">
            <v>913.68434622166615</v>
          </cell>
          <cell r="Q93">
            <v>916.72996070907175</v>
          </cell>
          <cell r="R93">
            <v>919.78572724476874</v>
          </cell>
          <cell r="S93">
            <v>922.851679668918</v>
          </cell>
          <cell r="T93">
            <v>925.92785193448105</v>
          </cell>
          <cell r="U93">
            <v>929.01427810759606</v>
          </cell>
          <cell r="V93">
            <v>932.11099236795485</v>
          </cell>
          <cell r="W93">
            <v>935.21802900918146</v>
          </cell>
          <cell r="X93">
            <v>938.33542243921215</v>
          </cell>
          <cell r="Y93">
            <v>941.46320718067625</v>
          </cell>
          <cell r="Z93">
            <v>944.6014178712785</v>
          </cell>
          <cell r="AA93">
            <v>947.75008926418275</v>
          </cell>
          <cell r="AB93">
            <v>950.90925622839677</v>
          </cell>
          <cell r="AC93">
            <v>954.07895374915813</v>
          </cell>
          <cell r="AD93">
            <v>957.25921692832219</v>
          </cell>
          <cell r="AE93">
            <v>960.45008098475</v>
          </cell>
          <cell r="AF93">
            <v>963.65158125469929</v>
          </cell>
          <cell r="AG93">
            <v>966.86375319221497</v>
          </cell>
          <cell r="AH93">
            <v>970.08663236952236</v>
          </cell>
          <cell r="AI93">
            <v>973.3202544774208</v>
          </cell>
          <cell r="AJ93">
            <v>976.56465532567881</v>
          </cell>
          <cell r="AK93">
            <v>979.81987084343109</v>
          </cell>
          <cell r="AL93">
            <v>983.08593707957607</v>
          </cell>
          <cell r="AM93">
            <v>986.36289020317463</v>
          </cell>
          <cell r="AN93">
            <v>989.65076650385197</v>
          </cell>
          <cell r="AO93">
            <v>992.94960239219824</v>
          </cell>
          <cell r="AP93">
            <v>996.25943440017215</v>
          </cell>
          <cell r="AQ93">
            <v>999.58029918150623</v>
          </cell>
          <cell r="AR93">
            <v>1002.9122335121114</v>
          </cell>
          <cell r="AS93">
            <v>1006.2552742904852</v>
          </cell>
          <cell r="AT93">
            <v>1009.6094585381202</v>
          </cell>
          <cell r="AU93">
            <v>1012.9748233999139</v>
          </cell>
          <cell r="AV93">
            <v>1016.3514061445803</v>
          </cell>
          <cell r="AW93">
            <v>1019.7392441650624</v>
          </cell>
          <cell r="AX93">
            <v>1023.1383749789461</v>
          </cell>
          <cell r="AY93">
            <v>1026.5488362288759</v>
          </cell>
          <cell r="AZ93">
            <v>1029.9706656829721</v>
          </cell>
          <cell r="BA93">
            <v>1033.4039012352489</v>
          </cell>
          <cell r="BB93">
            <v>1036.8485809060332</v>
          </cell>
          <cell r="BC93">
            <v>1040.3047428423868</v>
          </cell>
          <cell r="BD93">
            <v>1043.7724253185281</v>
          </cell>
          <cell r="BE93">
            <v>1047.2516667362568</v>
          </cell>
          <cell r="BF93">
            <v>1050.7425056253776</v>
          </cell>
          <cell r="BG93">
            <v>1054.2449806441291</v>
          </cell>
          <cell r="BH93">
            <v>1057.7591305796095</v>
          </cell>
          <cell r="BI93">
            <v>1061.2849943482083</v>
          </cell>
          <cell r="BJ93">
            <v>1064.8226109960358</v>
          </cell>
        </row>
        <row r="94">
          <cell r="C94">
            <v>500</v>
          </cell>
          <cell r="D94">
            <v>501.66666666666669</v>
          </cell>
          <cell r="E94">
            <v>503.33888888888896</v>
          </cell>
          <cell r="F94">
            <v>505.01668518518528</v>
          </cell>
          <cell r="G94">
            <v>506.70007413580259</v>
          </cell>
          <cell r="H94">
            <v>508.38907438292199</v>
          </cell>
          <cell r="I94">
            <v>510.0837046308651</v>
          </cell>
          <cell r="J94">
            <v>511.78398364630135</v>
          </cell>
          <cell r="K94">
            <v>513.48993025845573</v>
          </cell>
          <cell r="L94">
            <v>515.20156335931733</v>
          </cell>
          <cell r="M94">
            <v>516.91890190384845</v>
          </cell>
          <cell r="N94">
            <v>518.6419649101947</v>
          </cell>
          <cell r="O94">
            <v>520.37077145989542</v>
          </cell>
          <cell r="P94">
            <v>522.10534069809512</v>
          </cell>
          <cell r="Q94">
            <v>523.8456918337555</v>
          </cell>
          <cell r="R94">
            <v>525.59184413986804</v>
          </cell>
          <cell r="S94">
            <v>527.34381695366767</v>
          </cell>
          <cell r="T94">
            <v>529.10162967684664</v>
          </cell>
          <cell r="U94">
            <v>530.86530177576947</v>
          </cell>
          <cell r="V94">
            <v>532.63485278168878</v>
          </cell>
          <cell r="W94">
            <v>534.41030229096111</v>
          </cell>
          <cell r="X94">
            <v>536.1916699652644</v>
          </cell>
          <cell r="Y94">
            <v>537.97897553181531</v>
          </cell>
          <cell r="Z94">
            <v>539.77223878358802</v>
          </cell>
          <cell r="AA94">
            <v>541.57147957953339</v>
          </cell>
          <cell r="AB94">
            <v>543.37671784479858</v>
          </cell>
          <cell r="AC94">
            <v>545.18797357094797</v>
          </cell>
          <cell r="AD94">
            <v>547.00526681618453</v>
          </cell>
          <cell r="AE94">
            <v>548.8286177055719</v>
          </cell>
          <cell r="AF94">
            <v>550.65804643125716</v>
          </cell>
          <cell r="AG94">
            <v>552.49357325269477</v>
          </cell>
          <cell r="AH94">
            <v>554.33521849687043</v>
          </cell>
          <cell r="AI94">
            <v>556.18300255852671</v>
          </cell>
          <cell r="AJ94">
            <v>558.03694590038856</v>
          </cell>
          <cell r="AK94">
            <v>559.89706905338994</v>
          </cell>
          <cell r="AL94">
            <v>561.76339261690123</v>
          </cell>
          <cell r="AM94">
            <v>563.6359372589576</v>
          </cell>
          <cell r="AN94">
            <v>565.51472371648754</v>
          </cell>
          <cell r="AO94">
            <v>567.3997727955425</v>
          </cell>
          <cell r="AP94">
            <v>569.29110537152769</v>
          </cell>
          <cell r="AQ94">
            <v>571.18874238943283</v>
          </cell>
          <cell r="AR94">
            <v>573.09270486406433</v>
          </cell>
          <cell r="AS94">
            <v>575.00301388027788</v>
          </cell>
          <cell r="AT94">
            <v>576.91969059321218</v>
          </cell>
          <cell r="AU94">
            <v>578.84275622852294</v>
          </cell>
          <cell r="AV94">
            <v>580.77223208261807</v>
          </cell>
          <cell r="AW94">
            <v>582.70813952289348</v>
          </cell>
          <cell r="AX94">
            <v>584.65049998796985</v>
          </cell>
          <cell r="AY94">
            <v>586.59933498792975</v>
          </cell>
          <cell r="AZ94">
            <v>588.55466610455619</v>
          </cell>
          <cell r="BA94">
            <v>590.5165149915714</v>
          </cell>
          <cell r="BB94">
            <v>592.48490337487669</v>
          </cell>
          <cell r="BC94">
            <v>594.45985305279305</v>
          </cell>
          <cell r="BD94">
            <v>596.44138589630245</v>
          </cell>
          <cell r="BE94">
            <v>598.42952384929015</v>
          </cell>
          <cell r="BF94">
            <v>600.42428892878786</v>
          </cell>
          <cell r="BG94">
            <v>602.42570322521715</v>
          </cell>
          <cell r="BH94">
            <v>604.43378890263455</v>
          </cell>
          <cell r="BI94">
            <v>606.44856819897666</v>
          </cell>
          <cell r="BJ94">
            <v>608.47006342630664</v>
          </cell>
        </row>
        <row r="95">
          <cell r="C95">
            <v>100</v>
          </cell>
          <cell r="D95">
            <v>100.33333333333334</v>
          </cell>
          <cell r="E95">
            <v>100.6677777777778</v>
          </cell>
          <cell r="F95">
            <v>101.00333703703707</v>
          </cell>
          <cell r="G95">
            <v>101.34001482716053</v>
          </cell>
          <cell r="H95">
            <v>101.67781487658441</v>
          </cell>
          <cell r="I95">
            <v>102.01674092617303</v>
          </cell>
          <cell r="J95">
            <v>102.35679672926028</v>
          </cell>
          <cell r="K95">
            <v>102.69798605169116</v>
          </cell>
          <cell r="L95">
            <v>103.04031267186348</v>
          </cell>
          <cell r="M95">
            <v>103.38378038076969</v>
          </cell>
          <cell r="N95">
            <v>103.72839298203893</v>
          </cell>
          <cell r="O95">
            <v>104.07415429197907</v>
          </cell>
          <cell r="P95">
            <v>104.42106813961901</v>
          </cell>
          <cell r="Q95">
            <v>104.76913836675108</v>
          </cell>
          <cell r="R95">
            <v>105.1183688279736</v>
          </cell>
          <cell r="S95">
            <v>105.46876339073351</v>
          </cell>
          <cell r="T95">
            <v>105.8203259353693</v>
          </cell>
          <cell r="U95">
            <v>106.17306035515386</v>
          </cell>
          <cell r="V95">
            <v>106.52697055633772</v>
          </cell>
          <cell r="W95">
            <v>106.88206045819219</v>
          </cell>
          <cell r="X95">
            <v>107.23833399305283</v>
          </cell>
          <cell r="Y95">
            <v>107.59579510636301</v>
          </cell>
          <cell r="Z95">
            <v>107.95444775671757</v>
          </cell>
          <cell r="AA95">
            <v>108.31429591590664</v>
          </cell>
          <cell r="AB95">
            <v>108.67534356895968</v>
          </cell>
          <cell r="AC95">
            <v>109.03759471418955</v>
          </cell>
          <cell r="AD95">
            <v>109.40105336323685</v>
          </cell>
          <cell r="AE95">
            <v>109.76572354111433</v>
          </cell>
          <cell r="AF95">
            <v>110.13160928625138</v>
          </cell>
          <cell r="AG95">
            <v>110.49871465053889</v>
          </cell>
          <cell r="AH95">
            <v>110.86704369937402</v>
          </cell>
          <cell r="AI95">
            <v>111.23660051170528</v>
          </cell>
          <cell r="AJ95">
            <v>111.60738918007763</v>
          </cell>
          <cell r="AK95">
            <v>111.9794138106779</v>
          </cell>
          <cell r="AL95">
            <v>112.35267852338016</v>
          </cell>
          <cell r="AM95">
            <v>112.72718745179144</v>
          </cell>
          <cell r="AN95">
            <v>113.10294474329741</v>
          </cell>
          <cell r="AO95">
            <v>113.47995455910841</v>
          </cell>
          <cell r="AP95">
            <v>113.85822107430545</v>
          </cell>
          <cell r="AQ95">
            <v>114.23774847788647</v>
          </cell>
          <cell r="AR95">
            <v>114.61854097281277</v>
          </cell>
          <cell r="AS95">
            <v>115.00060277605549</v>
          </cell>
          <cell r="AT95">
            <v>115.38393811864235</v>
          </cell>
          <cell r="AU95">
            <v>115.7685512457045</v>
          </cell>
          <cell r="AV95">
            <v>116.15444641652353</v>
          </cell>
          <cell r="AW95">
            <v>116.54162790457862</v>
          </cell>
          <cell r="AX95">
            <v>116.93009999759389</v>
          </cell>
          <cell r="AY95">
            <v>117.31986699758588</v>
          </cell>
          <cell r="AZ95">
            <v>117.71093322091117</v>
          </cell>
          <cell r="BA95">
            <v>118.10330299831422</v>
          </cell>
          <cell r="BB95">
            <v>118.49698067497528</v>
          </cell>
          <cell r="BC95">
            <v>118.89197061055853</v>
          </cell>
          <cell r="BD95">
            <v>119.2882771792604</v>
          </cell>
          <cell r="BE95">
            <v>119.68590476985794</v>
          </cell>
          <cell r="BF95">
            <v>120.08485778575748</v>
          </cell>
          <cell r="BG95">
            <v>120.48514064504334</v>
          </cell>
          <cell r="BH95">
            <v>120.88675778052684</v>
          </cell>
          <cell r="BI95">
            <v>121.28971363979527</v>
          </cell>
          <cell r="BJ95">
            <v>121.69401268526126</v>
          </cell>
        </row>
        <row r="96">
          <cell r="C96">
            <v>100</v>
          </cell>
          <cell r="D96">
            <v>100.33333333333334</v>
          </cell>
          <cell r="E96">
            <v>100.6677777777778</v>
          </cell>
          <cell r="F96">
            <v>101.00333703703707</v>
          </cell>
          <cell r="G96">
            <v>101.34001482716053</v>
          </cell>
          <cell r="H96">
            <v>101.67781487658441</v>
          </cell>
          <cell r="I96">
            <v>102.01674092617303</v>
          </cell>
          <cell r="J96">
            <v>102.35679672926028</v>
          </cell>
          <cell r="K96">
            <v>102.69798605169116</v>
          </cell>
          <cell r="L96">
            <v>103.04031267186348</v>
          </cell>
          <cell r="M96">
            <v>103.38378038076969</v>
          </cell>
          <cell r="N96">
            <v>103.72839298203893</v>
          </cell>
          <cell r="O96">
            <v>104.07415429197907</v>
          </cell>
          <cell r="P96">
            <v>104.42106813961901</v>
          </cell>
          <cell r="Q96">
            <v>104.76913836675108</v>
          </cell>
          <cell r="R96">
            <v>105.1183688279736</v>
          </cell>
          <cell r="S96">
            <v>105.46876339073351</v>
          </cell>
          <cell r="T96">
            <v>105.8203259353693</v>
          </cell>
          <cell r="U96">
            <v>106.17306035515386</v>
          </cell>
          <cell r="V96">
            <v>106.52697055633772</v>
          </cell>
          <cell r="W96">
            <v>106.88206045819219</v>
          </cell>
          <cell r="X96">
            <v>107.23833399305283</v>
          </cell>
          <cell r="Y96">
            <v>107.59579510636301</v>
          </cell>
          <cell r="Z96">
            <v>107.95444775671757</v>
          </cell>
          <cell r="AA96">
            <v>108.31429591590664</v>
          </cell>
          <cell r="AB96">
            <v>108.67534356895968</v>
          </cell>
          <cell r="AC96">
            <v>109.03759471418955</v>
          </cell>
          <cell r="AD96">
            <v>109.40105336323685</v>
          </cell>
          <cell r="AE96">
            <v>109.76572354111433</v>
          </cell>
          <cell r="AF96">
            <v>110.13160928625138</v>
          </cell>
          <cell r="AG96">
            <v>110.49871465053889</v>
          </cell>
          <cell r="AH96">
            <v>110.86704369937402</v>
          </cell>
          <cell r="AI96">
            <v>111.23660051170528</v>
          </cell>
          <cell r="AJ96">
            <v>111.60738918007763</v>
          </cell>
          <cell r="AK96">
            <v>111.9794138106779</v>
          </cell>
          <cell r="AL96">
            <v>112.35267852338016</v>
          </cell>
          <cell r="AM96">
            <v>112.72718745179144</v>
          </cell>
          <cell r="AN96">
            <v>113.10294474329741</v>
          </cell>
          <cell r="AO96">
            <v>113.47995455910841</v>
          </cell>
          <cell r="AP96">
            <v>113.85822107430545</v>
          </cell>
          <cell r="AQ96">
            <v>114.23774847788647</v>
          </cell>
          <cell r="AR96">
            <v>114.61854097281277</v>
          </cell>
          <cell r="AS96">
            <v>115.00060277605549</v>
          </cell>
          <cell r="AT96">
            <v>115.38393811864235</v>
          </cell>
          <cell r="AU96">
            <v>115.7685512457045</v>
          </cell>
          <cell r="AV96">
            <v>116.15444641652353</v>
          </cell>
          <cell r="AW96">
            <v>116.54162790457862</v>
          </cell>
          <cell r="AX96">
            <v>116.93009999759389</v>
          </cell>
          <cell r="AY96">
            <v>117.31986699758588</v>
          </cell>
          <cell r="AZ96">
            <v>117.71093322091117</v>
          </cell>
          <cell r="BA96">
            <v>118.10330299831422</v>
          </cell>
          <cell r="BB96">
            <v>118.49698067497528</v>
          </cell>
          <cell r="BC96">
            <v>118.89197061055853</v>
          </cell>
          <cell r="BD96">
            <v>119.2882771792604</v>
          </cell>
          <cell r="BE96">
            <v>119.68590476985794</v>
          </cell>
          <cell r="BF96">
            <v>120.08485778575748</v>
          </cell>
          <cell r="BG96">
            <v>120.48514064504334</v>
          </cell>
          <cell r="BH96">
            <v>120.88675778052684</v>
          </cell>
          <cell r="BI96">
            <v>121.28971363979527</v>
          </cell>
          <cell r="BJ96">
            <v>121.69401268526126</v>
          </cell>
        </row>
        <row r="97">
          <cell r="C97">
            <v>100</v>
          </cell>
          <cell r="D97">
            <v>100.33333333333334</v>
          </cell>
          <cell r="E97">
            <v>100.6677777777778</v>
          </cell>
          <cell r="F97">
            <v>101.00333703703707</v>
          </cell>
          <cell r="G97">
            <v>101.34001482716053</v>
          </cell>
          <cell r="H97">
            <v>101.67781487658441</v>
          </cell>
          <cell r="I97">
            <v>102.01674092617303</v>
          </cell>
          <cell r="J97">
            <v>102.35679672926028</v>
          </cell>
          <cell r="K97">
            <v>102.69798605169116</v>
          </cell>
          <cell r="L97">
            <v>103.04031267186348</v>
          </cell>
          <cell r="M97">
            <v>103.38378038076969</v>
          </cell>
          <cell r="N97">
            <v>103.72839298203893</v>
          </cell>
          <cell r="O97">
            <v>104.07415429197907</v>
          </cell>
          <cell r="P97">
            <v>104.42106813961901</v>
          </cell>
          <cell r="Q97">
            <v>104.76913836675108</v>
          </cell>
          <cell r="R97">
            <v>105.1183688279736</v>
          </cell>
          <cell r="S97">
            <v>105.46876339073351</v>
          </cell>
          <cell r="T97">
            <v>105.8203259353693</v>
          </cell>
          <cell r="U97">
            <v>106.17306035515386</v>
          </cell>
          <cell r="V97">
            <v>106.52697055633772</v>
          </cell>
          <cell r="W97">
            <v>106.88206045819219</v>
          </cell>
          <cell r="X97">
            <v>107.23833399305283</v>
          </cell>
          <cell r="Y97">
            <v>107.59579510636301</v>
          </cell>
          <cell r="Z97">
            <v>107.95444775671757</v>
          </cell>
          <cell r="AA97">
            <v>108.31429591590664</v>
          </cell>
          <cell r="AB97">
            <v>108.67534356895968</v>
          </cell>
          <cell r="AC97">
            <v>109.03759471418955</v>
          </cell>
          <cell r="AD97">
            <v>109.40105336323685</v>
          </cell>
          <cell r="AE97">
            <v>109.76572354111433</v>
          </cell>
          <cell r="AF97">
            <v>110.13160928625138</v>
          </cell>
          <cell r="AG97">
            <v>110.49871465053889</v>
          </cell>
          <cell r="AH97">
            <v>110.86704369937402</v>
          </cell>
          <cell r="AI97">
            <v>111.23660051170528</v>
          </cell>
          <cell r="AJ97">
            <v>111.60738918007763</v>
          </cell>
          <cell r="AK97">
            <v>111.9794138106779</v>
          </cell>
          <cell r="AL97">
            <v>112.35267852338016</v>
          </cell>
          <cell r="AM97">
            <v>112.72718745179144</v>
          </cell>
          <cell r="AN97">
            <v>113.10294474329741</v>
          </cell>
          <cell r="AO97">
            <v>113.47995455910841</v>
          </cell>
          <cell r="AP97">
            <v>113.85822107430545</v>
          </cell>
          <cell r="AQ97">
            <v>114.23774847788647</v>
          </cell>
          <cell r="AR97">
            <v>114.61854097281277</v>
          </cell>
          <cell r="AS97">
            <v>115.00060277605549</v>
          </cell>
          <cell r="AT97">
            <v>115.38393811864235</v>
          </cell>
          <cell r="AU97">
            <v>115.7685512457045</v>
          </cell>
          <cell r="AV97">
            <v>116.15444641652353</v>
          </cell>
          <cell r="AW97">
            <v>116.54162790457862</v>
          </cell>
          <cell r="AX97">
            <v>116.93009999759389</v>
          </cell>
          <cell r="AY97">
            <v>117.31986699758588</v>
          </cell>
          <cell r="AZ97">
            <v>117.71093322091117</v>
          </cell>
          <cell r="BA97">
            <v>118.10330299831422</v>
          </cell>
          <cell r="BB97">
            <v>118.49698067497528</v>
          </cell>
          <cell r="BC97">
            <v>118.89197061055853</v>
          </cell>
          <cell r="BD97">
            <v>119.2882771792604</v>
          </cell>
          <cell r="BE97">
            <v>119.68590476985794</v>
          </cell>
          <cell r="BF97">
            <v>120.08485778575748</v>
          </cell>
          <cell r="BG97">
            <v>120.48514064504334</v>
          </cell>
          <cell r="BH97">
            <v>120.88675778052684</v>
          </cell>
          <cell r="BI97">
            <v>121.28971363979527</v>
          </cell>
          <cell r="BJ97">
            <v>121.69401268526126</v>
          </cell>
        </row>
        <row r="98">
          <cell r="C98">
            <v>100</v>
          </cell>
          <cell r="D98">
            <v>100.33333333333334</v>
          </cell>
          <cell r="E98">
            <v>100.6677777777778</v>
          </cell>
          <cell r="F98">
            <v>101.00333703703707</v>
          </cell>
          <cell r="G98">
            <v>101.34001482716053</v>
          </cell>
          <cell r="H98">
            <v>101.67781487658441</v>
          </cell>
          <cell r="I98">
            <v>102.01674092617303</v>
          </cell>
          <cell r="J98">
            <v>102.35679672926028</v>
          </cell>
          <cell r="K98">
            <v>102.69798605169116</v>
          </cell>
          <cell r="L98">
            <v>103.04031267186348</v>
          </cell>
          <cell r="M98">
            <v>103.38378038076969</v>
          </cell>
          <cell r="N98">
            <v>103.72839298203893</v>
          </cell>
          <cell r="O98">
            <v>104.07415429197907</v>
          </cell>
          <cell r="P98">
            <v>104.42106813961901</v>
          </cell>
          <cell r="Q98">
            <v>104.76913836675108</v>
          </cell>
          <cell r="R98">
            <v>105.1183688279736</v>
          </cell>
          <cell r="S98">
            <v>105.46876339073351</v>
          </cell>
          <cell r="T98">
            <v>105.8203259353693</v>
          </cell>
          <cell r="U98">
            <v>106.17306035515386</v>
          </cell>
          <cell r="V98">
            <v>106.52697055633772</v>
          </cell>
          <cell r="W98">
            <v>106.88206045819219</v>
          </cell>
          <cell r="X98">
            <v>107.23833399305283</v>
          </cell>
          <cell r="Y98">
            <v>107.59579510636301</v>
          </cell>
          <cell r="Z98">
            <v>107.95444775671757</v>
          </cell>
          <cell r="AA98">
            <v>108.31429591590664</v>
          </cell>
          <cell r="AB98">
            <v>108.67534356895968</v>
          </cell>
          <cell r="AC98">
            <v>109.03759471418955</v>
          </cell>
          <cell r="AD98">
            <v>109.40105336323685</v>
          </cell>
          <cell r="AE98">
            <v>109.76572354111433</v>
          </cell>
          <cell r="AF98">
            <v>110.13160928625138</v>
          </cell>
          <cell r="AG98">
            <v>110.49871465053889</v>
          </cell>
          <cell r="AH98">
            <v>110.86704369937402</v>
          </cell>
          <cell r="AI98">
            <v>111.23660051170528</v>
          </cell>
          <cell r="AJ98">
            <v>111.60738918007763</v>
          </cell>
          <cell r="AK98">
            <v>111.9794138106779</v>
          </cell>
          <cell r="AL98">
            <v>112.35267852338016</v>
          </cell>
          <cell r="AM98">
            <v>112.72718745179144</v>
          </cell>
          <cell r="AN98">
            <v>113.10294474329741</v>
          </cell>
          <cell r="AO98">
            <v>113.47995455910841</v>
          </cell>
          <cell r="AP98">
            <v>113.85822107430545</v>
          </cell>
          <cell r="AQ98">
            <v>114.23774847788647</v>
          </cell>
          <cell r="AR98">
            <v>114.61854097281277</v>
          </cell>
          <cell r="AS98">
            <v>115.00060277605549</v>
          </cell>
          <cell r="AT98">
            <v>115.38393811864235</v>
          </cell>
          <cell r="AU98">
            <v>115.7685512457045</v>
          </cell>
          <cell r="AV98">
            <v>116.15444641652353</v>
          </cell>
          <cell r="AW98">
            <v>116.54162790457862</v>
          </cell>
          <cell r="AX98">
            <v>116.93009999759389</v>
          </cell>
          <cell r="AY98">
            <v>117.31986699758588</v>
          </cell>
          <cell r="AZ98">
            <v>117.71093322091117</v>
          </cell>
          <cell r="BA98">
            <v>118.10330299831422</v>
          </cell>
          <cell r="BB98">
            <v>118.49698067497528</v>
          </cell>
          <cell r="BC98">
            <v>118.89197061055853</v>
          </cell>
          <cell r="BD98">
            <v>119.2882771792604</v>
          </cell>
          <cell r="BE98">
            <v>119.68590476985794</v>
          </cell>
          <cell r="BF98">
            <v>120.08485778575748</v>
          </cell>
          <cell r="BG98">
            <v>120.48514064504334</v>
          </cell>
          <cell r="BH98">
            <v>120.88675778052684</v>
          </cell>
          <cell r="BI98">
            <v>121.28971363979527</v>
          </cell>
          <cell r="BJ98">
            <v>121.69401268526126</v>
          </cell>
        </row>
        <row r="99">
          <cell r="C99">
            <v>100</v>
          </cell>
          <cell r="D99">
            <v>100.33333333333334</v>
          </cell>
          <cell r="E99">
            <v>100.6677777777778</v>
          </cell>
          <cell r="F99">
            <v>101.00333703703707</v>
          </cell>
          <cell r="G99">
            <v>101.34001482716053</v>
          </cell>
          <cell r="H99">
            <v>101.67781487658441</v>
          </cell>
          <cell r="I99">
            <v>102.01674092617303</v>
          </cell>
          <cell r="J99">
            <v>102.35679672926028</v>
          </cell>
          <cell r="K99">
            <v>102.69798605169116</v>
          </cell>
          <cell r="L99">
            <v>103.04031267186348</v>
          </cell>
          <cell r="M99">
            <v>103.38378038076969</v>
          </cell>
          <cell r="N99">
            <v>103.72839298203893</v>
          </cell>
          <cell r="O99">
            <v>104.07415429197907</v>
          </cell>
          <cell r="P99">
            <v>104.42106813961901</v>
          </cell>
          <cell r="Q99">
            <v>104.76913836675108</v>
          </cell>
          <cell r="R99">
            <v>105.1183688279736</v>
          </cell>
          <cell r="S99">
            <v>105.46876339073351</v>
          </cell>
          <cell r="T99">
            <v>105.8203259353693</v>
          </cell>
          <cell r="U99">
            <v>106.17306035515386</v>
          </cell>
          <cell r="V99">
            <v>106.52697055633772</v>
          </cell>
          <cell r="W99">
            <v>106.88206045819219</v>
          </cell>
          <cell r="X99">
            <v>107.23833399305283</v>
          </cell>
          <cell r="Y99">
            <v>107.59579510636301</v>
          </cell>
          <cell r="Z99">
            <v>107.95444775671757</v>
          </cell>
          <cell r="AA99">
            <v>108.31429591590664</v>
          </cell>
          <cell r="AB99">
            <v>108.67534356895968</v>
          </cell>
          <cell r="AC99">
            <v>109.03759471418955</v>
          </cell>
          <cell r="AD99">
            <v>109.40105336323685</v>
          </cell>
          <cell r="AE99">
            <v>109.76572354111433</v>
          </cell>
          <cell r="AF99">
            <v>110.13160928625138</v>
          </cell>
          <cell r="AG99">
            <v>110.49871465053889</v>
          </cell>
          <cell r="AH99">
            <v>110.86704369937402</v>
          </cell>
          <cell r="AI99">
            <v>111.23660051170528</v>
          </cell>
          <cell r="AJ99">
            <v>111.60738918007763</v>
          </cell>
          <cell r="AK99">
            <v>111.9794138106779</v>
          </cell>
          <cell r="AL99">
            <v>112.35267852338016</v>
          </cell>
          <cell r="AM99">
            <v>112.72718745179144</v>
          </cell>
          <cell r="AN99">
            <v>113.10294474329741</v>
          </cell>
          <cell r="AO99">
            <v>113.47995455910841</v>
          </cell>
          <cell r="AP99">
            <v>113.85822107430545</v>
          </cell>
          <cell r="AQ99">
            <v>114.23774847788647</v>
          </cell>
          <cell r="AR99">
            <v>114.61854097281277</v>
          </cell>
          <cell r="AS99">
            <v>115.00060277605549</v>
          </cell>
          <cell r="AT99">
            <v>115.38393811864235</v>
          </cell>
          <cell r="AU99">
            <v>115.7685512457045</v>
          </cell>
          <cell r="AV99">
            <v>116.15444641652353</v>
          </cell>
          <cell r="AW99">
            <v>116.54162790457862</v>
          </cell>
          <cell r="AX99">
            <v>116.93009999759389</v>
          </cell>
          <cell r="AY99">
            <v>117.31986699758588</v>
          </cell>
          <cell r="AZ99">
            <v>117.71093322091117</v>
          </cell>
          <cell r="BA99">
            <v>118.10330299831422</v>
          </cell>
          <cell r="BB99">
            <v>118.49698067497528</v>
          </cell>
          <cell r="BC99">
            <v>118.89197061055853</v>
          </cell>
          <cell r="BD99">
            <v>119.2882771792604</v>
          </cell>
          <cell r="BE99">
            <v>119.68590476985794</v>
          </cell>
          <cell r="BF99">
            <v>120.08485778575748</v>
          </cell>
          <cell r="BG99">
            <v>120.48514064504334</v>
          </cell>
          <cell r="BH99">
            <v>120.88675778052684</v>
          </cell>
          <cell r="BI99">
            <v>121.28971363979527</v>
          </cell>
          <cell r="BJ99">
            <v>121.69401268526126</v>
          </cell>
        </row>
        <row r="100">
          <cell r="C100">
            <v>50</v>
          </cell>
          <cell r="D100">
            <v>50.166666666666671</v>
          </cell>
          <cell r="E100">
            <v>50.3338888888889</v>
          </cell>
          <cell r="F100">
            <v>50.501668518518535</v>
          </cell>
          <cell r="G100">
            <v>50.670007413580265</v>
          </cell>
          <cell r="H100">
            <v>50.838907438292203</v>
          </cell>
          <cell r="I100">
            <v>51.008370463086514</v>
          </cell>
          <cell r="J100">
            <v>51.178398364630141</v>
          </cell>
          <cell r="K100">
            <v>51.34899302584558</v>
          </cell>
          <cell r="L100">
            <v>51.520156335931738</v>
          </cell>
          <cell r="M100">
            <v>51.691890190384846</v>
          </cell>
          <cell r="N100">
            <v>51.864196491019463</v>
          </cell>
          <cell r="O100">
            <v>52.037077145989535</v>
          </cell>
          <cell r="P100">
            <v>52.210534069809505</v>
          </cell>
          <cell r="Q100">
            <v>52.38456918337554</v>
          </cell>
          <cell r="R100">
            <v>52.559184413986799</v>
          </cell>
          <cell r="S100">
            <v>52.734381695366757</v>
          </cell>
          <cell r="T100">
            <v>52.910162967684649</v>
          </cell>
          <cell r="U100">
            <v>53.086530177576932</v>
          </cell>
          <cell r="V100">
            <v>53.263485278168858</v>
          </cell>
          <cell r="W100">
            <v>53.441030229096093</v>
          </cell>
          <cell r="X100">
            <v>53.619166996526417</v>
          </cell>
          <cell r="Y100">
            <v>53.797897553181507</v>
          </cell>
          <cell r="Z100">
            <v>53.977223878358785</v>
          </cell>
          <cell r="AA100">
            <v>54.15714795795332</v>
          </cell>
          <cell r="AB100">
            <v>54.337671784479838</v>
          </cell>
          <cell r="AC100">
            <v>54.518797357094776</v>
          </cell>
          <cell r="AD100">
            <v>54.700526681618427</v>
          </cell>
          <cell r="AE100">
            <v>54.882861770557163</v>
          </cell>
          <cell r="AF100">
            <v>55.065804643125688</v>
          </cell>
          <cell r="AG100">
            <v>55.249357325269443</v>
          </cell>
          <cell r="AH100">
            <v>55.433521849687011</v>
          </cell>
          <cell r="AI100">
            <v>55.618300255852638</v>
          </cell>
          <cell r="AJ100">
            <v>55.803694590038816</v>
          </cell>
          <cell r="AK100">
            <v>55.989706905338949</v>
          </cell>
          <cell r="AL100">
            <v>56.176339261690082</v>
          </cell>
          <cell r="AM100">
            <v>56.363593725895718</v>
          </cell>
          <cell r="AN100">
            <v>56.551472371648707</v>
          </cell>
          <cell r="AO100">
            <v>56.739977279554203</v>
          </cell>
          <cell r="AP100">
            <v>56.929110537152724</v>
          </cell>
          <cell r="AQ100">
            <v>57.118874238943235</v>
          </cell>
          <cell r="AR100">
            <v>57.309270486406383</v>
          </cell>
          <cell r="AS100">
            <v>57.500301388027744</v>
          </cell>
          <cell r="AT100">
            <v>57.691969059321174</v>
          </cell>
          <cell r="AU100">
            <v>57.88427562285225</v>
          </cell>
          <cell r="AV100">
            <v>58.077223208261763</v>
          </cell>
          <cell r="AW100">
            <v>58.270813952289309</v>
          </cell>
          <cell r="AX100">
            <v>58.465049998796943</v>
          </cell>
          <cell r="AY100">
            <v>58.659933498792938</v>
          </cell>
          <cell r="AZ100">
            <v>58.855466610455586</v>
          </cell>
          <cell r="BA100">
            <v>59.05165149915711</v>
          </cell>
          <cell r="BB100">
            <v>59.248490337487638</v>
          </cell>
          <cell r="BC100">
            <v>59.445985305279265</v>
          </cell>
          <cell r="BD100">
            <v>59.644138589630202</v>
          </cell>
          <cell r="BE100">
            <v>59.842952384928971</v>
          </cell>
          <cell r="BF100">
            <v>60.042428892878739</v>
          </cell>
          <cell r="BG100">
            <v>60.242570322521672</v>
          </cell>
          <cell r="BH100">
            <v>60.443378890263418</v>
          </cell>
          <cell r="BI100">
            <v>60.644856819897633</v>
          </cell>
          <cell r="BJ100">
            <v>60.847006342630628</v>
          </cell>
        </row>
        <row r="101">
          <cell r="C101">
            <v>100</v>
          </cell>
          <cell r="D101">
            <v>100.33333333333334</v>
          </cell>
          <cell r="E101">
            <v>100.6677777777778</v>
          </cell>
          <cell r="F101">
            <v>101.00333703703707</v>
          </cell>
          <cell r="G101">
            <v>101.34001482716053</v>
          </cell>
          <cell r="H101">
            <v>101.67781487658441</v>
          </cell>
          <cell r="I101">
            <v>102.01674092617303</v>
          </cell>
          <cell r="J101">
            <v>102.35679672926028</v>
          </cell>
          <cell r="K101">
            <v>102.69798605169116</v>
          </cell>
          <cell r="L101">
            <v>103.04031267186348</v>
          </cell>
          <cell r="M101">
            <v>103.38378038076969</v>
          </cell>
          <cell r="N101">
            <v>103.72839298203893</v>
          </cell>
          <cell r="O101">
            <v>104.07415429197907</v>
          </cell>
          <cell r="P101">
            <v>104.42106813961901</v>
          </cell>
          <cell r="Q101">
            <v>104.76913836675108</v>
          </cell>
          <cell r="R101">
            <v>105.1183688279736</v>
          </cell>
          <cell r="S101">
            <v>105.46876339073351</v>
          </cell>
          <cell r="T101">
            <v>105.8203259353693</v>
          </cell>
          <cell r="U101">
            <v>106.17306035515386</v>
          </cell>
          <cell r="V101">
            <v>106.52697055633772</v>
          </cell>
          <cell r="W101">
            <v>106.88206045819219</v>
          </cell>
          <cell r="X101">
            <v>107.23833399305283</v>
          </cell>
          <cell r="Y101">
            <v>107.59579510636301</v>
          </cell>
          <cell r="Z101">
            <v>107.95444775671757</v>
          </cell>
          <cell r="AA101">
            <v>108.31429591590664</v>
          </cell>
          <cell r="AB101">
            <v>108.67534356895968</v>
          </cell>
          <cell r="AC101">
            <v>109.03759471418955</v>
          </cell>
          <cell r="AD101">
            <v>109.40105336323685</v>
          </cell>
          <cell r="AE101">
            <v>109.76572354111433</v>
          </cell>
          <cell r="AF101">
            <v>110.13160928625138</v>
          </cell>
          <cell r="AG101">
            <v>110.49871465053889</v>
          </cell>
          <cell r="AH101">
            <v>110.86704369937402</v>
          </cell>
          <cell r="AI101">
            <v>111.23660051170528</v>
          </cell>
          <cell r="AJ101">
            <v>111.60738918007763</v>
          </cell>
          <cell r="AK101">
            <v>111.9794138106779</v>
          </cell>
          <cell r="AL101">
            <v>112.35267852338016</v>
          </cell>
          <cell r="AM101">
            <v>112.72718745179144</v>
          </cell>
          <cell r="AN101">
            <v>113.10294474329741</v>
          </cell>
          <cell r="AO101">
            <v>113.47995455910841</v>
          </cell>
          <cell r="AP101">
            <v>113.85822107430545</v>
          </cell>
          <cell r="AQ101">
            <v>114.23774847788647</v>
          </cell>
          <cell r="AR101">
            <v>114.61854097281277</v>
          </cell>
          <cell r="AS101">
            <v>115.00060277605549</v>
          </cell>
          <cell r="AT101">
            <v>115.38393811864235</v>
          </cell>
          <cell r="AU101">
            <v>115.7685512457045</v>
          </cell>
          <cell r="AV101">
            <v>116.15444641652353</v>
          </cell>
          <cell r="AW101">
            <v>116.54162790457862</v>
          </cell>
          <cell r="AX101">
            <v>116.93009999759389</v>
          </cell>
          <cell r="AY101">
            <v>117.31986699758588</v>
          </cell>
          <cell r="AZ101">
            <v>117.71093322091117</v>
          </cell>
          <cell r="BA101">
            <v>118.10330299831422</v>
          </cell>
          <cell r="BB101">
            <v>118.49698067497528</v>
          </cell>
          <cell r="BC101">
            <v>118.89197061055853</v>
          </cell>
          <cell r="BD101">
            <v>119.2882771792604</v>
          </cell>
          <cell r="BE101">
            <v>119.68590476985794</v>
          </cell>
          <cell r="BF101">
            <v>120.08485778575748</v>
          </cell>
          <cell r="BG101">
            <v>120.48514064504334</v>
          </cell>
          <cell r="BH101">
            <v>120.88675778052684</v>
          </cell>
          <cell r="BI101">
            <v>121.28971363979527</v>
          </cell>
          <cell r="BJ101">
            <v>121.69401268526126</v>
          </cell>
        </row>
        <row r="102">
          <cell r="C102">
            <v>100</v>
          </cell>
          <cell r="D102">
            <v>100.33333333333334</v>
          </cell>
          <cell r="E102">
            <v>100.6677777777778</v>
          </cell>
          <cell r="F102">
            <v>101.00333703703707</v>
          </cell>
          <cell r="G102">
            <v>101.34001482716053</v>
          </cell>
          <cell r="H102">
            <v>101.67781487658441</v>
          </cell>
          <cell r="I102">
            <v>102.01674092617303</v>
          </cell>
          <cell r="J102">
            <v>102.35679672926028</v>
          </cell>
          <cell r="K102">
            <v>102.69798605169116</v>
          </cell>
          <cell r="L102">
            <v>103.04031267186348</v>
          </cell>
          <cell r="M102">
            <v>103.38378038076969</v>
          </cell>
          <cell r="N102">
            <v>103.72839298203893</v>
          </cell>
          <cell r="O102">
            <v>104.07415429197907</v>
          </cell>
          <cell r="P102">
            <v>104.42106813961901</v>
          </cell>
          <cell r="Q102">
            <v>104.76913836675108</v>
          </cell>
          <cell r="R102">
            <v>105.1183688279736</v>
          </cell>
          <cell r="S102">
            <v>105.46876339073351</v>
          </cell>
          <cell r="T102">
            <v>105.8203259353693</v>
          </cell>
          <cell r="U102">
            <v>106.17306035515386</v>
          </cell>
          <cell r="V102">
            <v>106.52697055633772</v>
          </cell>
          <cell r="W102">
            <v>106.88206045819219</v>
          </cell>
          <cell r="X102">
            <v>107.23833399305283</v>
          </cell>
          <cell r="Y102">
            <v>107.59579510636301</v>
          </cell>
          <cell r="Z102">
            <v>107.95444775671757</v>
          </cell>
          <cell r="AA102">
            <v>108.31429591590664</v>
          </cell>
          <cell r="AB102">
            <v>108.67534356895968</v>
          </cell>
          <cell r="AC102">
            <v>109.03759471418955</v>
          </cell>
          <cell r="AD102">
            <v>109.40105336323685</v>
          </cell>
          <cell r="AE102">
            <v>109.76572354111433</v>
          </cell>
          <cell r="AF102">
            <v>110.13160928625138</v>
          </cell>
          <cell r="AG102">
            <v>110.49871465053889</v>
          </cell>
          <cell r="AH102">
            <v>110.86704369937402</v>
          </cell>
          <cell r="AI102">
            <v>111.23660051170528</v>
          </cell>
          <cell r="AJ102">
            <v>111.60738918007763</v>
          </cell>
          <cell r="AK102">
            <v>111.9794138106779</v>
          </cell>
          <cell r="AL102">
            <v>112.35267852338016</v>
          </cell>
          <cell r="AM102">
            <v>112.72718745179144</v>
          </cell>
          <cell r="AN102">
            <v>113.10294474329741</v>
          </cell>
          <cell r="AO102">
            <v>113.47995455910841</v>
          </cell>
          <cell r="AP102">
            <v>113.85822107430545</v>
          </cell>
          <cell r="AQ102">
            <v>114.23774847788647</v>
          </cell>
          <cell r="AR102">
            <v>114.61854097281277</v>
          </cell>
          <cell r="AS102">
            <v>115.00060277605549</v>
          </cell>
          <cell r="AT102">
            <v>115.38393811864235</v>
          </cell>
          <cell r="AU102">
            <v>115.7685512457045</v>
          </cell>
          <cell r="AV102">
            <v>116.15444641652353</v>
          </cell>
          <cell r="AW102">
            <v>116.54162790457862</v>
          </cell>
          <cell r="AX102">
            <v>116.93009999759389</v>
          </cell>
          <cell r="AY102">
            <v>117.31986699758588</v>
          </cell>
          <cell r="AZ102">
            <v>117.71093322091117</v>
          </cell>
          <cell r="BA102">
            <v>118.10330299831422</v>
          </cell>
          <cell r="BB102">
            <v>118.49698067497528</v>
          </cell>
          <cell r="BC102">
            <v>118.89197061055853</v>
          </cell>
          <cell r="BD102">
            <v>119.2882771792604</v>
          </cell>
          <cell r="BE102">
            <v>119.68590476985794</v>
          </cell>
          <cell r="BF102">
            <v>120.08485778575748</v>
          </cell>
          <cell r="BG102">
            <v>120.48514064504334</v>
          </cell>
          <cell r="BH102">
            <v>120.88675778052684</v>
          </cell>
          <cell r="BI102">
            <v>121.28971363979527</v>
          </cell>
          <cell r="BJ102">
            <v>121.69401268526126</v>
          </cell>
        </row>
        <row r="103">
          <cell r="C103">
            <v>100</v>
          </cell>
          <cell r="D103">
            <v>100.33333333333334</v>
          </cell>
          <cell r="E103">
            <v>100.6677777777778</v>
          </cell>
          <cell r="F103">
            <v>101.00333703703707</v>
          </cell>
          <cell r="G103">
            <v>101.34001482716053</v>
          </cell>
          <cell r="H103">
            <v>101.67781487658441</v>
          </cell>
          <cell r="I103">
            <v>102.01674092617303</v>
          </cell>
          <cell r="J103">
            <v>102.35679672926028</v>
          </cell>
          <cell r="K103">
            <v>102.69798605169116</v>
          </cell>
          <cell r="L103">
            <v>103.04031267186348</v>
          </cell>
          <cell r="M103">
            <v>103.38378038076969</v>
          </cell>
          <cell r="N103">
            <v>103.72839298203893</v>
          </cell>
          <cell r="O103">
            <v>104.07415429197907</v>
          </cell>
          <cell r="P103">
            <v>104.42106813961901</v>
          </cell>
          <cell r="Q103">
            <v>104.76913836675108</v>
          </cell>
          <cell r="R103">
            <v>105.1183688279736</v>
          </cell>
          <cell r="S103">
            <v>105.46876339073351</v>
          </cell>
          <cell r="T103">
            <v>105.8203259353693</v>
          </cell>
          <cell r="U103">
            <v>106.17306035515386</v>
          </cell>
          <cell r="V103">
            <v>106.52697055633772</v>
          </cell>
          <cell r="W103">
            <v>106.88206045819219</v>
          </cell>
          <cell r="X103">
            <v>107.23833399305283</v>
          </cell>
          <cell r="Y103">
            <v>107.59579510636301</v>
          </cell>
          <cell r="Z103">
            <v>107.95444775671757</v>
          </cell>
          <cell r="AA103">
            <v>108.31429591590664</v>
          </cell>
          <cell r="AB103">
            <v>108.67534356895968</v>
          </cell>
          <cell r="AC103">
            <v>109.03759471418955</v>
          </cell>
          <cell r="AD103">
            <v>109.40105336323685</v>
          </cell>
          <cell r="AE103">
            <v>109.76572354111433</v>
          </cell>
          <cell r="AF103">
            <v>110.13160928625138</v>
          </cell>
          <cell r="AG103">
            <v>110.49871465053889</v>
          </cell>
          <cell r="AH103">
            <v>110.86704369937402</v>
          </cell>
          <cell r="AI103">
            <v>111.23660051170528</v>
          </cell>
          <cell r="AJ103">
            <v>111.60738918007763</v>
          </cell>
          <cell r="AK103">
            <v>111.9794138106779</v>
          </cell>
          <cell r="AL103">
            <v>112.35267852338016</v>
          </cell>
          <cell r="AM103">
            <v>112.72718745179144</v>
          </cell>
          <cell r="AN103">
            <v>113.10294474329741</v>
          </cell>
          <cell r="AO103">
            <v>113.47995455910841</v>
          </cell>
          <cell r="AP103">
            <v>113.85822107430545</v>
          </cell>
          <cell r="AQ103">
            <v>114.23774847788647</v>
          </cell>
          <cell r="AR103">
            <v>114.61854097281277</v>
          </cell>
          <cell r="AS103">
            <v>115.00060277605549</v>
          </cell>
          <cell r="AT103">
            <v>115.38393811864235</v>
          </cell>
          <cell r="AU103">
            <v>115.7685512457045</v>
          </cell>
          <cell r="AV103">
            <v>116.15444641652353</v>
          </cell>
          <cell r="AW103">
            <v>116.54162790457862</v>
          </cell>
          <cell r="AX103">
            <v>116.93009999759389</v>
          </cell>
          <cell r="AY103">
            <v>117.31986699758588</v>
          </cell>
          <cell r="AZ103">
            <v>117.71093322091117</v>
          </cell>
          <cell r="BA103">
            <v>118.10330299831422</v>
          </cell>
          <cell r="BB103">
            <v>118.49698067497528</v>
          </cell>
          <cell r="BC103">
            <v>118.89197061055853</v>
          </cell>
          <cell r="BD103">
            <v>119.2882771792604</v>
          </cell>
          <cell r="BE103">
            <v>119.68590476985794</v>
          </cell>
          <cell r="BF103">
            <v>120.08485778575748</v>
          </cell>
          <cell r="BG103">
            <v>120.48514064504334</v>
          </cell>
          <cell r="BH103">
            <v>120.88675778052684</v>
          </cell>
          <cell r="BI103">
            <v>121.28971363979527</v>
          </cell>
          <cell r="BJ103">
            <v>121.69401268526126</v>
          </cell>
        </row>
        <row r="104">
          <cell r="C104">
            <v>100</v>
          </cell>
          <cell r="D104">
            <v>100.33333333333334</v>
          </cell>
          <cell r="E104">
            <v>100.6677777777778</v>
          </cell>
          <cell r="F104">
            <v>101.00333703703707</v>
          </cell>
          <cell r="G104">
            <v>101.34001482716053</v>
          </cell>
          <cell r="H104">
            <v>101.67781487658441</v>
          </cell>
          <cell r="I104">
            <v>102.01674092617303</v>
          </cell>
          <cell r="J104">
            <v>102.35679672926028</v>
          </cell>
          <cell r="K104">
            <v>102.69798605169116</v>
          </cell>
          <cell r="L104">
            <v>103.04031267186348</v>
          </cell>
          <cell r="M104">
            <v>103.38378038076969</v>
          </cell>
          <cell r="N104">
            <v>103.72839298203893</v>
          </cell>
          <cell r="O104">
            <v>104.07415429197907</v>
          </cell>
          <cell r="P104">
            <v>104.42106813961901</v>
          </cell>
          <cell r="Q104">
            <v>104.76913836675108</v>
          </cell>
          <cell r="R104">
            <v>105.1183688279736</v>
          </cell>
          <cell r="S104">
            <v>105.46876339073351</v>
          </cell>
          <cell r="T104">
            <v>105.8203259353693</v>
          </cell>
          <cell r="U104">
            <v>106.17306035515386</v>
          </cell>
          <cell r="V104">
            <v>106.52697055633772</v>
          </cell>
          <cell r="W104">
            <v>106.88206045819219</v>
          </cell>
          <cell r="X104">
            <v>107.23833399305283</v>
          </cell>
          <cell r="Y104">
            <v>107.59579510636301</v>
          </cell>
          <cell r="Z104">
            <v>107.95444775671757</v>
          </cell>
          <cell r="AA104">
            <v>108.31429591590664</v>
          </cell>
          <cell r="AB104">
            <v>108.67534356895968</v>
          </cell>
          <cell r="AC104">
            <v>109.03759471418955</v>
          </cell>
          <cell r="AD104">
            <v>109.40105336323685</v>
          </cell>
          <cell r="AE104">
            <v>109.76572354111433</v>
          </cell>
          <cell r="AF104">
            <v>110.13160928625138</v>
          </cell>
          <cell r="AG104">
            <v>110.49871465053889</v>
          </cell>
          <cell r="AH104">
            <v>110.86704369937402</v>
          </cell>
          <cell r="AI104">
            <v>111.23660051170528</v>
          </cell>
          <cell r="AJ104">
            <v>111.60738918007763</v>
          </cell>
          <cell r="AK104">
            <v>111.9794138106779</v>
          </cell>
          <cell r="AL104">
            <v>112.35267852338016</v>
          </cell>
          <cell r="AM104">
            <v>112.72718745179144</v>
          </cell>
          <cell r="AN104">
            <v>113.10294474329741</v>
          </cell>
          <cell r="AO104">
            <v>113.47995455910841</v>
          </cell>
          <cell r="AP104">
            <v>113.85822107430545</v>
          </cell>
          <cell r="AQ104">
            <v>114.23774847788647</v>
          </cell>
          <cell r="AR104">
            <v>114.61854097281277</v>
          </cell>
          <cell r="AS104">
            <v>115.00060277605549</v>
          </cell>
          <cell r="AT104">
            <v>115.38393811864235</v>
          </cell>
          <cell r="AU104">
            <v>115.7685512457045</v>
          </cell>
          <cell r="AV104">
            <v>116.15444641652353</v>
          </cell>
          <cell r="AW104">
            <v>116.54162790457862</v>
          </cell>
          <cell r="AX104">
            <v>116.93009999759389</v>
          </cell>
          <cell r="AY104">
            <v>117.31986699758588</v>
          </cell>
          <cell r="AZ104">
            <v>117.71093322091117</v>
          </cell>
          <cell r="BA104">
            <v>118.10330299831422</v>
          </cell>
          <cell r="BB104">
            <v>118.49698067497528</v>
          </cell>
          <cell r="BC104">
            <v>118.89197061055853</v>
          </cell>
          <cell r="BD104">
            <v>119.2882771792604</v>
          </cell>
          <cell r="BE104">
            <v>119.68590476985794</v>
          </cell>
          <cell r="BF104">
            <v>120.08485778575748</v>
          </cell>
          <cell r="BG104">
            <v>120.48514064504334</v>
          </cell>
          <cell r="BH104">
            <v>120.88675778052684</v>
          </cell>
          <cell r="BI104">
            <v>121.28971363979527</v>
          </cell>
          <cell r="BJ104">
            <v>121.69401268526126</v>
          </cell>
        </row>
        <row r="105">
          <cell r="C105">
            <v>100</v>
          </cell>
          <cell r="D105">
            <v>100.33333333333334</v>
          </cell>
          <cell r="E105">
            <v>100.6677777777778</v>
          </cell>
          <cell r="F105">
            <v>101.00333703703707</v>
          </cell>
          <cell r="G105">
            <v>101.34001482716053</v>
          </cell>
          <cell r="H105">
            <v>101.67781487658441</v>
          </cell>
          <cell r="I105">
            <v>102.01674092617303</v>
          </cell>
          <cell r="J105">
            <v>102.35679672926028</v>
          </cell>
          <cell r="K105">
            <v>102.69798605169116</v>
          </cell>
          <cell r="L105">
            <v>103.04031267186348</v>
          </cell>
          <cell r="M105">
            <v>103.38378038076969</v>
          </cell>
          <cell r="N105">
            <v>103.72839298203893</v>
          </cell>
          <cell r="O105">
            <v>104.07415429197907</v>
          </cell>
          <cell r="P105">
            <v>104.42106813961901</v>
          </cell>
          <cell r="Q105">
            <v>104.76913836675108</v>
          </cell>
          <cell r="R105">
            <v>105.1183688279736</v>
          </cell>
          <cell r="S105">
            <v>105.46876339073351</v>
          </cell>
          <cell r="T105">
            <v>105.8203259353693</v>
          </cell>
          <cell r="U105">
            <v>106.17306035515386</v>
          </cell>
          <cell r="V105">
            <v>106.52697055633772</v>
          </cell>
          <cell r="W105">
            <v>106.88206045819219</v>
          </cell>
          <cell r="X105">
            <v>107.23833399305283</v>
          </cell>
          <cell r="Y105">
            <v>107.59579510636301</v>
          </cell>
          <cell r="Z105">
            <v>107.95444775671757</v>
          </cell>
          <cell r="AA105">
            <v>108.31429591590664</v>
          </cell>
          <cell r="AB105">
            <v>108.67534356895968</v>
          </cell>
          <cell r="AC105">
            <v>109.03759471418955</v>
          </cell>
          <cell r="AD105">
            <v>109.40105336323685</v>
          </cell>
          <cell r="AE105">
            <v>109.76572354111433</v>
          </cell>
          <cell r="AF105">
            <v>110.13160928625138</v>
          </cell>
          <cell r="AG105">
            <v>110.49871465053889</v>
          </cell>
          <cell r="AH105">
            <v>110.86704369937402</v>
          </cell>
          <cell r="AI105">
            <v>111.23660051170528</v>
          </cell>
          <cell r="AJ105">
            <v>111.60738918007763</v>
          </cell>
          <cell r="AK105">
            <v>111.9794138106779</v>
          </cell>
          <cell r="AL105">
            <v>112.35267852338016</v>
          </cell>
          <cell r="AM105">
            <v>112.72718745179144</v>
          </cell>
          <cell r="AN105">
            <v>113.10294474329741</v>
          </cell>
          <cell r="AO105">
            <v>113.47995455910841</v>
          </cell>
          <cell r="AP105">
            <v>113.85822107430545</v>
          </cell>
          <cell r="AQ105">
            <v>114.23774847788647</v>
          </cell>
          <cell r="AR105">
            <v>114.61854097281277</v>
          </cell>
          <cell r="AS105">
            <v>115.00060277605549</v>
          </cell>
          <cell r="AT105">
            <v>115.38393811864235</v>
          </cell>
          <cell r="AU105">
            <v>115.7685512457045</v>
          </cell>
          <cell r="AV105">
            <v>116.15444641652353</v>
          </cell>
          <cell r="AW105">
            <v>116.54162790457862</v>
          </cell>
          <cell r="AX105">
            <v>116.93009999759389</v>
          </cell>
          <cell r="AY105">
            <v>117.31986699758588</v>
          </cell>
          <cell r="AZ105">
            <v>117.71093322091117</v>
          </cell>
          <cell r="BA105">
            <v>118.10330299831422</v>
          </cell>
          <cell r="BB105">
            <v>118.49698067497528</v>
          </cell>
          <cell r="BC105">
            <v>118.89197061055853</v>
          </cell>
          <cell r="BD105">
            <v>119.2882771792604</v>
          </cell>
          <cell r="BE105">
            <v>119.68590476985794</v>
          </cell>
          <cell r="BF105">
            <v>120.08485778575748</v>
          </cell>
          <cell r="BG105">
            <v>120.48514064504334</v>
          </cell>
          <cell r="BH105">
            <v>120.88675778052684</v>
          </cell>
          <cell r="BI105">
            <v>121.28971363979527</v>
          </cell>
          <cell r="BJ105">
            <v>121.69401268526126</v>
          </cell>
        </row>
        <row r="113">
          <cell r="C113">
            <v>75</v>
          </cell>
          <cell r="D113">
            <v>75</v>
          </cell>
          <cell r="E113">
            <v>75</v>
          </cell>
          <cell r="F113">
            <v>75</v>
          </cell>
          <cell r="G113">
            <v>75</v>
          </cell>
          <cell r="H113">
            <v>75</v>
          </cell>
          <cell r="I113">
            <v>75</v>
          </cell>
          <cell r="J113">
            <v>75</v>
          </cell>
          <cell r="K113">
            <v>75</v>
          </cell>
          <cell r="L113">
            <v>75</v>
          </cell>
          <cell r="M113">
            <v>75</v>
          </cell>
          <cell r="N113">
            <v>75</v>
          </cell>
          <cell r="O113">
            <v>75</v>
          </cell>
          <cell r="P113">
            <v>75</v>
          </cell>
          <cell r="Q113">
            <v>75</v>
          </cell>
          <cell r="R113">
            <v>75</v>
          </cell>
          <cell r="S113">
            <v>75</v>
          </cell>
          <cell r="T113">
            <v>75</v>
          </cell>
          <cell r="U113">
            <v>75</v>
          </cell>
          <cell r="V113">
            <v>75</v>
          </cell>
          <cell r="W113">
            <v>75</v>
          </cell>
          <cell r="X113">
            <v>75</v>
          </cell>
          <cell r="Y113">
            <v>75</v>
          </cell>
          <cell r="Z113">
            <v>75</v>
          </cell>
          <cell r="AA113">
            <v>75</v>
          </cell>
          <cell r="AB113">
            <v>75</v>
          </cell>
          <cell r="AC113">
            <v>75</v>
          </cell>
          <cell r="AD113">
            <v>75</v>
          </cell>
          <cell r="AE113">
            <v>75</v>
          </cell>
          <cell r="AF113">
            <v>75</v>
          </cell>
          <cell r="AG113">
            <v>75</v>
          </cell>
          <cell r="AH113">
            <v>75</v>
          </cell>
          <cell r="AI113">
            <v>75</v>
          </cell>
          <cell r="AJ113">
            <v>75</v>
          </cell>
          <cell r="AK113">
            <v>75</v>
          </cell>
          <cell r="AL113">
            <v>75</v>
          </cell>
          <cell r="AM113">
            <v>75</v>
          </cell>
          <cell r="AN113">
            <v>75</v>
          </cell>
          <cell r="AO113">
            <v>75</v>
          </cell>
          <cell r="AP113">
            <v>75</v>
          </cell>
          <cell r="AQ113">
            <v>75</v>
          </cell>
          <cell r="AR113">
            <v>75</v>
          </cell>
          <cell r="AS113">
            <v>75</v>
          </cell>
          <cell r="AT113">
            <v>75</v>
          </cell>
          <cell r="AU113">
            <v>75</v>
          </cell>
          <cell r="AV113">
            <v>75</v>
          </cell>
          <cell r="AW113">
            <v>75</v>
          </cell>
          <cell r="AX113">
            <v>75</v>
          </cell>
          <cell r="AY113">
            <v>75</v>
          </cell>
          <cell r="AZ113">
            <v>75</v>
          </cell>
          <cell r="BA113">
            <v>75</v>
          </cell>
          <cell r="BB113">
            <v>75</v>
          </cell>
          <cell r="BC113">
            <v>75</v>
          </cell>
          <cell r="BD113">
            <v>75</v>
          </cell>
          <cell r="BE113">
            <v>75</v>
          </cell>
          <cell r="BF113">
            <v>75</v>
          </cell>
          <cell r="BG113">
            <v>75</v>
          </cell>
          <cell r="BH113">
            <v>75</v>
          </cell>
          <cell r="BI113">
            <v>75</v>
          </cell>
          <cell r="BJ113">
            <v>75</v>
          </cell>
        </row>
      </sheetData>
      <sheetData sheetId="10"/>
      <sheetData sheetId="11"/>
      <sheetData sheetId="12"/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t Income"/>
      <sheetName val="Revenue"/>
      <sheetName val="Expenses"/>
      <sheetName val="Balance Sheet"/>
      <sheetName val="Cashflow"/>
      <sheetName val="Cash Vs. In Kind"/>
      <sheetName val="Ratio Analysis"/>
    </sheetNames>
    <sheetDataSet>
      <sheetData sheetId="0">
        <row r="14">
          <cell r="E14">
            <v>2009</v>
          </cell>
        </row>
      </sheetData>
      <sheetData sheetId="1">
        <row r="6">
          <cell r="D6">
            <v>25421.75</v>
          </cell>
        </row>
        <row r="10">
          <cell r="D10">
            <v>262527.03015867207</v>
          </cell>
        </row>
      </sheetData>
      <sheetData sheetId="2"/>
      <sheetData sheetId="3" refreshError="1"/>
      <sheetData sheetId="4" refreshError="1"/>
      <sheetData sheetId="5">
        <row r="12">
          <cell r="D12">
            <v>0</v>
          </cell>
        </row>
      </sheetData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io Analysis"/>
      <sheetName val="Cashflow"/>
      <sheetName val="Balance Sheet"/>
      <sheetName val="Expenses"/>
      <sheetName val="Revenue"/>
      <sheetName val="Net Income"/>
      <sheetName val="IS 2008 -09"/>
      <sheetName val="IS 2009 - 10"/>
      <sheetName val="IS 2010 - 11"/>
      <sheetName val="IS 2011 - 12"/>
      <sheetName val="IS 2012 - 13"/>
      <sheetName val="BS 2009"/>
      <sheetName val="BS 2010"/>
      <sheetName val="BS 2011"/>
      <sheetName val="BS 2012"/>
      <sheetName val="BS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32">
          <cell r="B32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095EC-DF1E-469B-ABF4-5AAE779C55CF}">
  <dimension ref="A1:U1048545"/>
  <sheetViews>
    <sheetView workbookViewId="0">
      <selection activeCell="A16" sqref="A16"/>
    </sheetView>
  </sheetViews>
  <sheetFormatPr defaultColWidth="8.90625" defaultRowHeight="14.5"/>
  <cols>
    <col min="3" max="3" width="24.6328125" bestFit="1" customWidth="1"/>
    <col min="4" max="4" width="2.453125" customWidth="1"/>
    <col min="5" max="5" width="12.36328125" customWidth="1"/>
    <col min="6" max="6" width="43.54296875" bestFit="1" customWidth="1"/>
  </cols>
  <sheetData>
    <row r="1" spans="1:21">
      <c r="A1" s="1" t="s">
        <v>0</v>
      </c>
      <c r="B1" s="2" t="s">
        <v>282</v>
      </c>
      <c r="C1" s="3"/>
      <c r="D1" s="3"/>
      <c r="E1" s="4" t="s">
        <v>1</v>
      </c>
      <c r="F1" s="5" t="s">
        <v>2</v>
      </c>
    </row>
    <row r="2" spans="1:21">
      <c r="A2" s="1" t="s">
        <v>3</v>
      </c>
      <c r="B2" s="2" t="s">
        <v>283</v>
      </c>
      <c r="C2" s="3"/>
      <c r="D2" s="3"/>
      <c r="E2" s="6" t="s">
        <v>4</v>
      </c>
      <c r="F2" s="5" t="s">
        <v>5</v>
      </c>
    </row>
    <row r="3" spans="1:21">
      <c r="A3" s="1" t="s">
        <v>6</v>
      </c>
      <c r="B3" s="2" t="s">
        <v>64</v>
      </c>
      <c r="C3" s="3"/>
      <c r="D3" s="3"/>
      <c r="E3" s="7" t="s">
        <v>8</v>
      </c>
      <c r="F3" s="5" t="s">
        <v>9</v>
      </c>
    </row>
    <row r="4" spans="1:21">
      <c r="A4" s="8" t="s">
        <v>10</v>
      </c>
      <c r="B4" s="9">
        <v>46033</v>
      </c>
      <c r="C4" s="3"/>
      <c r="D4" s="3"/>
      <c r="E4" s="10" t="s">
        <v>11</v>
      </c>
      <c r="F4" s="5" t="s">
        <v>12</v>
      </c>
    </row>
    <row r="6" spans="1:21" ht="15" thickBot="1">
      <c r="C6" s="46" t="s">
        <v>65</v>
      </c>
    </row>
    <row r="7" spans="1:21">
      <c r="C7" s="47" t="s">
        <v>66</v>
      </c>
      <c r="D7" s="48"/>
      <c r="E7" s="49" t="s">
        <v>67</v>
      </c>
      <c r="F7" s="50" t="s">
        <v>68</v>
      </c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</row>
    <row r="8" spans="1:21">
      <c r="C8" s="52" t="s">
        <v>7</v>
      </c>
      <c r="D8" s="53"/>
      <c r="E8" s="53" t="s">
        <v>69</v>
      </c>
      <c r="F8" s="54" t="s">
        <v>70</v>
      </c>
    </row>
    <row r="9" spans="1:21">
      <c r="C9" s="52" t="s">
        <v>71</v>
      </c>
      <c r="D9" s="53"/>
      <c r="E9" s="53" t="s">
        <v>72</v>
      </c>
      <c r="F9" s="54" t="s">
        <v>73</v>
      </c>
    </row>
    <row r="10" spans="1:21">
      <c r="C10" s="52" t="s">
        <v>74</v>
      </c>
      <c r="D10" s="53"/>
      <c r="E10" s="53" t="s">
        <v>72</v>
      </c>
      <c r="F10" s="54" t="s">
        <v>75</v>
      </c>
    </row>
    <row r="11" spans="1:21">
      <c r="C11" s="52" t="s">
        <v>76</v>
      </c>
      <c r="D11" s="53"/>
      <c r="E11" s="53" t="s">
        <v>72</v>
      </c>
      <c r="F11" s="54" t="s">
        <v>77</v>
      </c>
    </row>
    <row r="12" spans="1:21">
      <c r="C12" s="52" t="s">
        <v>78</v>
      </c>
      <c r="D12" s="53"/>
      <c r="E12" s="53" t="s">
        <v>72</v>
      </c>
      <c r="F12" s="54" t="s">
        <v>79</v>
      </c>
    </row>
    <row r="13" spans="1:21">
      <c r="C13" s="52" t="s">
        <v>80</v>
      </c>
      <c r="D13" s="53"/>
      <c r="E13" s="53" t="s">
        <v>72</v>
      </c>
      <c r="F13" s="54" t="s">
        <v>80</v>
      </c>
    </row>
    <row r="14" spans="1:21">
      <c r="C14" s="52" t="s">
        <v>81</v>
      </c>
      <c r="D14" s="53"/>
      <c r="E14" s="53" t="s">
        <v>72</v>
      </c>
      <c r="F14" s="54" t="s">
        <v>81</v>
      </c>
    </row>
    <row r="15" spans="1:21">
      <c r="C15" s="52" t="s">
        <v>82</v>
      </c>
      <c r="D15" s="53"/>
      <c r="E15" s="53" t="s">
        <v>72</v>
      </c>
      <c r="F15" s="54" t="s">
        <v>83</v>
      </c>
    </row>
    <row r="16" spans="1:21">
      <c r="C16" s="52" t="s">
        <v>84</v>
      </c>
      <c r="D16" s="53"/>
      <c r="E16" s="53" t="s">
        <v>69</v>
      </c>
      <c r="F16" s="54" t="s">
        <v>85</v>
      </c>
    </row>
    <row r="17" spans="3:6">
      <c r="C17" s="52" t="s">
        <v>86</v>
      </c>
      <c r="D17" s="53"/>
      <c r="E17" s="53" t="s">
        <v>72</v>
      </c>
      <c r="F17" s="54" t="s">
        <v>86</v>
      </c>
    </row>
    <row r="18" spans="3:6">
      <c r="C18" s="52" t="s">
        <v>87</v>
      </c>
      <c r="D18" s="53"/>
      <c r="E18" s="53" t="s">
        <v>72</v>
      </c>
      <c r="F18" s="54" t="s">
        <v>87</v>
      </c>
    </row>
    <row r="19" spans="3:6">
      <c r="C19" s="52" t="s">
        <v>88</v>
      </c>
      <c r="D19" s="53"/>
      <c r="E19" s="53" t="s">
        <v>72</v>
      </c>
      <c r="F19" s="54" t="s">
        <v>89</v>
      </c>
    </row>
    <row r="20" spans="3:6" ht="15" hidden="1" thickBot="1">
      <c r="C20" s="55" t="s">
        <v>90</v>
      </c>
      <c r="D20" s="56"/>
      <c r="E20" s="56" t="s">
        <v>69</v>
      </c>
      <c r="F20" s="57" t="s">
        <v>91</v>
      </c>
    </row>
    <row r="1048543" spans="1:1">
      <c r="A1048543" t="s">
        <v>92</v>
      </c>
    </row>
    <row r="1048544" spans="1:1">
      <c r="A1048544" t="s">
        <v>92</v>
      </c>
    </row>
    <row r="1048545" spans="1:1">
      <c r="A1048545" t="s">
        <v>92</v>
      </c>
    </row>
  </sheetData>
  <hyperlinks>
    <hyperlink ref="C8" location="Assumptions!A1" display="Assumptions" xr:uid="{D41D5753-D96A-49BD-87A4-A55081D7D794}"/>
    <hyperlink ref="C13" location="'Income Statement'!A1" display="Income Statement" xr:uid="{81E03BFF-C01A-479B-88E5-112E5235274F}"/>
    <hyperlink ref="C14" location="'Balance Sheet'!A1" display="Balance Sheet" xr:uid="{929073F4-6872-4504-904D-9FF7115C5475}"/>
    <hyperlink ref="C15" location="'Cashflow Statement'!A1" display="Casflow Statement" xr:uid="{EA729F5E-2E2F-40B3-A2EE-3044FAADBAD1}"/>
    <hyperlink ref="C16" location="Valuation!A1" display="Valuation" xr:uid="{BD669FE3-23F9-430F-AB48-8ED57D2E6E46}"/>
    <hyperlink ref="C17" location="'Loan Repayment Schedule'!A1" display="Loan Repayment Schedule" xr:uid="{A15B93C3-DCC0-4478-B2B4-B221F82B29F4}"/>
    <hyperlink ref="C18" location="'Depreciation Schedule'!A1" display="Depreciation Schedule" xr:uid="{0A2BDCC4-526E-4A5E-9946-ACBEE4D361CA}"/>
    <hyperlink ref="C19" location="Dashboard!A1" display="Dashboard" xr:uid="{E44A94C1-D7EE-47E8-801E-D8BECBF8D167}"/>
    <hyperlink ref="C20" location="'Existing Practice Valuation'!A1" display="Existing Practice Valuation" xr:uid="{DAA57AD0-D206-4913-8CAC-1E289AA280DB}"/>
    <hyperlink ref="C12" location="'Cashflow Analysis'!A1" display="Casflow Analysis" xr:uid="{2D4D1624-8316-4F0E-8454-EE6164298FA8}"/>
    <hyperlink ref="C11" location="'Expense Analysis'!A1" display="Expense Analysis" xr:uid="{82634334-F272-418E-9F3A-DCC3E38BB883}"/>
    <hyperlink ref="C10" location="'Revenue Analysis'!A1" display="Revenue Analysis" xr:uid="{907D1014-F81C-4E44-9377-9D37DA50CF4A}"/>
    <hyperlink ref="C9" location="'Net Income Analysis'!A1" display="Net Income Analysis" xr:uid="{889210F2-EA9C-40D6-B482-786290236E0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9BF38-A213-4278-BCA3-FD3CB1C2E49B}">
  <dimension ref="B1:AZ91"/>
  <sheetViews>
    <sheetView topLeftCell="W48" zoomScale="73" zoomScaleNormal="65" workbookViewId="0">
      <selection activeCell="AC63" sqref="AC63"/>
    </sheetView>
  </sheetViews>
  <sheetFormatPr defaultRowHeight="14.5"/>
  <cols>
    <col min="2" max="2" width="19" customWidth="1"/>
    <col min="3" max="4" width="10.7265625" bestFit="1" customWidth="1"/>
    <col min="5" max="7" width="11.81640625" bestFit="1" customWidth="1"/>
    <col min="8" max="8" width="14.7265625" customWidth="1"/>
    <col min="9" max="12" width="11.81640625" bestFit="1" customWidth="1"/>
    <col min="16" max="16" width="21.6328125" customWidth="1"/>
    <col min="17" max="17" width="19.36328125" customWidth="1"/>
    <col min="18" max="18" width="18.54296875" customWidth="1"/>
    <col min="19" max="19" width="16.90625" customWidth="1"/>
    <col min="20" max="20" width="16.6328125" customWidth="1"/>
    <col min="21" max="21" width="18.7265625" customWidth="1"/>
    <col min="22" max="22" width="20.7265625" customWidth="1"/>
    <col min="23" max="23" width="19.1796875" customWidth="1"/>
    <col min="24" max="24" width="20" customWidth="1"/>
    <col min="25" max="25" width="19.81640625" customWidth="1"/>
    <col min="26" max="26" width="20" customWidth="1"/>
    <col min="28" max="28" width="18.81640625" customWidth="1"/>
    <col min="29" max="30" width="13.54296875" customWidth="1"/>
    <col min="31" max="31" width="13.6328125" customWidth="1"/>
    <col min="32" max="32" width="14.81640625" customWidth="1"/>
    <col min="33" max="33" width="15.54296875" customWidth="1"/>
    <col min="34" max="34" width="15.1796875" customWidth="1"/>
    <col min="35" max="35" width="15.453125" customWidth="1"/>
    <col min="36" max="36" width="14.81640625" customWidth="1"/>
    <col min="37" max="38" width="15.453125" customWidth="1"/>
    <col min="42" max="42" width="22.6328125" customWidth="1"/>
    <col min="43" max="43" width="17.36328125" customWidth="1"/>
    <col min="44" max="44" width="18.36328125" customWidth="1"/>
    <col min="45" max="45" width="18.7265625" customWidth="1"/>
    <col min="46" max="46" width="17.54296875" customWidth="1"/>
    <col min="47" max="47" width="18.54296875" customWidth="1"/>
    <col min="48" max="48" width="18.36328125" customWidth="1"/>
    <col min="49" max="49" width="19.1796875" customWidth="1"/>
    <col min="50" max="50" width="18.90625" customWidth="1"/>
    <col min="51" max="52" width="18.36328125" customWidth="1"/>
  </cols>
  <sheetData>
    <row r="1" spans="2:52">
      <c r="C1" s="458" t="s">
        <v>400</v>
      </c>
      <c r="D1" s="463" t="s">
        <v>346</v>
      </c>
      <c r="E1" s="464" t="s">
        <v>401</v>
      </c>
      <c r="F1" s="472" t="s">
        <v>402</v>
      </c>
      <c r="G1" s="478" t="s">
        <v>403</v>
      </c>
      <c r="H1" s="484" t="s">
        <v>404</v>
      </c>
    </row>
    <row r="3" spans="2:52">
      <c r="B3" s="454" t="s">
        <v>396</v>
      </c>
      <c r="C3" s="455">
        <v>4.5999999999999999E-2</v>
      </c>
      <c r="D3" s="455">
        <v>4.5999999999999999E-2</v>
      </c>
      <c r="E3" s="455">
        <v>4.5999999999999999E-2</v>
      </c>
      <c r="F3" s="455">
        <v>4.5999999999999999E-2</v>
      </c>
      <c r="G3" s="455">
        <v>4.5999999999999999E-2</v>
      </c>
      <c r="H3" s="455">
        <v>4.5999999999999999E-2</v>
      </c>
      <c r="I3" s="455">
        <v>4.5999999999999999E-2</v>
      </c>
      <c r="J3" s="455">
        <v>4.5999999999999999E-2</v>
      </c>
      <c r="K3" s="455">
        <v>4.5999999999999999E-2</v>
      </c>
      <c r="L3" s="455">
        <v>4.5999999999999999E-2</v>
      </c>
      <c r="M3" s="454"/>
      <c r="N3" s="454"/>
      <c r="O3" s="454"/>
      <c r="P3" s="454"/>
      <c r="Q3" s="454"/>
      <c r="R3" s="454"/>
      <c r="S3" s="454"/>
      <c r="T3" s="454"/>
      <c r="U3" s="454"/>
      <c r="V3" s="454"/>
      <c r="W3" s="454"/>
      <c r="X3" s="454"/>
      <c r="Y3" s="454"/>
      <c r="Z3" s="454"/>
      <c r="AA3" s="499"/>
      <c r="AB3" s="465" t="s">
        <v>396</v>
      </c>
      <c r="AC3" s="466">
        <v>0.04</v>
      </c>
      <c r="AD3" s="466">
        <v>0.04</v>
      </c>
      <c r="AE3" s="466">
        <v>0.04</v>
      </c>
      <c r="AF3" s="466">
        <v>0.04</v>
      </c>
      <c r="AG3" s="466">
        <v>0.04</v>
      </c>
      <c r="AH3" s="466">
        <v>0.04</v>
      </c>
      <c r="AI3" s="466">
        <v>0.04</v>
      </c>
      <c r="AJ3" s="466">
        <v>0.04</v>
      </c>
      <c r="AK3" s="466">
        <v>0.04</v>
      </c>
      <c r="AL3" s="466">
        <v>0.04</v>
      </c>
      <c r="AM3" s="465"/>
      <c r="AN3" s="465"/>
      <c r="AO3" s="465"/>
      <c r="AP3" s="465"/>
      <c r="AQ3" s="465"/>
      <c r="AR3" s="465"/>
      <c r="AS3" s="465"/>
      <c r="AT3" s="465"/>
      <c r="AU3" s="465"/>
      <c r="AV3" s="465"/>
      <c r="AW3" s="465"/>
      <c r="AX3" s="465"/>
      <c r="AY3" s="465"/>
      <c r="AZ3" s="465"/>
    </row>
    <row r="4" spans="2:52">
      <c r="B4" s="454"/>
      <c r="C4" s="454"/>
      <c r="D4" s="454"/>
      <c r="E4" s="454"/>
      <c r="F4" s="454"/>
      <c r="G4" s="454"/>
      <c r="H4" s="454"/>
      <c r="I4" s="454"/>
      <c r="J4" s="454"/>
      <c r="K4" s="454"/>
      <c r="L4" s="454"/>
      <c r="M4" s="454"/>
      <c r="N4" s="454"/>
      <c r="O4" s="454"/>
      <c r="P4" s="454"/>
      <c r="Q4" s="454"/>
      <c r="R4" s="454"/>
      <c r="S4" s="454"/>
      <c r="T4" s="454"/>
      <c r="U4" s="454"/>
      <c r="V4" s="454"/>
      <c r="W4" s="454"/>
      <c r="X4" s="454"/>
      <c r="Y4" s="454"/>
      <c r="Z4" s="454"/>
      <c r="AA4" s="499"/>
      <c r="AB4" s="465"/>
      <c r="AC4" s="465"/>
      <c r="AD4" s="465"/>
      <c r="AE4" s="465"/>
      <c r="AF4" s="465"/>
      <c r="AG4" s="465"/>
      <c r="AH4" s="465"/>
      <c r="AI4" s="465"/>
      <c r="AJ4" s="465"/>
      <c r="AK4" s="465"/>
      <c r="AL4" s="465"/>
      <c r="AM4" s="465"/>
      <c r="AN4" s="465"/>
      <c r="AO4" s="465"/>
      <c r="AP4" s="465"/>
      <c r="AQ4" s="465"/>
      <c r="AR4" s="465"/>
      <c r="AS4" s="465"/>
      <c r="AT4" s="465"/>
      <c r="AU4" s="465"/>
      <c r="AV4" s="465"/>
      <c r="AW4" s="465"/>
      <c r="AX4" s="465"/>
      <c r="AY4" s="465"/>
      <c r="AZ4" s="465"/>
    </row>
    <row r="5" spans="2:52">
      <c r="B5" s="454"/>
      <c r="C5" s="454"/>
      <c r="D5" s="454"/>
      <c r="E5" s="454"/>
      <c r="F5" s="454"/>
      <c r="G5" s="454"/>
      <c r="H5" s="454"/>
      <c r="I5" s="454"/>
      <c r="J5" s="454"/>
      <c r="K5" s="454"/>
      <c r="L5" s="454"/>
      <c r="M5" s="454"/>
      <c r="N5" s="454"/>
      <c r="O5" s="454"/>
      <c r="P5" s="454"/>
      <c r="Q5" s="454"/>
      <c r="R5" s="454"/>
      <c r="S5" s="454"/>
      <c r="T5" s="454"/>
      <c r="U5" s="454"/>
      <c r="V5" s="454"/>
      <c r="W5" s="454"/>
      <c r="X5" s="454"/>
      <c r="Y5" s="454"/>
      <c r="Z5" s="454"/>
      <c r="AA5" s="499"/>
      <c r="AB5" s="465"/>
      <c r="AC5" s="465"/>
      <c r="AD5" s="465"/>
      <c r="AE5" s="465"/>
      <c r="AF5" s="465"/>
      <c r="AG5" s="465"/>
      <c r="AH5" s="465"/>
      <c r="AI5" s="465"/>
      <c r="AJ5" s="465"/>
      <c r="AK5" s="465"/>
      <c r="AL5" s="465"/>
      <c r="AM5" s="465"/>
      <c r="AN5" s="465"/>
      <c r="AO5" s="465"/>
      <c r="AP5" s="465"/>
      <c r="AQ5" s="465"/>
      <c r="AR5" s="465"/>
      <c r="AS5" s="465"/>
      <c r="AT5" s="465"/>
      <c r="AU5" s="465"/>
      <c r="AV5" s="465"/>
      <c r="AW5" s="465"/>
      <c r="AX5" s="465"/>
      <c r="AY5" s="465"/>
      <c r="AZ5" s="465"/>
    </row>
    <row r="6" spans="2:52"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  <c r="O6" s="454"/>
      <c r="P6" s="454"/>
      <c r="Q6" s="454"/>
      <c r="R6" s="454"/>
      <c r="S6" s="454"/>
      <c r="T6" s="454"/>
      <c r="U6" s="454"/>
      <c r="V6" s="454"/>
      <c r="W6" s="454"/>
      <c r="X6" s="454"/>
      <c r="Y6" s="454"/>
      <c r="Z6" s="454"/>
      <c r="AA6" s="499"/>
      <c r="AB6" s="465"/>
      <c r="AC6" s="465"/>
      <c r="AD6" s="465"/>
      <c r="AE6" s="465"/>
      <c r="AF6" s="465"/>
      <c r="AG6" s="465"/>
      <c r="AH6" s="465"/>
      <c r="AI6" s="465"/>
      <c r="AJ6" s="465"/>
      <c r="AK6" s="465"/>
      <c r="AL6" s="465"/>
      <c r="AM6" s="465"/>
      <c r="AN6" s="465"/>
      <c r="AO6" s="465"/>
      <c r="AP6" s="465"/>
      <c r="AQ6" s="465"/>
      <c r="AR6" s="465"/>
      <c r="AS6" s="465"/>
      <c r="AT6" s="465"/>
      <c r="AU6" s="465"/>
      <c r="AV6" s="465"/>
      <c r="AW6" s="465"/>
      <c r="AX6" s="465"/>
      <c r="AY6" s="465"/>
      <c r="AZ6" s="465"/>
    </row>
    <row r="7" spans="2:52">
      <c r="B7" s="454" t="s">
        <v>397</v>
      </c>
      <c r="C7" s="454" t="s">
        <v>139</v>
      </c>
      <c r="D7" s="454" t="s">
        <v>140</v>
      </c>
      <c r="E7" s="454" t="s">
        <v>141</v>
      </c>
      <c r="F7" s="454" t="s">
        <v>142</v>
      </c>
      <c r="G7" s="454" t="s">
        <v>143</v>
      </c>
      <c r="H7" s="454" t="s">
        <v>144</v>
      </c>
      <c r="I7" s="454" t="s">
        <v>145</v>
      </c>
      <c r="J7" s="454" t="s">
        <v>146</v>
      </c>
      <c r="K7" s="454" t="s">
        <v>147</v>
      </c>
      <c r="L7" s="454" t="s">
        <v>148</v>
      </c>
      <c r="M7" s="454"/>
      <c r="N7" s="454"/>
      <c r="O7" s="454"/>
      <c r="P7" s="454" t="s">
        <v>398</v>
      </c>
      <c r="Q7" s="454" t="s">
        <v>139</v>
      </c>
      <c r="R7" s="454" t="s">
        <v>140</v>
      </c>
      <c r="S7" s="454" t="s">
        <v>141</v>
      </c>
      <c r="T7" s="454" t="s">
        <v>142</v>
      </c>
      <c r="U7" s="454" t="s">
        <v>143</v>
      </c>
      <c r="V7" s="454" t="s">
        <v>144</v>
      </c>
      <c r="W7" s="454" t="s">
        <v>145</v>
      </c>
      <c r="X7" s="454" t="s">
        <v>146</v>
      </c>
      <c r="Y7" s="454" t="s">
        <v>147</v>
      </c>
      <c r="Z7" s="454" t="s">
        <v>148</v>
      </c>
      <c r="AA7" s="499"/>
      <c r="AB7" s="465" t="s">
        <v>397</v>
      </c>
      <c r="AC7" s="465" t="s">
        <v>139</v>
      </c>
      <c r="AD7" s="465" t="s">
        <v>140</v>
      </c>
      <c r="AE7" s="465" t="s">
        <v>141</v>
      </c>
      <c r="AF7" s="465" t="s">
        <v>142</v>
      </c>
      <c r="AG7" s="465" t="s">
        <v>143</v>
      </c>
      <c r="AH7" s="465" t="s">
        <v>144</v>
      </c>
      <c r="AI7" s="465" t="s">
        <v>145</v>
      </c>
      <c r="AJ7" s="465" t="s">
        <v>146</v>
      </c>
      <c r="AK7" s="465" t="s">
        <v>147</v>
      </c>
      <c r="AL7" s="465" t="s">
        <v>148</v>
      </c>
      <c r="AM7" s="465"/>
      <c r="AN7" s="465"/>
      <c r="AO7" s="465"/>
      <c r="AP7" s="465" t="s">
        <v>398</v>
      </c>
      <c r="AQ7" s="465" t="s">
        <v>139</v>
      </c>
      <c r="AR7" s="465" t="s">
        <v>140</v>
      </c>
      <c r="AS7" s="465" t="s">
        <v>141</v>
      </c>
      <c r="AT7" s="465" t="s">
        <v>142</v>
      </c>
      <c r="AU7" s="465" t="s">
        <v>143</v>
      </c>
      <c r="AV7" s="465" t="s">
        <v>144</v>
      </c>
      <c r="AW7" s="465" t="s">
        <v>145</v>
      </c>
      <c r="AX7" s="465" t="s">
        <v>146</v>
      </c>
      <c r="AY7" s="465" t="s">
        <v>147</v>
      </c>
      <c r="AZ7" s="465" t="s">
        <v>148</v>
      </c>
    </row>
    <row r="8" spans="2:52">
      <c r="B8" s="454" t="s">
        <v>378</v>
      </c>
      <c r="C8" s="456">
        <v>1000</v>
      </c>
      <c r="D8" s="456">
        <f>C8*(1+C3)</f>
        <v>1046</v>
      </c>
      <c r="E8" s="456">
        <f t="shared" ref="E8:L8" si="0">D8*(1+D3)</f>
        <v>1094.116</v>
      </c>
      <c r="F8" s="456">
        <f t="shared" si="0"/>
        <v>1144.445336</v>
      </c>
      <c r="G8" s="456">
        <f t="shared" si="0"/>
        <v>1197.089821456</v>
      </c>
      <c r="H8" s="456">
        <f t="shared" si="0"/>
        <v>1252.155953242976</v>
      </c>
      <c r="I8" s="456">
        <f t="shared" si="0"/>
        <v>1309.7551270921529</v>
      </c>
      <c r="J8" s="456">
        <f t="shared" si="0"/>
        <v>1370.0038629383919</v>
      </c>
      <c r="K8" s="456">
        <f t="shared" si="0"/>
        <v>1433.0240406335579</v>
      </c>
      <c r="L8" s="456">
        <f t="shared" si="0"/>
        <v>1498.9431465027017</v>
      </c>
      <c r="M8" s="454"/>
      <c r="N8" s="454"/>
      <c r="O8" s="454"/>
      <c r="P8" s="454" t="s">
        <v>378</v>
      </c>
      <c r="Q8" s="454">
        <v>1540</v>
      </c>
      <c r="R8" s="470">
        <f>Q8*(1+C22)</f>
        <v>1632.4</v>
      </c>
      <c r="S8" s="470">
        <f t="shared" ref="S8:Z8" ca="1" si="1">R8*(1+D22)</f>
        <v>1736.6820341381285</v>
      </c>
      <c r="T8" s="470">
        <f t="shared" ca="1" si="1"/>
        <v>1854.3306786367887</v>
      </c>
      <c r="U8" s="470">
        <f t="shared" ca="1" si="1"/>
        <v>1987.2225291766247</v>
      </c>
      <c r="V8" s="470">
        <f t="shared" ca="1" si="1"/>
        <v>2137.483962569986</v>
      </c>
      <c r="W8" s="470">
        <f t="shared" ca="1" si="1"/>
        <v>2306.1176562826577</v>
      </c>
      <c r="X8" s="470">
        <f t="shared" ca="1" si="1"/>
        <v>2497.227918757425</v>
      </c>
      <c r="Y8" s="470">
        <f t="shared" ca="1" si="1"/>
        <v>2712.679517886108</v>
      </c>
      <c r="Z8" s="470">
        <f t="shared" ca="1" si="1"/>
        <v>2957.3532687975853</v>
      </c>
      <c r="AA8" s="499"/>
      <c r="AB8" s="465" t="s">
        <v>378</v>
      </c>
      <c r="AC8" s="467">
        <v>1000</v>
      </c>
      <c r="AD8" s="467">
        <f>AC8*(1+AC3)</f>
        <v>1040</v>
      </c>
      <c r="AE8" s="467">
        <f t="shared" ref="AE8:AL8" si="2">AD8*(1+AD3)</f>
        <v>1081.6000000000001</v>
      </c>
      <c r="AF8" s="467">
        <f t="shared" si="2"/>
        <v>1124.8640000000003</v>
      </c>
      <c r="AG8" s="467">
        <f t="shared" si="2"/>
        <v>1169.8585600000004</v>
      </c>
      <c r="AH8" s="467">
        <f t="shared" si="2"/>
        <v>1216.6529024000004</v>
      </c>
      <c r="AI8" s="467">
        <f t="shared" si="2"/>
        <v>1265.3190184960004</v>
      </c>
      <c r="AJ8" s="467">
        <f t="shared" si="2"/>
        <v>1315.9317792358404</v>
      </c>
      <c r="AK8" s="467">
        <f t="shared" si="2"/>
        <v>1368.5690504052741</v>
      </c>
      <c r="AL8" s="467">
        <f t="shared" si="2"/>
        <v>1423.311812421485</v>
      </c>
      <c r="AM8" s="465"/>
      <c r="AN8" s="465"/>
      <c r="AO8" s="465"/>
      <c r="AP8" s="465" t="s">
        <v>378</v>
      </c>
      <c r="AQ8" s="469">
        <v>1540</v>
      </c>
      <c r="AR8" s="469">
        <f>AQ8*(1+AC22)</f>
        <v>1570.8</v>
      </c>
      <c r="AS8" s="469">
        <f t="shared" ref="AS8:AS10" ca="1" si="3">AR8*(1+AD22)</f>
        <v>1606.4812028915997</v>
      </c>
      <c r="AT8" s="469">
        <f t="shared" ref="AT8:AT11" ca="1" si="4">AS8*(1+AE22)</f>
        <v>1647.4676043406857</v>
      </c>
      <c r="AU8" s="469">
        <f t="shared" ref="AU8:AU12" ca="1" si="5">AT8*(1+AF22)</f>
        <v>1695.3514916112051</v>
      </c>
      <c r="AV8" s="469">
        <f t="shared" ref="AV8:AV12" ca="1" si="6">AU8*(1+AG22)</f>
        <v>1749.9463249122666</v>
      </c>
      <c r="AW8" s="469">
        <f t="shared" ref="AW8:AW12" ca="1" si="7">AV8*(1+AH22)</f>
        <v>1813.2711457618377</v>
      </c>
      <c r="AX8" s="469">
        <f t="shared" ref="AX8:AX12" ca="1" si="8">AW8*(1+AI22)</f>
        <v>1885.5962003548098</v>
      </c>
      <c r="AY8" s="469">
        <f t="shared" ref="AY8:AY12" ca="1" si="9">AX8*(1+AJ22)</f>
        <v>1967.0500044881994</v>
      </c>
      <c r="AZ8" s="469">
        <f t="shared" ref="AZ8:AZ12" ca="1" si="10">AY8*(1+AK22)</f>
        <v>2058.2619201421544</v>
      </c>
    </row>
    <row r="9" spans="2:52">
      <c r="B9" s="454" t="s">
        <v>379</v>
      </c>
      <c r="C9" s="456">
        <v>850</v>
      </c>
      <c r="D9" s="456">
        <f>C9*(1+C3)</f>
        <v>889.1</v>
      </c>
      <c r="E9" s="456">
        <f t="shared" ref="E9:L9" si="11">D9*(1+D3)</f>
        <v>929.99860000000001</v>
      </c>
      <c r="F9" s="456">
        <f t="shared" si="11"/>
        <v>972.77853560000005</v>
      </c>
      <c r="G9" s="456">
        <f t="shared" si="11"/>
        <v>1017.5263482376001</v>
      </c>
      <c r="H9" s="456">
        <f t="shared" si="11"/>
        <v>1064.3325602565299</v>
      </c>
      <c r="I9" s="456">
        <f t="shared" si="11"/>
        <v>1113.2918580283304</v>
      </c>
      <c r="J9" s="456">
        <f t="shared" si="11"/>
        <v>1164.5032834976337</v>
      </c>
      <c r="K9" s="456">
        <f t="shared" si="11"/>
        <v>1218.070434538525</v>
      </c>
      <c r="L9" s="456">
        <f t="shared" si="11"/>
        <v>1274.1016745272971</v>
      </c>
      <c r="M9" s="454"/>
      <c r="N9" s="454"/>
      <c r="O9" s="454"/>
      <c r="P9" s="454" t="s">
        <v>379</v>
      </c>
      <c r="Q9" s="454">
        <v>1000</v>
      </c>
      <c r="R9" s="470">
        <f>Q9*(1+C23)</f>
        <v>1060</v>
      </c>
      <c r="S9" s="470">
        <f t="shared" ref="S9:Z9" ca="1" si="12">R9*(1+D23)</f>
        <v>1127.6284070972208</v>
      </c>
      <c r="T9" s="470">
        <f t="shared" ca="1" si="12"/>
        <v>1203.5815450007806</v>
      </c>
      <c r="U9" s="470">
        <f t="shared" ca="1" si="12"/>
        <v>1288.8746123591839</v>
      </c>
      <c r="V9" s="470">
        <f t="shared" ca="1" si="12"/>
        <v>1385.1816314644534</v>
      </c>
      <c r="W9" s="470">
        <f t="shared" ca="1" si="12"/>
        <v>1494.1472217225339</v>
      </c>
      <c r="X9" s="470">
        <f t="shared" ca="1" si="12"/>
        <v>1616.4888556069732</v>
      </c>
      <c r="Y9" s="470">
        <f t="shared" ca="1" si="12"/>
        <v>1753.6424758879209</v>
      </c>
      <c r="Z9" s="470">
        <f t="shared" ca="1" si="12"/>
        <v>1909.2536383994141</v>
      </c>
      <c r="AA9" s="499"/>
      <c r="AB9" s="465" t="s">
        <v>379</v>
      </c>
      <c r="AC9" s="467">
        <v>850</v>
      </c>
      <c r="AD9" s="467">
        <f>AC9*(1+AC3)</f>
        <v>884</v>
      </c>
      <c r="AE9" s="467">
        <f t="shared" ref="AE9:AL9" si="13">AD9*(1+AD3)</f>
        <v>919.36</v>
      </c>
      <c r="AF9" s="467">
        <f t="shared" si="13"/>
        <v>956.13440000000003</v>
      </c>
      <c r="AG9" s="467">
        <f t="shared" si="13"/>
        <v>994.37977600000011</v>
      </c>
      <c r="AH9" s="467">
        <f t="shared" si="13"/>
        <v>1034.1549670400002</v>
      </c>
      <c r="AI9" s="467">
        <f t="shared" si="13"/>
        <v>1075.5211657216003</v>
      </c>
      <c r="AJ9" s="467">
        <f t="shared" si="13"/>
        <v>1118.5420123504643</v>
      </c>
      <c r="AK9" s="467">
        <f t="shared" si="13"/>
        <v>1163.2836928444829</v>
      </c>
      <c r="AL9" s="467">
        <f t="shared" si="13"/>
        <v>1209.8150405582621</v>
      </c>
      <c r="AM9" s="465"/>
      <c r="AN9" s="465"/>
      <c r="AO9" s="465"/>
      <c r="AP9" s="465" t="s">
        <v>379</v>
      </c>
      <c r="AQ9" s="469">
        <v>1000</v>
      </c>
      <c r="AR9" s="469">
        <f>AQ9*(1+AC23)</f>
        <v>1050</v>
      </c>
      <c r="AS9" s="469">
        <f t="shared" ca="1" si="3"/>
        <v>1105.4760729602758</v>
      </c>
      <c r="AT9" s="469">
        <f t="shared" ca="1" si="4"/>
        <v>1168.1444027360767</v>
      </c>
      <c r="AU9" s="469">
        <f t="shared" ca="1" si="5"/>
        <v>1238.58761084104</v>
      </c>
      <c r="AV9" s="469">
        <f t="shared" ca="1" si="6"/>
        <v>1317.8164152843672</v>
      </c>
      <c r="AW9" s="469">
        <f t="shared" ca="1" si="7"/>
        <v>1406.4996395750538</v>
      </c>
      <c r="AX9" s="469">
        <f t="shared" ca="1" si="8"/>
        <v>1504.6809108338757</v>
      </c>
      <c r="AY9" s="469">
        <f t="shared" ca="1" si="9"/>
        <v>1613.7326313965523</v>
      </c>
      <c r="AZ9" s="469">
        <f t="shared" ca="1" si="10"/>
        <v>1734.8079017371031</v>
      </c>
    </row>
    <row r="10" spans="2:52">
      <c r="B10" s="454" t="s">
        <v>297</v>
      </c>
      <c r="C10" s="456">
        <v>2000</v>
      </c>
      <c r="D10" s="456">
        <f>C10*(1+C3)</f>
        <v>2092</v>
      </c>
      <c r="E10" s="456">
        <f t="shared" ref="E10:L10" si="14">D10*(1+D3)</f>
        <v>2188.232</v>
      </c>
      <c r="F10" s="456">
        <f t="shared" si="14"/>
        <v>2288.890672</v>
      </c>
      <c r="G10" s="456">
        <f t="shared" si="14"/>
        <v>2394.179642912</v>
      </c>
      <c r="H10" s="456">
        <f t="shared" si="14"/>
        <v>2504.311906485952</v>
      </c>
      <c r="I10" s="456">
        <f t="shared" si="14"/>
        <v>2619.5102541843057</v>
      </c>
      <c r="J10" s="456">
        <f t="shared" si="14"/>
        <v>2740.0077258767838</v>
      </c>
      <c r="K10" s="456">
        <f t="shared" si="14"/>
        <v>2866.0480812671158</v>
      </c>
      <c r="L10" s="456">
        <f t="shared" si="14"/>
        <v>2997.8862930054033</v>
      </c>
      <c r="M10" s="454"/>
      <c r="N10" s="454"/>
      <c r="O10" s="454"/>
      <c r="P10" s="454" t="s">
        <v>297</v>
      </c>
      <c r="Q10" s="454">
        <v>1270</v>
      </c>
      <c r="R10" s="470">
        <f>Q10*(1+C24)</f>
        <v>1346.2</v>
      </c>
      <c r="S10" s="470">
        <f t="shared" ref="S10:Z10" ca="1" si="15">R10*(1+D24)</f>
        <v>1432.0678711235275</v>
      </c>
      <c r="T10" s="470">
        <f t="shared" ca="1" si="15"/>
        <v>1527.0724691013347</v>
      </c>
      <c r="U10" s="470">
        <f t="shared" ca="1" si="15"/>
        <v>1633.0634838103288</v>
      </c>
      <c r="V10" s="470">
        <f t="shared" ca="1" si="15"/>
        <v>1752.685267264535</v>
      </c>
      <c r="W10" s="470">
        <f t="shared" ca="1" si="15"/>
        <v>1886.7245843063074</v>
      </c>
      <c r="X10" s="470">
        <f t="shared" ca="1" si="15"/>
        <v>2037.8917408831733</v>
      </c>
      <c r="Y10" s="470">
        <f t="shared" ca="1" si="15"/>
        <v>2206.1910203634393</v>
      </c>
      <c r="Z10" s="470">
        <f t="shared" ca="1" si="15"/>
        <v>2396.5382310737236</v>
      </c>
      <c r="AA10" s="499"/>
      <c r="AB10" s="465" t="s">
        <v>297</v>
      </c>
      <c r="AC10" s="467">
        <v>2000</v>
      </c>
      <c r="AD10" s="467">
        <f>AC10*(1+AC3)</f>
        <v>2080</v>
      </c>
      <c r="AE10" s="467">
        <f t="shared" ref="AE10:AL10" si="16">AD10*(1+AD3)</f>
        <v>2163.2000000000003</v>
      </c>
      <c r="AF10" s="467">
        <f t="shared" si="16"/>
        <v>2249.7280000000005</v>
      </c>
      <c r="AG10" s="467">
        <f t="shared" si="16"/>
        <v>2339.7171200000007</v>
      </c>
      <c r="AH10" s="467">
        <f t="shared" si="16"/>
        <v>2433.3058048000007</v>
      </c>
      <c r="AI10" s="467">
        <f t="shared" si="16"/>
        <v>2530.6380369920007</v>
      </c>
      <c r="AJ10" s="467">
        <f t="shared" si="16"/>
        <v>2631.8635584716808</v>
      </c>
      <c r="AK10" s="467">
        <f t="shared" si="16"/>
        <v>2737.1381008105482</v>
      </c>
      <c r="AL10" s="467">
        <f t="shared" si="16"/>
        <v>2846.62362484297</v>
      </c>
      <c r="AM10" s="465"/>
      <c r="AN10" s="465"/>
      <c r="AO10" s="465"/>
      <c r="AP10" s="465" t="s">
        <v>297</v>
      </c>
      <c r="AQ10" s="469">
        <v>1270</v>
      </c>
      <c r="AR10" s="469">
        <f>AQ10*(1+AC24)</f>
        <v>1308.1000000000001</v>
      </c>
      <c r="AS10" s="469">
        <f t="shared" ca="1" si="3"/>
        <v>1351.7171881902859</v>
      </c>
      <c r="AT10" s="469">
        <f t="shared" ca="1" si="4"/>
        <v>1400.0826884526214</v>
      </c>
      <c r="AU10" s="469">
        <f t="shared" ca="1" si="5"/>
        <v>1455.6282243769865</v>
      </c>
      <c r="AV10" s="469">
        <f t="shared" ca="1" si="6"/>
        <v>1517.5156192470959</v>
      </c>
      <c r="AW10" s="469">
        <f t="shared" ca="1" si="7"/>
        <v>1586.5114405391375</v>
      </c>
      <c r="AX10" s="469">
        <f t="shared" ca="1" si="8"/>
        <v>1664.7029660766277</v>
      </c>
      <c r="AY10" s="469">
        <f t="shared" ca="1" si="9"/>
        <v>1753.1064367546785</v>
      </c>
      <c r="AZ10" s="469">
        <f t="shared" ca="1" si="10"/>
        <v>1852.2363604048662</v>
      </c>
    </row>
    <row r="11" spans="2:52">
      <c r="B11" s="454" t="s">
        <v>383</v>
      </c>
      <c r="C11" s="456"/>
      <c r="D11" s="456">
        <v>3000</v>
      </c>
      <c r="E11" s="456">
        <f>D11*(1+D3)</f>
        <v>3138</v>
      </c>
      <c r="F11" s="456">
        <f t="shared" ref="F11:L11" si="17">E11*(1+E3)</f>
        <v>3282.348</v>
      </c>
      <c r="G11" s="456">
        <f t="shared" si="17"/>
        <v>3433.3360080000002</v>
      </c>
      <c r="H11" s="456">
        <f t="shared" si="17"/>
        <v>3591.2694643680002</v>
      </c>
      <c r="I11" s="456">
        <f t="shared" si="17"/>
        <v>3756.4678597289285</v>
      </c>
      <c r="J11" s="456">
        <f t="shared" si="17"/>
        <v>3929.2653812764593</v>
      </c>
      <c r="K11" s="456">
        <f t="shared" si="17"/>
        <v>4110.0115888151768</v>
      </c>
      <c r="L11" s="456">
        <f t="shared" si="17"/>
        <v>4299.0721219006755</v>
      </c>
      <c r="M11" s="454"/>
      <c r="N11" s="454"/>
      <c r="O11" s="454"/>
      <c r="P11" s="454" t="s">
        <v>383</v>
      </c>
      <c r="Q11" s="454"/>
      <c r="R11" s="470">
        <v>635</v>
      </c>
      <c r="S11" s="470">
        <f ca="1">R11*(1+D25)</f>
        <v>675.62995868107907</v>
      </c>
      <c r="T11" s="470">
        <f t="shared" ref="T11:Z11" ca="1" si="18">S11*(1+E25)</f>
        <v>721.06014256459127</v>
      </c>
      <c r="U11" s="470">
        <f t="shared" ca="1" si="18"/>
        <v>772.0117946072063</v>
      </c>
      <c r="V11" s="470">
        <f t="shared" ca="1" si="18"/>
        <v>829.14023762662578</v>
      </c>
      <c r="W11" s="470">
        <f t="shared" ca="1" si="18"/>
        <v>893.14765036081769</v>
      </c>
      <c r="X11" s="470">
        <f t="shared" ca="1" si="18"/>
        <v>964.40693507499566</v>
      </c>
      <c r="Y11" s="470">
        <f t="shared" ca="1" si="18"/>
        <v>1044.6371417451994</v>
      </c>
      <c r="Z11" s="470">
        <f t="shared" ca="1" si="18"/>
        <v>1135.4386254549768</v>
      </c>
      <c r="AA11" s="499"/>
      <c r="AB11" s="465" t="s">
        <v>383</v>
      </c>
      <c r="AC11" s="467"/>
      <c r="AD11" s="467">
        <v>3000</v>
      </c>
      <c r="AE11" s="467">
        <f>AD11*(1+AD3)</f>
        <v>3120</v>
      </c>
      <c r="AF11" s="467">
        <f t="shared" ref="AF11:AL11" si="19">AE11*(1+AE3)</f>
        <v>3244.8</v>
      </c>
      <c r="AG11" s="467">
        <f t="shared" si="19"/>
        <v>3374.5920000000001</v>
      </c>
      <c r="AH11" s="467">
        <f t="shared" si="19"/>
        <v>3509.5756800000004</v>
      </c>
      <c r="AI11" s="467">
        <f t="shared" si="19"/>
        <v>3649.9587072000004</v>
      </c>
      <c r="AJ11" s="467">
        <f t="shared" si="19"/>
        <v>3795.9570554880006</v>
      </c>
      <c r="AK11" s="467">
        <f t="shared" si="19"/>
        <v>3947.795337707521</v>
      </c>
      <c r="AL11" s="467">
        <f t="shared" si="19"/>
        <v>4105.7071512158218</v>
      </c>
      <c r="AM11" s="465"/>
      <c r="AN11" s="465"/>
      <c r="AO11" s="465"/>
      <c r="AP11" s="465" t="s">
        <v>383</v>
      </c>
      <c r="AQ11" s="469"/>
      <c r="AR11" s="469">
        <v>635</v>
      </c>
      <c r="AS11" s="469">
        <f ca="1">AR11*(1+AD25)</f>
        <v>662.09444170022573</v>
      </c>
      <c r="AT11" s="469">
        <f t="shared" ca="1" si="4"/>
        <v>692.0662255546722</v>
      </c>
      <c r="AU11" s="469">
        <f t="shared" ca="1" si="5"/>
        <v>725.55900589944065</v>
      </c>
      <c r="AV11" s="469">
        <f t="shared" ca="1" si="6"/>
        <v>763.2036615877804</v>
      </c>
      <c r="AW11" s="469">
        <f t="shared" ca="1" si="7"/>
        <v>805.78053602921386</v>
      </c>
      <c r="AX11" s="469">
        <f t="shared" ca="1" si="8"/>
        <v>853.33955390643519</v>
      </c>
      <c r="AY11" s="469">
        <f t="shared" ca="1" si="9"/>
        <v>906.95643245964209</v>
      </c>
      <c r="AZ11" s="469">
        <f t="shared" ca="1" si="10"/>
        <v>967.04956015610492</v>
      </c>
    </row>
    <row r="12" spans="2:52">
      <c r="B12" s="454" t="s">
        <v>312</v>
      </c>
      <c r="C12" s="456"/>
      <c r="D12" s="456"/>
      <c r="E12" s="456">
        <v>10000</v>
      </c>
      <c r="F12" s="456">
        <f>E12*(1+E3)</f>
        <v>10460</v>
      </c>
      <c r="G12" s="456">
        <f t="shared" ref="G12:L12" si="20">F12*(1+F3)</f>
        <v>10941.16</v>
      </c>
      <c r="H12" s="456">
        <f t="shared" si="20"/>
        <v>11444.45336</v>
      </c>
      <c r="I12" s="456">
        <f t="shared" si="20"/>
        <v>11970.89821456</v>
      </c>
      <c r="J12" s="456">
        <f t="shared" si="20"/>
        <v>12521.559532429761</v>
      </c>
      <c r="K12" s="456">
        <f t="shared" si="20"/>
        <v>13097.551270921531</v>
      </c>
      <c r="L12" s="456">
        <f t="shared" si="20"/>
        <v>13700.038629383922</v>
      </c>
      <c r="M12" s="454"/>
      <c r="N12" s="454"/>
      <c r="O12" s="454"/>
      <c r="P12" s="454" t="s">
        <v>312</v>
      </c>
      <c r="Q12" s="454"/>
      <c r="R12" s="470"/>
      <c r="S12" s="470">
        <v>318</v>
      </c>
      <c r="T12" s="470">
        <f ca="1">S12*(1+E26)</f>
        <v>339.21808451907299</v>
      </c>
      <c r="U12" s="470">
        <f t="shared" ref="U12:Z12" ca="1" si="21">T12*(1+F26)</f>
        <v>363.12900701546431</v>
      </c>
      <c r="V12" s="470">
        <f t="shared" ca="1" si="21"/>
        <v>389.95537714633895</v>
      </c>
      <c r="W12" s="470">
        <f t="shared" ca="1" si="21"/>
        <v>419.81130816157065</v>
      </c>
      <c r="X12" s="470">
        <f t="shared" ca="1" si="21"/>
        <v>453.61074646791729</v>
      </c>
      <c r="Y12" s="470">
        <f t="shared" ca="1" si="21"/>
        <v>491.30057317778579</v>
      </c>
      <c r="Z12" s="470">
        <f t="shared" ca="1" si="21"/>
        <v>534.0819813263555</v>
      </c>
      <c r="AA12" s="499"/>
      <c r="AB12" s="465" t="s">
        <v>312</v>
      </c>
      <c r="AC12" s="467"/>
      <c r="AD12" s="467"/>
      <c r="AE12" s="467">
        <v>10000</v>
      </c>
      <c r="AF12" s="467">
        <f>AE12*(1+AE3)</f>
        <v>10400</v>
      </c>
      <c r="AG12" s="467">
        <f t="shared" ref="AG12:AL12" si="22">AF12*(1+AF3)</f>
        <v>10816</v>
      </c>
      <c r="AH12" s="467">
        <f t="shared" si="22"/>
        <v>11248.640000000001</v>
      </c>
      <c r="AI12" s="467">
        <f t="shared" si="22"/>
        <v>11698.585600000002</v>
      </c>
      <c r="AJ12" s="467">
        <f t="shared" si="22"/>
        <v>12166.529024000003</v>
      </c>
      <c r="AK12" s="467">
        <f t="shared" si="22"/>
        <v>12653.190184960004</v>
      </c>
      <c r="AL12" s="467">
        <f t="shared" si="22"/>
        <v>13159.317792358404</v>
      </c>
      <c r="AM12" s="465"/>
      <c r="AN12" s="465"/>
      <c r="AO12" s="465"/>
      <c r="AP12" s="465" t="s">
        <v>312</v>
      </c>
      <c r="AQ12" s="469"/>
      <c r="AR12" s="469"/>
      <c r="AS12" s="469">
        <v>318</v>
      </c>
      <c r="AT12" s="469">
        <f ca="1">AS12*(1+AE26)</f>
        <v>342.65541896415601</v>
      </c>
      <c r="AU12" s="469">
        <f t="shared" ca="1" si="5"/>
        <v>370.57991864888561</v>
      </c>
      <c r="AV12" s="469">
        <f t="shared" ca="1" si="6"/>
        <v>402.00896740721538</v>
      </c>
      <c r="AW12" s="469">
        <f t="shared" ca="1" si="7"/>
        <v>437.14498619660287</v>
      </c>
      <c r="AX12" s="469">
        <f t="shared" ca="1" si="8"/>
        <v>477.06749069888491</v>
      </c>
      <c r="AY12" s="469">
        <f t="shared" ca="1" si="9"/>
        <v>522.11526185162938</v>
      </c>
      <c r="AZ12" s="469">
        <f t="shared" ca="1" si="10"/>
        <v>573.44957004660455</v>
      </c>
    </row>
    <row r="13" spans="2:52">
      <c r="B13" s="454" t="s">
        <v>392</v>
      </c>
      <c r="C13" s="456">
        <v>0</v>
      </c>
      <c r="D13" s="456">
        <f>C13*C3</f>
        <v>0</v>
      </c>
      <c r="E13" s="456">
        <f t="shared" ref="E13:L13" si="23">D13*D3</f>
        <v>0</v>
      </c>
      <c r="F13" s="456">
        <f t="shared" si="23"/>
        <v>0</v>
      </c>
      <c r="G13" s="456">
        <f t="shared" si="23"/>
        <v>0</v>
      </c>
      <c r="H13" s="456">
        <f t="shared" si="23"/>
        <v>0</v>
      </c>
      <c r="I13" s="456">
        <f t="shared" si="23"/>
        <v>0</v>
      </c>
      <c r="J13" s="456">
        <f t="shared" si="23"/>
        <v>0</v>
      </c>
      <c r="K13" s="456">
        <f t="shared" si="23"/>
        <v>0</v>
      </c>
      <c r="L13" s="456">
        <f t="shared" si="23"/>
        <v>0</v>
      </c>
      <c r="M13" s="454"/>
      <c r="N13" s="454"/>
      <c r="O13" s="454"/>
      <c r="P13" s="454" t="s">
        <v>392</v>
      </c>
      <c r="Q13" s="454">
        <v>0</v>
      </c>
      <c r="R13" s="454">
        <f>Q13*C27</f>
        <v>0</v>
      </c>
      <c r="S13" s="454">
        <f t="shared" ref="S13:Z13" ca="1" si="24">R13*D27</f>
        <v>0</v>
      </c>
      <c r="T13" s="454">
        <f t="shared" ca="1" si="24"/>
        <v>0</v>
      </c>
      <c r="U13" s="454">
        <f t="shared" ca="1" si="24"/>
        <v>0</v>
      </c>
      <c r="V13" s="454">
        <f t="shared" ca="1" si="24"/>
        <v>0</v>
      </c>
      <c r="W13" s="454">
        <f t="shared" ca="1" si="24"/>
        <v>0</v>
      </c>
      <c r="X13" s="454">
        <f t="shared" ca="1" si="24"/>
        <v>0</v>
      </c>
      <c r="Y13" s="454">
        <f t="shared" ca="1" si="24"/>
        <v>0</v>
      </c>
      <c r="Z13" s="454">
        <f t="shared" ca="1" si="24"/>
        <v>0</v>
      </c>
      <c r="AA13" s="499"/>
      <c r="AB13" s="465" t="s">
        <v>392</v>
      </c>
      <c r="AC13" s="493">
        <v>0</v>
      </c>
      <c r="AD13" s="493">
        <f>AC13*AC3</f>
        <v>0</v>
      </c>
      <c r="AE13" s="493">
        <f t="shared" ref="AE13:AL13" si="25">AD13*AD3</f>
        <v>0</v>
      </c>
      <c r="AF13" s="493">
        <f t="shared" si="25"/>
        <v>0</v>
      </c>
      <c r="AG13" s="493">
        <f t="shared" si="25"/>
        <v>0</v>
      </c>
      <c r="AH13" s="493">
        <f t="shared" si="25"/>
        <v>0</v>
      </c>
      <c r="AI13" s="493">
        <f t="shared" si="25"/>
        <v>0</v>
      </c>
      <c r="AJ13" s="493">
        <f t="shared" si="25"/>
        <v>0</v>
      </c>
      <c r="AK13" s="493">
        <f t="shared" si="25"/>
        <v>0</v>
      </c>
      <c r="AL13" s="493">
        <f t="shared" si="25"/>
        <v>0</v>
      </c>
      <c r="AM13" s="465"/>
      <c r="AN13" s="465"/>
      <c r="AO13" s="465"/>
      <c r="AP13" s="465" t="s">
        <v>392</v>
      </c>
      <c r="AQ13" s="494">
        <v>0</v>
      </c>
      <c r="AR13" s="494">
        <f>AQ13*AC27</f>
        <v>0</v>
      </c>
      <c r="AS13" s="494">
        <f t="shared" ref="AS13" ca="1" si="26">AR13*AD27</f>
        <v>0</v>
      </c>
      <c r="AT13" s="494">
        <f t="shared" ref="AT13" ca="1" si="27">AS13*AE27</f>
        <v>0</v>
      </c>
      <c r="AU13" s="494">
        <f t="shared" ref="AU13" ca="1" si="28">AT13*AF27</f>
        <v>0</v>
      </c>
      <c r="AV13" s="494">
        <f t="shared" ref="AV13" ca="1" si="29">AU13*AG27</f>
        <v>0</v>
      </c>
      <c r="AW13" s="494">
        <f t="shared" ref="AW13" ca="1" si="30">AV13*AH27</f>
        <v>0</v>
      </c>
      <c r="AX13" s="494">
        <f t="shared" ref="AX13" ca="1" si="31">AW13*AI27</f>
        <v>0</v>
      </c>
      <c r="AY13" s="494">
        <f t="shared" ref="AY13" ca="1" si="32">AX13*AJ27</f>
        <v>0</v>
      </c>
      <c r="AZ13" s="494">
        <f t="shared" ref="AZ13" ca="1" si="33">AY13*AK27</f>
        <v>0</v>
      </c>
    </row>
    <row r="14" spans="2:52">
      <c r="B14" s="454" t="s">
        <v>393</v>
      </c>
      <c r="C14" s="456">
        <v>0</v>
      </c>
      <c r="D14" s="456">
        <f>C14*C3</f>
        <v>0</v>
      </c>
      <c r="E14" s="456">
        <f t="shared" ref="E14:L14" si="34">D14*D3</f>
        <v>0</v>
      </c>
      <c r="F14" s="456">
        <f t="shared" si="34"/>
        <v>0</v>
      </c>
      <c r="G14" s="456">
        <f t="shared" si="34"/>
        <v>0</v>
      </c>
      <c r="H14" s="456">
        <f t="shared" si="34"/>
        <v>0</v>
      </c>
      <c r="I14" s="456">
        <f t="shared" si="34"/>
        <v>0</v>
      </c>
      <c r="J14" s="456">
        <f t="shared" si="34"/>
        <v>0</v>
      </c>
      <c r="K14" s="456">
        <f t="shared" si="34"/>
        <v>0</v>
      </c>
      <c r="L14" s="456">
        <f t="shared" si="34"/>
        <v>0</v>
      </c>
      <c r="M14" s="454"/>
      <c r="N14" s="454"/>
      <c r="O14" s="454"/>
      <c r="P14" s="454" t="s">
        <v>393</v>
      </c>
      <c r="Q14" s="454">
        <v>0</v>
      </c>
      <c r="R14" s="454">
        <v>0</v>
      </c>
      <c r="S14" s="454">
        <v>0</v>
      </c>
      <c r="T14" s="454">
        <v>0</v>
      </c>
      <c r="U14" s="454">
        <v>0</v>
      </c>
      <c r="V14" s="454">
        <v>0</v>
      </c>
      <c r="W14" s="454">
        <v>0</v>
      </c>
      <c r="X14" s="454">
        <v>0</v>
      </c>
      <c r="Y14" s="454">
        <v>0</v>
      </c>
      <c r="Z14" s="454">
        <v>0</v>
      </c>
      <c r="AA14" s="499"/>
      <c r="AB14" s="465" t="s">
        <v>393</v>
      </c>
      <c r="AC14" s="493">
        <v>0</v>
      </c>
      <c r="AD14" s="493">
        <f>AC14*AC3</f>
        <v>0</v>
      </c>
      <c r="AE14" s="493">
        <f t="shared" ref="AE14:AL14" si="35">AD14*AD3</f>
        <v>0</v>
      </c>
      <c r="AF14" s="493">
        <f t="shared" si="35"/>
        <v>0</v>
      </c>
      <c r="AG14" s="493">
        <f t="shared" si="35"/>
        <v>0</v>
      </c>
      <c r="AH14" s="493">
        <f t="shared" si="35"/>
        <v>0</v>
      </c>
      <c r="AI14" s="493">
        <f t="shared" si="35"/>
        <v>0</v>
      </c>
      <c r="AJ14" s="493">
        <f t="shared" si="35"/>
        <v>0</v>
      </c>
      <c r="AK14" s="493">
        <f t="shared" si="35"/>
        <v>0</v>
      </c>
      <c r="AL14" s="493">
        <f t="shared" si="35"/>
        <v>0</v>
      </c>
      <c r="AM14" s="465"/>
      <c r="AN14" s="465"/>
      <c r="AO14" s="465"/>
      <c r="AP14" s="465" t="s">
        <v>393</v>
      </c>
      <c r="AQ14" s="494">
        <v>0</v>
      </c>
      <c r="AR14" s="494">
        <v>0</v>
      </c>
      <c r="AS14" s="494">
        <v>0</v>
      </c>
      <c r="AT14" s="494">
        <v>0</v>
      </c>
      <c r="AU14" s="494">
        <v>0</v>
      </c>
      <c r="AV14" s="494">
        <v>0</v>
      </c>
      <c r="AW14" s="494">
        <v>0</v>
      </c>
      <c r="AX14" s="494">
        <v>0</v>
      </c>
      <c r="AY14" s="494">
        <v>0</v>
      </c>
      <c r="AZ14" s="494">
        <v>0</v>
      </c>
    </row>
    <row r="15" spans="2:52">
      <c r="B15" s="454" t="s">
        <v>394</v>
      </c>
      <c r="C15" s="456">
        <v>0</v>
      </c>
      <c r="D15" s="456">
        <f>C15*C3</f>
        <v>0</v>
      </c>
      <c r="E15" s="456">
        <f t="shared" ref="E15:L15" si="36">D15*D3</f>
        <v>0</v>
      </c>
      <c r="F15" s="456">
        <f t="shared" si="36"/>
        <v>0</v>
      </c>
      <c r="G15" s="456">
        <f t="shared" si="36"/>
        <v>0</v>
      </c>
      <c r="H15" s="456">
        <f t="shared" si="36"/>
        <v>0</v>
      </c>
      <c r="I15" s="456">
        <f t="shared" si="36"/>
        <v>0</v>
      </c>
      <c r="J15" s="456">
        <f t="shared" si="36"/>
        <v>0</v>
      </c>
      <c r="K15" s="456">
        <f t="shared" si="36"/>
        <v>0</v>
      </c>
      <c r="L15" s="456">
        <f t="shared" si="36"/>
        <v>0</v>
      </c>
      <c r="M15" s="454"/>
      <c r="N15" s="454"/>
      <c r="O15" s="454"/>
      <c r="P15" s="454" t="s">
        <v>394</v>
      </c>
      <c r="Q15" s="454">
        <v>0</v>
      </c>
      <c r="R15" s="454">
        <f>Q15*C28</f>
        <v>0</v>
      </c>
      <c r="S15" s="454">
        <f t="shared" ref="S15:Z15" ca="1" si="37">R15*D28</f>
        <v>0</v>
      </c>
      <c r="T15" s="454">
        <f t="shared" ca="1" si="37"/>
        <v>0</v>
      </c>
      <c r="U15" s="454">
        <f t="shared" ca="1" si="37"/>
        <v>0</v>
      </c>
      <c r="V15" s="454">
        <f t="shared" ca="1" si="37"/>
        <v>0</v>
      </c>
      <c r="W15" s="454">
        <f t="shared" ca="1" si="37"/>
        <v>0</v>
      </c>
      <c r="X15" s="454">
        <f t="shared" ca="1" si="37"/>
        <v>0</v>
      </c>
      <c r="Y15" s="454">
        <f t="shared" ca="1" si="37"/>
        <v>0</v>
      </c>
      <c r="Z15" s="454">
        <f t="shared" ca="1" si="37"/>
        <v>0</v>
      </c>
      <c r="AA15" s="499"/>
      <c r="AB15" s="465" t="s">
        <v>394</v>
      </c>
      <c r="AC15" s="493">
        <v>0</v>
      </c>
      <c r="AD15" s="493">
        <f>AC15*AC3</f>
        <v>0</v>
      </c>
      <c r="AE15" s="493">
        <f t="shared" ref="AE15:AL15" si="38">AD15*AD3</f>
        <v>0</v>
      </c>
      <c r="AF15" s="493">
        <f t="shared" si="38"/>
        <v>0</v>
      </c>
      <c r="AG15" s="493">
        <f t="shared" si="38"/>
        <v>0</v>
      </c>
      <c r="AH15" s="493">
        <f t="shared" si="38"/>
        <v>0</v>
      </c>
      <c r="AI15" s="493">
        <f t="shared" si="38"/>
        <v>0</v>
      </c>
      <c r="AJ15" s="493">
        <f t="shared" si="38"/>
        <v>0</v>
      </c>
      <c r="AK15" s="493">
        <f t="shared" si="38"/>
        <v>0</v>
      </c>
      <c r="AL15" s="493">
        <f t="shared" si="38"/>
        <v>0</v>
      </c>
      <c r="AM15" s="465"/>
      <c r="AN15" s="465"/>
      <c r="AO15" s="465"/>
      <c r="AP15" s="465" t="s">
        <v>394</v>
      </c>
      <c r="AQ15" s="494">
        <v>0</v>
      </c>
      <c r="AR15" s="494">
        <f>AQ15*AC28</f>
        <v>0</v>
      </c>
      <c r="AS15" s="494">
        <f t="shared" ref="AS15" ca="1" si="39">AR15*AD28</f>
        <v>0</v>
      </c>
      <c r="AT15" s="494">
        <f t="shared" ref="AT15" ca="1" si="40">AS15*AE28</f>
        <v>0</v>
      </c>
      <c r="AU15" s="494">
        <f t="shared" ref="AU15" ca="1" si="41">AT15*AF28</f>
        <v>0</v>
      </c>
      <c r="AV15" s="494">
        <f t="shared" ref="AV15" ca="1" si="42">AU15*AG28</f>
        <v>0</v>
      </c>
      <c r="AW15" s="494">
        <f t="shared" ref="AW15" ca="1" si="43">AV15*AH28</f>
        <v>0</v>
      </c>
      <c r="AX15" s="494">
        <f t="shared" ref="AX15" ca="1" si="44">AW15*AI28</f>
        <v>0</v>
      </c>
      <c r="AY15" s="494">
        <f t="shared" ref="AY15" ca="1" si="45">AX15*AJ28</f>
        <v>0</v>
      </c>
      <c r="AZ15" s="494">
        <f t="shared" ref="AZ15" ca="1" si="46">AY15*AK28</f>
        <v>0</v>
      </c>
    </row>
    <row r="16" spans="2:52">
      <c r="B16" s="454" t="s">
        <v>395</v>
      </c>
      <c r="C16" s="456">
        <v>0</v>
      </c>
      <c r="D16" s="456">
        <f>C16*C3</f>
        <v>0</v>
      </c>
      <c r="E16" s="456">
        <f t="shared" ref="E16:L16" si="47">D16*D3</f>
        <v>0</v>
      </c>
      <c r="F16" s="456">
        <f t="shared" si="47"/>
        <v>0</v>
      </c>
      <c r="G16" s="456">
        <f t="shared" si="47"/>
        <v>0</v>
      </c>
      <c r="H16" s="456">
        <f t="shared" si="47"/>
        <v>0</v>
      </c>
      <c r="I16" s="456">
        <f t="shared" si="47"/>
        <v>0</v>
      </c>
      <c r="J16" s="456">
        <f t="shared" si="47"/>
        <v>0</v>
      </c>
      <c r="K16" s="456">
        <f t="shared" si="47"/>
        <v>0</v>
      </c>
      <c r="L16" s="456">
        <f t="shared" si="47"/>
        <v>0</v>
      </c>
      <c r="M16" s="454"/>
      <c r="N16" s="454"/>
      <c r="O16" s="454"/>
      <c r="P16" s="454" t="s">
        <v>395</v>
      </c>
      <c r="Q16" s="454">
        <v>0</v>
      </c>
      <c r="R16" s="454">
        <f>Q16*C30</f>
        <v>0</v>
      </c>
      <c r="S16" s="454">
        <f t="shared" ref="S16:Z16" ca="1" si="48">R16*D30</f>
        <v>0</v>
      </c>
      <c r="T16" s="454">
        <f t="shared" ca="1" si="48"/>
        <v>0</v>
      </c>
      <c r="U16" s="454">
        <f t="shared" ca="1" si="48"/>
        <v>0</v>
      </c>
      <c r="V16" s="454">
        <f t="shared" ca="1" si="48"/>
        <v>0</v>
      </c>
      <c r="W16" s="454">
        <f t="shared" ca="1" si="48"/>
        <v>0</v>
      </c>
      <c r="X16" s="454">
        <f t="shared" ca="1" si="48"/>
        <v>0</v>
      </c>
      <c r="Y16" s="454">
        <f t="shared" ca="1" si="48"/>
        <v>0</v>
      </c>
      <c r="Z16" s="454">
        <f t="shared" ca="1" si="48"/>
        <v>0</v>
      </c>
      <c r="AA16" s="499"/>
      <c r="AB16" s="465" t="s">
        <v>395</v>
      </c>
      <c r="AC16" s="493">
        <v>0</v>
      </c>
      <c r="AD16" s="493">
        <f>AC16*AC3</f>
        <v>0</v>
      </c>
      <c r="AE16" s="493">
        <f t="shared" ref="AE16:AL16" si="49">AD16*AD3</f>
        <v>0</v>
      </c>
      <c r="AF16" s="493">
        <f t="shared" si="49"/>
        <v>0</v>
      </c>
      <c r="AG16" s="493">
        <f t="shared" si="49"/>
        <v>0</v>
      </c>
      <c r="AH16" s="493">
        <f t="shared" si="49"/>
        <v>0</v>
      </c>
      <c r="AI16" s="493">
        <f t="shared" si="49"/>
        <v>0</v>
      </c>
      <c r="AJ16" s="493">
        <f t="shared" si="49"/>
        <v>0</v>
      </c>
      <c r="AK16" s="493">
        <f t="shared" si="49"/>
        <v>0</v>
      </c>
      <c r="AL16" s="493">
        <f t="shared" si="49"/>
        <v>0</v>
      </c>
      <c r="AM16" s="465"/>
      <c r="AN16" s="465"/>
      <c r="AO16" s="465"/>
      <c r="AP16" s="465" t="s">
        <v>395</v>
      </c>
      <c r="AQ16" s="494">
        <v>0</v>
      </c>
      <c r="AR16" s="494">
        <f>AQ16*AC30</f>
        <v>0</v>
      </c>
      <c r="AS16" s="494">
        <f t="shared" ref="AS16" ca="1" si="50">AR16*AD30</f>
        <v>0</v>
      </c>
      <c r="AT16" s="494">
        <f t="shared" ref="AT16" ca="1" si="51">AS16*AE30</f>
        <v>0</v>
      </c>
      <c r="AU16" s="494">
        <f t="shared" ref="AU16" ca="1" si="52">AT16*AF30</f>
        <v>0</v>
      </c>
      <c r="AV16" s="494">
        <f t="shared" ref="AV16" ca="1" si="53">AU16*AG30</f>
        <v>0</v>
      </c>
      <c r="AW16" s="494">
        <f t="shared" ref="AW16" ca="1" si="54">AV16*AH30</f>
        <v>0</v>
      </c>
      <c r="AX16" s="494">
        <f t="shared" ref="AX16" ca="1" si="55">AW16*AI30</f>
        <v>0</v>
      </c>
      <c r="AY16" s="494">
        <f t="shared" ref="AY16" ca="1" si="56">AX16*AJ30</f>
        <v>0</v>
      </c>
      <c r="AZ16" s="494">
        <f t="shared" ref="AZ16" ca="1" si="57">AY16*AK30</f>
        <v>0</v>
      </c>
    </row>
    <row r="17" spans="2:52">
      <c r="B17" s="454"/>
      <c r="C17" s="454"/>
      <c r="D17" s="454"/>
      <c r="E17" s="454"/>
      <c r="F17" s="454"/>
      <c r="G17" s="454"/>
      <c r="H17" s="454"/>
      <c r="I17" s="454"/>
      <c r="J17" s="454"/>
      <c r="K17" s="454"/>
      <c r="L17" s="454"/>
      <c r="M17" s="454"/>
      <c r="N17" s="454"/>
      <c r="O17" s="454"/>
      <c r="P17" s="454"/>
      <c r="Q17" s="454"/>
      <c r="R17" s="454"/>
      <c r="S17" s="454"/>
      <c r="T17" s="454"/>
      <c r="U17" s="454"/>
      <c r="V17" s="454"/>
      <c r="W17" s="454"/>
      <c r="X17" s="454"/>
      <c r="Y17" s="454"/>
      <c r="Z17" s="454"/>
      <c r="AA17" s="499"/>
      <c r="AB17" s="465"/>
      <c r="AC17" s="465"/>
      <c r="AD17" s="465"/>
      <c r="AE17" s="465"/>
      <c r="AF17" s="465"/>
      <c r="AG17" s="465"/>
      <c r="AH17" s="465"/>
      <c r="AI17" s="465"/>
      <c r="AJ17" s="465"/>
      <c r="AK17" s="465"/>
      <c r="AL17" s="465"/>
      <c r="AM17" s="465"/>
      <c r="AN17" s="465"/>
      <c r="AO17" s="465"/>
      <c r="AP17" s="465"/>
      <c r="AQ17" s="465"/>
      <c r="AR17" s="465"/>
      <c r="AS17" s="465"/>
      <c r="AT17" s="465"/>
      <c r="AU17" s="465"/>
      <c r="AV17" s="465"/>
      <c r="AW17" s="465"/>
      <c r="AX17" s="465"/>
      <c r="AY17" s="465"/>
      <c r="AZ17" s="465"/>
    </row>
    <row r="18" spans="2:52">
      <c r="B18" s="454"/>
      <c r="C18" s="454"/>
      <c r="D18" s="454"/>
      <c r="E18" s="454"/>
      <c r="F18" s="454"/>
      <c r="G18" s="454"/>
      <c r="H18" s="454"/>
      <c r="I18" s="454"/>
      <c r="J18" s="454"/>
      <c r="K18" s="454"/>
      <c r="L18" s="454"/>
      <c r="M18" s="454"/>
      <c r="N18" s="454"/>
      <c r="O18" s="454"/>
      <c r="P18" s="454"/>
      <c r="Q18" s="454"/>
      <c r="R18" s="454"/>
      <c r="S18" s="454"/>
      <c r="T18" s="454"/>
      <c r="U18" s="454"/>
      <c r="V18" s="454"/>
      <c r="W18" s="454"/>
      <c r="X18" s="454"/>
      <c r="Y18" s="454"/>
      <c r="Z18" s="454"/>
      <c r="AA18" s="499"/>
      <c r="AB18" s="465"/>
      <c r="AC18" s="465"/>
      <c r="AD18" s="465"/>
      <c r="AE18" s="465"/>
      <c r="AF18" s="465"/>
      <c r="AG18" s="465"/>
      <c r="AH18" s="465"/>
      <c r="AI18" s="465"/>
      <c r="AJ18" s="465"/>
      <c r="AK18" s="465"/>
      <c r="AL18" s="465"/>
      <c r="AM18" s="465"/>
      <c r="AN18" s="465"/>
      <c r="AO18" s="465"/>
      <c r="AP18" s="465"/>
      <c r="AQ18" s="465"/>
      <c r="AR18" s="465"/>
      <c r="AS18" s="465"/>
      <c r="AT18" s="465"/>
      <c r="AU18" s="465"/>
      <c r="AV18" s="465"/>
      <c r="AW18" s="465"/>
      <c r="AX18" s="465"/>
      <c r="AY18" s="465"/>
      <c r="AZ18" s="465"/>
    </row>
    <row r="19" spans="2:52">
      <c r="B19" s="454"/>
      <c r="C19" s="454"/>
      <c r="D19" s="454"/>
      <c r="E19" s="454"/>
      <c r="F19" s="454"/>
      <c r="G19" s="454"/>
      <c r="H19" s="454"/>
      <c r="I19" s="454"/>
      <c r="J19" s="454"/>
      <c r="K19" s="454"/>
      <c r="L19" s="454"/>
      <c r="M19" s="454"/>
      <c r="N19" s="454"/>
      <c r="O19" s="454"/>
      <c r="P19" s="454"/>
      <c r="Q19" s="454"/>
      <c r="R19" s="454"/>
      <c r="S19" s="454"/>
      <c r="T19" s="454"/>
      <c r="U19" s="454"/>
      <c r="V19" s="454"/>
      <c r="W19" s="454"/>
      <c r="X19" s="454"/>
      <c r="Y19" s="454"/>
      <c r="Z19" s="454"/>
      <c r="AA19" s="499"/>
      <c r="AB19" s="465"/>
      <c r="AC19" s="465"/>
      <c r="AD19" s="465"/>
      <c r="AE19" s="465"/>
      <c r="AF19" s="465"/>
      <c r="AG19" s="465"/>
      <c r="AH19" s="465"/>
      <c r="AI19" s="465"/>
      <c r="AJ19" s="465"/>
      <c r="AK19" s="465"/>
      <c r="AL19" s="465"/>
      <c r="AM19" s="465"/>
      <c r="AN19" s="465"/>
      <c r="AO19" s="465"/>
      <c r="AP19" s="465"/>
      <c r="AQ19" s="465"/>
      <c r="AR19" s="465"/>
      <c r="AS19" s="465"/>
      <c r="AT19" s="465"/>
      <c r="AU19" s="465"/>
      <c r="AV19" s="465"/>
      <c r="AW19" s="465"/>
      <c r="AX19" s="465"/>
      <c r="AY19" s="465"/>
      <c r="AZ19" s="465"/>
    </row>
    <row r="20" spans="2:52"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  <c r="O20" s="454"/>
      <c r="P20" s="454"/>
      <c r="Q20" s="454"/>
      <c r="R20" s="454"/>
      <c r="S20" s="454"/>
      <c r="T20" s="454"/>
      <c r="U20" s="454"/>
      <c r="V20" s="454"/>
      <c r="W20" s="454"/>
      <c r="X20" s="454"/>
      <c r="Y20" s="454"/>
      <c r="Z20" s="454"/>
      <c r="AA20" s="499"/>
      <c r="AB20" s="465"/>
      <c r="AC20" s="465"/>
      <c r="AD20" s="465"/>
      <c r="AE20" s="465"/>
      <c r="AF20" s="465"/>
      <c r="AG20" s="465"/>
      <c r="AH20" s="465"/>
      <c r="AI20" s="465"/>
      <c r="AJ20" s="465"/>
      <c r="AK20" s="465"/>
      <c r="AL20" s="465"/>
      <c r="AM20" s="465"/>
      <c r="AN20" s="465"/>
      <c r="AO20" s="465"/>
      <c r="AP20" s="465"/>
      <c r="AQ20" s="465"/>
      <c r="AR20" s="465"/>
      <c r="AS20" s="465"/>
      <c r="AT20" s="465"/>
      <c r="AU20" s="465"/>
      <c r="AV20" s="465"/>
      <c r="AW20" s="465"/>
      <c r="AX20" s="465"/>
      <c r="AY20" s="465"/>
      <c r="AZ20" s="465"/>
    </row>
    <row r="21" spans="2:52">
      <c r="B21" s="454"/>
      <c r="C21" s="454" t="s">
        <v>139</v>
      </c>
      <c r="D21" s="454" t="s">
        <v>140</v>
      </c>
      <c r="E21" s="454" t="s">
        <v>141</v>
      </c>
      <c r="F21" s="454" t="s">
        <v>142</v>
      </c>
      <c r="G21" s="454" t="s">
        <v>143</v>
      </c>
      <c r="H21" s="454" t="s">
        <v>144</v>
      </c>
      <c r="I21" s="454" t="s">
        <v>145</v>
      </c>
      <c r="J21" s="454" t="s">
        <v>146</v>
      </c>
      <c r="K21" s="454" t="s">
        <v>147</v>
      </c>
      <c r="L21" s="454" t="s">
        <v>148</v>
      </c>
      <c r="M21" s="454"/>
      <c r="N21" s="454"/>
      <c r="O21" s="454"/>
      <c r="P21" s="454" t="s">
        <v>399</v>
      </c>
      <c r="Q21" s="454" t="s">
        <v>139</v>
      </c>
      <c r="R21" s="454" t="s">
        <v>140</v>
      </c>
      <c r="S21" s="454" t="s">
        <v>141</v>
      </c>
      <c r="T21" s="454" t="s">
        <v>142</v>
      </c>
      <c r="U21" s="454" t="s">
        <v>143</v>
      </c>
      <c r="V21" s="454" t="s">
        <v>144</v>
      </c>
      <c r="W21" s="454" t="s">
        <v>145</v>
      </c>
      <c r="X21" s="454" t="s">
        <v>146</v>
      </c>
      <c r="Y21" s="454" t="s">
        <v>147</v>
      </c>
      <c r="Z21" s="454" t="s">
        <v>148</v>
      </c>
      <c r="AA21" s="499"/>
      <c r="AB21" s="465"/>
      <c r="AC21" s="465" t="s">
        <v>139</v>
      </c>
      <c r="AD21" s="465" t="s">
        <v>140</v>
      </c>
      <c r="AE21" s="465" t="s">
        <v>141</v>
      </c>
      <c r="AF21" s="465" t="s">
        <v>142</v>
      </c>
      <c r="AG21" s="465" t="s">
        <v>143</v>
      </c>
      <c r="AH21" s="465" t="s">
        <v>144</v>
      </c>
      <c r="AI21" s="465" t="s">
        <v>145</v>
      </c>
      <c r="AJ21" s="465" t="s">
        <v>146</v>
      </c>
      <c r="AK21" s="465" t="s">
        <v>147</v>
      </c>
      <c r="AL21" s="465" t="s">
        <v>148</v>
      </c>
      <c r="AM21" s="465"/>
      <c r="AN21" s="465"/>
      <c r="AO21" s="465"/>
      <c r="AP21" s="465" t="s">
        <v>399</v>
      </c>
      <c r="AQ21" s="465" t="s">
        <v>139</v>
      </c>
      <c r="AR21" s="465" t="s">
        <v>140</v>
      </c>
      <c r="AS21" s="465" t="s">
        <v>141</v>
      </c>
      <c r="AT21" s="465" t="s">
        <v>142</v>
      </c>
      <c r="AU21" s="465" t="s">
        <v>143</v>
      </c>
      <c r="AV21" s="465" t="s">
        <v>144</v>
      </c>
      <c r="AW21" s="465" t="s">
        <v>145</v>
      </c>
      <c r="AX21" s="465" t="s">
        <v>146</v>
      </c>
      <c r="AY21" s="465" t="s">
        <v>147</v>
      </c>
      <c r="AZ21" s="465" t="s">
        <v>148</v>
      </c>
    </row>
    <row r="22" spans="2:52">
      <c r="B22" s="454" t="s">
        <v>378</v>
      </c>
      <c r="C22" s="457">
        <v>0.06</v>
      </c>
      <c r="D22" s="457">
        <f ca="1">C22+_xlfn.NORM.DIST(RAND(), 0, 1, FALSE)%</f>
        <v>6.3882647720000282E-2</v>
      </c>
      <c r="E22" s="457">
        <f t="shared" ref="E22:L22" ca="1" si="58">D22+_xlfn.NORM.DIST(RAND(), 0, 1, FALSE)%</f>
        <v>6.7743341720608141E-2</v>
      </c>
      <c r="F22" s="457">
        <f t="shared" ca="1" si="58"/>
        <v>7.166567002900015E-2</v>
      </c>
      <c r="G22" s="457">
        <f t="shared" ca="1" si="58"/>
        <v>7.561379321500547E-2</v>
      </c>
      <c r="H22" s="457">
        <f t="shared" ca="1" si="58"/>
        <v>7.8893548052597309E-2</v>
      </c>
      <c r="I22" s="457">
        <f t="shared" ca="1" si="58"/>
        <v>8.2870994007663581E-2</v>
      </c>
      <c r="J22" s="457">
        <f t="shared" ca="1" si="58"/>
        <v>8.627630562287146E-2</v>
      </c>
      <c r="K22" s="457">
        <f t="shared" ca="1" si="58"/>
        <v>9.0196335135874384E-2</v>
      </c>
      <c r="L22" s="457">
        <f t="shared" ca="1" si="58"/>
        <v>9.3633620494826708E-2</v>
      </c>
      <c r="M22" s="454"/>
      <c r="N22" s="454"/>
      <c r="O22" s="454"/>
      <c r="P22" s="454" t="s">
        <v>378</v>
      </c>
      <c r="Q22" s="456">
        <f>C8*Q8</f>
        <v>1540000</v>
      </c>
      <c r="R22" s="456">
        <f t="shared" ref="R22:Z22" si="59">D8*R8</f>
        <v>1707490.4000000001</v>
      </c>
      <c r="S22" s="456">
        <f t="shared" ca="1" si="59"/>
        <v>1900131.6004630725</v>
      </c>
      <c r="T22" s="456">
        <f t="shared" ca="1" si="59"/>
        <v>2122180.0965675875</v>
      </c>
      <c r="U22" s="456">
        <f t="shared" ca="1" si="59"/>
        <v>2378883.8626453863</v>
      </c>
      <c r="V22" s="456">
        <f t="shared" ca="1" si="59"/>
        <v>2676463.2686933945</v>
      </c>
      <c r="W22" s="456">
        <f t="shared" ca="1" si="59"/>
        <v>3020449.4239939498</v>
      </c>
      <c r="X22" s="456">
        <f t="shared" ca="1" si="59"/>
        <v>3421211.8953352729</v>
      </c>
      <c r="Y22" s="456">
        <f t="shared" ca="1" si="59"/>
        <v>3887334.9636650421</v>
      </c>
      <c r="Z22" s="456">
        <f t="shared" ca="1" si="59"/>
        <v>4432904.4140515029</v>
      </c>
      <c r="AA22" s="499"/>
      <c r="AB22" s="465" t="s">
        <v>378</v>
      </c>
      <c r="AC22" s="468">
        <v>0.02</v>
      </c>
      <c r="AD22" s="468">
        <f ca="1">AC22+_xlfn.NORM.DIST(RAND(), 0, 1, FALSE)%</f>
        <v>2.2715306144384873E-2</v>
      </c>
      <c r="AE22" s="468">
        <f t="shared" ref="AE22:AL22" ca="1" si="60">AD22+_xlfn.NORM.DIST(RAND(), 0, 1, FALSE)%</f>
        <v>2.5513153453219556E-2</v>
      </c>
      <c r="AF22" s="468">
        <f t="shared" ca="1" si="60"/>
        <v>2.9065146497786399E-2</v>
      </c>
      <c r="AG22" s="468">
        <f t="shared" ca="1" si="60"/>
        <v>3.2202663324510099E-2</v>
      </c>
      <c r="AH22" s="468">
        <f t="shared" ca="1" si="60"/>
        <v>3.6186721814308057E-2</v>
      </c>
      <c r="AI22" s="468">
        <f t="shared" ca="1" si="60"/>
        <v>3.9886508293046949E-2</v>
      </c>
      <c r="AJ22" s="468">
        <f t="shared" ca="1" si="60"/>
        <v>4.319790425864399E-2</v>
      </c>
      <c r="AK22" s="468">
        <f t="shared" ca="1" si="60"/>
        <v>4.6369901855996376E-2</v>
      </c>
      <c r="AL22" s="468">
        <f t="shared" ca="1" si="60"/>
        <v>4.905076441262432E-2</v>
      </c>
      <c r="AM22" s="465"/>
      <c r="AN22" s="465"/>
      <c r="AO22" s="465"/>
      <c r="AP22" s="465" t="s">
        <v>378</v>
      </c>
      <c r="AQ22" s="467">
        <f>AC8*AQ8</f>
        <v>1540000</v>
      </c>
      <c r="AR22" s="467">
        <f t="shared" ref="AR22:AR24" si="61">AD8*AR8</f>
        <v>1633632</v>
      </c>
      <c r="AS22" s="467">
        <f t="shared" ref="AS22:AS25" ca="1" si="62">AE8*AS8</f>
        <v>1737570.0690475544</v>
      </c>
      <c r="AT22" s="467">
        <f t="shared" ref="AT22:AT30" ca="1" si="63">AF8*AT8</f>
        <v>1853176.9992890817</v>
      </c>
      <c r="AU22" s="467">
        <f t="shared" ref="AU22:AU30" ca="1" si="64">AG8*AU8</f>
        <v>1983321.454670137</v>
      </c>
      <c r="AV22" s="467">
        <f t="shared" ref="AV22:AV30" ca="1" si="65">AH8*AV8</f>
        <v>2129077.2752487231</v>
      </c>
      <c r="AW22" s="467">
        <f t="shared" ref="AW22:AW30" ca="1" si="66">AI8*AW8</f>
        <v>2294366.4664224866</v>
      </c>
      <c r="AX22" s="467">
        <f t="shared" ref="AX22:AX30" ca="1" si="67">AJ8*AX8</f>
        <v>2481315.962853245</v>
      </c>
      <c r="AY22" s="467">
        <f t="shared" ref="AY22:AY30" ca="1" si="68">AK8*AY8</f>
        <v>2692043.7567421054</v>
      </c>
      <c r="AZ22" s="467">
        <f t="shared" ref="AZ22:AZ30" ca="1" si="69">AL8*AZ8</f>
        <v>2929548.5039956556</v>
      </c>
    </row>
    <row r="23" spans="2:52">
      <c r="B23" s="454" t="s">
        <v>379</v>
      </c>
      <c r="C23" s="457">
        <v>0.06</v>
      </c>
      <c r="D23" s="457">
        <f t="shared" ref="D23:L30" ca="1" si="70">C23+_xlfn.NORM.DIST(RAND(), 0, 1, FALSE)%</f>
        <v>6.380038405398189E-2</v>
      </c>
      <c r="E23" s="457">
        <f t="shared" ca="1" si="70"/>
        <v>6.7356531128087399E-2</v>
      </c>
      <c r="F23" s="457">
        <f t="shared" ca="1" si="70"/>
        <v>7.0866047849170027E-2</v>
      </c>
      <c r="G23" s="457">
        <f t="shared" ca="1" si="70"/>
        <v>7.4721790763639273E-2</v>
      </c>
      <c r="H23" s="457">
        <f ca="1">G23+_xlfn.NORM.DIST(RAND(), 0, 1, FALSE)%</f>
        <v>7.8665200131825916E-2</v>
      </c>
      <c r="I23" s="457">
        <f t="shared" ca="1" si="70"/>
        <v>8.1880575157377886E-2</v>
      </c>
      <c r="J23" s="457">
        <f t="shared" ca="1" si="70"/>
        <v>8.4846622854970563E-2</v>
      </c>
      <c r="K23" s="457">
        <f t="shared" ca="1" si="70"/>
        <v>8.8735967935940047E-2</v>
      </c>
      <c r="L23" s="457">
        <f t="shared" ca="1" si="70"/>
        <v>9.1643739564795865E-2</v>
      </c>
      <c r="M23" s="454"/>
      <c r="N23" s="454"/>
      <c r="O23" s="454"/>
      <c r="P23" s="454" t="s">
        <v>379</v>
      </c>
      <c r="Q23" s="456">
        <f>C9*Q9</f>
        <v>850000</v>
      </c>
      <c r="R23" s="456">
        <f t="shared" ref="R23:Z23" si="71">D9*R9</f>
        <v>942446</v>
      </c>
      <c r="S23" s="456">
        <f t="shared" ca="1" si="71"/>
        <v>1048692.8399206453</v>
      </c>
      <c r="T23" s="456">
        <f t="shared" ca="1" si="71"/>
        <v>1170818.2928210448</v>
      </c>
      <c r="U23" s="456">
        <f t="shared" ca="1" si="71"/>
        <v>1311463.8776499927</v>
      </c>
      <c r="V23" s="456">
        <f t="shared" ca="1" si="71"/>
        <v>1474293.9122368786</v>
      </c>
      <c r="W23" s="456">
        <f t="shared" ca="1" si="71"/>
        <v>1663421.9366393473</v>
      </c>
      <c r="X23" s="456">
        <f t="shared" ca="1" si="71"/>
        <v>1882406.5800916525</v>
      </c>
      <c r="Y23" s="456">
        <f t="shared" ca="1" si="71"/>
        <v>2136060.0526300147</v>
      </c>
      <c r="Z23" s="456">
        <f t="shared" ca="1" si="71"/>
        <v>2432583.2577820281</v>
      </c>
      <c r="AA23" s="499"/>
      <c r="AB23" s="465" t="s">
        <v>379</v>
      </c>
      <c r="AC23" s="468">
        <v>0.05</v>
      </c>
      <c r="AD23" s="468">
        <f t="shared" ref="AD23:AL23" ca="1" si="72">AC23+_xlfn.NORM.DIST(RAND(), 0, 1, FALSE)%</f>
        <v>5.2834355200262653E-2</v>
      </c>
      <c r="AE23" s="468">
        <f t="shared" ca="1" si="72"/>
        <v>5.6688996992929799E-2</v>
      </c>
      <c r="AF23" s="468">
        <f t="shared" ca="1" si="72"/>
        <v>6.0303510370779807E-2</v>
      </c>
      <c r="AG23" s="468">
        <f t="shared" ca="1" si="72"/>
        <v>6.3967057113972076E-2</v>
      </c>
      <c r="AH23" s="468">
        <f ca="1">AG23+_xlfn.NORM.DIST(RAND(), 0, 1, FALSE)%</f>
        <v>6.7295583255843686E-2</v>
      </c>
      <c r="AI23" s="468">
        <f t="shared" ref="AI23:AQ23" ca="1" si="73">AH23+_xlfn.NORM.DIST(RAND(), 0, 1, FALSE)%</f>
        <v>6.9805400937383313E-2</v>
      </c>
      <c r="AJ23" s="468">
        <f t="shared" ca="1" si="73"/>
        <v>7.247498109233097E-2</v>
      </c>
      <c r="AK23" s="468">
        <f t="shared" ca="1" si="73"/>
        <v>7.502808580859513E-2</v>
      </c>
      <c r="AL23" s="468">
        <f t="shared" ca="1" si="73"/>
        <v>7.7770653936985262E-2</v>
      </c>
      <c r="AM23" s="465"/>
      <c r="AN23" s="465"/>
      <c r="AO23" s="465"/>
      <c r="AP23" s="465" t="s">
        <v>379</v>
      </c>
      <c r="AQ23" s="467">
        <f>AC9*AQ9</f>
        <v>850000</v>
      </c>
      <c r="AR23" s="467">
        <f t="shared" si="61"/>
        <v>928200</v>
      </c>
      <c r="AS23" s="467">
        <f t="shared" ca="1" si="62"/>
        <v>1016330.4824367592</v>
      </c>
      <c r="AT23" s="467">
        <f t="shared" ca="1" si="63"/>
        <v>1116903.0476234171</v>
      </c>
      <c r="AU23" s="467">
        <f t="shared" ca="1" si="64"/>
        <v>1231626.4710244888</v>
      </c>
      <c r="AV23" s="467">
        <f t="shared" ca="1" si="65"/>
        <v>1362826.391513176</v>
      </c>
      <c r="AW23" s="467">
        <f t="shared" ca="1" si="66"/>
        <v>1512720.1319427725</v>
      </c>
      <c r="AX23" s="467">
        <f t="shared" ca="1" si="67"/>
        <v>1683048.8139494529</v>
      </c>
      <c r="AY23" s="467">
        <f t="shared" ca="1" si="68"/>
        <v>1877228.854714626</v>
      </c>
      <c r="AZ23" s="467">
        <f t="shared" ca="1" si="69"/>
        <v>2098796.6920008669</v>
      </c>
    </row>
    <row r="24" spans="2:52">
      <c r="B24" s="454" t="s">
        <v>297</v>
      </c>
      <c r="C24" s="457">
        <v>0.06</v>
      </c>
      <c r="D24" s="457">
        <f t="shared" ca="1" si="70"/>
        <v>6.3785374478924114E-2</v>
      </c>
      <c r="E24" s="457">
        <f t="shared" ca="1" si="70"/>
        <v>6.6340848708009409E-2</v>
      </c>
      <c r="F24" s="457">
        <f t="shared" ca="1" si="70"/>
        <v>6.9407979551467228E-2</v>
      </c>
      <c r="G24" s="457">
        <f t="shared" ca="1" si="70"/>
        <v>7.3249928517842927E-2</v>
      </c>
      <c r="H24" s="457">
        <f t="shared" ca="1" si="70"/>
        <v>7.647654689935926E-2</v>
      </c>
      <c r="I24" s="457">
        <f t="shared" ca="1" si="70"/>
        <v>8.0121474980645188E-2</v>
      </c>
      <c r="J24" s="457">
        <f t="shared" ca="1" si="70"/>
        <v>8.2584995122130037E-2</v>
      </c>
      <c r="K24" s="457">
        <f t="shared" ca="1" si="70"/>
        <v>8.6278662615047394E-2</v>
      </c>
      <c r="L24" s="457">
        <f t="shared" ca="1" si="70"/>
        <v>9.0216507742623894E-2</v>
      </c>
      <c r="M24" s="454"/>
      <c r="N24" s="454"/>
      <c r="O24" s="454"/>
      <c r="P24" s="454" t="s">
        <v>297</v>
      </c>
      <c r="Q24" s="456">
        <f>C10*Q10</f>
        <v>2540000</v>
      </c>
      <c r="R24" s="456">
        <f t="shared" ref="R24:Z24" si="74">D10*R10</f>
        <v>2816250.4</v>
      </c>
      <c r="S24" s="456">
        <f t="shared" ca="1" si="74"/>
        <v>3133696.7417643787</v>
      </c>
      <c r="T24" s="456">
        <f t="shared" ca="1" si="74"/>
        <v>3495301.9299940532</v>
      </c>
      <c r="U24" s="456">
        <f t="shared" ca="1" si="74"/>
        <v>3909847.3485216396</v>
      </c>
      <c r="V24" s="456">
        <f t="shared" ca="1" si="74"/>
        <v>4389270.5831330884</v>
      </c>
      <c r="W24" s="456">
        <f t="shared" ca="1" si="74"/>
        <v>4942294.3954119943</v>
      </c>
      <c r="X24" s="456">
        <f t="shared" ca="1" si="74"/>
        <v>5583839.1145203831</v>
      </c>
      <c r="Y24" s="456">
        <f t="shared" ca="1" si="74"/>
        <v>6323049.5408213753</v>
      </c>
      <c r="Z24" s="456">
        <f t="shared" ca="1" si="74"/>
        <v>7184549.113599332</v>
      </c>
      <c r="AA24" s="499"/>
      <c r="AB24" s="465" t="s">
        <v>297</v>
      </c>
      <c r="AC24" s="468">
        <v>0.03</v>
      </c>
      <c r="AD24" s="468">
        <f t="shared" ref="AD24:AL24" ca="1" si="75">AC24+_xlfn.NORM.DIST(RAND(), 0, 1, FALSE)%</f>
        <v>3.3343924921860536E-2</v>
      </c>
      <c r="AE24" s="468">
        <f t="shared" ca="1" si="75"/>
        <v>3.5780783646828102E-2</v>
      </c>
      <c r="AF24" s="468">
        <f t="shared" ca="1" si="75"/>
        <v>3.9673039587222098E-2</v>
      </c>
      <c r="AG24" s="468">
        <f t="shared" ca="1" si="75"/>
        <v>4.2515934930155208E-2</v>
      </c>
      <c r="AH24" s="468">
        <f t="shared" ca="1" si="75"/>
        <v>4.5466300588242838E-2</v>
      </c>
      <c r="AI24" s="468">
        <f t="shared" ca="1" si="75"/>
        <v>4.9285194887040119E-2</v>
      </c>
      <c r="AJ24" s="468">
        <f t="shared" ca="1" si="75"/>
        <v>5.3104651387989171E-2</v>
      </c>
      <c r="AK24" s="468">
        <f t="shared" ca="1" si="75"/>
        <v>5.6545296721227808E-2</v>
      </c>
      <c r="AL24" s="468">
        <f t="shared" ca="1" si="75"/>
        <v>5.9246165191831436E-2</v>
      </c>
      <c r="AM24" s="465"/>
      <c r="AN24" s="465"/>
      <c r="AO24" s="465"/>
      <c r="AP24" s="465" t="s">
        <v>297</v>
      </c>
      <c r="AQ24" s="467">
        <f>AC10*AQ10</f>
        <v>2540000</v>
      </c>
      <c r="AR24" s="467">
        <f t="shared" si="61"/>
        <v>2720848.0000000005</v>
      </c>
      <c r="AS24" s="467">
        <f t="shared" ca="1" si="62"/>
        <v>2924034.6214932268</v>
      </c>
      <c r="AT24" s="467">
        <f t="shared" ca="1" si="63"/>
        <v>3149805.2265271395</v>
      </c>
      <c r="AU24" s="467">
        <f t="shared" ca="1" si="64"/>
        <v>3405758.2769300379</v>
      </c>
      <c r="AV24" s="467">
        <f t="shared" ca="1" si="65"/>
        <v>3692579.5651886258</v>
      </c>
      <c r="AW24" s="467">
        <f t="shared" ca="1" si="66"/>
        <v>4014886.1975513143</v>
      </c>
      <c r="AX24" s="467">
        <f t="shared" ca="1" si="67"/>
        <v>4381271.0720967948</v>
      </c>
      <c r="AY24" s="467">
        <f t="shared" ca="1" si="68"/>
        <v>4798494.4228174482</v>
      </c>
      <c r="AZ24" s="467">
        <f t="shared" ca="1" si="69"/>
        <v>5272619.7823216505</v>
      </c>
    </row>
    <row r="25" spans="2:52">
      <c r="B25" s="454" t="s">
        <v>383</v>
      </c>
      <c r="C25" s="457">
        <v>0.06</v>
      </c>
      <c r="D25" s="457">
        <f t="shared" ca="1" si="70"/>
        <v>6.3984186899337131E-2</v>
      </c>
      <c r="E25" s="457">
        <f t="shared" ca="1" si="70"/>
        <v>6.7241221766124987E-2</v>
      </c>
      <c r="F25" s="457">
        <f t="shared" ca="1" si="70"/>
        <v>7.0662139029617516E-2</v>
      </c>
      <c r="G25" s="457">
        <f t="shared" ca="1" si="70"/>
        <v>7.3999443296699968E-2</v>
      </c>
      <c r="H25" s="457">
        <f t="shared" ca="1" si="70"/>
        <v>7.7197330233797407E-2</v>
      </c>
      <c r="I25" s="457">
        <f t="shared" ca="1" si="70"/>
        <v>7.978443954411156E-2</v>
      </c>
      <c r="J25" s="457">
        <f t="shared" ca="1" si="70"/>
        <v>8.3191237798351983E-2</v>
      </c>
      <c r="K25" s="457">
        <f t="shared" ca="1" si="70"/>
        <v>8.6921553983885694E-2</v>
      </c>
      <c r="L25" s="457">
        <f t="shared" ca="1" si="70"/>
        <v>9.006043470269412E-2</v>
      </c>
      <c r="M25" s="454"/>
      <c r="N25" s="454"/>
      <c r="O25" s="454"/>
      <c r="P25" s="454" t="s">
        <v>383</v>
      </c>
      <c r="Q25" s="454"/>
      <c r="R25" s="456">
        <f>D11*R11</f>
        <v>1905000</v>
      </c>
      <c r="S25" s="456">
        <f t="shared" ref="S25:Z25" ca="1" si="76">E11*S11</f>
        <v>2120126.8103412259</v>
      </c>
      <c r="T25" s="456">
        <f t="shared" ca="1" si="76"/>
        <v>2366770.316826601</v>
      </c>
      <c r="U25" s="456">
        <f t="shared" ca="1" si="76"/>
        <v>2650575.8930256218</v>
      </c>
      <c r="V25" s="456">
        <f t="shared" ca="1" si="76"/>
        <v>2977666.0170673286</v>
      </c>
      <c r="W25" s="456">
        <f t="shared" ca="1" si="76"/>
        <v>3355080.4425728223</v>
      </c>
      <c r="X25" s="456">
        <f t="shared" ca="1" si="76"/>
        <v>3789410.7834531143</v>
      </c>
      <c r="Y25" s="456">
        <f t="shared" ca="1" si="76"/>
        <v>4293470.7586795324</v>
      </c>
      <c r="Z25" s="456">
        <f t="shared" ca="1" si="76"/>
        <v>4881332.5408227136</v>
      </c>
      <c r="AA25" s="499"/>
      <c r="AB25" s="465" t="s">
        <v>383</v>
      </c>
      <c r="AC25" s="468">
        <v>0.04</v>
      </c>
      <c r="AD25" s="468">
        <f t="shared" ref="AD25:AL25" ca="1" si="77">AC25+_xlfn.NORM.DIST(RAND(), 0, 1, FALSE)%</f>
        <v>4.2668412126339601E-2</v>
      </c>
      <c r="AE25" s="468">
        <f t="shared" ca="1" si="77"/>
        <v>4.5268139961242446E-2</v>
      </c>
      <c r="AF25" s="468">
        <f t="shared" ca="1" si="77"/>
        <v>4.8395340081687985E-2</v>
      </c>
      <c r="AG25" s="468">
        <f t="shared" ca="1" si="77"/>
        <v>5.1883658506413986E-2</v>
      </c>
      <c r="AH25" s="468">
        <f t="shared" ca="1" si="77"/>
        <v>5.5787041630350517E-2</v>
      </c>
      <c r="AI25" s="468">
        <f t="shared" ca="1" si="77"/>
        <v>5.9022296705733633E-2</v>
      </c>
      <c r="AJ25" s="468">
        <f t="shared" ca="1" si="77"/>
        <v>6.283182152726717E-2</v>
      </c>
      <c r="AK25" s="468">
        <f t="shared" ca="1" si="77"/>
        <v>6.6258009255738812E-2</v>
      </c>
      <c r="AL25" s="468">
        <f t="shared" ca="1" si="77"/>
        <v>6.8973619199557148E-2</v>
      </c>
      <c r="AM25" s="465"/>
      <c r="AN25" s="465"/>
      <c r="AO25" s="465"/>
      <c r="AP25" s="465" t="s">
        <v>383</v>
      </c>
      <c r="AQ25" s="465"/>
      <c r="AR25" s="467">
        <f>AD11*AR11</f>
        <v>1905000</v>
      </c>
      <c r="AS25" s="467">
        <f t="shared" ca="1" si="62"/>
        <v>2065734.6581047042</v>
      </c>
      <c r="AT25" s="467">
        <f t="shared" ca="1" si="63"/>
        <v>2245616.4886798006</v>
      </c>
      <c r="AU25" s="467">
        <f t="shared" ca="1" si="64"/>
        <v>2448465.6168362051</v>
      </c>
      <c r="AV25" s="467">
        <f t="shared" ca="1" si="65"/>
        <v>2678521.0095954244</v>
      </c>
      <c r="AW25" s="467">
        <f t="shared" ca="1" si="66"/>
        <v>2941065.6835721126</v>
      </c>
      <c r="AX25" s="467">
        <f t="shared" ca="1" si="67"/>
        <v>3239240.3003781158</v>
      </c>
      <c r="AY25" s="467">
        <f t="shared" ca="1" si="68"/>
        <v>3580478.3755680211</v>
      </c>
      <c r="AZ25" s="467">
        <f t="shared" ca="1" si="69"/>
        <v>3970422.2947130352</v>
      </c>
    </row>
    <row r="26" spans="2:52">
      <c r="B26" s="454" t="s">
        <v>312</v>
      </c>
      <c r="C26" s="457">
        <v>0.06</v>
      </c>
      <c r="D26" s="457">
        <f t="shared" ca="1" si="70"/>
        <v>6.2929090166495727E-2</v>
      </c>
      <c r="E26" s="457">
        <f t="shared" ca="1" si="70"/>
        <v>6.6723536223499871E-2</v>
      </c>
      <c r="F26" s="457">
        <f t="shared" ca="1" si="70"/>
        <v>7.0488348315188132E-2</v>
      </c>
      <c r="G26" s="457">
        <f t="shared" ca="1" si="70"/>
        <v>7.3875591353494405E-2</v>
      </c>
      <c r="H26" s="457">
        <f t="shared" ca="1" si="70"/>
        <v>7.6562429357212539E-2</v>
      </c>
      <c r="I26" s="457">
        <f t="shared" ca="1" si="70"/>
        <v>8.0511023998758924E-2</v>
      </c>
      <c r="J26" s="457">
        <f t="shared" ca="1" si="70"/>
        <v>8.3088478399914123E-2</v>
      </c>
      <c r="K26" s="457">
        <f ca="1">J26+_xlfn.NORM.DIST(RAND(), 0, 1, FALSE)%</f>
        <v>8.7077871437956811E-2</v>
      </c>
      <c r="L26" s="457">
        <f t="shared" ca="1" si="70"/>
        <v>9.0555172118137406E-2</v>
      </c>
      <c r="M26" s="454"/>
      <c r="N26" s="454"/>
      <c r="O26" s="454"/>
      <c r="P26" s="454" t="s">
        <v>312</v>
      </c>
      <c r="Q26" s="454"/>
      <c r="R26" s="454"/>
      <c r="S26" s="456">
        <f>E12*S12</f>
        <v>3180000</v>
      </c>
      <c r="T26" s="456">
        <f t="shared" ref="T26:Z26" ca="1" si="78">F12*T12</f>
        <v>3548221.1640695035</v>
      </c>
      <c r="U26" s="456">
        <f t="shared" ca="1" si="78"/>
        <v>3973052.5663973172</v>
      </c>
      <c r="V26" s="456">
        <f t="shared" ca="1" si="78"/>
        <v>4462826.1262324862</v>
      </c>
      <c r="W26" s="456">
        <f t="shared" ca="1" si="78"/>
        <v>5025518.4393234439</v>
      </c>
      <c r="X26" s="456">
        <f t="shared" ca="1" si="78"/>
        <v>5679913.9664479289</v>
      </c>
      <c r="Y26" s="456">
        <f t="shared" ca="1" si="78"/>
        <v>6434834.4466291852</v>
      </c>
      <c r="Z26" s="456">
        <f t="shared" ca="1" si="78"/>
        <v>7316943.7754289731</v>
      </c>
      <c r="AA26" s="499"/>
      <c r="AB26" s="465" t="s">
        <v>312</v>
      </c>
      <c r="AC26" s="468">
        <v>7.0000000000000007E-2</v>
      </c>
      <c r="AD26" s="468">
        <f t="shared" ref="AD26:AL26" ca="1" si="79">AC26+_xlfn.NORM.DIST(RAND(), 0, 1, FALSE)%</f>
        <v>7.3870046137276602E-2</v>
      </c>
      <c r="AE26" s="468">
        <f t="shared" ca="1" si="79"/>
        <v>7.7532764038226329E-2</v>
      </c>
      <c r="AF26" s="468">
        <f t="shared" ca="1" si="79"/>
        <v>8.1494405572645118E-2</v>
      </c>
      <c r="AG26" s="468">
        <f t="shared" ca="1" si="79"/>
        <v>8.4810447562615909E-2</v>
      </c>
      <c r="AH26" s="468">
        <f t="shared" ca="1" si="79"/>
        <v>8.7401082159932142E-2</v>
      </c>
      <c r="AI26" s="468">
        <f t="shared" ca="1" si="79"/>
        <v>9.132554590098213E-2</v>
      </c>
      <c r="AJ26" s="468">
        <f t="shared" ca="1" si="79"/>
        <v>9.4426411421895909E-2</v>
      </c>
      <c r="AK26" s="468">
        <f ca="1">AJ26+_xlfn.NORM.DIST(RAND(), 0, 1, FALSE)%</f>
        <v>9.8319876750821572E-2</v>
      </c>
      <c r="AL26" s="468">
        <f t="shared" ref="AL26:AT26" ca="1" si="80">AK26+_xlfn.NORM.DIST(RAND(), 0, 1, FALSE)%</f>
        <v>0.10201907015054372</v>
      </c>
      <c r="AM26" s="465"/>
      <c r="AN26" s="465"/>
      <c r="AO26" s="465"/>
      <c r="AP26" s="465" t="s">
        <v>312</v>
      </c>
      <c r="AQ26" s="465"/>
      <c r="AR26" s="465"/>
      <c r="AS26" s="467">
        <f>AE12*AS12</f>
        <v>3180000</v>
      </c>
      <c r="AT26" s="467">
        <f t="shared" ca="1" si="63"/>
        <v>3563616.3572272225</v>
      </c>
      <c r="AU26" s="467">
        <f t="shared" ca="1" si="64"/>
        <v>4008192.4001063467</v>
      </c>
      <c r="AV26" s="467">
        <f t="shared" ca="1" si="65"/>
        <v>4522054.1511354996</v>
      </c>
      <c r="AW26" s="467">
        <f t="shared" ca="1" si="66"/>
        <v>5113978.0406317776</v>
      </c>
      <c r="AX26" s="467">
        <f t="shared" ca="1" si="67"/>
        <v>5804255.471994835</v>
      </c>
      <c r="AY26" s="467">
        <f t="shared" ca="1" si="68"/>
        <v>6606423.706678859</v>
      </c>
      <c r="AZ26" s="467">
        <f t="shared" ca="1" si="69"/>
        <v>7546205.1301345602</v>
      </c>
    </row>
    <row r="27" spans="2:52">
      <c r="B27" s="454" t="s">
        <v>392</v>
      </c>
      <c r="C27" s="457">
        <v>0</v>
      </c>
      <c r="D27" s="490">
        <f t="shared" ca="1" si="70"/>
        <v>2.4835978397197717E-3</v>
      </c>
      <c r="E27" s="490">
        <f t="shared" ca="1" si="70"/>
        <v>4.9302160837083244E-3</v>
      </c>
      <c r="F27" s="490">
        <f t="shared" ca="1" si="70"/>
        <v>8.1140333613595531E-3</v>
      </c>
      <c r="G27" s="490">
        <f t="shared" ca="1" si="70"/>
        <v>1.2063810956209065E-2</v>
      </c>
      <c r="H27" s="490">
        <f t="shared" ca="1" si="70"/>
        <v>1.5828468890236123E-2</v>
      </c>
      <c r="I27" s="490">
        <f t="shared" ca="1" si="70"/>
        <v>1.9102488049358594E-2</v>
      </c>
      <c r="J27" s="490">
        <f t="shared" ca="1" si="70"/>
        <v>2.2571060833165228E-2</v>
      </c>
      <c r="K27" s="490">
        <f ca="1">J27+_xlfn.NORM.DIST(RAND(), 0, 1, FALSE)%</f>
        <v>2.5741726950368176E-2</v>
      </c>
      <c r="L27" s="490">
        <f t="shared" ca="1" si="70"/>
        <v>2.9693091668518419E-2</v>
      </c>
      <c r="M27" s="454"/>
      <c r="N27" s="454"/>
      <c r="O27" s="454"/>
      <c r="P27" s="454" t="s">
        <v>392</v>
      </c>
      <c r="Q27" s="456">
        <f>C13*Q13</f>
        <v>0</v>
      </c>
      <c r="R27" s="456">
        <f t="shared" ref="R27:Z27" si="81">D13*R13</f>
        <v>0</v>
      </c>
      <c r="S27" s="456">
        <f t="shared" ca="1" si="81"/>
        <v>0</v>
      </c>
      <c r="T27" s="456">
        <f t="shared" ca="1" si="81"/>
        <v>0</v>
      </c>
      <c r="U27" s="456">
        <f t="shared" ca="1" si="81"/>
        <v>0</v>
      </c>
      <c r="V27" s="456">
        <f t="shared" ca="1" si="81"/>
        <v>0</v>
      </c>
      <c r="W27" s="456">
        <f t="shared" ca="1" si="81"/>
        <v>0</v>
      </c>
      <c r="X27" s="456">
        <f t="shared" ca="1" si="81"/>
        <v>0</v>
      </c>
      <c r="Y27" s="456">
        <f t="shared" ca="1" si="81"/>
        <v>0</v>
      </c>
      <c r="Z27" s="456">
        <f t="shared" ca="1" si="81"/>
        <v>0</v>
      </c>
      <c r="AA27" s="499"/>
      <c r="AB27" s="494" t="s">
        <v>392</v>
      </c>
      <c r="AC27" s="495">
        <v>0</v>
      </c>
      <c r="AD27" s="496">
        <f t="shared" ref="AD27:AL27" ca="1" si="82">AC27+_xlfn.NORM.DIST(RAND(), 0, 1, FALSE)%</f>
        <v>3.8366561895294381E-3</v>
      </c>
      <c r="AE27" s="496">
        <f t="shared" ca="1" si="82"/>
        <v>7.3416002608987091E-3</v>
      </c>
      <c r="AF27" s="496">
        <f t="shared" ca="1" si="82"/>
        <v>1.0699079689089289E-2</v>
      </c>
      <c r="AG27" s="496">
        <f t="shared" ca="1" si="82"/>
        <v>1.4563260584518366E-2</v>
      </c>
      <c r="AH27" s="496">
        <f t="shared" ca="1" si="82"/>
        <v>1.8515156429430132E-2</v>
      </c>
      <c r="AI27" s="496">
        <f t="shared" ca="1" si="82"/>
        <v>2.2464598047567286E-2</v>
      </c>
      <c r="AJ27" s="496">
        <f t="shared" ca="1" si="82"/>
        <v>2.6092674077458473E-2</v>
      </c>
      <c r="AK27" s="496">
        <f ca="1">AJ27+_xlfn.NORM.DIST(RAND(), 0, 1, FALSE)%</f>
        <v>2.9883973799017204E-2</v>
      </c>
      <c r="AL27" s="496">
        <f t="shared" ref="AL27" ca="1" si="83">AK27+_xlfn.NORM.DIST(RAND(), 0, 1, FALSE)%</f>
        <v>3.248954849567192E-2</v>
      </c>
      <c r="AM27" s="465"/>
      <c r="AN27" s="465"/>
      <c r="AO27" s="465"/>
      <c r="AP27" s="465" t="s">
        <v>392</v>
      </c>
      <c r="AQ27" s="493">
        <f>AC13*AQ13</f>
        <v>0</v>
      </c>
      <c r="AR27" s="493">
        <f t="shared" ref="AR27:AR30" si="84">AD13*AR13</f>
        <v>0</v>
      </c>
      <c r="AS27" s="493">
        <f t="shared" ref="AS27:AS30" ca="1" si="85">AE13*AS13</f>
        <v>0</v>
      </c>
      <c r="AT27" s="493">
        <f t="shared" ca="1" si="63"/>
        <v>0</v>
      </c>
      <c r="AU27" s="493">
        <f t="shared" ca="1" si="64"/>
        <v>0</v>
      </c>
      <c r="AV27" s="493">
        <f t="shared" ca="1" si="65"/>
        <v>0</v>
      </c>
      <c r="AW27" s="493">
        <f t="shared" ca="1" si="66"/>
        <v>0</v>
      </c>
      <c r="AX27" s="493">
        <f t="shared" ca="1" si="67"/>
        <v>0</v>
      </c>
      <c r="AY27" s="493">
        <f t="shared" ca="1" si="68"/>
        <v>0</v>
      </c>
      <c r="AZ27" s="493">
        <f t="shared" ca="1" si="69"/>
        <v>0</v>
      </c>
    </row>
    <row r="28" spans="2:52">
      <c r="B28" s="454" t="s">
        <v>393</v>
      </c>
      <c r="C28" s="457">
        <v>0</v>
      </c>
      <c r="D28" s="490">
        <f t="shared" ca="1" si="70"/>
        <v>3.1197668779356469E-3</v>
      </c>
      <c r="E28" s="490">
        <f t="shared" ca="1" si="70"/>
        <v>6.3866442878308723E-3</v>
      </c>
      <c r="F28" s="490">
        <f t="shared" ca="1" si="70"/>
        <v>1.0263010843035922E-2</v>
      </c>
      <c r="G28" s="490">
        <f t="shared" ca="1" si="70"/>
        <v>1.3962753338909388E-2</v>
      </c>
      <c r="H28" s="490">
        <f t="shared" ca="1" si="70"/>
        <v>1.791201166954794E-2</v>
      </c>
      <c r="I28" s="490">
        <f t="shared" ca="1" si="70"/>
        <v>2.0520558867853551E-2</v>
      </c>
      <c r="J28" s="490">
        <f t="shared" ca="1" si="70"/>
        <v>2.4506427700645837E-2</v>
      </c>
      <c r="K28" s="490">
        <f ca="1">J28+_xlfn.NORM.DIST(RAND(), 0, 1, FALSE)%</f>
        <v>2.8317987101977211E-2</v>
      </c>
      <c r="L28" s="490">
        <f t="shared" ca="1" si="70"/>
        <v>3.1955786634999504E-2</v>
      </c>
      <c r="M28" s="454"/>
      <c r="N28" s="454"/>
      <c r="O28" s="454"/>
      <c r="P28" s="454" t="s">
        <v>393</v>
      </c>
      <c r="Q28" s="456">
        <f t="shared" ref="Q28:Q30" si="86">C14*Q14</f>
        <v>0</v>
      </c>
      <c r="R28" s="456">
        <f t="shared" ref="R28:R30" si="87">D14*R14</f>
        <v>0</v>
      </c>
      <c r="S28" s="456">
        <f t="shared" ref="S28:S30" si="88">E14*S14</f>
        <v>0</v>
      </c>
      <c r="T28" s="456">
        <f t="shared" ref="T28:T30" si="89">F14*T14</f>
        <v>0</v>
      </c>
      <c r="U28" s="456">
        <f t="shared" ref="U28:U30" si="90">G14*U14</f>
        <v>0</v>
      </c>
      <c r="V28" s="456">
        <f t="shared" ref="V28:V30" si="91">H14*V14</f>
        <v>0</v>
      </c>
      <c r="W28" s="456">
        <f t="shared" ref="W28:W30" si="92">I14*W14</f>
        <v>0</v>
      </c>
      <c r="X28" s="456">
        <f t="shared" ref="X28:X30" si="93">J14*X14</f>
        <v>0</v>
      </c>
      <c r="Y28" s="456">
        <f t="shared" ref="Y28:Y30" si="94">K14*Y14</f>
        <v>0</v>
      </c>
      <c r="Z28" s="456">
        <f t="shared" ref="Z28:Z30" si="95">L14*Z14</f>
        <v>0</v>
      </c>
      <c r="AA28" s="499"/>
      <c r="AB28" s="494" t="s">
        <v>393</v>
      </c>
      <c r="AC28" s="495">
        <v>0</v>
      </c>
      <c r="AD28" s="496">
        <f t="shared" ref="AD28:AL28" ca="1" si="96">AC28+_xlfn.NORM.DIST(RAND(), 0, 1, FALSE)%</f>
        <v>3.9893692990426062E-3</v>
      </c>
      <c r="AE28" s="496">
        <f t="shared" ca="1" si="96"/>
        <v>6.5793062686454896E-3</v>
      </c>
      <c r="AF28" s="496">
        <f t="shared" ca="1" si="96"/>
        <v>1.0552837176479092E-2</v>
      </c>
      <c r="AG28" s="496">
        <f t="shared" ca="1" si="96"/>
        <v>1.3735451854719393E-2</v>
      </c>
      <c r="AH28" s="496">
        <f t="shared" ca="1" si="96"/>
        <v>1.7696875024044795E-2</v>
      </c>
      <c r="AI28" s="496">
        <f t="shared" ca="1" si="96"/>
        <v>2.168508014875253E-2</v>
      </c>
      <c r="AJ28" s="496">
        <f t="shared" ca="1" si="96"/>
        <v>2.5626812682977063E-2</v>
      </c>
      <c r="AK28" s="496">
        <f ca="1">AJ28+_xlfn.NORM.DIST(RAND(), 0, 1, FALSE)%</f>
        <v>2.9184513801730837E-2</v>
      </c>
      <c r="AL28" s="496">
        <f t="shared" ref="AL28" ca="1" si="97">AK28+_xlfn.NORM.DIST(RAND(), 0, 1, FALSE)%</f>
        <v>3.2591287332746167E-2</v>
      </c>
      <c r="AM28" s="465"/>
      <c r="AN28" s="465"/>
      <c r="AO28" s="465"/>
      <c r="AP28" s="465" t="s">
        <v>393</v>
      </c>
      <c r="AQ28" s="493">
        <f t="shared" ref="AQ28:AQ30" si="98">AC14*AQ14</f>
        <v>0</v>
      </c>
      <c r="AR28" s="493">
        <f t="shared" si="84"/>
        <v>0</v>
      </c>
      <c r="AS28" s="493">
        <f t="shared" si="85"/>
        <v>0</v>
      </c>
      <c r="AT28" s="493">
        <f t="shared" si="63"/>
        <v>0</v>
      </c>
      <c r="AU28" s="493">
        <f t="shared" si="64"/>
        <v>0</v>
      </c>
      <c r="AV28" s="493">
        <f t="shared" si="65"/>
        <v>0</v>
      </c>
      <c r="AW28" s="493">
        <f t="shared" si="66"/>
        <v>0</v>
      </c>
      <c r="AX28" s="493">
        <f t="shared" si="67"/>
        <v>0</v>
      </c>
      <c r="AY28" s="493">
        <f t="shared" si="68"/>
        <v>0</v>
      </c>
      <c r="AZ28" s="493">
        <f t="shared" si="69"/>
        <v>0</v>
      </c>
    </row>
    <row r="29" spans="2:52">
      <c r="B29" s="454" t="s">
        <v>394</v>
      </c>
      <c r="C29" s="457">
        <v>0</v>
      </c>
      <c r="D29" s="490">
        <f t="shared" ca="1" si="70"/>
        <v>3.8743558880515215E-3</v>
      </c>
      <c r="E29" s="490">
        <f t="shared" ca="1" si="70"/>
        <v>6.8717139881141797E-3</v>
      </c>
      <c r="F29" s="490">
        <f t="shared" ca="1" si="70"/>
        <v>1.055114881769552E-2</v>
      </c>
      <c r="G29" s="490">
        <f t="shared" ca="1" si="70"/>
        <v>1.445849182933447E-2</v>
      </c>
      <c r="H29" s="490">
        <f t="shared" ca="1" si="70"/>
        <v>1.7616162990862449E-2</v>
      </c>
      <c r="I29" s="490">
        <f t="shared" ca="1" si="70"/>
        <v>2.0951778952620775E-2</v>
      </c>
      <c r="J29" s="490">
        <f t="shared" ca="1" si="70"/>
        <v>2.3750608813075946E-2</v>
      </c>
      <c r="K29" s="490">
        <f ca="1">J29+_xlfn.NORM.DIST(RAND(), 0, 1, FALSE)%</f>
        <v>2.7587212430193325E-2</v>
      </c>
      <c r="L29" s="490">
        <f t="shared" ca="1" si="70"/>
        <v>3.1269321032902857E-2</v>
      </c>
      <c r="M29" s="454"/>
      <c r="N29" s="454"/>
      <c r="O29" s="454"/>
      <c r="P29" s="454" t="s">
        <v>394</v>
      </c>
      <c r="Q29" s="456">
        <f t="shared" si="86"/>
        <v>0</v>
      </c>
      <c r="R29" s="456">
        <f t="shared" si="87"/>
        <v>0</v>
      </c>
      <c r="S29" s="456">
        <f t="shared" ca="1" si="88"/>
        <v>0</v>
      </c>
      <c r="T29" s="456">
        <f t="shared" ca="1" si="89"/>
        <v>0</v>
      </c>
      <c r="U29" s="456">
        <f t="shared" ca="1" si="90"/>
        <v>0</v>
      </c>
      <c r="V29" s="456">
        <f t="shared" ca="1" si="91"/>
        <v>0</v>
      </c>
      <c r="W29" s="456">
        <f t="shared" ca="1" si="92"/>
        <v>0</v>
      </c>
      <c r="X29" s="456">
        <f t="shared" ca="1" si="93"/>
        <v>0</v>
      </c>
      <c r="Y29" s="456">
        <f t="shared" ca="1" si="94"/>
        <v>0</v>
      </c>
      <c r="Z29" s="456">
        <f t="shared" ca="1" si="95"/>
        <v>0</v>
      </c>
      <c r="AA29" s="499"/>
      <c r="AB29" s="494" t="s">
        <v>394</v>
      </c>
      <c r="AC29" s="495">
        <v>0</v>
      </c>
      <c r="AD29" s="496">
        <f t="shared" ref="AD29:AL29" ca="1" si="99">AC29+_xlfn.NORM.DIST(RAND(), 0, 1, FALSE)%</f>
        <v>3.8012644309334438E-3</v>
      </c>
      <c r="AE29" s="496">
        <f t="shared" ca="1" si="99"/>
        <v>7.7895464557251621E-3</v>
      </c>
      <c r="AF29" s="496">
        <f t="shared" ca="1" si="99"/>
        <v>1.09201098533549E-2</v>
      </c>
      <c r="AG29" s="496">
        <f t="shared" ca="1" si="99"/>
        <v>1.4020959163243332E-2</v>
      </c>
      <c r="AH29" s="496">
        <f t="shared" ca="1" si="99"/>
        <v>1.8005654538373529E-2</v>
      </c>
      <c r="AI29" s="496">
        <f t="shared" ca="1" si="99"/>
        <v>2.1967876788545001E-2</v>
      </c>
      <c r="AJ29" s="496">
        <f t="shared" ca="1" si="99"/>
        <v>2.508059241395004E-2</v>
      </c>
      <c r="AK29" s="496">
        <f ca="1">AJ29+_xlfn.NORM.DIST(RAND(), 0, 1, FALSE)%</f>
        <v>2.8534840391332285E-2</v>
      </c>
      <c r="AL29" s="496">
        <f t="shared" ref="AL29" ca="1" si="100">AK29+_xlfn.NORM.DIST(RAND(), 0, 1, FALSE)%</f>
        <v>3.227810547998175E-2</v>
      </c>
      <c r="AM29" s="465"/>
      <c r="AN29" s="465"/>
      <c r="AO29" s="465"/>
      <c r="AP29" s="465" t="s">
        <v>394</v>
      </c>
      <c r="AQ29" s="493">
        <f t="shared" si="98"/>
        <v>0</v>
      </c>
      <c r="AR29" s="493">
        <f t="shared" si="84"/>
        <v>0</v>
      </c>
      <c r="AS29" s="493">
        <f t="shared" ca="1" si="85"/>
        <v>0</v>
      </c>
      <c r="AT29" s="493">
        <f t="shared" ca="1" si="63"/>
        <v>0</v>
      </c>
      <c r="AU29" s="493">
        <f t="shared" ca="1" si="64"/>
        <v>0</v>
      </c>
      <c r="AV29" s="493">
        <f t="shared" ca="1" si="65"/>
        <v>0</v>
      </c>
      <c r="AW29" s="493">
        <f t="shared" ca="1" si="66"/>
        <v>0</v>
      </c>
      <c r="AX29" s="493">
        <f t="shared" ca="1" si="67"/>
        <v>0</v>
      </c>
      <c r="AY29" s="493">
        <f t="shared" ca="1" si="68"/>
        <v>0</v>
      </c>
      <c r="AZ29" s="493">
        <f t="shared" ca="1" si="69"/>
        <v>0</v>
      </c>
    </row>
    <row r="30" spans="2:52">
      <c r="B30" s="454" t="s">
        <v>395</v>
      </c>
      <c r="C30" s="457">
        <v>0</v>
      </c>
      <c r="D30" s="490">
        <f t="shared" ca="1" si="70"/>
        <v>3.4938821843914368E-3</v>
      </c>
      <c r="E30" s="490">
        <f t="shared" ca="1" si="70"/>
        <v>6.5945763525070431E-3</v>
      </c>
      <c r="F30" s="490">
        <f t="shared" ca="1" si="70"/>
        <v>1.0031986724769229E-2</v>
      </c>
      <c r="G30" s="490">
        <f t="shared" ca="1" si="70"/>
        <v>1.382111045168645E-2</v>
      </c>
      <c r="H30" s="490">
        <f t="shared" ca="1" si="70"/>
        <v>1.7731811161201136E-2</v>
      </c>
      <c r="I30" s="490">
        <f t="shared" ca="1" si="70"/>
        <v>2.0988889545451177E-2</v>
      </c>
      <c r="J30" s="490">
        <f t="shared" ca="1" si="70"/>
        <v>2.4027273497893228E-2</v>
      </c>
      <c r="K30" s="490">
        <f ca="1">J30+_xlfn.NORM.DIST(RAND(), 0, 1, FALSE)%</f>
        <v>2.6660918522742667E-2</v>
      </c>
      <c r="L30" s="490">
        <f t="shared" ca="1" si="70"/>
        <v>3.0563289738562135E-2</v>
      </c>
      <c r="M30" s="454"/>
      <c r="N30" s="454"/>
      <c r="O30" s="454"/>
      <c r="P30" s="454" t="s">
        <v>395</v>
      </c>
      <c r="Q30" s="456">
        <f t="shared" si="86"/>
        <v>0</v>
      </c>
      <c r="R30" s="456">
        <f t="shared" si="87"/>
        <v>0</v>
      </c>
      <c r="S30" s="456">
        <f t="shared" ca="1" si="88"/>
        <v>0</v>
      </c>
      <c r="T30" s="456">
        <f t="shared" ca="1" si="89"/>
        <v>0</v>
      </c>
      <c r="U30" s="456">
        <f t="shared" ca="1" si="90"/>
        <v>0</v>
      </c>
      <c r="V30" s="456">
        <f t="shared" ca="1" si="91"/>
        <v>0</v>
      </c>
      <c r="W30" s="456">
        <f t="shared" ca="1" si="92"/>
        <v>0</v>
      </c>
      <c r="X30" s="456">
        <f t="shared" ca="1" si="93"/>
        <v>0</v>
      </c>
      <c r="Y30" s="456">
        <f t="shared" ca="1" si="94"/>
        <v>0</v>
      </c>
      <c r="Z30" s="456">
        <f t="shared" ca="1" si="95"/>
        <v>0</v>
      </c>
      <c r="AA30" s="499"/>
      <c r="AB30" s="494" t="s">
        <v>395</v>
      </c>
      <c r="AC30" s="495">
        <v>0</v>
      </c>
      <c r="AD30" s="496">
        <f t="shared" ref="AD30:AL30" ca="1" si="101">AC30+_xlfn.NORM.DIST(RAND(), 0, 1, FALSE)%</f>
        <v>2.5821678269521962E-3</v>
      </c>
      <c r="AE30" s="496">
        <f t="shared" ca="1" si="101"/>
        <v>5.4133365390192992E-3</v>
      </c>
      <c r="AF30" s="496">
        <f t="shared" ca="1" si="101"/>
        <v>9.1751440632103533E-3</v>
      </c>
      <c r="AG30" s="496">
        <f t="shared" ca="1" si="101"/>
        <v>1.314198066920097E-2</v>
      </c>
      <c r="AH30" s="496">
        <f t="shared" ca="1" si="101"/>
        <v>1.5875134373176818E-2</v>
      </c>
      <c r="AI30" s="496">
        <f t="shared" ca="1" si="101"/>
        <v>1.8737611124398694E-2</v>
      </c>
      <c r="AJ30" s="496">
        <f t="shared" ca="1" si="101"/>
        <v>2.2651993966577147E-2</v>
      </c>
      <c r="AK30" s="496">
        <f ca="1">AJ30+_xlfn.NORM.DIST(RAND(), 0, 1, FALSE)%</f>
        <v>2.6611771234144658E-2</v>
      </c>
      <c r="AL30" s="496">
        <f t="shared" ref="AL30" ca="1" si="102">AK30+_xlfn.NORM.DIST(RAND(), 0, 1, FALSE)%</f>
        <v>3.0600752454670727E-2</v>
      </c>
      <c r="AM30" s="465"/>
      <c r="AN30" s="465"/>
      <c r="AO30" s="465"/>
      <c r="AP30" s="465" t="s">
        <v>395</v>
      </c>
      <c r="AQ30" s="493">
        <f t="shared" si="98"/>
        <v>0</v>
      </c>
      <c r="AR30" s="493">
        <f t="shared" si="84"/>
        <v>0</v>
      </c>
      <c r="AS30" s="493">
        <f t="shared" ca="1" si="85"/>
        <v>0</v>
      </c>
      <c r="AT30" s="493">
        <f t="shared" ca="1" si="63"/>
        <v>0</v>
      </c>
      <c r="AU30" s="493">
        <f t="shared" ca="1" si="64"/>
        <v>0</v>
      </c>
      <c r="AV30" s="493">
        <f t="shared" ca="1" si="65"/>
        <v>0</v>
      </c>
      <c r="AW30" s="493">
        <f t="shared" ca="1" si="66"/>
        <v>0</v>
      </c>
      <c r="AX30" s="493">
        <f t="shared" ca="1" si="67"/>
        <v>0</v>
      </c>
      <c r="AY30" s="493">
        <f t="shared" ca="1" si="68"/>
        <v>0</v>
      </c>
      <c r="AZ30" s="493">
        <f t="shared" ca="1" si="69"/>
        <v>0</v>
      </c>
    </row>
    <row r="31" spans="2:52">
      <c r="B31" s="454"/>
      <c r="C31" s="454"/>
      <c r="D31" s="454"/>
      <c r="E31" s="454"/>
      <c r="F31" s="454"/>
      <c r="G31" s="454"/>
      <c r="H31" s="454"/>
      <c r="I31" s="454"/>
      <c r="J31" s="454"/>
      <c r="K31" s="454"/>
      <c r="L31" s="454"/>
      <c r="M31" s="454"/>
      <c r="N31" s="454"/>
      <c r="O31" s="454"/>
      <c r="P31" s="454" t="s">
        <v>405</v>
      </c>
      <c r="Q31" s="456">
        <f>SUM(Q22:Q30)</f>
        <v>4930000</v>
      </c>
      <c r="R31" s="456">
        <f t="shared" ref="R31:Z31" si="103">SUM(R22:R30)</f>
        <v>7371186.8000000007</v>
      </c>
      <c r="S31" s="456">
        <f t="shared" ca="1" si="103"/>
        <v>11382647.992489323</v>
      </c>
      <c r="T31" s="456">
        <f t="shared" ca="1" si="103"/>
        <v>12703291.80027879</v>
      </c>
      <c r="U31" s="456">
        <f t="shared" ca="1" si="103"/>
        <v>14223823.548239958</v>
      </c>
      <c r="V31" s="456">
        <f t="shared" ca="1" si="103"/>
        <v>15980519.907363176</v>
      </c>
      <c r="W31" s="456">
        <f t="shared" ca="1" si="103"/>
        <v>18006764.637941558</v>
      </c>
      <c r="X31" s="456">
        <f t="shared" ca="1" si="103"/>
        <v>20356782.339848354</v>
      </c>
      <c r="Y31" s="456">
        <f t="shared" ca="1" si="103"/>
        <v>23074749.762425151</v>
      </c>
      <c r="Z31" s="456">
        <f t="shared" ca="1" si="103"/>
        <v>26248313.101684552</v>
      </c>
      <c r="AA31" s="499"/>
      <c r="AB31" s="494"/>
      <c r="AC31" s="494"/>
      <c r="AD31" s="494"/>
      <c r="AE31" s="494"/>
      <c r="AF31" s="494"/>
      <c r="AG31" s="494"/>
      <c r="AH31" s="494"/>
      <c r="AI31" s="494"/>
      <c r="AJ31" s="494"/>
      <c r="AK31" s="494"/>
      <c r="AL31" s="494"/>
      <c r="AM31" s="494"/>
      <c r="AN31" s="494"/>
      <c r="AO31" s="494"/>
      <c r="AP31" s="494" t="s">
        <v>405</v>
      </c>
      <c r="AQ31" s="493">
        <f>SUM(AQ22:AQ30)</f>
        <v>4930000</v>
      </c>
      <c r="AR31" s="493">
        <f t="shared" ref="AR31" si="104">SUM(AR22:AR30)</f>
        <v>7187680</v>
      </c>
      <c r="AS31" s="493">
        <f t="shared" ref="AS31" ca="1" si="105">SUM(AS22:AS30)</f>
        <v>10923669.831082245</v>
      </c>
      <c r="AT31" s="493">
        <f t="shared" ref="AT31" ca="1" si="106">SUM(AT22:AT30)</f>
        <v>11929118.119346661</v>
      </c>
      <c r="AU31" s="493">
        <f t="shared" ref="AU31" ca="1" si="107">SUM(AU22:AU30)</f>
        <v>13077364.219567215</v>
      </c>
      <c r="AV31" s="493">
        <f t="shared" ref="AV31" ca="1" si="108">SUM(AV22:AV30)</f>
        <v>14385058.39268145</v>
      </c>
      <c r="AW31" s="493">
        <f t="shared" ref="AW31" ca="1" si="109">SUM(AW22:AW30)</f>
        <v>15877016.520120464</v>
      </c>
      <c r="AX31" s="493">
        <f t="shared" ref="AX31" ca="1" si="110">SUM(AX22:AX30)</f>
        <v>17589131.621272445</v>
      </c>
      <c r="AY31" s="493">
        <f t="shared" ref="AY31" ca="1" si="111">SUM(AY22:AY30)</f>
        <v>19554669.11652106</v>
      </c>
      <c r="AZ31" s="493">
        <f t="shared" ref="AZ31" ca="1" si="112">SUM(AZ22:AZ30)</f>
        <v>21817592.403165769</v>
      </c>
    </row>
    <row r="32" spans="2:52">
      <c r="B32" s="499"/>
      <c r="C32" s="499"/>
      <c r="D32" s="499"/>
      <c r="E32" s="499"/>
      <c r="F32" s="499"/>
      <c r="G32" s="499"/>
      <c r="H32" s="499"/>
      <c r="I32" s="499"/>
      <c r="J32" s="499"/>
      <c r="K32" s="499"/>
      <c r="L32" s="499"/>
      <c r="M32" s="499"/>
      <c r="N32" s="499"/>
      <c r="O32" s="499"/>
      <c r="P32" s="499"/>
      <c r="Q32" s="499"/>
      <c r="R32" s="499"/>
      <c r="S32" s="499"/>
      <c r="T32" s="499"/>
      <c r="U32" s="499"/>
      <c r="V32" s="499"/>
      <c r="W32" s="499"/>
      <c r="X32" s="499"/>
      <c r="Y32" s="499"/>
      <c r="Z32" s="499"/>
      <c r="AA32" s="499"/>
      <c r="AB32" s="499"/>
      <c r="AC32" s="499"/>
      <c r="AD32" s="499"/>
      <c r="AE32" s="499"/>
      <c r="AF32" s="499"/>
      <c r="AG32" s="499"/>
      <c r="AH32" s="499"/>
      <c r="AI32" s="499"/>
      <c r="AJ32" s="499"/>
      <c r="AK32" s="499"/>
      <c r="AL32" s="499"/>
      <c r="AM32" s="499"/>
      <c r="AN32" s="499"/>
      <c r="AO32" s="499"/>
      <c r="AP32" s="499"/>
      <c r="AQ32" s="499"/>
      <c r="AR32" s="499"/>
      <c r="AS32" s="499"/>
      <c r="AT32" s="499"/>
      <c r="AU32" s="499"/>
      <c r="AV32" s="499"/>
      <c r="AW32" s="499"/>
      <c r="AX32" s="499"/>
      <c r="AY32" s="499"/>
      <c r="AZ32" s="499"/>
    </row>
    <row r="33" spans="2:52">
      <c r="B33" s="459" t="s">
        <v>396</v>
      </c>
      <c r="C33" s="460">
        <v>0.02</v>
      </c>
      <c r="D33" s="460">
        <v>0.02</v>
      </c>
      <c r="E33" s="460">
        <v>0.02</v>
      </c>
      <c r="F33" s="460">
        <v>0.02</v>
      </c>
      <c r="G33" s="460">
        <v>0.02</v>
      </c>
      <c r="H33" s="460">
        <v>0.02</v>
      </c>
      <c r="I33" s="460">
        <v>0.02</v>
      </c>
      <c r="J33" s="460">
        <v>0.02</v>
      </c>
      <c r="K33" s="460">
        <v>0.02</v>
      </c>
      <c r="L33" s="460">
        <v>0.02</v>
      </c>
      <c r="M33" s="459"/>
      <c r="N33" s="459"/>
      <c r="O33" s="459"/>
      <c r="P33" s="459"/>
      <c r="Q33" s="459"/>
      <c r="R33" s="459"/>
      <c r="S33" s="459"/>
      <c r="T33" s="459"/>
      <c r="U33" s="459"/>
      <c r="V33" s="459"/>
      <c r="W33" s="459"/>
      <c r="X33" s="459"/>
      <c r="Y33" s="459"/>
      <c r="Z33" s="459"/>
      <c r="AA33" s="499"/>
      <c r="AB33" s="473" t="s">
        <v>396</v>
      </c>
      <c r="AC33" s="474">
        <v>3.2000000000000001E-2</v>
      </c>
      <c r="AD33" s="474">
        <v>3.2000000000000001E-2</v>
      </c>
      <c r="AE33" s="474">
        <v>3.2000000000000001E-2</v>
      </c>
      <c r="AF33" s="474">
        <v>3.2000000000000001E-2</v>
      </c>
      <c r="AG33" s="474">
        <v>3.2000000000000001E-2</v>
      </c>
      <c r="AH33" s="474">
        <v>3.2000000000000001E-2</v>
      </c>
      <c r="AI33" s="474">
        <v>3.2000000000000001E-2</v>
      </c>
      <c r="AJ33" s="474">
        <v>3.2000000000000001E-2</v>
      </c>
      <c r="AK33" s="474">
        <v>3.2000000000000001E-2</v>
      </c>
      <c r="AL33" s="474">
        <v>3.2000000000000001E-2</v>
      </c>
      <c r="AM33" s="473"/>
      <c r="AN33" s="473"/>
      <c r="AO33" s="473"/>
      <c r="AP33" s="473"/>
      <c r="AQ33" s="473"/>
      <c r="AR33" s="473"/>
      <c r="AS33" s="473"/>
      <c r="AT33" s="473"/>
      <c r="AU33" s="473"/>
      <c r="AV33" s="473"/>
      <c r="AW33" s="473"/>
      <c r="AX33" s="473"/>
      <c r="AY33" s="473"/>
      <c r="AZ33" s="473"/>
    </row>
    <row r="34" spans="2:52">
      <c r="B34" s="459"/>
      <c r="C34" s="459"/>
      <c r="D34" s="459"/>
      <c r="E34" s="459"/>
      <c r="F34" s="459"/>
      <c r="G34" s="459"/>
      <c r="H34" s="459"/>
      <c r="I34" s="459"/>
      <c r="J34" s="459"/>
      <c r="K34" s="459"/>
      <c r="L34" s="459"/>
      <c r="M34" s="459"/>
      <c r="N34" s="459"/>
      <c r="O34" s="459"/>
      <c r="P34" s="459"/>
      <c r="Q34" s="459"/>
      <c r="R34" s="459"/>
      <c r="S34" s="459"/>
      <c r="T34" s="459"/>
      <c r="U34" s="459"/>
      <c r="V34" s="459"/>
      <c r="W34" s="459"/>
      <c r="X34" s="459"/>
      <c r="Y34" s="459"/>
      <c r="Z34" s="459"/>
      <c r="AA34" s="499"/>
      <c r="AB34" s="473"/>
      <c r="AC34" s="473"/>
      <c r="AD34" s="473"/>
      <c r="AE34" s="473"/>
      <c r="AF34" s="473"/>
      <c r="AG34" s="473"/>
      <c r="AH34" s="473"/>
      <c r="AI34" s="473"/>
      <c r="AJ34" s="473"/>
      <c r="AK34" s="473"/>
      <c r="AL34" s="473"/>
      <c r="AM34" s="473"/>
      <c r="AN34" s="473"/>
      <c r="AO34" s="473"/>
      <c r="AP34" s="473"/>
      <c r="AQ34" s="473"/>
      <c r="AR34" s="473"/>
      <c r="AS34" s="473"/>
      <c r="AT34" s="473"/>
      <c r="AU34" s="473"/>
      <c r="AV34" s="473"/>
      <c r="AW34" s="473"/>
      <c r="AX34" s="473"/>
      <c r="AY34" s="473"/>
      <c r="AZ34" s="473"/>
    </row>
    <row r="35" spans="2:52">
      <c r="B35" s="459"/>
      <c r="C35" s="459"/>
      <c r="D35" s="459"/>
      <c r="E35" s="459"/>
      <c r="F35" s="459"/>
      <c r="G35" s="459"/>
      <c r="H35" s="459"/>
      <c r="I35" s="459"/>
      <c r="J35" s="459"/>
      <c r="K35" s="459"/>
      <c r="L35" s="459"/>
      <c r="M35" s="459"/>
      <c r="N35" s="459"/>
      <c r="O35" s="459"/>
      <c r="P35" s="459"/>
      <c r="Q35" s="459"/>
      <c r="R35" s="459"/>
      <c r="S35" s="459"/>
      <c r="T35" s="459"/>
      <c r="U35" s="459"/>
      <c r="V35" s="459"/>
      <c r="W35" s="459"/>
      <c r="X35" s="459"/>
      <c r="Y35" s="459"/>
      <c r="Z35" s="459"/>
      <c r="AA35" s="499"/>
      <c r="AB35" s="473"/>
      <c r="AC35" s="473"/>
      <c r="AD35" s="473"/>
      <c r="AE35" s="473"/>
      <c r="AF35" s="473"/>
      <c r="AG35" s="473"/>
      <c r="AH35" s="473"/>
      <c r="AI35" s="473"/>
      <c r="AJ35" s="473"/>
      <c r="AK35" s="473"/>
      <c r="AL35" s="473"/>
      <c r="AM35" s="473"/>
      <c r="AN35" s="473"/>
      <c r="AO35" s="473"/>
      <c r="AP35" s="473"/>
      <c r="AQ35" s="473"/>
      <c r="AR35" s="473"/>
      <c r="AS35" s="473"/>
      <c r="AT35" s="473"/>
      <c r="AU35" s="473"/>
      <c r="AV35" s="473"/>
      <c r="AW35" s="473"/>
      <c r="AX35" s="473"/>
      <c r="AY35" s="473"/>
      <c r="AZ35" s="473"/>
    </row>
    <row r="36" spans="2:52">
      <c r="B36" s="459"/>
      <c r="C36" s="459"/>
      <c r="D36" s="459"/>
      <c r="E36" s="459"/>
      <c r="F36" s="459"/>
      <c r="G36" s="459"/>
      <c r="H36" s="459"/>
      <c r="I36" s="459"/>
      <c r="J36" s="459"/>
      <c r="K36" s="459"/>
      <c r="L36" s="459"/>
      <c r="M36" s="459"/>
      <c r="N36" s="459"/>
      <c r="O36" s="459"/>
      <c r="P36" s="459"/>
      <c r="Q36" s="459"/>
      <c r="R36" s="459"/>
      <c r="S36" s="459"/>
      <c r="T36" s="459"/>
      <c r="U36" s="459"/>
      <c r="V36" s="459"/>
      <c r="W36" s="459"/>
      <c r="X36" s="459"/>
      <c r="Y36" s="459"/>
      <c r="Z36" s="459"/>
      <c r="AA36" s="499"/>
      <c r="AB36" s="473"/>
      <c r="AC36" s="473"/>
      <c r="AD36" s="473"/>
      <c r="AE36" s="473"/>
      <c r="AF36" s="473"/>
      <c r="AG36" s="473"/>
      <c r="AH36" s="473"/>
      <c r="AI36" s="473"/>
      <c r="AJ36" s="473"/>
      <c r="AK36" s="473"/>
      <c r="AL36" s="473"/>
      <c r="AM36" s="473"/>
      <c r="AN36" s="473"/>
      <c r="AO36" s="473"/>
      <c r="AP36" s="473"/>
      <c r="AQ36" s="473"/>
      <c r="AR36" s="473"/>
      <c r="AS36" s="473"/>
      <c r="AT36" s="473"/>
      <c r="AU36" s="473"/>
      <c r="AV36" s="473"/>
      <c r="AW36" s="473"/>
      <c r="AX36" s="473"/>
      <c r="AY36" s="473"/>
      <c r="AZ36" s="473"/>
    </row>
    <row r="37" spans="2:52">
      <c r="B37" s="459" t="s">
        <v>397</v>
      </c>
      <c r="C37" s="459" t="s">
        <v>139</v>
      </c>
      <c r="D37" s="459" t="s">
        <v>140</v>
      </c>
      <c r="E37" s="459" t="s">
        <v>141</v>
      </c>
      <c r="F37" s="459" t="s">
        <v>142</v>
      </c>
      <c r="G37" s="459" t="s">
        <v>143</v>
      </c>
      <c r="H37" s="459" t="s">
        <v>144</v>
      </c>
      <c r="I37" s="459" t="s">
        <v>145</v>
      </c>
      <c r="J37" s="459" t="s">
        <v>146</v>
      </c>
      <c r="K37" s="459" t="s">
        <v>147</v>
      </c>
      <c r="L37" s="459" t="s">
        <v>148</v>
      </c>
      <c r="M37" s="459"/>
      <c r="N37" s="459"/>
      <c r="O37" s="459"/>
      <c r="P37" s="459" t="s">
        <v>398</v>
      </c>
      <c r="Q37" s="459" t="s">
        <v>139</v>
      </c>
      <c r="R37" s="459" t="s">
        <v>140</v>
      </c>
      <c r="S37" s="459" t="s">
        <v>141</v>
      </c>
      <c r="T37" s="459" t="s">
        <v>142</v>
      </c>
      <c r="U37" s="459" t="s">
        <v>143</v>
      </c>
      <c r="V37" s="459" t="s">
        <v>144</v>
      </c>
      <c r="W37" s="459" t="s">
        <v>145</v>
      </c>
      <c r="X37" s="459" t="s">
        <v>146</v>
      </c>
      <c r="Y37" s="459" t="s">
        <v>147</v>
      </c>
      <c r="Z37" s="459" t="s">
        <v>148</v>
      </c>
      <c r="AA37" s="499"/>
      <c r="AB37" s="473" t="s">
        <v>397</v>
      </c>
      <c r="AC37" s="473" t="s">
        <v>139</v>
      </c>
      <c r="AD37" s="473" t="s">
        <v>140</v>
      </c>
      <c r="AE37" s="473" t="s">
        <v>141</v>
      </c>
      <c r="AF37" s="473" t="s">
        <v>142</v>
      </c>
      <c r="AG37" s="473" t="s">
        <v>143</v>
      </c>
      <c r="AH37" s="473" t="s">
        <v>144</v>
      </c>
      <c r="AI37" s="473" t="s">
        <v>145</v>
      </c>
      <c r="AJ37" s="473" t="s">
        <v>146</v>
      </c>
      <c r="AK37" s="473" t="s">
        <v>147</v>
      </c>
      <c r="AL37" s="473" t="s">
        <v>148</v>
      </c>
      <c r="AM37" s="473"/>
      <c r="AN37" s="473"/>
      <c r="AO37" s="473"/>
      <c r="AP37" s="473" t="s">
        <v>398</v>
      </c>
      <c r="AQ37" s="473" t="s">
        <v>139</v>
      </c>
      <c r="AR37" s="473" t="s">
        <v>140</v>
      </c>
      <c r="AS37" s="473" t="s">
        <v>141</v>
      </c>
      <c r="AT37" s="473" t="s">
        <v>142</v>
      </c>
      <c r="AU37" s="473" t="s">
        <v>143</v>
      </c>
      <c r="AV37" s="473" t="s">
        <v>144</v>
      </c>
      <c r="AW37" s="473" t="s">
        <v>145</v>
      </c>
      <c r="AX37" s="473" t="s">
        <v>146</v>
      </c>
      <c r="AY37" s="473" t="s">
        <v>147</v>
      </c>
      <c r="AZ37" s="473" t="s">
        <v>148</v>
      </c>
    </row>
    <row r="38" spans="2:52">
      <c r="B38" s="459" t="s">
        <v>378</v>
      </c>
      <c r="C38" s="461">
        <v>1000</v>
      </c>
      <c r="D38" s="461">
        <f>C38*(1+C33)</f>
        <v>1020</v>
      </c>
      <c r="E38" s="461">
        <f t="shared" ref="E38:L38" si="113">D38*(1+D33)</f>
        <v>1040.4000000000001</v>
      </c>
      <c r="F38" s="461">
        <f t="shared" si="113"/>
        <v>1061.2080000000001</v>
      </c>
      <c r="G38" s="461">
        <f t="shared" si="113"/>
        <v>1082.4321600000001</v>
      </c>
      <c r="H38" s="461">
        <f t="shared" si="113"/>
        <v>1104.0808032</v>
      </c>
      <c r="I38" s="461">
        <f t="shared" si="113"/>
        <v>1126.1624192639999</v>
      </c>
      <c r="J38" s="461">
        <f t="shared" si="113"/>
        <v>1148.68566764928</v>
      </c>
      <c r="K38" s="461">
        <f t="shared" si="113"/>
        <v>1171.6593810022657</v>
      </c>
      <c r="L38" s="461">
        <f t="shared" si="113"/>
        <v>1195.0925686223111</v>
      </c>
      <c r="M38" s="459"/>
      <c r="N38" s="459"/>
      <c r="O38" s="459"/>
      <c r="P38" s="459" t="s">
        <v>378</v>
      </c>
      <c r="Q38" s="471">
        <v>1540</v>
      </c>
      <c r="R38" s="471">
        <f>Q38*(1+C52)</f>
        <v>1601.6000000000001</v>
      </c>
      <c r="S38" s="471">
        <f t="shared" ref="S38:S40" ca="1" si="114">R38*(1+D52)</f>
        <v>1670.4491250937408</v>
      </c>
      <c r="T38" s="471">
        <f t="shared" ref="T38:T41" ca="1" si="115">S38*(1+E52)</f>
        <v>1748.4414390954678</v>
      </c>
      <c r="U38" s="471">
        <f t="shared" ref="U38:U42" ca="1" si="116">T38*(1+F52)</f>
        <v>1836.6131180753387</v>
      </c>
      <c r="V38" s="471">
        <f t="shared" ref="V38:V42" ca="1" si="117">U38*(1+G52)</f>
        <v>1935.242504004555</v>
      </c>
      <c r="W38" s="471">
        <f t="shared" ref="W38:W42" ca="1" si="118">V38*(1+H52)</f>
        <v>2046.1355132154324</v>
      </c>
      <c r="X38" s="471">
        <f t="shared" ref="X38:X42" ca="1" si="119">W38*(1+I52)</f>
        <v>2171.3522788831888</v>
      </c>
      <c r="Y38" s="471">
        <f t="shared" ref="Y38:Y42" ca="1" si="120">X38*(1+J52)</f>
        <v>2309.7244422850267</v>
      </c>
      <c r="Z38" s="471">
        <f t="shared" ref="Z38:Z42" ca="1" si="121">Y38*(1+K52)</f>
        <v>2465.554098018376</v>
      </c>
      <c r="AA38" s="499"/>
      <c r="AB38" s="473" t="s">
        <v>378</v>
      </c>
      <c r="AC38" s="475">
        <v>1000</v>
      </c>
      <c r="AD38" s="475">
        <f>AC38*(1+AC33)</f>
        <v>1032</v>
      </c>
      <c r="AE38" s="475">
        <f t="shared" ref="AE38:AL38" si="122">AD38*(1+AD33)</f>
        <v>1065.0240000000001</v>
      </c>
      <c r="AF38" s="475">
        <f t="shared" si="122"/>
        <v>1099.1047680000001</v>
      </c>
      <c r="AG38" s="475">
        <f t="shared" si="122"/>
        <v>1134.2761205760003</v>
      </c>
      <c r="AH38" s="475">
        <f t="shared" si="122"/>
        <v>1170.5729564344324</v>
      </c>
      <c r="AI38" s="475">
        <f t="shared" si="122"/>
        <v>1208.0312910403343</v>
      </c>
      <c r="AJ38" s="475">
        <f t="shared" si="122"/>
        <v>1246.688292353625</v>
      </c>
      <c r="AK38" s="475">
        <f t="shared" si="122"/>
        <v>1286.582317708941</v>
      </c>
      <c r="AL38" s="475">
        <f t="shared" si="122"/>
        <v>1327.7529518756271</v>
      </c>
      <c r="AM38" s="473"/>
      <c r="AN38" s="473"/>
      <c r="AO38" s="473"/>
      <c r="AP38" s="473" t="s">
        <v>378</v>
      </c>
      <c r="AQ38" s="476">
        <v>1540</v>
      </c>
      <c r="AR38" s="476">
        <f>AQ38*(1+AC52)</f>
        <v>1586.2</v>
      </c>
      <c r="AS38" s="476">
        <f t="shared" ref="AS38:AS40" ca="1" si="123">AR38*(1+AD52)</f>
        <v>1638.3327031102322</v>
      </c>
      <c r="AT38" s="476">
        <f t="shared" ref="AT38:AT41" ca="1" si="124">AS38*(1+AE52)</f>
        <v>1697.3410605384879</v>
      </c>
      <c r="AU38" s="476">
        <f t="shared" ref="AU38:AU42" ca="1" si="125">AT38*(1+AF52)</f>
        <v>1764.2266373262028</v>
      </c>
      <c r="AV38" s="476">
        <f t="shared" ref="AV38:AV42" ca="1" si="126">AU38*(1+AG52)</f>
        <v>1839.7434070337783</v>
      </c>
      <c r="AW38" s="476">
        <f t="shared" ref="AW38:AW42" ca="1" si="127">AV38*(1+AH52)</f>
        <v>1924.8244102650217</v>
      </c>
      <c r="AX38" s="476">
        <f t="shared" ref="AX38:AX42" ca="1" si="128">AW38*(1+AI52)</f>
        <v>2018.9504695470671</v>
      </c>
      <c r="AY38" s="476">
        <f t="shared" ref="AY38:AY42" ca="1" si="129">AX38*(1+AJ52)</f>
        <v>2125.2340016917638</v>
      </c>
      <c r="AZ38" s="476">
        <f t="shared" ref="AZ38:AZ42" ca="1" si="130">AY38*(1+AK52)</f>
        <v>2242.7307751028602</v>
      </c>
    </row>
    <row r="39" spans="2:52">
      <c r="B39" s="459" t="s">
        <v>379</v>
      </c>
      <c r="C39" s="461">
        <v>850</v>
      </c>
      <c r="D39" s="461">
        <f>C39*(1+C33)</f>
        <v>867</v>
      </c>
      <c r="E39" s="461">
        <f t="shared" ref="E39:L39" si="131">D39*(1+D33)</f>
        <v>884.34</v>
      </c>
      <c r="F39" s="461">
        <f t="shared" si="131"/>
        <v>902.02680000000009</v>
      </c>
      <c r="G39" s="461">
        <f t="shared" si="131"/>
        <v>920.06733600000007</v>
      </c>
      <c r="H39" s="461">
        <f t="shared" si="131"/>
        <v>938.46868272000006</v>
      </c>
      <c r="I39" s="461">
        <f t="shared" si="131"/>
        <v>957.23805637440012</v>
      </c>
      <c r="J39" s="461">
        <f t="shared" si="131"/>
        <v>976.3828175018881</v>
      </c>
      <c r="K39" s="461">
        <f t="shared" si="131"/>
        <v>995.91047385192587</v>
      </c>
      <c r="L39" s="461">
        <f t="shared" si="131"/>
        <v>1015.8286833289644</v>
      </c>
      <c r="M39" s="459"/>
      <c r="N39" s="459"/>
      <c r="O39" s="459"/>
      <c r="P39" s="459" t="s">
        <v>379</v>
      </c>
      <c r="Q39" s="471">
        <v>1000</v>
      </c>
      <c r="R39" s="471">
        <f>Q39*(1+C53)</f>
        <v>1030</v>
      </c>
      <c r="S39" s="471">
        <f t="shared" ca="1" si="114"/>
        <v>1064.688890212296</v>
      </c>
      <c r="T39" s="471">
        <f t="shared" ca="1" si="115"/>
        <v>1104.4836835363842</v>
      </c>
      <c r="U39" s="471">
        <f t="shared" ca="1" si="116"/>
        <v>1149.3872738005603</v>
      </c>
      <c r="V39" s="471">
        <f t="shared" ca="1" si="117"/>
        <v>1200.1741183585318</v>
      </c>
      <c r="W39" s="471">
        <f t="shared" ca="1" si="118"/>
        <v>1257.8976713147506</v>
      </c>
      <c r="X39" s="471">
        <f t="shared" ca="1" si="119"/>
        <v>1322.2636519322743</v>
      </c>
      <c r="Y39" s="471">
        <f t="shared" ca="1" si="120"/>
        <v>1394.315494340331</v>
      </c>
      <c r="Z39" s="471">
        <f t="shared" ca="1" si="121"/>
        <v>1475.5683293539782</v>
      </c>
      <c r="AA39" s="499"/>
      <c r="AB39" s="473" t="s">
        <v>379</v>
      </c>
      <c r="AC39" s="475">
        <v>850</v>
      </c>
      <c r="AD39" s="475">
        <f>AC39*(1+AC33)</f>
        <v>877.2</v>
      </c>
      <c r="AE39" s="475">
        <f t="shared" ref="AE39:AL39" si="132">AD39*(1+AD33)</f>
        <v>905.27040000000011</v>
      </c>
      <c r="AF39" s="475">
        <f t="shared" si="132"/>
        <v>934.23905280000008</v>
      </c>
      <c r="AG39" s="475">
        <f t="shared" si="132"/>
        <v>964.13470248960016</v>
      </c>
      <c r="AH39" s="475">
        <f t="shared" si="132"/>
        <v>994.98701296926743</v>
      </c>
      <c r="AI39" s="475">
        <f t="shared" si="132"/>
        <v>1026.826597384284</v>
      </c>
      <c r="AJ39" s="475">
        <f t="shared" si="132"/>
        <v>1059.6850485005812</v>
      </c>
      <c r="AK39" s="475">
        <f t="shared" si="132"/>
        <v>1093.5949700525998</v>
      </c>
      <c r="AL39" s="475">
        <f t="shared" si="132"/>
        <v>1128.590009094283</v>
      </c>
      <c r="AM39" s="473"/>
      <c r="AN39" s="473"/>
      <c r="AO39" s="473"/>
      <c r="AP39" s="473" t="s">
        <v>379</v>
      </c>
      <c r="AQ39" s="476">
        <v>1000</v>
      </c>
      <c r="AR39" s="476">
        <f>AQ39*(1+AC53)</f>
        <v>1050</v>
      </c>
      <c r="AS39" s="476">
        <f t="shared" ca="1" si="123"/>
        <v>1106.3986015302389</v>
      </c>
      <c r="AT39" s="476">
        <f t="shared" ca="1" si="124"/>
        <v>1169.9993575787942</v>
      </c>
      <c r="AU39" s="476">
        <f t="shared" ca="1" si="125"/>
        <v>1240.8660448834698</v>
      </c>
      <c r="AV39" s="476">
        <f t="shared" ca="1" si="126"/>
        <v>1319.8481163485515</v>
      </c>
      <c r="AW39" s="476">
        <f t="shared" ca="1" si="127"/>
        <v>1408.49951997982</v>
      </c>
      <c r="AX39" s="476">
        <f t="shared" ca="1" si="128"/>
        <v>1508.3606709539977</v>
      </c>
      <c r="AY39" s="476">
        <f t="shared" ca="1" si="129"/>
        <v>1620.4452204774093</v>
      </c>
      <c r="AZ39" s="476">
        <f t="shared" ca="1" si="130"/>
        <v>1747.1029527748155</v>
      </c>
    </row>
    <row r="40" spans="2:52">
      <c r="B40" s="459" t="s">
        <v>297</v>
      </c>
      <c r="C40" s="461">
        <v>2000</v>
      </c>
      <c r="D40" s="461">
        <f>C40*(1+C33)</f>
        <v>2040</v>
      </c>
      <c r="E40" s="461">
        <f t="shared" ref="E40:L40" si="133">D40*(1+D33)</f>
        <v>2080.8000000000002</v>
      </c>
      <c r="F40" s="461">
        <f t="shared" si="133"/>
        <v>2122.4160000000002</v>
      </c>
      <c r="G40" s="461">
        <f t="shared" si="133"/>
        <v>2164.8643200000001</v>
      </c>
      <c r="H40" s="461">
        <f t="shared" si="133"/>
        <v>2208.1616064</v>
      </c>
      <c r="I40" s="461">
        <f t="shared" si="133"/>
        <v>2252.3248385279999</v>
      </c>
      <c r="J40" s="461">
        <f t="shared" si="133"/>
        <v>2297.3713352985601</v>
      </c>
      <c r="K40" s="461">
        <f t="shared" si="133"/>
        <v>2343.3187620045314</v>
      </c>
      <c r="L40" s="461">
        <f t="shared" si="133"/>
        <v>2390.1851372446222</v>
      </c>
      <c r="M40" s="459"/>
      <c r="N40" s="459"/>
      <c r="O40" s="459"/>
      <c r="P40" s="459" t="s">
        <v>297</v>
      </c>
      <c r="Q40" s="471">
        <v>1270</v>
      </c>
      <c r="R40" s="471">
        <f>Q40*(1+C54)</f>
        <v>1333.5</v>
      </c>
      <c r="S40" s="471">
        <f t="shared" ca="1" si="114"/>
        <v>1404.524232634441</v>
      </c>
      <c r="T40" s="471">
        <f t="shared" ca="1" si="115"/>
        <v>1484.456036801442</v>
      </c>
      <c r="U40" s="471">
        <f t="shared" ca="1" si="116"/>
        <v>1574.5352141106875</v>
      </c>
      <c r="V40" s="471">
        <f t="shared" ca="1" si="117"/>
        <v>1674.2196221959287</v>
      </c>
      <c r="W40" s="471">
        <f t="shared" ca="1" si="118"/>
        <v>1784.5628206971389</v>
      </c>
      <c r="X40" s="471">
        <f t="shared" ca="1" si="119"/>
        <v>1908.8346638374892</v>
      </c>
      <c r="Y40" s="471">
        <f t="shared" ca="1" si="120"/>
        <v>2048.6482648638234</v>
      </c>
      <c r="Z40" s="471">
        <f t="shared" ca="1" si="121"/>
        <v>2206.4693688839252</v>
      </c>
      <c r="AA40" s="499"/>
      <c r="AB40" s="473" t="s">
        <v>297</v>
      </c>
      <c r="AC40" s="475">
        <v>2000</v>
      </c>
      <c r="AD40" s="475">
        <f>AC40*(1+AC33)</f>
        <v>2064</v>
      </c>
      <c r="AE40" s="475">
        <f t="shared" ref="AE40:AL40" si="134">AD40*(1+AD33)</f>
        <v>2130.0480000000002</v>
      </c>
      <c r="AF40" s="475">
        <f t="shared" si="134"/>
        <v>2198.2095360000003</v>
      </c>
      <c r="AG40" s="475">
        <f t="shared" si="134"/>
        <v>2268.5522411520005</v>
      </c>
      <c r="AH40" s="475">
        <f t="shared" si="134"/>
        <v>2341.1459128688648</v>
      </c>
      <c r="AI40" s="475">
        <f t="shared" si="134"/>
        <v>2416.0625820806686</v>
      </c>
      <c r="AJ40" s="475">
        <f t="shared" si="134"/>
        <v>2493.37658470725</v>
      </c>
      <c r="AK40" s="475">
        <f t="shared" si="134"/>
        <v>2573.164635417882</v>
      </c>
      <c r="AL40" s="475">
        <f t="shared" si="134"/>
        <v>2655.5059037512542</v>
      </c>
      <c r="AM40" s="473"/>
      <c r="AN40" s="473"/>
      <c r="AO40" s="473"/>
      <c r="AP40" s="473" t="s">
        <v>297</v>
      </c>
      <c r="AQ40" s="476">
        <v>1270</v>
      </c>
      <c r="AR40" s="476">
        <f>AQ40*(1+AC54)</f>
        <v>1308.1000000000001</v>
      </c>
      <c r="AS40" s="476">
        <f t="shared" ca="1" si="123"/>
        <v>1352.0820328183877</v>
      </c>
      <c r="AT40" s="476">
        <f t="shared" ca="1" si="124"/>
        <v>1402.7787571454103</v>
      </c>
      <c r="AU40" s="476">
        <f t="shared" ca="1" si="125"/>
        <v>1459.4968771190249</v>
      </c>
      <c r="AV40" s="476">
        <f t="shared" ca="1" si="126"/>
        <v>1523.5066816316362</v>
      </c>
      <c r="AW40" s="476">
        <f t="shared" ca="1" si="127"/>
        <v>1596.4015825802819</v>
      </c>
      <c r="AX40" s="476">
        <f t="shared" ca="1" si="128"/>
        <v>1676.7896472347895</v>
      </c>
      <c r="AY40" s="476">
        <f t="shared" ca="1" si="129"/>
        <v>1767.883134308878</v>
      </c>
      <c r="AZ40" s="476">
        <f t="shared" ca="1" si="130"/>
        <v>1869.9934131902332</v>
      </c>
    </row>
    <row r="41" spans="2:52">
      <c r="B41" s="459" t="s">
        <v>383</v>
      </c>
      <c r="C41" s="461"/>
      <c r="D41" s="461">
        <v>3000</v>
      </c>
      <c r="E41" s="461">
        <f>D41*(1+D33)</f>
        <v>3060</v>
      </c>
      <c r="F41" s="461">
        <f t="shared" ref="F41:L41" si="135">E41*(1+E33)</f>
        <v>3121.2000000000003</v>
      </c>
      <c r="G41" s="461">
        <f t="shared" si="135"/>
        <v>3183.6240000000003</v>
      </c>
      <c r="H41" s="461">
        <f t="shared" si="135"/>
        <v>3247.2964800000004</v>
      </c>
      <c r="I41" s="461">
        <f t="shared" si="135"/>
        <v>3312.2424096000004</v>
      </c>
      <c r="J41" s="461">
        <f t="shared" si="135"/>
        <v>3378.4872577920005</v>
      </c>
      <c r="K41" s="461">
        <f t="shared" si="135"/>
        <v>3446.0570029478404</v>
      </c>
      <c r="L41" s="461">
        <f t="shared" si="135"/>
        <v>3514.9781430067974</v>
      </c>
      <c r="M41" s="459"/>
      <c r="N41" s="459"/>
      <c r="O41" s="459"/>
      <c r="P41" s="459" t="s">
        <v>383</v>
      </c>
      <c r="Q41" s="471"/>
      <c r="R41" s="471">
        <v>635</v>
      </c>
      <c r="S41" s="471">
        <f ca="1">R41*(1+D55)</f>
        <v>669.19893531868945</v>
      </c>
      <c r="T41" s="471">
        <f t="shared" ca="1" si="115"/>
        <v>707.70794733262255</v>
      </c>
      <c r="U41" s="471">
        <f t="shared" ca="1" si="116"/>
        <v>751.01985389707625</v>
      </c>
      <c r="V41" s="471">
        <f t="shared" ca="1" si="117"/>
        <v>799.95972531603968</v>
      </c>
      <c r="W41" s="471">
        <f t="shared" ca="1" si="118"/>
        <v>854.47162171815592</v>
      </c>
      <c r="X41" s="471">
        <f t="shared" ca="1" si="119"/>
        <v>916.0066016260979</v>
      </c>
      <c r="Y41" s="471">
        <f t="shared" ca="1" si="120"/>
        <v>985.32352741402144</v>
      </c>
      <c r="Z41" s="471">
        <f t="shared" ca="1" si="121"/>
        <v>1062.9012808214991</v>
      </c>
      <c r="AA41" s="499"/>
      <c r="AB41" s="473" t="s">
        <v>383</v>
      </c>
      <c r="AC41" s="475"/>
      <c r="AD41" s="475">
        <v>3000</v>
      </c>
      <c r="AE41" s="475">
        <f>AD41*(1+AD33)</f>
        <v>3096</v>
      </c>
      <c r="AF41" s="475">
        <f t="shared" ref="AF41:AL41" si="136">AE41*(1+AE33)</f>
        <v>3195.0720000000001</v>
      </c>
      <c r="AG41" s="475">
        <f t="shared" si="136"/>
        <v>3297.314304</v>
      </c>
      <c r="AH41" s="475">
        <f t="shared" si="136"/>
        <v>3402.8283617279999</v>
      </c>
      <c r="AI41" s="475">
        <f t="shared" si="136"/>
        <v>3511.7188693032958</v>
      </c>
      <c r="AJ41" s="475">
        <f t="shared" si="136"/>
        <v>3624.0938731210013</v>
      </c>
      <c r="AK41" s="475">
        <f t="shared" si="136"/>
        <v>3740.0648770608732</v>
      </c>
      <c r="AL41" s="475">
        <f t="shared" si="136"/>
        <v>3859.7469531268212</v>
      </c>
      <c r="AM41" s="473"/>
      <c r="AN41" s="473"/>
      <c r="AO41" s="473"/>
      <c r="AP41" s="473" t="s">
        <v>383</v>
      </c>
      <c r="AQ41" s="476"/>
      <c r="AR41" s="476">
        <v>635</v>
      </c>
      <c r="AS41" s="476">
        <f ca="1">AR41*(1+AD55)</f>
        <v>662.81577862514155</v>
      </c>
      <c r="AT41" s="476">
        <f t="shared" ca="1" si="124"/>
        <v>693.68685254972786</v>
      </c>
      <c r="AU41" s="476">
        <f t="shared" ca="1" si="125"/>
        <v>728.52574547663687</v>
      </c>
      <c r="AV41" s="476">
        <f t="shared" ca="1" si="126"/>
        <v>767.6551033208043</v>
      </c>
      <c r="AW41" s="476">
        <f t="shared" ca="1" si="127"/>
        <v>810.89517683760312</v>
      </c>
      <c r="AX41" s="476">
        <f t="shared" ca="1" si="128"/>
        <v>859.16028923389479</v>
      </c>
      <c r="AY41" s="476">
        <f t="shared" ca="1" si="129"/>
        <v>912.58106436314586</v>
      </c>
      <c r="AZ41" s="476">
        <f t="shared" ca="1" si="130"/>
        <v>972.65011473640789</v>
      </c>
    </row>
    <row r="42" spans="2:52">
      <c r="B42" s="459" t="s">
        <v>312</v>
      </c>
      <c r="C42" s="461"/>
      <c r="D42" s="461"/>
      <c r="E42" s="461">
        <v>10000</v>
      </c>
      <c r="F42" s="461">
        <f>E42*(1+E33)</f>
        <v>10200</v>
      </c>
      <c r="G42" s="461">
        <f t="shared" ref="G42:L42" si="137">F42*(1+F33)</f>
        <v>10404</v>
      </c>
      <c r="H42" s="461">
        <f t="shared" si="137"/>
        <v>10612.08</v>
      </c>
      <c r="I42" s="461">
        <f t="shared" si="137"/>
        <v>10824.321599999999</v>
      </c>
      <c r="J42" s="461">
        <f t="shared" si="137"/>
        <v>11040.808031999999</v>
      </c>
      <c r="K42" s="461">
        <f t="shared" si="137"/>
        <v>11261.62419264</v>
      </c>
      <c r="L42" s="461">
        <f t="shared" si="137"/>
        <v>11486.8566764928</v>
      </c>
      <c r="M42" s="459"/>
      <c r="N42" s="459"/>
      <c r="O42" s="459"/>
      <c r="P42" s="459" t="s">
        <v>312</v>
      </c>
      <c r="Q42" s="471"/>
      <c r="R42" s="471"/>
      <c r="S42" s="471">
        <v>318</v>
      </c>
      <c r="T42" s="471">
        <f ca="1">S42*(1+E56)</f>
        <v>332.6172575045332</v>
      </c>
      <c r="U42" s="471">
        <f t="shared" ca="1" si="116"/>
        <v>348.91970130652032</v>
      </c>
      <c r="V42" s="471">
        <f t="shared" ca="1" si="117"/>
        <v>367.2919555299282</v>
      </c>
      <c r="W42" s="471">
        <f t="shared" ca="1" si="118"/>
        <v>388.0796250278857</v>
      </c>
      <c r="X42" s="471">
        <f t="shared" ca="1" si="119"/>
        <v>411.5919677576839</v>
      </c>
      <c r="Y42" s="471">
        <f t="shared" ca="1" si="120"/>
        <v>437.7587239100294</v>
      </c>
      <c r="Z42" s="471">
        <f t="shared" ca="1" si="121"/>
        <v>466.80925429834298</v>
      </c>
      <c r="AA42" s="499"/>
      <c r="AB42" s="473" t="s">
        <v>312</v>
      </c>
      <c r="AC42" s="475"/>
      <c r="AD42" s="475"/>
      <c r="AE42" s="475">
        <v>10000</v>
      </c>
      <c r="AF42" s="475">
        <f>AE42*(1+AE33)</f>
        <v>10320</v>
      </c>
      <c r="AG42" s="475">
        <f t="shared" ref="AG42:AL42" si="138">AF42*(1+AF33)</f>
        <v>10650.24</v>
      </c>
      <c r="AH42" s="475">
        <f t="shared" si="138"/>
        <v>10991.04768</v>
      </c>
      <c r="AI42" s="475">
        <f t="shared" si="138"/>
        <v>11342.76120576</v>
      </c>
      <c r="AJ42" s="475">
        <f t="shared" si="138"/>
        <v>11705.729564344319</v>
      </c>
      <c r="AK42" s="475">
        <f t="shared" si="138"/>
        <v>12080.312910403338</v>
      </c>
      <c r="AL42" s="475">
        <f t="shared" si="138"/>
        <v>12466.882923536245</v>
      </c>
      <c r="AM42" s="473"/>
      <c r="AN42" s="473"/>
      <c r="AO42" s="473"/>
      <c r="AP42" s="473" t="s">
        <v>312</v>
      </c>
      <c r="AQ42" s="476"/>
      <c r="AR42" s="476"/>
      <c r="AS42" s="476">
        <v>318</v>
      </c>
      <c r="AT42" s="476">
        <f ca="1">AS42*(1+AE56)</f>
        <v>342.64532321898764</v>
      </c>
      <c r="AU42" s="476">
        <f t="shared" ca="1" si="125"/>
        <v>370.56719787809726</v>
      </c>
      <c r="AV42" s="476">
        <f t="shared" ca="1" si="126"/>
        <v>402.24273629243777</v>
      </c>
      <c r="AW42" s="476">
        <f t="shared" ca="1" si="127"/>
        <v>437.76099554548409</v>
      </c>
      <c r="AX42" s="476">
        <f t="shared" ca="1" si="128"/>
        <v>478.15416715788155</v>
      </c>
      <c r="AY42" s="476">
        <f t="shared" ca="1" si="129"/>
        <v>524.1820610539595</v>
      </c>
      <c r="AZ42" s="476">
        <f t="shared" ca="1" si="130"/>
        <v>576.55894411102622</v>
      </c>
    </row>
    <row r="43" spans="2:52">
      <c r="B43" s="459" t="s">
        <v>392</v>
      </c>
      <c r="C43" s="461">
        <v>0</v>
      </c>
      <c r="D43" s="461">
        <f>C43*C33</f>
        <v>0</v>
      </c>
      <c r="E43" s="461">
        <f t="shared" ref="E43:L43" si="139">D43*D33</f>
        <v>0</v>
      </c>
      <c r="F43" s="461">
        <f t="shared" si="139"/>
        <v>0</v>
      </c>
      <c r="G43" s="461">
        <f t="shared" si="139"/>
        <v>0</v>
      </c>
      <c r="H43" s="461">
        <f t="shared" si="139"/>
        <v>0</v>
      </c>
      <c r="I43" s="461">
        <f t="shared" si="139"/>
        <v>0</v>
      </c>
      <c r="J43" s="461">
        <f t="shared" si="139"/>
        <v>0</v>
      </c>
      <c r="K43" s="461">
        <f t="shared" si="139"/>
        <v>0</v>
      </c>
      <c r="L43" s="461">
        <f t="shared" si="139"/>
        <v>0</v>
      </c>
      <c r="M43" s="459"/>
      <c r="N43" s="459"/>
      <c r="O43" s="459"/>
      <c r="P43" s="459" t="s">
        <v>392</v>
      </c>
      <c r="Q43" s="459">
        <v>0</v>
      </c>
      <c r="R43" s="459">
        <f>Q43*C57</f>
        <v>0</v>
      </c>
      <c r="S43" s="459">
        <f t="shared" ref="S43" ca="1" si="140">R43*D57</f>
        <v>0</v>
      </c>
      <c r="T43" s="459">
        <f t="shared" ref="T43" ca="1" si="141">S43*E57</f>
        <v>0</v>
      </c>
      <c r="U43" s="459">
        <f t="shared" ref="U43" ca="1" si="142">T43*F57</f>
        <v>0</v>
      </c>
      <c r="V43" s="459">
        <f t="shared" ref="V43" ca="1" si="143">U43*G57</f>
        <v>0</v>
      </c>
      <c r="W43" s="459">
        <f t="shared" ref="W43" ca="1" si="144">V43*H57</f>
        <v>0</v>
      </c>
      <c r="X43" s="459">
        <f t="shared" ref="X43" ca="1" si="145">W43*I57</f>
        <v>0</v>
      </c>
      <c r="Y43" s="459">
        <f t="shared" ref="Y43" ca="1" si="146">X43*J57</f>
        <v>0</v>
      </c>
      <c r="Z43" s="459">
        <f t="shared" ref="Z43" ca="1" si="147">Y43*K57</f>
        <v>0</v>
      </c>
      <c r="AA43" s="499"/>
      <c r="AB43" s="473" t="s">
        <v>392</v>
      </c>
      <c r="AC43" s="475">
        <v>0</v>
      </c>
      <c r="AD43" s="475">
        <f>AC43*AC33</f>
        <v>0</v>
      </c>
      <c r="AE43" s="475">
        <f t="shared" ref="AE43:AL43" si="148">AD43*AD33</f>
        <v>0</v>
      </c>
      <c r="AF43" s="475">
        <f t="shared" si="148"/>
        <v>0</v>
      </c>
      <c r="AG43" s="475">
        <f t="shared" si="148"/>
        <v>0</v>
      </c>
      <c r="AH43" s="475">
        <f t="shared" si="148"/>
        <v>0</v>
      </c>
      <c r="AI43" s="475">
        <f t="shared" si="148"/>
        <v>0</v>
      </c>
      <c r="AJ43" s="475">
        <f t="shared" si="148"/>
        <v>0</v>
      </c>
      <c r="AK43" s="475">
        <f t="shared" si="148"/>
        <v>0</v>
      </c>
      <c r="AL43" s="475">
        <f t="shared" si="148"/>
        <v>0</v>
      </c>
      <c r="AM43" s="473"/>
      <c r="AN43" s="473"/>
      <c r="AO43" s="473"/>
      <c r="AP43" s="473" t="s">
        <v>392</v>
      </c>
      <c r="AQ43" s="473">
        <v>0</v>
      </c>
      <c r="AR43" s="473">
        <f>AQ43*AC57</f>
        <v>0</v>
      </c>
      <c r="AS43" s="473">
        <f t="shared" ref="AS43" ca="1" si="149">AR43*AD57</f>
        <v>0</v>
      </c>
      <c r="AT43" s="473">
        <f t="shared" ref="AT43" ca="1" si="150">AS43*AE57</f>
        <v>0</v>
      </c>
      <c r="AU43" s="473">
        <f t="shared" ref="AU43" ca="1" si="151">AT43*AF57</f>
        <v>0</v>
      </c>
      <c r="AV43" s="473">
        <f t="shared" ref="AV43" ca="1" si="152">AU43*AG57</f>
        <v>0</v>
      </c>
      <c r="AW43" s="473">
        <f t="shared" ref="AW43" ca="1" si="153">AV43*AH57</f>
        <v>0</v>
      </c>
      <c r="AX43" s="473">
        <f t="shared" ref="AX43" ca="1" si="154">AW43*AI57</f>
        <v>0</v>
      </c>
      <c r="AY43" s="473">
        <f t="shared" ref="AY43" ca="1" si="155">AX43*AJ57</f>
        <v>0</v>
      </c>
      <c r="AZ43" s="473">
        <f t="shared" ref="AZ43" ca="1" si="156">AY43*AK57</f>
        <v>0</v>
      </c>
    </row>
    <row r="44" spans="2:52">
      <c r="B44" s="459" t="s">
        <v>393</v>
      </c>
      <c r="C44" s="461">
        <v>0</v>
      </c>
      <c r="D44" s="461">
        <f>C44*C33</f>
        <v>0</v>
      </c>
      <c r="E44" s="461">
        <f t="shared" ref="E44:L44" si="157">D44*D33</f>
        <v>0</v>
      </c>
      <c r="F44" s="461">
        <f t="shared" si="157"/>
        <v>0</v>
      </c>
      <c r="G44" s="461">
        <f t="shared" si="157"/>
        <v>0</v>
      </c>
      <c r="H44" s="461">
        <f t="shared" si="157"/>
        <v>0</v>
      </c>
      <c r="I44" s="461">
        <f t="shared" si="157"/>
        <v>0</v>
      </c>
      <c r="J44" s="461">
        <f t="shared" si="157"/>
        <v>0</v>
      </c>
      <c r="K44" s="461">
        <f t="shared" si="157"/>
        <v>0</v>
      </c>
      <c r="L44" s="461">
        <f t="shared" si="157"/>
        <v>0</v>
      </c>
      <c r="M44" s="459"/>
      <c r="N44" s="459"/>
      <c r="O44" s="459"/>
      <c r="P44" s="459" t="s">
        <v>393</v>
      </c>
      <c r="Q44" s="459">
        <v>0</v>
      </c>
      <c r="R44" s="459">
        <v>0</v>
      </c>
      <c r="S44" s="459">
        <v>0</v>
      </c>
      <c r="T44" s="459">
        <v>0</v>
      </c>
      <c r="U44" s="459">
        <v>0</v>
      </c>
      <c r="V44" s="459">
        <v>0</v>
      </c>
      <c r="W44" s="459">
        <v>0</v>
      </c>
      <c r="X44" s="459">
        <v>0</v>
      </c>
      <c r="Y44" s="459">
        <v>0</v>
      </c>
      <c r="Z44" s="459">
        <v>0</v>
      </c>
      <c r="AA44" s="499"/>
      <c r="AB44" s="473" t="s">
        <v>393</v>
      </c>
      <c r="AC44" s="475">
        <v>0</v>
      </c>
      <c r="AD44" s="475">
        <f>AC44*AC33</f>
        <v>0</v>
      </c>
      <c r="AE44" s="475">
        <f t="shared" ref="AE44:AL44" si="158">AD44*AD33</f>
        <v>0</v>
      </c>
      <c r="AF44" s="475">
        <f t="shared" si="158"/>
        <v>0</v>
      </c>
      <c r="AG44" s="475">
        <f t="shared" si="158"/>
        <v>0</v>
      </c>
      <c r="AH44" s="475">
        <f t="shared" si="158"/>
        <v>0</v>
      </c>
      <c r="AI44" s="475">
        <f t="shared" si="158"/>
        <v>0</v>
      </c>
      <c r="AJ44" s="475">
        <f t="shared" si="158"/>
        <v>0</v>
      </c>
      <c r="AK44" s="475">
        <f t="shared" si="158"/>
        <v>0</v>
      </c>
      <c r="AL44" s="475">
        <f t="shared" si="158"/>
        <v>0</v>
      </c>
      <c r="AM44" s="473"/>
      <c r="AN44" s="473"/>
      <c r="AO44" s="473"/>
      <c r="AP44" s="473" t="s">
        <v>393</v>
      </c>
      <c r="AQ44" s="473">
        <v>0</v>
      </c>
      <c r="AR44" s="473">
        <v>0</v>
      </c>
      <c r="AS44" s="473">
        <v>0</v>
      </c>
      <c r="AT44" s="473">
        <v>0</v>
      </c>
      <c r="AU44" s="473">
        <v>0</v>
      </c>
      <c r="AV44" s="473">
        <v>0</v>
      </c>
      <c r="AW44" s="473">
        <v>0</v>
      </c>
      <c r="AX44" s="473">
        <v>0</v>
      </c>
      <c r="AY44" s="473">
        <v>0</v>
      </c>
      <c r="AZ44" s="473">
        <v>0</v>
      </c>
    </row>
    <row r="45" spans="2:52">
      <c r="B45" s="459" t="s">
        <v>394</v>
      </c>
      <c r="C45" s="461">
        <v>0</v>
      </c>
      <c r="D45" s="461">
        <f>C45*C33</f>
        <v>0</v>
      </c>
      <c r="E45" s="461">
        <f t="shared" ref="E45:L45" si="159">D45*D33</f>
        <v>0</v>
      </c>
      <c r="F45" s="461">
        <f t="shared" si="159"/>
        <v>0</v>
      </c>
      <c r="G45" s="461">
        <f t="shared" si="159"/>
        <v>0</v>
      </c>
      <c r="H45" s="461">
        <f t="shared" si="159"/>
        <v>0</v>
      </c>
      <c r="I45" s="461">
        <f t="shared" si="159"/>
        <v>0</v>
      </c>
      <c r="J45" s="461">
        <f t="shared" si="159"/>
        <v>0</v>
      </c>
      <c r="K45" s="461">
        <f t="shared" si="159"/>
        <v>0</v>
      </c>
      <c r="L45" s="461">
        <f t="shared" si="159"/>
        <v>0</v>
      </c>
      <c r="M45" s="459"/>
      <c r="N45" s="459"/>
      <c r="O45" s="459"/>
      <c r="P45" s="459" t="s">
        <v>394</v>
      </c>
      <c r="Q45" s="459">
        <v>0</v>
      </c>
      <c r="R45" s="459">
        <f>Q45*C58</f>
        <v>0</v>
      </c>
      <c r="S45" s="459">
        <f t="shared" ref="S45" ca="1" si="160">R45*D58</f>
        <v>0</v>
      </c>
      <c r="T45" s="459">
        <f t="shared" ref="T45" ca="1" si="161">S45*E58</f>
        <v>0</v>
      </c>
      <c r="U45" s="459">
        <f t="shared" ref="U45" ca="1" si="162">T45*F58</f>
        <v>0</v>
      </c>
      <c r="V45" s="459">
        <f t="shared" ref="V45" ca="1" si="163">U45*G58</f>
        <v>0</v>
      </c>
      <c r="W45" s="459">
        <f t="shared" ref="W45" ca="1" si="164">V45*H58</f>
        <v>0</v>
      </c>
      <c r="X45" s="459">
        <f t="shared" ref="X45" ca="1" si="165">W45*I58</f>
        <v>0</v>
      </c>
      <c r="Y45" s="459">
        <f t="shared" ref="Y45" ca="1" si="166">X45*J58</f>
        <v>0</v>
      </c>
      <c r="Z45" s="459">
        <f t="shared" ref="Z45" ca="1" si="167">Y45*K58</f>
        <v>0</v>
      </c>
      <c r="AA45" s="499"/>
      <c r="AB45" s="473" t="s">
        <v>394</v>
      </c>
      <c r="AC45" s="475">
        <v>0</v>
      </c>
      <c r="AD45" s="475">
        <f>AC45*AC33</f>
        <v>0</v>
      </c>
      <c r="AE45" s="475">
        <f t="shared" ref="AE45:AL45" si="168">AD45*AD33</f>
        <v>0</v>
      </c>
      <c r="AF45" s="475">
        <f t="shared" si="168"/>
        <v>0</v>
      </c>
      <c r="AG45" s="475">
        <f t="shared" si="168"/>
        <v>0</v>
      </c>
      <c r="AH45" s="475">
        <f t="shared" si="168"/>
        <v>0</v>
      </c>
      <c r="AI45" s="475">
        <f t="shared" si="168"/>
        <v>0</v>
      </c>
      <c r="AJ45" s="475">
        <f t="shared" si="168"/>
        <v>0</v>
      </c>
      <c r="AK45" s="475">
        <f t="shared" si="168"/>
        <v>0</v>
      </c>
      <c r="AL45" s="475">
        <f t="shared" si="168"/>
        <v>0</v>
      </c>
      <c r="AM45" s="473"/>
      <c r="AN45" s="473"/>
      <c r="AO45" s="473"/>
      <c r="AP45" s="473" t="s">
        <v>394</v>
      </c>
      <c r="AQ45" s="473">
        <v>0</v>
      </c>
      <c r="AR45" s="473">
        <f>AQ45*AC58</f>
        <v>0</v>
      </c>
      <c r="AS45" s="473">
        <f t="shared" ref="AS45" ca="1" si="169">AR45*AD58</f>
        <v>0</v>
      </c>
      <c r="AT45" s="473">
        <f t="shared" ref="AT45" ca="1" si="170">AS45*AE58</f>
        <v>0</v>
      </c>
      <c r="AU45" s="473">
        <f t="shared" ref="AU45" ca="1" si="171">AT45*AF58</f>
        <v>0</v>
      </c>
      <c r="AV45" s="473">
        <f t="shared" ref="AV45" ca="1" si="172">AU45*AG58</f>
        <v>0</v>
      </c>
      <c r="AW45" s="473">
        <f t="shared" ref="AW45" ca="1" si="173">AV45*AH58</f>
        <v>0</v>
      </c>
      <c r="AX45" s="473">
        <f t="shared" ref="AX45" ca="1" si="174">AW45*AI58</f>
        <v>0</v>
      </c>
      <c r="AY45" s="473">
        <f t="shared" ref="AY45" ca="1" si="175">AX45*AJ58</f>
        <v>0</v>
      </c>
      <c r="AZ45" s="473">
        <f t="shared" ref="AZ45" ca="1" si="176">AY45*AK58</f>
        <v>0</v>
      </c>
    </row>
    <row r="46" spans="2:52">
      <c r="B46" s="459" t="s">
        <v>395</v>
      </c>
      <c r="C46" s="461">
        <v>0</v>
      </c>
      <c r="D46" s="461">
        <f>C46*C33</f>
        <v>0</v>
      </c>
      <c r="E46" s="461">
        <f t="shared" ref="E46:L46" si="177">D46*D33</f>
        <v>0</v>
      </c>
      <c r="F46" s="461">
        <f t="shared" si="177"/>
        <v>0</v>
      </c>
      <c r="G46" s="461">
        <f t="shared" si="177"/>
        <v>0</v>
      </c>
      <c r="H46" s="461">
        <f t="shared" si="177"/>
        <v>0</v>
      </c>
      <c r="I46" s="461">
        <f t="shared" si="177"/>
        <v>0</v>
      </c>
      <c r="J46" s="461">
        <f t="shared" si="177"/>
        <v>0</v>
      </c>
      <c r="K46" s="461">
        <f t="shared" si="177"/>
        <v>0</v>
      </c>
      <c r="L46" s="461">
        <f t="shared" si="177"/>
        <v>0</v>
      </c>
      <c r="M46" s="459"/>
      <c r="N46" s="459"/>
      <c r="O46" s="459"/>
      <c r="P46" s="459" t="s">
        <v>395</v>
      </c>
      <c r="Q46" s="459">
        <v>0</v>
      </c>
      <c r="R46" s="459">
        <f>Q46*C60</f>
        <v>0</v>
      </c>
      <c r="S46" s="459">
        <f t="shared" ref="S46" ca="1" si="178">R46*D60</f>
        <v>0</v>
      </c>
      <c r="T46" s="459">
        <f t="shared" ref="T46" ca="1" si="179">S46*E60</f>
        <v>0</v>
      </c>
      <c r="U46" s="459">
        <f t="shared" ref="U46" ca="1" si="180">T46*F60</f>
        <v>0</v>
      </c>
      <c r="V46" s="459">
        <f t="shared" ref="V46" ca="1" si="181">U46*G60</f>
        <v>0</v>
      </c>
      <c r="W46" s="459">
        <f t="shared" ref="W46" ca="1" si="182">V46*H60</f>
        <v>0</v>
      </c>
      <c r="X46" s="459">
        <f t="shared" ref="X46" ca="1" si="183">W46*I60</f>
        <v>0</v>
      </c>
      <c r="Y46" s="459">
        <f t="shared" ref="Y46" ca="1" si="184">X46*J60</f>
        <v>0</v>
      </c>
      <c r="Z46" s="459">
        <f t="shared" ref="Z46" ca="1" si="185">Y46*K60</f>
        <v>0</v>
      </c>
      <c r="AA46" s="499"/>
      <c r="AB46" s="473" t="s">
        <v>395</v>
      </c>
      <c r="AC46" s="475">
        <v>0</v>
      </c>
      <c r="AD46" s="475">
        <f>AC46*AC33</f>
        <v>0</v>
      </c>
      <c r="AE46" s="475">
        <f t="shared" ref="AE46:AL46" si="186">AD46*AD33</f>
        <v>0</v>
      </c>
      <c r="AF46" s="475">
        <f t="shared" si="186"/>
        <v>0</v>
      </c>
      <c r="AG46" s="475">
        <f t="shared" si="186"/>
        <v>0</v>
      </c>
      <c r="AH46" s="475">
        <f t="shared" si="186"/>
        <v>0</v>
      </c>
      <c r="AI46" s="475">
        <f t="shared" si="186"/>
        <v>0</v>
      </c>
      <c r="AJ46" s="475">
        <f t="shared" si="186"/>
        <v>0</v>
      </c>
      <c r="AK46" s="475">
        <f t="shared" si="186"/>
        <v>0</v>
      </c>
      <c r="AL46" s="475">
        <f t="shared" si="186"/>
        <v>0</v>
      </c>
      <c r="AM46" s="473"/>
      <c r="AN46" s="473"/>
      <c r="AO46" s="473"/>
      <c r="AP46" s="473" t="s">
        <v>395</v>
      </c>
      <c r="AQ46" s="473">
        <v>0</v>
      </c>
      <c r="AR46" s="473">
        <f>AQ46*AC60</f>
        <v>0</v>
      </c>
      <c r="AS46" s="473">
        <f t="shared" ref="AS46" ca="1" si="187">AR46*AD60</f>
        <v>0</v>
      </c>
      <c r="AT46" s="473">
        <f t="shared" ref="AT46" ca="1" si="188">AS46*AE60</f>
        <v>0</v>
      </c>
      <c r="AU46" s="473">
        <f t="shared" ref="AU46" ca="1" si="189">AT46*AF60</f>
        <v>0</v>
      </c>
      <c r="AV46" s="473">
        <f t="shared" ref="AV46" ca="1" si="190">AU46*AG60</f>
        <v>0</v>
      </c>
      <c r="AW46" s="473">
        <f t="shared" ref="AW46" ca="1" si="191">AV46*AH60</f>
        <v>0</v>
      </c>
      <c r="AX46" s="473">
        <f t="shared" ref="AX46" ca="1" si="192">AW46*AI60</f>
        <v>0</v>
      </c>
      <c r="AY46" s="473">
        <f t="shared" ref="AY46" ca="1" si="193">AX46*AJ60</f>
        <v>0</v>
      </c>
      <c r="AZ46" s="473">
        <f t="shared" ref="AZ46" ca="1" si="194">AY46*AK60</f>
        <v>0</v>
      </c>
    </row>
    <row r="47" spans="2:52">
      <c r="B47" s="459"/>
      <c r="C47" s="459"/>
      <c r="D47" s="459"/>
      <c r="E47" s="459"/>
      <c r="F47" s="459"/>
      <c r="G47" s="459"/>
      <c r="H47" s="459"/>
      <c r="I47" s="459"/>
      <c r="J47" s="459"/>
      <c r="K47" s="459"/>
      <c r="L47" s="459"/>
      <c r="M47" s="459"/>
      <c r="N47" s="459"/>
      <c r="O47" s="459"/>
      <c r="P47" s="459"/>
      <c r="Q47" s="459"/>
      <c r="R47" s="459"/>
      <c r="S47" s="459"/>
      <c r="T47" s="459"/>
      <c r="U47" s="459"/>
      <c r="V47" s="459"/>
      <c r="W47" s="459"/>
      <c r="X47" s="459"/>
      <c r="Y47" s="459"/>
      <c r="Z47" s="459"/>
      <c r="AA47" s="499"/>
      <c r="AB47" s="473"/>
      <c r="AC47" s="473"/>
      <c r="AD47" s="473"/>
      <c r="AE47" s="473"/>
      <c r="AF47" s="473"/>
      <c r="AG47" s="473"/>
      <c r="AH47" s="473"/>
      <c r="AI47" s="473"/>
      <c r="AJ47" s="473"/>
      <c r="AK47" s="473"/>
      <c r="AL47" s="473"/>
      <c r="AM47" s="473"/>
      <c r="AN47" s="473"/>
      <c r="AO47" s="473"/>
      <c r="AP47" s="473"/>
      <c r="AQ47" s="473"/>
      <c r="AR47" s="473"/>
      <c r="AS47" s="473"/>
      <c r="AT47" s="473"/>
      <c r="AU47" s="473"/>
      <c r="AV47" s="473"/>
      <c r="AW47" s="473"/>
      <c r="AX47" s="473"/>
      <c r="AY47" s="473"/>
      <c r="AZ47" s="473"/>
    </row>
    <row r="48" spans="2:52">
      <c r="B48" s="459"/>
      <c r="C48" s="459"/>
      <c r="D48" s="459"/>
      <c r="E48" s="459"/>
      <c r="F48" s="459"/>
      <c r="G48" s="459"/>
      <c r="H48" s="459"/>
      <c r="I48" s="459"/>
      <c r="J48" s="459"/>
      <c r="K48" s="459"/>
      <c r="L48" s="459"/>
      <c r="M48" s="459"/>
      <c r="N48" s="459"/>
      <c r="O48" s="459"/>
      <c r="P48" s="459"/>
      <c r="Q48" s="459"/>
      <c r="R48" s="459"/>
      <c r="S48" s="459"/>
      <c r="T48" s="459"/>
      <c r="U48" s="459"/>
      <c r="V48" s="459"/>
      <c r="W48" s="459"/>
      <c r="X48" s="459"/>
      <c r="Y48" s="459"/>
      <c r="Z48" s="459"/>
      <c r="AA48" s="499"/>
      <c r="AB48" s="473"/>
      <c r="AC48" s="473"/>
      <c r="AD48" s="473"/>
      <c r="AE48" s="473"/>
      <c r="AF48" s="473"/>
      <c r="AG48" s="473"/>
      <c r="AH48" s="473"/>
      <c r="AI48" s="473"/>
      <c r="AJ48" s="473"/>
      <c r="AK48" s="473"/>
      <c r="AL48" s="473"/>
      <c r="AM48" s="473"/>
      <c r="AN48" s="473"/>
      <c r="AO48" s="473"/>
      <c r="AP48" s="473"/>
      <c r="AQ48" s="473"/>
      <c r="AR48" s="473"/>
      <c r="AS48" s="473"/>
      <c r="AT48" s="473"/>
      <c r="AU48" s="473"/>
      <c r="AV48" s="473"/>
      <c r="AW48" s="473"/>
      <c r="AX48" s="473"/>
      <c r="AY48" s="473"/>
      <c r="AZ48" s="473"/>
    </row>
    <row r="49" spans="2:52">
      <c r="B49" s="459"/>
      <c r="C49" s="459"/>
      <c r="D49" s="459"/>
      <c r="E49" s="459"/>
      <c r="F49" s="459"/>
      <c r="G49" s="459"/>
      <c r="H49" s="459"/>
      <c r="I49" s="459"/>
      <c r="J49" s="459"/>
      <c r="K49" s="459"/>
      <c r="L49" s="459"/>
      <c r="M49" s="459"/>
      <c r="N49" s="459"/>
      <c r="O49" s="459"/>
      <c r="P49" s="459"/>
      <c r="Q49" s="459"/>
      <c r="R49" s="459"/>
      <c r="S49" s="459"/>
      <c r="T49" s="459"/>
      <c r="U49" s="459"/>
      <c r="V49" s="459"/>
      <c r="W49" s="459"/>
      <c r="X49" s="459"/>
      <c r="Y49" s="459"/>
      <c r="Z49" s="459"/>
      <c r="AA49" s="499"/>
      <c r="AB49" s="473"/>
      <c r="AC49" s="473"/>
      <c r="AD49" s="473"/>
      <c r="AE49" s="473"/>
      <c r="AF49" s="473"/>
      <c r="AG49" s="473"/>
      <c r="AH49" s="473"/>
      <c r="AI49" s="473"/>
      <c r="AJ49" s="473"/>
      <c r="AK49" s="473"/>
      <c r="AL49" s="473"/>
      <c r="AM49" s="473"/>
      <c r="AN49" s="473"/>
      <c r="AO49" s="473"/>
      <c r="AP49" s="473"/>
      <c r="AQ49" s="473"/>
      <c r="AR49" s="473"/>
      <c r="AS49" s="473"/>
      <c r="AT49" s="473"/>
      <c r="AU49" s="473"/>
      <c r="AV49" s="473"/>
      <c r="AW49" s="473"/>
      <c r="AX49" s="473"/>
      <c r="AY49" s="473"/>
      <c r="AZ49" s="473"/>
    </row>
    <row r="50" spans="2:52">
      <c r="B50" s="459"/>
      <c r="C50" s="459"/>
      <c r="D50" s="459"/>
      <c r="E50" s="459"/>
      <c r="F50" s="459"/>
      <c r="G50" s="459"/>
      <c r="H50" s="459"/>
      <c r="I50" s="459"/>
      <c r="J50" s="459"/>
      <c r="K50" s="459"/>
      <c r="L50" s="459"/>
      <c r="M50" s="459"/>
      <c r="N50" s="459"/>
      <c r="O50" s="459"/>
      <c r="P50" s="459"/>
      <c r="Q50" s="459"/>
      <c r="R50" s="459"/>
      <c r="S50" s="459"/>
      <c r="T50" s="459"/>
      <c r="U50" s="459"/>
      <c r="V50" s="459"/>
      <c r="W50" s="459"/>
      <c r="X50" s="459"/>
      <c r="Y50" s="459"/>
      <c r="Z50" s="459"/>
      <c r="AA50" s="499"/>
      <c r="AB50" s="473"/>
      <c r="AC50" s="473"/>
      <c r="AD50" s="473"/>
      <c r="AE50" s="473"/>
      <c r="AF50" s="473"/>
      <c r="AG50" s="473"/>
      <c r="AH50" s="473"/>
      <c r="AI50" s="473"/>
      <c r="AJ50" s="473"/>
      <c r="AK50" s="473"/>
      <c r="AL50" s="473"/>
      <c r="AM50" s="473"/>
      <c r="AN50" s="473"/>
      <c r="AO50" s="473"/>
      <c r="AP50" s="473"/>
      <c r="AQ50" s="473"/>
      <c r="AR50" s="473"/>
      <c r="AS50" s="473"/>
      <c r="AT50" s="473"/>
      <c r="AU50" s="473"/>
      <c r="AV50" s="473"/>
      <c r="AW50" s="473"/>
      <c r="AX50" s="473"/>
      <c r="AY50" s="473"/>
      <c r="AZ50" s="473"/>
    </row>
    <row r="51" spans="2:52">
      <c r="B51" s="459"/>
      <c r="C51" s="459" t="s">
        <v>139</v>
      </c>
      <c r="D51" s="459" t="s">
        <v>140</v>
      </c>
      <c r="E51" s="459" t="s">
        <v>141</v>
      </c>
      <c r="F51" s="459" t="s">
        <v>142</v>
      </c>
      <c r="G51" s="459" t="s">
        <v>143</v>
      </c>
      <c r="H51" s="459" t="s">
        <v>144</v>
      </c>
      <c r="I51" s="459" t="s">
        <v>145</v>
      </c>
      <c r="J51" s="459" t="s">
        <v>146</v>
      </c>
      <c r="K51" s="459" t="s">
        <v>147</v>
      </c>
      <c r="L51" s="459" t="s">
        <v>148</v>
      </c>
      <c r="M51" s="459"/>
      <c r="N51" s="459"/>
      <c r="O51" s="459"/>
      <c r="P51" s="459" t="s">
        <v>399</v>
      </c>
      <c r="Q51" s="459" t="s">
        <v>139</v>
      </c>
      <c r="R51" s="459" t="s">
        <v>140</v>
      </c>
      <c r="S51" s="459" t="s">
        <v>141</v>
      </c>
      <c r="T51" s="459" t="s">
        <v>142</v>
      </c>
      <c r="U51" s="459" t="s">
        <v>143</v>
      </c>
      <c r="V51" s="459" t="s">
        <v>144</v>
      </c>
      <c r="W51" s="459" t="s">
        <v>145</v>
      </c>
      <c r="X51" s="459" t="s">
        <v>146</v>
      </c>
      <c r="Y51" s="459" t="s">
        <v>147</v>
      </c>
      <c r="Z51" s="459" t="s">
        <v>148</v>
      </c>
      <c r="AA51" s="499"/>
      <c r="AB51" s="473"/>
      <c r="AC51" s="473" t="s">
        <v>139</v>
      </c>
      <c r="AD51" s="473" t="s">
        <v>140</v>
      </c>
      <c r="AE51" s="473" t="s">
        <v>141</v>
      </c>
      <c r="AF51" s="473" t="s">
        <v>142</v>
      </c>
      <c r="AG51" s="473" t="s">
        <v>143</v>
      </c>
      <c r="AH51" s="473" t="s">
        <v>144</v>
      </c>
      <c r="AI51" s="473" t="s">
        <v>145</v>
      </c>
      <c r="AJ51" s="473" t="s">
        <v>146</v>
      </c>
      <c r="AK51" s="473" t="s">
        <v>147</v>
      </c>
      <c r="AL51" s="473" t="s">
        <v>148</v>
      </c>
      <c r="AM51" s="473"/>
      <c r="AN51" s="473"/>
      <c r="AO51" s="473"/>
      <c r="AP51" s="473" t="s">
        <v>399</v>
      </c>
      <c r="AQ51" s="473" t="s">
        <v>139</v>
      </c>
      <c r="AR51" s="473" t="s">
        <v>140</v>
      </c>
      <c r="AS51" s="473" t="s">
        <v>141</v>
      </c>
      <c r="AT51" s="473" t="s">
        <v>142</v>
      </c>
      <c r="AU51" s="473" t="s">
        <v>143</v>
      </c>
      <c r="AV51" s="473" t="s">
        <v>144</v>
      </c>
      <c r="AW51" s="473" t="s">
        <v>145</v>
      </c>
      <c r="AX51" s="473" t="s">
        <v>146</v>
      </c>
      <c r="AY51" s="473" t="s">
        <v>147</v>
      </c>
      <c r="AZ51" s="473" t="s">
        <v>148</v>
      </c>
    </row>
    <row r="52" spans="2:52">
      <c r="B52" s="459" t="s">
        <v>378</v>
      </c>
      <c r="C52" s="462">
        <v>0.04</v>
      </c>
      <c r="D52" s="462">
        <f ca="1">C52+_xlfn.NORM.DIST(RAND(), 0, 1, FALSE)%</f>
        <v>4.2987715468119671E-2</v>
      </c>
      <c r="E52" s="462">
        <f t="shared" ref="E52:L52" ca="1" si="195">D52+_xlfn.NORM.DIST(RAND(), 0, 1, FALSE)%</f>
        <v>4.6689427909006397E-2</v>
      </c>
      <c r="F52" s="462">
        <f t="shared" ca="1" si="195"/>
        <v>5.0428728699935782E-2</v>
      </c>
      <c r="G52" s="462">
        <f t="shared" ca="1" si="195"/>
        <v>5.3701775816876532E-2</v>
      </c>
      <c r="H52" s="462">
        <f t="shared" ca="1" si="195"/>
        <v>5.730186732743256E-2</v>
      </c>
      <c r="I52" s="462">
        <f t="shared" ca="1" si="195"/>
        <v>6.11967119768047E-2</v>
      </c>
      <c r="J52" s="462">
        <f t="shared" ca="1" si="195"/>
        <v>6.3726261623935049E-2</v>
      </c>
      <c r="K52" s="462">
        <f t="shared" ca="1" si="195"/>
        <v>6.7466773473283184E-2</v>
      </c>
      <c r="L52" s="462">
        <f t="shared" ca="1" si="195"/>
        <v>7.0120688399569683E-2</v>
      </c>
      <c r="M52" s="459"/>
      <c r="N52" s="459"/>
      <c r="O52" s="459"/>
      <c r="P52" s="459" t="s">
        <v>378</v>
      </c>
      <c r="Q52" s="461">
        <f>C38*Q38</f>
        <v>1540000</v>
      </c>
      <c r="R52" s="461">
        <f t="shared" ref="R52:R54" si="196">D38*R38</f>
        <v>1633632.0000000002</v>
      </c>
      <c r="S52" s="461">
        <f t="shared" ref="S52:S55" ca="1" si="197">E38*S38</f>
        <v>1737935.269747528</v>
      </c>
      <c r="T52" s="461">
        <f t="shared" ref="T52:T60" ca="1" si="198">F38*T38</f>
        <v>1855460.0426996234</v>
      </c>
      <c r="U52" s="461">
        <f t="shared" ref="U52:U60" ca="1" si="199">G38*U38</f>
        <v>1988009.104482624</v>
      </c>
      <c r="V52" s="461">
        <f t="shared" ref="V52:V60" ca="1" si="200">H38*V38</f>
        <v>2136664.0982081285</v>
      </c>
      <c r="W52" s="461">
        <f t="shared" ref="W52:W60" ca="1" si="201">I38*W38</f>
        <v>2304280.9197046775</v>
      </c>
      <c r="X52" s="461">
        <f t="shared" ref="X52:X60" ca="1" si="202">J38*X38</f>
        <v>2494201.2421707213</v>
      </c>
      <c r="Y52" s="461">
        <f t="shared" ref="Y52:Y60" ca="1" si="203">K38*Y38</f>
        <v>2706210.3103334778</v>
      </c>
      <c r="Z52" s="461">
        <f t="shared" ref="Z52:Z60" ca="1" si="204">L38*Z38</f>
        <v>2946565.3800780461</v>
      </c>
      <c r="AA52" s="499"/>
      <c r="AB52" s="473" t="s">
        <v>378</v>
      </c>
      <c r="AC52" s="477">
        <v>0.03</v>
      </c>
      <c r="AD52" s="477">
        <f ca="1">AC52+_xlfn.NORM.DIST(RAND(), 0, 1, FALSE)%</f>
        <v>3.286641224954745E-2</v>
      </c>
      <c r="AE52" s="477">
        <f t="shared" ref="AE52:AL52" ca="1" si="205">AD52+_xlfn.NORM.DIST(RAND(), 0, 1, FALSE)%</f>
        <v>3.6017322559839991E-2</v>
      </c>
      <c r="AF52" s="477">
        <f t="shared" ca="1" si="205"/>
        <v>3.9406091293458206E-2</v>
      </c>
      <c r="AG52" s="477">
        <f t="shared" ca="1" si="205"/>
        <v>4.2804460668401413E-2</v>
      </c>
      <c r="AH52" s="477">
        <f t="shared" ca="1" si="205"/>
        <v>4.6246124816079516E-2</v>
      </c>
      <c r="AI52" s="477">
        <f t="shared" ca="1" si="205"/>
        <v>4.890111470951549E-2</v>
      </c>
      <c r="AJ52" s="477">
        <f t="shared" ca="1" si="205"/>
        <v>5.2642961651526099E-2</v>
      </c>
      <c r="AK52" s="477">
        <f t="shared" ca="1" si="205"/>
        <v>5.5286511187739598E-2</v>
      </c>
      <c r="AL52" s="477">
        <f t="shared" ca="1" si="205"/>
        <v>5.9273887975720994E-2</v>
      </c>
      <c r="AM52" s="473"/>
      <c r="AN52" s="473"/>
      <c r="AO52" s="473"/>
      <c r="AP52" s="473" t="s">
        <v>378</v>
      </c>
      <c r="AQ52" s="475">
        <f>AC38*AQ38</f>
        <v>1540000</v>
      </c>
      <c r="AR52" s="475">
        <f t="shared" ref="AR52:AR54" si="206">AD38*AR38</f>
        <v>1636958.4000000001</v>
      </c>
      <c r="AS52" s="475">
        <f t="shared" ref="AS52:AS55" ca="1" si="207">AE38*AS38</f>
        <v>1744863.648797272</v>
      </c>
      <c r="AT52" s="475">
        <f t="shared" ref="AT52:AT60" ca="1" si="208">AF38*AT38</f>
        <v>1865555.6525600289</v>
      </c>
      <c r="AU52" s="475">
        <f t="shared" ref="AU52:AU60" ca="1" si="209">AG38*AU38</f>
        <v>2001120.1460032074</v>
      </c>
      <c r="AV52" s="475">
        <f t="shared" ref="AV52:AV60" ca="1" si="210">AH38*AV38</f>
        <v>2153553.8790522851</v>
      </c>
      <c r="AW52" s="475">
        <f t="shared" ref="AW52:AW60" ca="1" si="211">AI38*AW38</f>
        <v>2325248.1173584042</v>
      </c>
      <c r="AX52" s="475">
        <f t="shared" ref="AX52:AX60" ca="1" si="212">AJ38*AX38</f>
        <v>2517001.9132261826</v>
      </c>
      <c r="AY52" s="475">
        <f t="shared" ref="AY52:AY60" ca="1" si="213">AK38*AY38</f>
        <v>2734288.4875704367</v>
      </c>
      <c r="AZ52" s="475">
        <f t="shared" ref="AZ52:AZ60" ca="1" si="214">AL38*AZ38</f>
        <v>2977792.4069051356</v>
      </c>
    </row>
    <row r="53" spans="2:52">
      <c r="B53" s="459" t="s">
        <v>379</v>
      </c>
      <c r="C53" s="462">
        <v>0.03</v>
      </c>
      <c r="D53" s="462">
        <f t="shared" ref="D53:L53" ca="1" si="215">C53+_xlfn.NORM.DIST(RAND(), 0, 1, FALSE)%</f>
        <v>3.3678534186695176E-2</v>
      </c>
      <c r="E53" s="462">
        <f t="shared" ca="1" si="215"/>
        <v>3.7376921737347392E-2</v>
      </c>
      <c r="F53" s="462">
        <f t="shared" ca="1" si="215"/>
        <v>4.065572985234317E-2</v>
      </c>
      <c r="G53" s="462">
        <f t="shared" ca="1" si="215"/>
        <v>4.4186016076234971E-2</v>
      </c>
      <c r="H53" s="462">
        <f ca="1">G53+_xlfn.NORM.DIST(RAND(), 0, 1, FALSE)%</f>
        <v>4.8095982135631155E-2</v>
      </c>
      <c r="I53" s="462">
        <f t="shared" ref="I53:Q53" ca="1" si="216">H53+_xlfn.NORM.DIST(RAND(), 0, 1, FALSE)%</f>
        <v>5.1169488651846194E-2</v>
      </c>
      <c r="J53" s="462">
        <f t="shared" ca="1" si="216"/>
        <v>5.4491282659675642E-2</v>
      </c>
      <c r="K53" s="462">
        <f t="shared" ca="1" si="216"/>
        <v>5.8274354221451878E-2</v>
      </c>
      <c r="L53" s="462">
        <f t="shared" ca="1" si="216"/>
        <v>6.2058975554414822E-2</v>
      </c>
      <c r="M53" s="459"/>
      <c r="N53" s="459"/>
      <c r="O53" s="459"/>
      <c r="P53" s="459" t="s">
        <v>379</v>
      </c>
      <c r="Q53" s="461">
        <f>C39*Q39</f>
        <v>850000</v>
      </c>
      <c r="R53" s="461">
        <f t="shared" si="196"/>
        <v>893010</v>
      </c>
      <c r="S53" s="461">
        <f t="shared" ca="1" si="197"/>
        <v>941546.97317034181</v>
      </c>
      <c r="T53" s="461">
        <f t="shared" ca="1" si="198"/>
        <v>996273.88271253742</v>
      </c>
      <c r="U53" s="461">
        <f t="shared" ca="1" si="199"/>
        <v>1057513.6870379841</v>
      </c>
      <c r="V53" s="461">
        <f t="shared" ca="1" si="200"/>
        <v>1126325.8238905687</v>
      </c>
      <c r="W53" s="461">
        <f t="shared" ca="1" si="201"/>
        <v>1204107.5220072158</v>
      </c>
      <c r="X53" s="461">
        <f t="shared" ca="1" si="202"/>
        <v>1291035.5099539699</v>
      </c>
      <c r="Y53" s="461">
        <f t="shared" ca="1" si="203"/>
        <v>1388613.4046675614</v>
      </c>
      <c r="Z53" s="461">
        <f t="shared" ca="1" si="204"/>
        <v>1498924.6331695714</v>
      </c>
      <c r="AA53" s="499"/>
      <c r="AB53" s="473" t="s">
        <v>379</v>
      </c>
      <c r="AC53" s="477">
        <v>0.05</v>
      </c>
      <c r="AD53" s="477">
        <f t="shared" ref="AD53:AL53" ca="1" si="217">AC53+_xlfn.NORM.DIST(RAND(), 0, 1, FALSE)%</f>
        <v>5.3712953838322655E-2</v>
      </c>
      <c r="AE53" s="477">
        <f t="shared" ca="1" si="217"/>
        <v>5.7484487019949355E-2</v>
      </c>
      <c r="AF53" s="477">
        <f t="shared" ca="1" si="217"/>
        <v>6.0569851466694483E-2</v>
      </c>
      <c r="AG53" s="477">
        <f t="shared" ca="1" si="217"/>
        <v>6.3650763747426869E-2</v>
      </c>
      <c r="AH53" s="477">
        <f ca="1">AG53+_xlfn.NORM.DIST(RAND(), 0, 1, FALSE)%</f>
        <v>6.7167882829221662E-2</v>
      </c>
      <c r="AI53" s="477">
        <f t="shared" ref="AI53:AQ53" ca="1" si="218">AH53+_xlfn.NORM.DIST(RAND(), 0, 1, FALSE)%</f>
        <v>7.0898959891451271E-2</v>
      </c>
      <c r="AJ53" s="477">
        <f t="shared" ca="1" si="218"/>
        <v>7.4308851776492726E-2</v>
      </c>
      <c r="AK53" s="477">
        <f t="shared" ca="1" si="218"/>
        <v>7.8162304221608234E-2</v>
      </c>
      <c r="AL53" s="477">
        <f t="shared" ca="1" si="218"/>
        <v>8.0978935143618286E-2</v>
      </c>
      <c r="AM53" s="473"/>
      <c r="AN53" s="473"/>
      <c r="AO53" s="473"/>
      <c r="AP53" s="473" t="s">
        <v>379</v>
      </c>
      <c r="AQ53" s="475">
        <f>AC39*AQ39</f>
        <v>850000</v>
      </c>
      <c r="AR53" s="475">
        <f t="shared" si="206"/>
        <v>921060</v>
      </c>
      <c r="AS53" s="475">
        <f t="shared" ca="1" si="207"/>
        <v>1001589.9045667201</v>
      </c>
      <c r="AT53" s="475">
        <f t="shared" ca="1" si="208"/>
        <v>1093059.0916010214</v>
      </c>
      <c r="AU53" s="475">
        <f t="shared" ca="1" si="209"/>
        <v>1196362.0150131711</v>
      </c>
      <c r="AV53" s="475">
        <f t="shared" ca="1" si="210"/>
        <v>1313231.7348587594</v>
      </c>
      <c r="AW53" s="475">
        <f t="shared" ca="1" si="211"/>
        <v>1446284.769518276</v>
      </c>
      <c r="AX53" s="475">
        <f t="shared" ca="1" si="212"/>
        <v>1598387.250756256</v>
      </c>
      <c r="AY53" s="475">
        <f t="shared" ca="1" si="213"/>
        <v>1772110.7423598708</v>
      </c>
      <c r="AZ53" s="475">
        <f t="shared" ca="1" si="214"/>
        <v>1971762.9373607778</v>
      </c>
    </row>
    <row r="54" spans="2:52">
      <c r="B54" s="459" t="s">
        <v>297</v>
      </c>
      <c r="C54" s="462">
        <v>0.05</v>
      </c>
      <c r="D54" s="462">
        <f t="shared" ref="D54:L54" ca="1" si="219">C54+_xlfn.NORM.DIST(RAND(), 0, 1, FALSE)%</f>
        <v>5.3261516786232387E-2</v>
      </c>
      <c r="E54" s="462">
        <f t="shared" ca="1" si="219"/>
        <v>5.6910235017500727E-2</v>
      </c>
      <c r="F54" s="462">
        <f t="shared" ca="1" si="219"/>
        <v>6.0681606646525728E-2</v>
      </c>
      <c r="G54" s="462">
        <f t="shared" ca="1" si="219"/>
        <v>6.3310370699802748E-2</v>
      </c>
      <c r="H54" s="462">
        <f t="shared" ca="1" si="219"/>
        <v>6.590724241810203E-2</v>
      </c>
      <c r="I54" s="462">
        <f t="shared" ca="1" si="219"/>
        <v>6.9637135604900313E-2</v>
      </c>
      <c r="J54" s="462">
        <f t="shared" ca="1" si="219"/>
        <v>7.3245527061655116E-2</v>
      </c>
      <c r="K54" s="462">
        <f t="shared" ca="1" si="219"/>
        <v>7.7036701090605536E-2</v>
      </c>
      <c r="L54" s="462">
        <f t="shared" ca="1" si="219"/>
        <v>8.1025888919969161E-2</v>
      </c>
      <c r="M54" s="459"/>
      <c r="N54" s="459"/>
      <c r="O54" s="459"/>
      <c r="P54" s="459" t="s">
        <v>297</v>
      </c>
      <c r="Q54" s="461">
        <f>C40*Q40</f>
        <v>2540000</v>
      </c>
      <c r="R54" s="461">
        <f t="shared" si="196"/>
        <v>2720340</v>
      </c>
      <c r="S54" s="461">
        <f t="shared" ca="1" si="197"/>
        <v>2922534.023265745</v>
      </c>
      <c r="T54" s="461">
        <f t="shared" ca="1" si="198"/>
        <v>3150633.2438039696</v>
      </c>
      <c r="U54" s="461">
        <f t="shared" ca="1" si="199"/>
        <v>3408655.1056117881</v>
      </c>
      <c r="V54" s="461">
        <f t="shared" ca="1" si="200"/>
        <v>3696947.4904145631</v>
      </c>
      <c r="W54" s="461">
        <f t="shared" ca="1" si="201"/>
        <v>4019415.1669697557</v>
      </c>
      <c r="X54" s="461">
        <f t="shared" ca="1" si="202"/>
        <v>4385302.0405245107</v>
      </c>
      <c r="Y54" s="461">
        <f t="shared" ca="1" si="203"/>
        <v>4800635.9158034259</v>
      </c>
      <c r="Z54" s="461">
        <f t="shared" ca="1" si="204"/>
        <v>5273870.2912918795</v>
      </c>
      <c r="AA54" s="499"/>
      <c r="AB54" s="473" t="s">
        <v>297</v>
      </c>
      <c r="AC54" s="477">
        <v>0.03</v>
      </c>
      <c r="AD54" s="477">
        <f t="shared" ref="AD54:AL54" ca="1" si="220">AC54+_xlfn.NORM.DIST(RAND(), 0, 1, FALSE)%</f>
        <v>3.3622836800235249E-2</v>
      </c>
      <c r="AE54" s="477">
        <f t="shared" ca="1" si="220"/>
        <v>3.7495302131444093E-2</v>
      </c>
      <c r="AF54" s="477">
        <f t="shared" ca="1" si="220"/>
        <v>4.043269096050002E-2</v>
      </c>
      <c r="AG54" s="477">
        <f t="shared" ca="1" si="220"/>
        <v>4.3857445340317207E-2</v>
      </c>
      <c r="AH54" s="477">
        <f t="shared" ca="1" si="220"/>
        <v>4.7846787826737479E-2</v>
      </c>
      <c r="AI54" s="477">
        <f t="shared" ca="1" si="220"/>
        <v>5.035579113156189E-2</v>
      </c>
      <c r="AJ54" s="477">
        <f t="shared" ca="1" si="220"/>
        <v>5.432612684859519E-2</v>
      </c>
      <c r="AK54" s="477">
        <f t="shared" ca="1" si="220"/>
        <v>5.7758500491195387E-2</v>
      </c>
      <c r="AL54" s="477">
        <f t="shared" ca="1" si="220"/>
        <v>6.1676479903240648E-2</v>
      </c>
      <c r="AM54" s="473"/>
      <c r="AN54" s="473"/>
      <c r="AO54" s="473"/>
      <c r="AP54" s="473" t="s">
        <v>297</v>
      </c>
      <c r="AQ54" s="475">
        <f>AC40*AQ40</f>
        <v>2540000</v>
      </c>
      <c r="AR54" s="475">
        <f t="shared" si="206"/>
        <v>2699918.4000000004</v>
      </c>
      <c r="AS54" s="475">
        <f t="shared" ca="1" si="207"/>
        <v>2879999.6298407414</v>
      </c>
      <c r="AT54" s="475">
        <f t="shared" ca="1" si="208"/>
        <v>3083601.6408552695</v>
      </c>
      <c r="AU54" s="475">
        <f t="shared" ca="1" si="209"/>
        <v>3310944.9115427099</v>
      </c>
      <c r="AV54" s="475">
        <f t="shared" ca="1" si="210"/>
        <v>3566751.440930312</v>
      </c>
      <c r="AW54" s="475">
        <f t="shared" ca="1" si="211"/>
        <v>3857006.1296465816</v>
      </c>
      <c r="AX54" s="475">
        <f t="shared" ca="1" si="212"/>
        <v>4180868.0438947543</v>
      </c>
      <c r="AY54" s="475">
        <f t="shared" ca="1" si="213"/>
        <v>4549054.3607553262</v>
      </c>
      <c r="AZ54" s="475">
        <f t="shared" ca="1" si="214"/>
        <v>4965778.5487026228</v>
      </c>
    </row>
    <row r="55" spans="2:52">
      <c r="B55" s="459" t="s">
        <v>383</v>
      </c>
      <c r="C55" s="462">
        <v>0.05</v>
      </c>
      <c r="D55" s="462">
        <f t="shared" ref="D55:L55" ca="1" si="221">C55+_xlfn.NORM.DIST(RAND(), 0, 1, FALSE)%</f>
        <v>5.3856591053054154E-2</v>
      </c>
      <c r="E55" s="462">
        <f t="shared" ca="1" si="221"/>
        <v>5.7544939152651471E-2</v>
      </c>
      <c r="F55" s="462">
        <f t="shared" ca="1" si="221"/>
        <v>6.1200254607423718E-2</v>
      </c>
      <c r="G55" s="462">
        <f t="shared" ca="1" si="221"/>
        <v>6.5164550797175563E-2</v>
      </c>
      <c r="H55" s="462">
        <f t="shared" ca="1" si="221"/>
        <v>6.8143301065038325E-2</v>
      </c>
      <c r="I55" s="462">
        <f t="shared" ca="1" si="221"/>
        <v>7.2015241166474883E-2</v>
      </c>
      <c r="J55" s="462">
        <f t="shared" ca="1" si="221"/>
        <v>7.5672954392328406E-2</v>
      </c>
      <c r="K55" s="462">
        <f t="shared" ca="1" si="221"/>
        <v>7.8733280236472511E-2</v>
      </c>
      <c r="L55" s="462">
        <f t="shared" ca="1" si="221"/>
        <v>8.1454374371128554E-2</v>
      </c>
      <c r="M55" s="459"/>
      <c r="N55" s="459"/>
      <c r="O55" s="459"/>
      <c r="P55" s="459" t="s">
        <v>383</v>
      </c>
      <c r="Q55" s="459"/>
      <c r="R55" s="461">
        <f>D41*R41</f>
        <v>1905000</v>
      </c>
      <c r="S55" s="461">
        <f t="shared" ca="1" si="197"/>
        <v>2047748.7420751897</v>
      </c>
      <c r="T55" s="461">
        <f t="shared" ca="1" si="198"/>
        <v>2208898.0452145818</v>
      </c>
      <c r="U55" s="461">
        <f t="shared" ca="1" si="199"/>
        <v>2390964.8313432257</v>
      </c>
      <c r="V55" s="461">
        <f t="shared" ca="1" si="200"/>
        <v>2597706.4001605427</v>
      </c>
      <c r="W55" s="461">
        <f t="shared" ca="1" si="201"/>
        <v>2830217.1432545646</v>
      </c>
      <c r="X55" s="461">
        <f t="shared" ca="1" si="202"/>
        <v>3094716.6316471249</v>
      </c>
      <c r="Y55" s="461">
        <f t="shared" ca="1" si="203"/>
        <v>3395481.041814357</v>
      </c>
      <c r="Z55" s="461">
        <f t="shared" ca="1" si="204"/>
        <v>3736074.7702614991</v>
      </c>
      <c r="AA55" s="499"/>
      <c r="AB55" s="473" t="s">
        <v>383</v>
      </c>
      <c r="AC55" s="477">
        <v>0.04</v>
      </c>
      <c r="AD55" s="477">
        <f t="shared" ref="AD55:AL55" ca="1" si="222">AC55+_xlfn.NORM.DIST(RAND(), 0, 1, FALSE)%</f>
        <v>4.3804375787624625E-2</v>
      </c>
      <c r="AE55" s="477">
        <f t="shared" ca="1" si="222"/>
        <v>4.657564729165202E-2</v>
      </c>
      <c r="AF55" s="477">
        <f t="shared" ca="1" si="222"/>
        <v>5.0222795485966934E-2</v>
      </c>
      <c r="AG55" s="477">
        <f t="shared" ca="1" si="222"/>
        <v>5.3710329507390304E-2</v>
      </c>
      <c r="AH55" s="477">
        <f t="shared" ca="1" si="222"/>
        <v>5.6327474838304768E-2</v>
      </c>
      <c r="AI55" s="477">
        <f t="shared" ca="1" si="222"/>
        <v>5.9520778733103449E-2</v>
      </c>
      <c r="AJ55" s="477">
        <f t="shared" ca="1" si="222"/>
        <v>6.2177891365167541E-2</v>
      </c>
      <c r="AK55" s="477">
        <f t="shared" ca="1" si="222"/>
        <v>6.5823248716191315E-2</v>
      </c>
      <c r="AL55" s="477">
        <f t="shared" ca="1" si="222"/>
        <v>6.9781678951340645E-2</v>
      </c>
      <c r="AM55" s="473"/>
      <c r="AN55" s="473"/>
      <c r="AO55" s="473"/>
      <c r="AP55" s="473" t="s">
        <v>383</v>
      </c>
      <c r="AQ55" s="473"/>
      <c r="AR55" s="475">
        <f>AD41*AR41</f>
        <v>1905000</v>
      </c>
      <c r="AS55" s="475">
        <f t="shared" ca="1" si="207"/>
        <v>2052077.6506234382</v>
      </c>
      <c r="AT55" s="475">
        <f t="shared" ca="1" si="208"/>
        <v>2216379.439349764</v>
      </c>
      <c r="AU55" s="475">
        <f t="shared" ca="1" si="209"/>
        <v>2402178.3613923779</v>
      </c>
      <c r="AV55" s="475">
        <f t="shared" ca="1" si="210"/>
        <v>2612198.5576052708</v>
      </c>
      <c r="AW55" s="475">
        <f t="shared" ca="1" si="211"/>
        <v>2847635.8935276438</v>
      </c>
      <c r="AX55" s="475">
        <f t="shared" ca="1" si="212"/>
        <v>3113677.5402414254</v>
      </c>
      <c r="AY55" s="475">
        <f t="shared" ca="1" si="213"/>
        <v>3413112.3862954299</v>
      </c>
      <c r="AZ55" s="475">
        <f t="shared" ca="1" si="214"/>
        <v>3754183.3168123034</v>
      </c>
    </row>
    <row r="56" spans="2:52">
      <c r="B56" s="459" t="s">
        <v>312</v>
      </c>
      <c r="C56" s="462">
        <v>0.04</v>
      </c>
      <c r="D56" s="462">
        <f t="shared" ref="D56:L56" ca="1" si="223">C56+_xlfn.NORM.DIST(RAND(), 0, 1, FALSE)%</f>
        <v>4.3512685861476122E-2</v>
      </c>
      <c r="E56" s="462">
        <f t="shared" ca="1" si="223"/>
        <v>4.5966218567714476E-2</v>
      </c>
      <c r="F56" s="462">
        <f t="shared" ca="1" si="223"/>
        <v>4.9012621667007129E-2</v>
      </c>
      <c r="G56" s="462">
        <f t="shared" ca="1" si="223"/>
        <v>5.2654677149537449E-2</v>
      </c>
      <c r="H56" s="462">
        <f t="shared" ca="1" si="223"/>
        <v>5.6597127121842547E-2</v>
      </c>
      <c r="I56" s="462">
        <f t="shared" ca="1" si="223"/>
        <v>6.0586387981870223E-2</v>
      </c>
      <c r="J56" s="462">
        <f t="shared" ca="1" si="223"/>
        <v>6.3574506312403606E-2</v>
      </c>
      <c r="K56" s="462">
        <f ca="1">J56+_xlfn.NORM.DIST(RAND(), 0, 1, FALSE)%</f>
        <v>6.6361967909711286E-2</v>
      </c>
      <c r="L56" s="462">
        <f t="shared" ref="L56:T56" ca="1" si="224">K56+_xlfn.NORM.DIST(RAND(), 0, 1, FALSE)%</f>
        <v>6.9267065615957024E-2</v>
      </c>
      <c r="M56" s="459"/>
      <c r="N56" s="459"/>
      <c r="O56" s="459"/>
      <c r="P56" s="459" t="s">
        <v>312</v>
      </c>
      <c r="Q56" s="459"/>
      <c r="R56" s="459"/>
      <c r="S56" s="461">
        <f>E42*S42</f>
        <v>3180000</v>
      </c>
      <c r="T56" s="461">
        <f t="shared" ca="1" si="198"/>
        <v>3392696.0265462385</v>
      </c>
      <c r="U56" s="461">
        <f t="shared" ca="1" si="199"/>
        <v>3630160.5723930374</v>
      </c>
      <c r="V56" s="461">
        <f t="shared" ca="1" si="200"/>
        <v>3897731.6154400404</v>
      </c>
      <c r="W56" s="461">
        <f t="shared" ca="1" si="201"/>
        <v>4200698.6677092435</v>
      </c>
      <c r="X56" s="461">
        <f t="shared" ca="1" si="202"/>
        <v>4544307.9035257213</v>
      </c>
      <c r="Y56" s="461">
        <f t="shared" ca="1" si="203"/>
        <v>4929874.2357244017</v>
      </c>
      <c r="Z56" s="461">
        <f t="shared" ca="1" si="204"/>
        <v>5362170.999385546</v>
      </c>
      <c r="AA56" s="499"/>
      <c r="AB56" s="473" t="s">
        <v>312</v>
      </c>
      <c r="AC56" s="477">
        <v>7.0000000000000007E-2</v>
      </c>
      <c r="AD56" s="477">
        <f t="shared" ref="AD56:AL56" ca="1" si="225">AC56+_xlfn.NORM.DIST(RAND(), 0, 1, FALSE)%</f>
        <v>7.3923857314598482E-2</v>
      </c>
      <c r="AE56" s="477">
        <f t="shared" ca="1" si="225"/>
        <v>7.750101641191072E-2</v>
      </c>
      <c r="AF56" s="477">
        <f t="shared" ca="1" si="225"/>
        <v>8.1489145676342703E-2</v>
      </c>
      <c r="AG56" s="477">
        <f t="shared" ca="1" si="225"/>
        <v>8.5478527499783047E-2</v>
      </c>
      <c r="AH56" s="477">
        <f t="shared" ca="1" si="225"/>
        <v>8.8300560950897763E-2</v>
      </c>
      <c r="AI56" s="477">
        <f t="shared" ca="1" si="225"/>
        <v>9.2272203379070716E-2</v>
      </c>
      <c r="AJ56" s="477">
        <f t="shared" ca="1" si="225"/>
        <v>9.6261618234271179E-2</v>
      </c>
      <c r="AK56" s="477">
        <f ca="1">AJ56+_xlfn.NORM.DIST(RAND(), 0, 1, FALSE)%</f>
        <v>9.9921166610993511E-2</v>
      </c>
      <c r="AL56" s="477">
        <f t="shared" ref="AL56:AT60" ca="1" si="226">AK56+_xlfn.NORM.DIST(RAND(), 0, 1, FALSE)%</f>
        <v>0.10291166825151733</v>
      </c>
      <c r="AM56" s="473"/>
      <c r="AN56" s="473"/>
      <c r="AO56" s="473"/>
      <c r="AP56" s="473" t="s">
        <v>312</v>
      </c>
      <c r="AQ56" s="473"/>
      <c r="AR56" s="473"/>
      <c r="AS56" s="475">
        <f>AE42*AS42</f>
        <v>3180000</v>
      </c>
      <c r="AT56" s="475">
        <f t="shared" ca="1" si="208"/>
        <v>3536099.7356199524</v>
      </c>
      <c r="AU56" s="475">
        <f t="shared" ca="1" si="209"/>
        <v>3946629.5935292263</v>
      </c>
      <c r="AV56" s="475">
        <f t="shared" ca="1" si="210"/>
        <v>4421069.0935238497</v>
      </c>
      <c r="AW56" s="475">
        <f t="shared" ca="1" si="211"/>
        <v>4965418.4376681931</v>
      </c>
      <c r="AX56" s="475">
        <f t="shared" ca="1" si="212"/>
        <v>5597143.3708144501</v>
      </c>
      <c r="AY56" s="475">
        <f t="shared" ca="1" si="213"/>
        <v>6332283.3195519773</v>
      </c>
      <c r="AZ56" s="475">
        <f t="shared" ca="1" si="214"/>
        <v>7187892.8547498407</v>
      </c>
    </row>
    <row r="57" spans="2:52">
      <c r="B57" s="459" t="s">
        <v>392</v>
      </c>
      <c r="C57" s="462">
        <v>0</v>
      </c>
      <c r="D57" s="491">
        <f t="shared" ref="D57:L57" ca="1" si="227">C57+_xlfn.NORM.DIST(RAND(), 0, 1, FALSE)%</f>
        <v>3.8915442353363362E-3</v>
      </c>
      <c r="E57" s="491">
        <f t="shared" ca="1" si="227"/>
        <v>6.7730401446532452E-3</v>
      </c>
      <c r="F57" s="491">
        <f t="shared" ca="1" si="227"/>
        <v>1.0006862991764573E-2</v>
      </c>
      <c r="G57" s="491">
        <f t="shared" ca="1" si="227"/>
        <v>1.3816978379853835E-2</v>
      </c>
      <c r="H57" s="491">
        <f t="shared" ca="1" si="227"/>
        <v>1.7202640737845085E-2</v>
      </c>
      <c r="I57" s="491">
        <f t="shared" ca="1" si="227"/>
        <v>1.969809196752461E-2</v>
      </c>
      <c r="J57" s="491">
        <f t="shared" ca="1" si="227"/>
        <v>2.3430251049295449E-2</v>
      </c>
      <c r="K57" s="491">
        <f ca="1">J57+_xlfn.NORM.DIST(RAND(), 0, 1, FALSE)%</f>
        <v>2.7267148377778525E-2</v>
      </c>
      <c r="L57" s="491">
        <f t="shared" ref="L57" ca="1" si="228">K57+_xlfn.NORM.DIST(RAND(), 0, 1, FALSE)%</f>
        <v>3.0392190802920015E-2</v>
      </c>
      <c r="M57" s="459"/>
      <c r="N57" s="459"/>
      <c r="O57" s="459"/>
      <c r="P57" s="459" t="s">
        <v>392</v>
      </c>
      <c r="Q57" s="461">
        <f>C43*Q43</f>
        <v>0</v>
      </c>
      <c r="R57" s="461">
        <f t="shared" ref="R57:R60" si="229">D43*R43</f>
        <v>0</v>
      </c>
      <c r="S57" s="461">
        <f t="shared" ref="S57:S60" ca="1" si="230">E43*S43</f>
        <v>0</v>
      </c>
      <c r="T57" s="461">
        <f t="shared" ca="1" si="198"/>
        <v>0</v>
      </c>
      <c r="U57" s="461">
        <f t="shared" ca="1" si="199"/>
        <v>0</v>
      </c>
      <c r="V57" s="461">
        <f t="shared" ca="1" si="200"/>
        <v>0</v>
      </c>
      <c r="W57" s="461">
        <f t="shared" ca="1" si="201"/>
        <v>0</v>
      </c>
      <c r="X57" s="461">
        <f t="shared" ca="1" si="202"/>
        <v>0</v>
      </c>
      <c r="Y57" s="461">
        <f t="shared" ca="1" si="203"/>
        <v>0</v>
      </c>
      <c r="Z57" s="461">
        <f t="shared" ca="1" si="204"/>
        <v>0</v>
      </c>
      <c r="AA57" s="499"/>
      <c r="AB57" s="473" t="s">
        <v>392</v>
      </c>
      <c r="AC57" s="477">
        <v>0</v>
      </c>
      <c r="AD57" s="497">
        <f t="shared" ref="AD57:AL57" ca="1" si="231">AC57+_xlfn.NORM.DIST(RAND(), 0, 1, FALSE)%</f>
        <v>3.9704781481050147E-3</v>
      </c>
      <c r="AE57" s="497">
        <f t="shared" ca="1" si="231"/>
        <v>7.1893978539638815E-3</v>
      </c>
      <c r="AF57" s="497">
        <f t="shared" ca="1" si="231"/>
        <v>9.9157840692640671E-3</v>
      </c>
      <c r="AG57" s="497">
        <f t="shared" ca="1" si="231"/>
        <v>1.3131030214220948E-2</v>
      </c>
      <c r="AH57" s="497">
        <f t="shared" ca="1" si="231"/>
        <v>1.5641655249992299E-2</v>
      </c>
      <c r="AI57" s="497">
        <f t="shared" ca="1" si="231"/>
        <v>1.8772521649520073E-2</v>
      </c>
      <c r="AJ57" s="497">
        <f t="shared" ca="1" si="231"/>
        <v>2.2107050991638125E-2</v>
      </c>
      <c r="AK57" s="497">
        <f ca="1">AJ57+_xlfn.NORM.DIST(RAND(), 0, 1, FALSE)%</f>
        <v>2.4907888617639828E-2</v>
      </c>
      <c r="AL57" s="497">
        <f t="shared" ca="1" si="226"/>
        <v>2.8818707512582989E-2</v>
      </c>
      <c r="AM57" s="473"/>
      <c r="AN57" s="473"/>
      <c r="AO57" s="473"/>
      <c r="AP57" s="473" t="s">
        <v>392</v>
      </c>
      <c r="AQ57" s="475">
        <f>AC43*AQ43</f>
        <v>0</v>
      </c>
      <c r="AR57" s="475">
        <f t="shared" ref="AR57:AR60" si="232">AD43*AR43</f>
        <v>0</v>
      </c>
      <c r="AS57" s="475">
        <f t="shared" ref="AS57:AS60" ca="1" si="233">AE43*AS43</f>
        <v>0</v>
      </c>
      <c r="AT57" s="475">
        <f t="shared" ca="1" si="208"/>
        <v>0</v>
      </c>
      <c r="AU57" s="475">
        <f t="shared" ca="1" si="209"/>
        <v>0</v>
      </c>
      <c r="AV57" s="475">
        <f t="shared" ca="1" si="210"/>
        <v>0</v>
      </c>
      <c r="AW57" s="475">
        <f t="shared" ca="1" si="211"/>
        <v>0</v>
      </c>
      <c r="AX57" s="475">
        <f t="shared" ca="1" si="212"/>
        <v>0</v>
      </c>
      <c r="AY57" s="475">
        <f t="shared" ca="1" si="213"/>
        <v>0</v>
      </c>
      <c r="AZ57" s="475">
        <f t="shared" ca="1" si="214"/>
        <v>0</v>
      </c>
    </row>
    <row r="58" spans="2:52">
      <c r="B58" s="459" t="s">
        <v>393</v>
      </c>
      <c r="C58" s="462">
        <v>0</v>
      </c>
      <c r="D58" s="491">
        <f t="shared" ref="D58:L58" ca="1" si="234">C58+_xlfn.NORM.DIST(RAND(), 0, 1, FALSE)%</f>
        <v>3.9827968758128392E-3</v>
      </c>
      <c r="E58" s="491">
        <f t="shared" ca="1" si="234"/>
        <v>7.8242266062510737E-3</v>
      </c>
      <c r="F58" s="491">
        <f t="shared" ca="1" si="234"/>
        <v>1.1362389198687836E-2</v>
      </c>
      <c r="G58" s="491">
        <f t="shared" ca="1" si="234"/>
        <v>1.4424855886849766E-2</v>
      </c>
      <c r="H58" s="491">
        <f t="shared" ca="1" si="234"/>
        <v>1.7606915969534311E-2</v>
      </c>
      <c r="I58" s="491">
        <f t="shared" ca="1" si="234"/>
        <v>2.138322631939649E-2</v>
      </c>
      <c r="J58" s="491">
        <f t="shared" ca="1" si="234"/>
        <v>2.4972029080363126E-2</v>
      </c>
      <c r="K58" s="491">
        <f ca="1">J58+_xlfn.NORM.DIST(RAND(), 0, 1, FALSE)%</f>
        <v>2.7631096542471468E-2</v>
      </c>
      <c r="L58" s="491">
        <f t="shared" ref="L58" ca="1" si="235">K58+_xlfn.NORM.DIST(RAND(), 0, 1, FALSE)%</f>
        <v>3.1603230047471065E-2</v>
      </c>
      <c r="M58" s="459"/>
      <c r="N58" s="459"/>
      <c r="O58" s="459"/>
      <c r="P58" s="459" t="s">
        <v>393</v>
      </c>
      <c r="Q58" s="461">
        <f t="shared" ref="Q58:Q60" si="236">C44*Q44</f>
        <v>0</v>
      </c>
      <c r="R58" s="461">
        <f t="shared" si="229"/>
        <v>0</v>
      </c>
      <c r="S58" s="461">
        <f t="shared" si="230"/>
        <v>0</v>
      </c>
      <c r="T58" s="461">
        <f t="shared" si="198"/>
        <v>0</v>
      </c>
      <c r="U58" s="461">
        <f t="shared" si="199"/>
        <v>0</v>
      </c>
      <c r="V58" s="461">
        <f t="shared" si="200"/>
        <v>0</v>
      </c>
      <c r="W58" s="461">
        <f t="shared" si="201"/>
        <v>0</v>
      </c>
      <c r="X58" s="461">
        <f t="shared" si="202"/>
        <v>0</v>
      </c>
      <c r="Y58" s="461">
        <f t="shared" si="203"/>
        <v>0</v>
      </c>
      <c r="Z58" s="461">
        <f t="shared" si="204"/>
        <v>0</v>
      </c>
      <c r="AA58" s="499"/>
      <c r="AB58" s="473" t="s">
        <v>393</v>
      </c>
      <c r="AC58" s="477">
        <v>0</v>
      </c>
      <c r="AD58" s="497">
        <f t="shared" ref="AD58:AL58" ca="1" si="237">AC58+_xlfn.NORM.DIST(RAND(), 0, 1, FALSE)%</f>
        <v>3.3327563017485568E-3</v>
      </c>
      <c r="AE58" s="497">
        <f t="shared" ca="1" si="237"/>
        <v>7.1657118088840465E-3</v>
      </c>
      <c r="AF58" s="497">
        <f t="shared" ca="1" si="237"/>
        <v>1.0741540463205437E-2</v>
      </c>
      <c r="AG58" s="497">
        <f t="shared" ca="1" si="237"/>
        <v>1.4500203732233676E-2</v>
      </c>
      <c r="AH58" s="497">
        <f t="shared" ca="1" si="237"/>
        <v>1.7981331106610616E-2</v>
      </c>
      <c r="AI58" s="497">
        <f t="shared" ca="1" si="237"/>
        <v>2.1327432090105385E-2</v>
      </c>
      <c r="AJ58" s="497">
        <f t="shared" ca="1" si="237"/>
        <v>2.4991241047132792E-2</v>
      </c>
      <c r="AK58" s="497">
        <f ca="1">AJ58+_xlfn.NORM.DIST(RAND(), 0, 1, FALSE)%</f>
        <v>2.7833240947994269E-2</v>
      </c>
      <c r="AL58" s="497">
        <f t="shared" ca="1" si="226"/>
        <v>3.0949283724568625E-2</v>
      </c>
      <c r="AM58" s="473"/>
      <c r="AN58" s="473"/>
      <c r="AO58" s="473"/>
      <c r="AP58" s="473" t="s">
        <v>393</v>
      </c>
      <c r="AQ58" s="475">
        <f t="shared" ref="AQ58:AQ60" si="238">AC44*AQ44</f>
        <v>0</v>
      </c>
      <c r="AR58" s="475">
        <f t="shared" si="232"/>
        <v>0</v>
      </c>
      <c r="AS58" s="475">
        <f t="shared" si="233"/>
        <v>0</v>
      </c>
      <c r="AT58" s="475">
        <f t="shared" si="208"/>
        <v>0</v>
      </c>
      <c r="AU58" s="475">
        <f t="shared" si="209"/>
        <v>0</v>
      </c>
      <c r="AV58" s="475">
        <f t="shared" si="210"/>
        <v>0</v>
      </c>
      <c r="AW58" s="475">
        <f t="shared" si="211"/>
        <v>0</v>
      </c>
      <c r="AX58" s="475">
        <f t="shared" si="212"/>
        <v>0</v>
      </c>
      <c r="AY58" s="475">
        <f t="shared" si="213"/>
        <v>0</v>
      </c>
      <c r="AZ58" s="475">
        <f t="shared" si="214"/>
        <v>0</v>
      </c>
    </row>
    <row r="59" spans="2:52">
      <c r="B59" s="459" t="s">
        <v>394</v>
      </c>
      <c r="C59" s="462">
        <v>0</v>
      </c>
      <c r="D59" s="491">
        <f t="shared" ref="D59:L59" ca="1" si="239">C59+_xlfn.NORM.DIST(RAND(), 0, 1, FALSE)%</f>
        <v>2.8994747511554664E-3</v>
      </c>
      <c r="E59" s="491">
        <f t="shared" ca="1" si="239"/>
        <v>6.3357929125531908E-3</v>
      </c>
      <c r="F59" s="491">
        <f t="shared" ca="1" si="239"/>
        <v>1.0322822969651866E-2</v>
      </c>
      <c r="G59" s="491">
        <f t="shared" ca="1" si="239"/>
        <v>1.4312139706014089E-2</v>
      </c>
      <c r="H59" s="491">
        <f t="shared" ca="1" si="239"/>
        <v>1.6844040392536119E-2</v>
      </c>
      <c r="I59" s="491">
        <f t="shared" ca="1" si="239"/>
        <v>2.0831364726242769E-2</v>
      </c>
      <c r="J59" s="491">
        <f t="shared" ca="1" si="239"/>
        <v>2.3703682015243668E-2</v>
      </c>
      <c r="K59" s="491">
        <f ca="1">J59+_xlfn.NORM.DIST(RAND(), 0, 1, FALSE)%</f>
        <v>2.6493606038987278E-2</v>
      </c>
      <c r="L59" s="491">
        <f t="shared" ref="L59" ca="1" si="240">K59+_xlfn.NORM.DIST(RAND(), 0, 1, FALSE)%</f>
        <v>2.97870730743129E-2</v>
      </c>
      <c r="M59" s="459"/>
      <c r="N59" s="459"/>
      <c r="O59" s="459"/>
      <c r="P59" s="459" t="s">
        <v>394</v>
      </c>
      <c r="Q59" s="461">
        <f t="shared" si="236"/>
        <v>0</v>
      </c>
      <c r="R59" s="461">
        <f t="shared" si="229"/>
        <v>0</v>
      </c>
      <c r="S59" s="461">
        <f t="shared" ca="1" si="230"/>
        <v>0</v>
      </c>
      <c r="T59" s="461">
        <f t="shared" ca="1" si="198"/>
        <v>0</v>
      </c>
      <c r="U59" s="461">
        <f t="shared" ca="1" si="199"/>
        <v>0</v>
      </c>
      <c r="V59" s="461">
        <f t="shared" ca="1" si="200"/>
        <v>0</v>
      </c>
      <c r="W59" s="461">
        <f t="shared" ca="1" si="201"/>
        <v>0</v>
      </c>
      <c r="X59" s="461">
        <f t="shared" ca="1" si="202"/>
        <v>0</v>
      </c>
      <c r="Y59" s="461">
        <f t="shared" ca="1" si="203"/>
        <v>0</v>
      </c>
      <c r="Z59" s="461">
        <f t="shared" ca="1" si="204"/>
        <v>0</v>
      </c>
      <c r="AA59" s="499"/>
      <c r="AB59" s="473" t="s">
        <v>394</v>
      </c>
      <c r="AC59" s="477">
        <v>0</v>
      </c>
      <c r="AD59" s="497">
        <f t="shared" ref="AD59:AL59" ca="1" si="241">AC59+_xlfn.NORM.DIST(RAND(), 0, 1, FALSE)%</f>
        <v>3.9859041177170576E-3</v>
      </c>
      <c r="AE59" s="497">
        <f t="shared" ca="1" si="241"/>
        <v>7.8879251234634795E-3</v>
      </c>
      <c r="AF59" s="497">
        <f t="shared" ca="1" si="241"/>
        <v>1.1110842092834085E-2</v>
      </c>
      <c r="AG59" s="497">
        <f t="shared" ca="1" si="241"/>
        <v>1.4972993465202238E-2</v>
      </c>
      <c r="AH59" s="497">
        <f t="shared" ca="1" si="241"/>
        <v>1.896144686923322E-2</v>
      </c>
      <c r="AI59" s="497">
        <f t="shared" ca="1" si="241"/>
        <v>2.2716344161916084E-2</v>
      </c>
      <c r="AJ59" s="497">
        <f t="shared" ca="1" si="241"/>
        <v>2.5614064264185797E-2</v>
      </c>
      <c r="AK59" s="497">
        <f ca="1">AJ59+_xlfn.NORM.DIST(RAND(), 0, 1, FALSE)%</f>
        <v>2.9511770683215626E-2</v>
      </c>
      <c r="AL59" s="497">
        <f t="shared" ca="1" si="226"/>
        <v>3.3477657532048476E-2</v>
      </c>
      <c r="AM59" s="473"/>
      <c r="AN59" s="473"/>
      <c r="AO59" s="473"/>
      <c r="AP59" s="473" t="s">
        <v>394</v>
      </c>
      <c r="AQ59" s="475">
        <f t="shared" si="238"/>
        <v>0</v>
      </c>
      <c r="AR59" s="475">
        <f t="shared" si="232"/>
        <v>0</v>
      </c>
      <c r="AS59" s="475">
        <f t="shared" ca="1" si="233"/>
        <v>0</v>
      </c>
      <c r="AT59" s="475">
        <f t="shared" ca="1" si="208"/>
        <v>0</v>
      </c>
      <c r="AU59" s="475">
        <f t="shared" ca="1" si="209"/>
        <v>0</v>
      </c>
      <c r="AV59" s="475">
        <f t="shared" ca="1" si="210"/>
        <v>0</v>
      </c>
      <c r="AW59" s="475">
        <f t="shared" ca="1" si="211"/>
        <v>0</v>
      </c>
      <c r="AX59" s="475">
        <f t="shared" ca="1" si="212"/>
        <v>0</v>
      </c>
      <c r="AY59" s="475">
        <f t="shared" ca="1" si="213"/>
        <v>0</v>
      </c>
      <c r="AZ59" s="475">
        <f t="shared" ca="1" si="214"/>
        <v>0</v>
      </c>
    </row>
    <row r="60" spans="2:52">
      <c r="B60" s="459" t="s">
        <v>395</v>
      </c>
      <c r="C60" s="462">
        <v>0</v>
      </c>
      <c r="D60" s="491">
        <f t="shared" ref="D60:L60" ca="1" si="242">C60+_xlfn.NORM.DIST(RAND(), 0, 1, FALSE)%</f>
        <v>3.5936432178176941E-3</v>
      </c>
      <c r="E60" s="491">
        <f t="shared" ca="1" si="242"/>
        <v>7.1887116420941508E-3</v>
      </c>
      <c r="F60" s="491">
        <f t="shared" ca="1" si="242"/>
        <v>1.0780306643256996E-2</v>
      </c>
      <c r="G60" s="491">
        <f t="shared" ca="1" si="242"/>
        <v>1.3635708525865988E-2</v>
      </c>
      <c r="H60" s="491">
        <f t="shared" ca="1" si="242"/>
        <v>1.7591007118760243E-2</v>
      </c>
      <c r="I60" s="491">
        <f t="shared" ca="1" si="242"/>
        <v>2.1511976022872682E-2</v>
      </c>
      <c r="J60" s="491">
        <f t="shared" ca="1" si="242"/>
        <v>2.5496944488263177E-2</v>
      </c>
      <c r="K60" s="491">
        <f ca="1">J60+_xlfn.NORM.DIST(RAND(), 0, 1, FALSE)%</f>
        <v>2.9059562875150203E-2</v>
      </c>
      <c r="L60" s="491">
        <f t="shared" ref="L60" ca="1" si="243">K60+_xlfn.NORM.DIST(RAND(), 0, 1, FALSE)%</f>
        <v>3.2708639246346483E-2</v>
      </c>
      <c r="M60" s="459"/>
      <c r="N60" s="459"/>
      <c r="O60" s="459"/>
      <c r="P60" s="459" t="s">
        <v>395</v>
      </c>
      <c r="Q60" s="461">
        <f t="shared" si="236"/>
        <v>0</v>
      </c>
      <c r="R60" s="461">
        <f t="shared" si="229"/>
        <v>0</v>
      </c>
      <c r="S60" s="461">
        <f t="shared" ca="1" si="230"/>
        <v>0</v>
      </c>
      <c r="T60" s="461">
        <f t="shared" ca="1" si="198"/>
        <v>0</v>
      </c>
      <c r="U60" s="461">
        <f t="shared" ca="1" si="199"/>
        <v>0</v>
      </c>
      <c r="V60" s="461">
        <f t="shared" ca="1" si="200"/>
        <v>0</v>
      </c>
      <c r="W60" s="461">
        <f t="shared" ca="1" si="201"/>
        <v>0</v>
      </c>
      <c r="X60" s="461">
        <f t="shared" ca="1" si="202"/>
        <v>0</v>
      </c>
      <c r="Y60" s="461">
        <f t="shared" ca="1" si="203"/>
        <v>0</v>
      </c>
      <c r="Z60" s="461">
        <f t="shared" ca="1" si="204"/>
        <v>0</v>
      </c>
      <c r="AA60" s="499"/>
      <c r="AB60" s="473" t="s">
        <v>395</v>
      </c>
      <c r="AC60" s="477">
        <v>0</v>
      </c>
      <c r="AD60" s="497">
        <f t="shared" ref="AD60:AL60" ca="1" si="244">AC60+_xlfn.NORM.DIST(RAND(), 0, 1, FALSE)%</f>
        <v>3.5020033017237528E-3</v>
      </c>
      <c r="AE60" s="497">
        <f t="shared" ca="1" si="244"/>
        <v>7.0950259291889884E-3</v>
      </c>
      <c r="AF60" s="497">
        <f t="shared" ca="1" si="244"/>
        <v>1.1035666433581146E-2</v>
      </c>
      <c r="AG60" s="497">
        <f t="shared" ca="1" si="244"/>
        <v>1.4312697485736037E-2</v>
      </c>
      <c r="AH60" s="497">
        <f t="shared" ca="1" si="244"/>
        <v>1.6793859604128738E-2</v>
      </c>
      <c r="AI60" s="497">
        <f t="shared" ca="1" si="244"/>
        <v>1.9533788069165316E-2</v>
      </c>
      <c r="AJ60" s="497">
        <f t="shared" ca="1" si="244"/>
        <v>2.352220804929489E-2</v>
      </c>
      <c r="AK60" s="497">
        <f ca="1">AJ60+_xlfn.NORM.DIST(RAND(), 0, 1, FALSE)%</f>
        <v>2.6516503287743097E-2</v>
      </c>
      <c r="AL60" s="497">
        <f t="shared" ca="1" si="226"/>
        <v>3.0169223560257613E-2</v>
      </c>
      <c r="AM60" s="473"/>
      <c r="AN60" s="473"/>
      <c r="AO60" s="473"/>
      <c r="AP60" s="473" t="s">
        <v>395</v>
      </c>
      <c r="AQ60" s="475">
        <f t="shared" si="238"/>
        <v>0</v>
      </c>
      <c r="AR60" s="475">
        <f t="shared" si="232"/>
        <v>0</v>
      </c>
      <c r="AS60" s="475">
        <f t="shared" ca="1" si="233"/>
        <v>0</v>
      </c>
      <c r="AT60" s="475">
        <f t="shared" ca="1" si="208"/>
        <v>0</v>
      </c>
      <c r="AU60" s="475">
        <f t="shared" ca="1" si="209"/>
        <v>0</v>
      </c>
      <c r="AV60" s="475">
        <f t="shared" ca="1" si="210"/>
        <v>0</v>
      </c>
      <c r="AW60" s="475">
        <f t="shared" ca="1" si="211"/>
        <v>0</v>
      </c>
      <c r="AX60" s="475">
        <f t="shared" ca="1" si="212"/>
        <v>0</v>
      </c>
      <c r="AY60" s="475">
        <f t="shared" ca="1" si="213"/>
        <v>0</v>
      </c>
      <c r="AZ60" s="475">
        <f t="shared" ca="1" si="214"/>
        <v>0</v>
      </c>
    </row>
    <row r="61" spans="2:52">
      <c r="B61" s="459"/>
      <c r="C61" s="459"/>
      <c r="D61" s="459"/>
      <c r="E61" s="459"/>
      <c r="F61" s="459"/>
      <c r="G61" s="459"/>
      <c r="H61" s="459"/>
      <c r="I61" s="459"/>
      <c r="J61" s="459"/>
      <c r="K61" s="459"/>
      <c r="L61" s="459"/>
      <c r="M61" s="459"/>
      <c r="N61" s="459"/>
      <c r="O61" s="459"/>
      <c r="P61" s="459" t="s">
        <v>405</v>
      </c>
      <c r="Q61" s="461">
        <f>SUM(Q52:Q60)</f>
        <v>4930000</v>
      </c>
      <c r="R61" s="461">
        <f t="shared" ref="R61" si="245">SUM(R52:R60)</f>
        <v>7151982</v>
      </c>
      <c r="S61" s="461">
        <f t="shared" ref="S61" ca="1" si="246">SUM(S52:S60)</f>
        <v>10829765.008258805</v>
      </c>
      <c r="T61" s="461">
        <f t="shared" ref="T61" ca="1" si="247">SUM(T52:T60)</f>
        <v>11603961.24097695</v>
      </c>
      <c r="U61" s="461">
        <f t="shared" ref="U61" ca="1" si="248">SUM(U52:U60)</f>
        <v>12475303.30086866</v>
      </c>
      <c r="V61" s="461">
        <f t="shared" ref="V61" ca="1" si="249">SUM(V52:V60)</f>
        <v>13455375.428113844</v>
      </c>
      <c r="W61" s="461">
        <f t="shared" ref="W61" ca="1" si="250">SUM(W52:W60)</f>
        <v>14558719.419645458</v>
      </c>
      <c r="X61" s="461">
        <f t="shared" ref="X61" ca="1" si="251">SUM(X52:X60)</f>
        <v>15809563.327822048</v>
      </c>
      <c r="Y61" s="461">
        <f t="shared" ref="Y61" ca="1" si="252">SUM(Y52:Y60)</f>
        <v>17220814.908343222</v>
      </c>
      <c r="Z61" s="461">
        <f t="shared" ref="Z61" ca="1" si="253">SUM(Z52:Z60)</f>
        <v>18817606.074186545</v>
      </c>
      <c r="AA61" s="499"/>
      <c r="AB61" s="473"/>
      <c r="AC61" s="473"/>
      <c r="AD61" s="473"/>
      <c r="AE61" s="473"/>
      <c r="AF61" s="473"/>
      <c r="AG61" s="473"/>
      <c r="AH61" s="473"/>
      <c r="AI61" s="473"/>
      <c r="AJ61" s="473"/>
      <c r="AK61" s="473"/>
      <c r="AL61" s="473"/>
      <c r="AM61" s="473"/>
      <c r="AN61" s="473"/>
      <c r="AO61" s="473"/>
      <c r="AP61" s="473" t="s">
        <v>405</v>
      </c>
      <c r="AQ61" s="475">
        <f>SUM(AQ52:AQ60)</f>
        <v>4930000</v>
      </c>
      <c r="AR61" s="475">
        <f t="shared" ref="AR61" si="254">SUM(AR52:AR60)</f>
        <v>7162936.8000000007</v>
      </c>
      <c r="AS61" s="475">
        <f t="shared" ref="AS61" ca="1" si="255">SUM(AS52:AS60)</f>
        <v>10858530.83382817</v>
      </c>
      <c r="AT61" s="475">
        <f t="shared" ref="AT61" ca="1" si="256">SUM(AT52:AT60)</f>
        <v>11794695.559986036</v>
      </c>
      <c r="AU61" s="475">
        <f t="shared" ref="AU61" ca="1" si="257">SUM(AU52:AU60)</f>
        <v>12857235.027480694</v>
      </c>
      <c r="AV61" s="475">
        <f t="shared" ref="AV61" ca="1" si="258">SUM(AV52:AV60)</f>
        <v>14066804.705970477</v>
      </c>
      <c r="AW61" s="475">
        <f t="shared" ref="AW61" ca="1" si="259">SUM(AW52:AW60)</f>
        <v>15441593.347719099</v>
      </c>
      <c r="AX61" s="475">
        <f t="shared" ref="AX61" ca="1" si="260">SUM(AX52:AX60)</f>
        <v>17007078.118933067</v>
      </c>
      <c r="AY61" s="475">
        <f t="shared" ref="AY61" ca="1" si="261">SUM(AY52:AY60)</f>
        <v>18800849.296533041</v>
      </c>
      <c r="AZ61" s="475">
        <f t="shared" ref="AZ61" ca="1" si="262">SUM(AZ52:AZ60)</f>
        <v>20857410.064530678</v>
      </c>
    </row>
    <row r="62" spans="2:52">
      <c r="B62" s="499"/>
      <c r="C62" s="499"/>
      <c r="D62" s="499"/>
      <c r="E62" s="499"/>
      <c r="F62" s="499"/>
      <c r="G62" s="499"/>
      <c r="H62" s="499"/>
      <c r="I62" s="499"/>
      <c r="J62" s="499"/>
      <c r="K62" s="499"/>
      <c r="L62" s="499"/>
      <c r="M62" s="499"/>
      <c r="N62" s="499"/>
      <c r="O62" s="499"/>
      <c r="P62" s="499"/>
      <c r="Q62" s="499"/>
      <c r="R62" s="499"/>
      <c r="S62" s="499"/>
      <c r="T62" s="499"/>
      <c r="U62" s="499"/>
      <c r="V62" s="499"/>
      <c r="W62" s="499"/>
      <c r="X62" s="499"/>
      <c r="Y62" s="499"/>
      <c r="Z62" s="499"/>
      <c r="AA62" s="499"/>
      <c r="AB62" s="499"/>
      <c r="AC62" s="499"/>
      <c r="AD62" s="499"/>
      <c r="AE62" s="499"/>
      <c r="AF62" s="499"/>
      <c r="AG62" s="499"/>
      <c r="AH62" s="499"/>
      <c r="AI62" s="499"/>
      <c r="AJ62" s="499"/>
      <c r="AK62" s="499"/>
      <c r="AL62" s="499"/>
      <c r="AM62" s="499"/>
      <c r="AN62" s="499"/>
      <c r="AO62" s="499"/>
      <c r="AP62" s="499"/>
      <c r="AQ62" s="499"/>
      <c r="AR62" s="499"/>
      <c r="AS62" s="499"/>
      <c r="AT62" s="499"/>
      <c r="AU62" s="499"/>
      <c r="AV62" s="499"/>
      <c r="AW62" s="499"/>
      <c r="AX62" s="499"/>
      <c r="AY62" s="499"/>
      <c r="AZ62" s="499"/>
    </row>
    <row r="63" spans="2:52">
      <c r="B63" s="479" t="s">
        <v>396</v>
      </c>
      <c r="C63" s="480">
        <v>3.15E-2</v>
      </c>
      <c r="D63" s="480">
        <v>3.15E-2</v>
      </c>
      <c r="E63" s="480">
        <v>3.15E-2</v>
      </c>
      <c r="F63" s="480">
        <v>3.15E-2</v>
      </c>
      <c r="G63" s="480">
        <v>3.15E-2</v>
      </c>
      <c r="H63" s="480">
        <v>3.15E-2</v>
      </c>
      <c r="I63" s="480">
        <v>3.15E-2</v>
      </c>
      <c r="J63" s="480">
        <v>3.15E-2</v>
      </c>
      <c r="K63" s="480">
        <v>3.15E-2</v>
      </c>
      <c r="L63" s="480">
        <v>3.15E-2</v>
      </c>
      <c r="M63" s="479"/>
      <c r="N63" s="479"/>
      <c r="O63" s="479"/>
      <c r="P63" s="479"/>
      <c r="Q63" s="479"/>
      <c r="R63" s="479"/>
      <c r="S63" s="479"/>
      <c r="T63" s="479"/>
      <c r="U63" s="479"/>
      <c r="V63" s="479"/>
      <c r="W63" s="479"/>
      <c r="X63" s="479"/>
      <c r="Y63" s="479"/>
      <c r="Z63" s="479"/>
      <c r="AA63" s="499"/>
      <c r="AB63" s="485" t="s">
        <v>396</v>
      </c>
      <c r="AC63" s="486">
        <v>0.1</v>
      </c>
      <c r="AD63" s="486">
        <v>0.1</v>
      </c>
      <c r="AE63" s="486">
        <v>0.1</v>
      </c>
      <c r="AF63" s="486">
        <v>0.1</v>
      </c>
      <c r="AG63" s="486">
        <v>0.1</v>
      </c>
      <c r="AH63" s="486">
        <v>0.1</v>
      </c>
      <c r="AI63" s="486">
        <v>0.1</v>
      </c>
      <c r="AJ63" s="486">
        <v>0.1</v>
      </c>
      <c r="AK63" s="486">
        <v>0.1</v>
      </c>
      <c r="AL63" s="486">
        <v>0.1</v>
      </c>
      <c r="AM63" s="485"/>
      <c r="AN63" s="485"/>
      <c r="AO63" s="485"/>
      <c r="AP63" s="485"/>
      <c r="AQ63" s="485"/>
      <c r="AR63" s="485"/>
      <c r="AS63" s="485"/>
      <c r="AT63" s="485"/>
      <c r="AU63" s="485"/>
      <c r="AV63" s="485"/>
      <c r="AW63" s="485"/>
      <c r="AX63" s="485"/>
      <c r="AY63" s="485"/>
      <c r="AZ63" s="485"/>
    </row>
    <row r="64" spans="2:52"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  <c r="O64" s="479"/>
      <c r="P64" s="479"/>
      <c r="Q64" s="479"/>
      <c r="R64" s="479"/>
      <c r="S64" s="479"/>
      <c r="T64" s="479"/>
      <c r="U64" s="479"/>
      <c r="V64" s="479"/>
      <c r="W64" s="479"/>
      <c r="X64" s="479"/>
      <c r="Y64" s="479"/>
      <c r="Z64" s="479"/>
      <c r="AA64" s="499"/>
      <c r="AB64" s="485"/>
      <c r="AC64" s="485"/>
      <c r="AD64" s="485"/>
      <c r="AE64" s="485"/>
      <c r="AF64" s="485"/>
      <c r="AG64" s="485"/>
      <c r="AH64" s="485"/>
      <c r="AI64" s="485"/>
      <c r="AJ64" s="485"/>
      <c r="AK64" s="485"/>
      <c r="AL64" s="485"/>
      <c r="AM64" s="485"/>
      <c r="AN64" s="485"/>
      <c r="AO64" s="485"/>
      <c r="AP64" s="485"/>
      <c r="AQ64" s="485"/>
      <c r="AR64" s="485"/>
      <c r="AS64" s="485"/>
      <c r="AT64" s="485"/>
      <c r="AU64" s="485"/>
      <c r="AV64" s="485"/>
      <c r="AW64" s="485"/>
      <c r="AX64" s="485"/>
      <c r="AY64" s="485"/>
      <c r="AZ64" s="485"/>
    </row>
    <row r="65" spans="2:52">
      <c r="B65" s="479"/>
      <c r="C65" s="479"/>
      <c r="D65" s="479"/>
      <c r="E65" s="479"/>
      <c r="F65" s="479"/>
      <c r="G65" s="479"/>
      <c r="H65" s="479"/>
      <c r="I65" s="479"/>
      <c r="J65" s="479"/>
      <c r="K65" s="479"/>
      <c r="L65" s="479"/>
      <c r="M65" s="479"/>
      <c r="N65" s="479"/>
      <c r="O65" s="479"/>
      <c r="P65" s="479"/>
      <c r="Q65" s="479"/>
      <c r="R65" s="479"/>
      <c r="S65" s="479"/>
      <c r="T65" s="479"/>
      <c r="U65" s="479"/>
      <c r="V65" s="479"/>
      <c r="W65" s="479"/>
      <c r="X65" s="479"/>
      <c r="Y65" s="479"/>
      <c r="Z65" s="479"/>
      <c r="AA65" s="499"/>
      <c r="AB65" s="485"/>
      <c r="AC65" s="485"/>
      <c r="AD65" s="485"/>
      <c r="AE65" s="485"/>
      <c r="AF65" s="485"/>
      <c r="AG65" s="485"/>
      <c r="AH65" s="485"/>
      <c r="AI65" s="485"/>
      <c r="AJ65" s="485"/>
      <c r="AK65" s="485"/>
      <c r="AL65" s="485"/>
      <c r="AM65" s="485"/>
      <c r="AN65" s="485"/>
      <c r="AO65" s="485"/>
      <c r="AP65" s="485"/>
      <c r="AQ65" s="485"/>
      <c r="AR65" s="485"/>
      <c r="AS65" s="485"/>
      <c r="AT65" s="485"/>
      <c r="AU65" s="485"/>
      <c r="AV65" s="485"/>
      <c r="AW65" s="485"/>
      <c r="AX65" s="485"/>
      <c r="AY65" s="485"/>
      <c r="AZ65" s="485"/>
    </row>
    <row r="66" spans="2:52">
      <c r="B66" s="479"/>
      <c r="C66" s="479"/>
      <c r="D66" s="479"/>
      <c r="E66" s="479"/>
      <c r="F66" s="479"/>
      <c r="G66" s="479"/>
      <c r="H66" s="479"/>
      <c r="I66" s="479"/>
      <c r="J66" s="479"/>
      <c r="K66" s="479"/>
      <c r="L66" s="479"/>
      <c r="M66" s="479"/>
      <c r="N66" s="479"/>
      <c r="O66" s="479"/>
      <c r="P66" s="479"/>
      <c r="Q66" s="479"/>
      <c r="R66" s="479"/>
      <c r="S66" s="479"/>
      <c r="T66" s="479"/>
      <c r="U66" s="479"/>
      <c r="V66" s="479"/>
      <c r="W66" s="479"/>
      <c r="X66" s="479"/>
      <c r="Y66" s="479"/>
      <c r="Z66" s="479"/>
      <c r="AA66" s="499"/>
      <c r="AB66" s="485"/>
      <c r="AC66" s="485"/>
      <c r="AD66" s="485"/>
      <c r="AE66" s="485"/>
      <c r="AF66" s="485"/>
      <c r="AG66" s="485"/>
      <c r="AH66" s="485"/>
      <c r="AI66" s="485"/>
      <c r="AJ66" s="485"/>
      <c r="AK66" s="485"/>
      <c r="AL66" s="485"/>
      <c r="AM66" s="485"/>
      <c r="AN66" s="485"/>
      <c r="AO66" s="485"/>
      <c r="AP66" s="485"/>
      <c r="AQ66" s="485"/>
      <c r="AR66" s="485"/>
      <c r="AS66" s="485"/>
      <c r="AT66" s="485"/>
      <c r="AU66" s="485"/>
      <c r="AV66" s="485"/>
      <c r="AW66" s="485"/>
      <c r="AX66" s="485"/>
      <c r="AY66" s="485"/>
      <c r="AZ66" s="485"/>
    </row>
    <row r="67" spans="2:52">
      <c r="B67" s="479" t="s">
        <v>397</v>
      </c>
      <c r="C67" s="479" t="s">
        <v>139</v>
      </c>
      <c r="D67" s="479" t="s">
        <v>140</v>
      </c>
      <c r="E67" s="479" t="s">
        <v>141</v>
      </c>
      <c r="F67" s="479" t="s">
        <v>142</v>
      </c>
      <c r="G67" s="479" t="s">
        <v>143</v>
      </c>
      <c r="H67" s="479" t="s">
        <v>144</v>
      </c>
      <c r="I67" s="479" t="s">
        <v>145</v>
      </c>
      <c r="J67" s="479" t="s">
        <v>146</v>
      </c>
      <c r="K67" s="479" t="s">
        <v>147</v>
      </c>
      <c r="L67" s="479" t="s">
        <v>148</v>
      </c>
      <c r="M67" s="479"/>
      <c r="N67" s="479"/>
      <c r="O67" s="479"/>
      <c r="P67" s="479" t="s">
        <v>398</v>
      </c>
      <c r="Q67" s="479" t="s">
        <v>139</v>
      </c>
      <c r="R67" s="479" t="s">
        <v>140</v>
      </c>
      <c r="S67" s="479" t="s">
        <v>141</v>
      </c>
      <c r="T67" s="479" t="s">
        <v>142</v>
      </c>
      <c r="U67" s="479" t="s">
        <v>143</v>
      </c>
      <c r="V67" s="479" t="s">
        <v>144</v>
      </c>
      <c r="W67" s="479" t="s">
        <v>145</v>
      </c>
      <c r="X67" s="479" t="s">
        <v>146</v>
      </c>
      <c r="Y67" s="479" t="s">
        <v>147</v>
      </c>
      <c r="Z67" s="479" t="s">
        <v>148</v>
      </c>
      <c r="AA67" s="499"/>
      <c r="AB67" s="485" t="s">
        <v>397</v>
      </c>
      <c r="AC67" s="485" t="s">
        <v>139</v>
      </c>
      <c r="AD67" s="485" t="s">
        <v>140</v>
      </c>
      <c r="AE67" s="485" t="s">
        <v>141</v>
      </c>
      <c r="AF67" s="485" t="s">
        <v>142</v>
      </c>
      <c r="AG67" s="485" t="s">
        <v>143</v>
      </c>
      <c r="AH67" s="485" t="s">
        <v>144</v>
      </c>
      <c r="AI67" s="485" t="s">
        <v>145</v>
      </c>
      <c r="AJ67" s="485" t="s">
        <v>146</v>
      </c>
      <c r="AK67" s="485" t="s">
        <v>147</v>
      </c>
      <c r="AL67" s="485" t="s">
        <v>148</v>
      </c>
      <c r="AM67" s="485"/>
      <c r="AN67" s="485"/>
      <c r="AO67" s="485"/>
      <c r="AP67" s="485" t="s">
        <v>398</v>
      </c>
      <c r="AQ67" s="485" t="s">
        <v>139</v>
      </c>
      <c r="AR67" s="485" t="s">
        <v>140</v>
      </c>
      <c r="AS67" s="485" t="s">
        <v>141</v>
      </c>
      <c r="AT67" s="485" t="s">
        <v>142</v>
      </c>
      <c r="AU67" s="485" t="s">
        <v>143</v>
      </c>
      <c r="AV67" s="485" t="s">
        <v>144</v>
      </c>
      <c r="AW67" s="485" t="s">
        <v>145</v>
      </c>
      <c r="AX67" s="485" t="s">
        <v>146</v>
      </c>
      <c r="AY67" s="485" t="s">
        <v>147</v>
      </c>
      <c r="AZ67" s="485" t="s">
        <v>148</v>
      </c>
    </row>
    <row r="68" spans="2:52">
      <c r="B68" s="479" t="s">
        <v>378</v>
      </c>
      <c r="C68" s="481">
        <v>1000</v>
      </c>
      <c r="D68" s="481">
        <f>C68*(1+C63)</f>
        <v>1031.5</v>
      </c>
      <c r="E68" s="481">
        <f t="shared" ref="E68:L68" si="263">D68*(1+D63)</f>
        <v>1063.99225</v>
      </c>
      <c r="F68" s="481">
        <f t="shared" si="263"/>
        <v>1097.5080058750002</v>
      </c>
      <c r="G68" s="481">
        <f t="shared" si="263"/>
        <v>1132.0795080600628</v>
      </c>
      <c r="H68" s="481">
        <f t="shared" si="263"/>
        <v>1167.7400125639549</v>
      </c>
      <c r="I68" s="481">
        <f t="shared" si="263"/>
        <v>1204.5238229597196</v>
      </c>
      <c r="J68" s="481">
        <f t="shared" si="263"/>
        <v>1242.4663233829508</v>
      </c>
      <c r="K68" s="481">
        <f t="shared" si="263"/>
        <v>1281.6040125695138</v>
      </c>
      <c r="L68" s="481">
        <f t="shared" si="263"/>
        <v>1321.9745389654536</v>
      </c>
      <c r="M68" s="479"/>
      <c r="N68" s="479"/>
      <c r="O68" s="479"/>
      <c r="P68" s="479" t="s">
        <v>378</v>
      </c>
      <c r="Q68" s="482">
        <v>1540</v>
      </c>
      <c r="R68" s="482">
        <f>Q68*(1+C82)</f>
        <v>1617</v>
      </c>
      <c r="S68" s="482">
        <f t="shared" ref="S68:S70" ca="1" si="264">R68*(1+D82)</f>
        <v>1704.2624520226937</v>
      </c>
      <c r="T68" s="482">
        <f t="shared" ref="T68:T71" ca="1" si="265">S68*(1+E82)</f>
        <v>1802.4513008677027</v>
      </c>
      <c r="U68" s="482">
        <f t="shared" ref="U68:U72" ca="1" si="266">T68*(1+F82)</f>
        <v>1912.8388806260805</v>
      </c>
      <c r="V68" s="482">
        <f t="shared" ref="V68:V72" ca="1" si="267">U68*(1+G82)</f>
        <v>2035.3735074383985</v>
      </c>
      <c r="W68" s="482">
        <f t="shared" ref="W68:W72" ca="1" si="268">V68*(1+H82)</f>
        <v>2173.8582545443733</v>
      </c>
      <c r="X68" s="482">
        <f t="shared" ref="X68:X72" ca="1" si="269">W68*(1+I82)</f>
        <v>2327.0874438049341</v>
      </c>
      <c r="Y68" s="482">
        <f t="shared" ref="Y68:Y72" ca="1" si="270">X68*(1+J82)</f>
        <v>2498.5670405486603</v>
      </c>
      <c r="Z68" s="482">
        <f t="shared" ref="Z68:Z72" ca="1" si="271">Y68*(1+K82)</f>
        <v>2689.1251590745592</v>
      </c>
      <c r="AA68" s="499"/>
      <c r="AB68" s="485" t="s">
        <v>378</v>
      </c>
      <c r="AC68" s="487">
        <v>1000</v>
      </c>
      <c r="AD68" s="487">
        <f>AC68*(1+AC63)</f>
        <v>1100</v>
      </c>
      <c r="AE68" s="487">
        <f t="shared" ref="AE68:AL68" si="272">AD68*(1+AD63)</f>
        <v>1210</v>
      </c>
      <c r="AF68" s="487">
        <f t="shared" si="272"/>
        <v>1331</v>
      </c>
      <c r="AG68" s="487">
        <f t="shared" si="272"/>
        <v>1464.1000000000001</v>
      </c>
      <c r="AH68" s="487">
        <f t="shared" si="272"/>
        <v>1610.5100000000002</v>
      </c>
      <c r="AI68" s="487">
        <f t="shared" si="272"/>
        <v>1771.5610000000004</v>
      </c>
      <c r="AJ68" s="487">
        <f t="shared" si="272"/>
        <v>1948.7171000000005</v>
      </c>
      <c r="AK68" s="487">
        <f t="shared" si="272"/>
        <v>2143.5888100000006</v>
      </c>
      <c r="AL68" s="487">
        <f t="shared" si="272"/>
        <v>2357.9476910000008</v>
      </c>
      <c r="AM68" s="485"/>
      <c r="AN68" s="485"/>
      <c r="AO68" s="485"/>
      <c r="AP68" s="485" t="s">
        <v>378</v>
      </c>
      <c r="AQ68" s="488">
        <v>1540</v>
      </c>
      <c r="AR68" s="488">
        <f>AQ68*(1+AC82)</f>
        <v>1570.8</v>
      </c>
      <c r="AS68" s="488">
        <f t="shared" ref="AS68:AS70" ca="1" si="273">AR68*(1+AD82)</f>
        <v>1607.8823520411454</v>
      </c>
      <c r="AT68" s="488">
        <f t="shared" ref="AT68:AT71" ca="1" si="274">AS68*(1+AE82)</f>
        <v>1652.2391653685302</v>
      </c>
      <c r="AU68" s="488">
        <f t="shared" ref="AU68:AU72" ca="1" si="275">AT68*(1+AF82)</f>
        <v>1703.2257017121915</v>
      </c>
      <c r="AV68" s="488">
        <f t="shared" ref="AV68:AV72" ca="1" si="276">AU68*(1+AG82)</f>
        <v>1761.2311635535666</v>
      </c>
      <c r="AW68" s="488">
        <f t="shared" ref="AW68:AW72" ca="1" si="277">AV68*(1+AH82)</f>
        <v>1827.7553678237837</v>
      </c>
      <c r="AX68" s="488">
        <f t="shared" ref="AX68:AX72" ca="1" si="278">AW68*(1+AI82)</f>
        <v>1903.0354183187201</v>
      </c>
      <c r="AY68" s="488">
        <f t="shared" ref="AY68:AY72" ca="1" si="279">AX68*(1+AJ82)</f>
        <v>1988.618290726261</v>
      </c>
      <c r="AZ68" s="488">
        <f t="shared" ref="AZ68:AZ72" ca="1" si="280">AY68*(1+AK82)</f>
        <v>2085.578140123715</v>
      </c>
    </row>
    <row r="69" spans="2:52">
      <c r="B69" s="479" t="s">
        <v>379</v>
      </c>
      <c r="C69" s="481">
        <v>850</v>
      </c>
      <c r="D69" s="481">
        <f>C69*(1+C63)</f>
        <v>876.77500000000009</v>
      </c>
      <c r="E69" s="481">
        <f t="shared" ref="E69:L69" si="281">D69*(1+D63)</f>
        <v>904.39341250000018</v>
      </c>
      <c r="F69" s="481">
        <f t="shared" si="281"/>
        <v>932.88180499375028</v>
      </c>
      <c r="G69" s="481">
        <f t="shared" si="281"/>
        <v>962.26758185105348</v>
      </c>
      <c r="H69" s="481">
        <f t="shared" si="281"/>
        <v>992.57901067936177</v>
      </c>
      <c r="I69" s="481">
        <f t="shared" si="281"/>
        <v>1023.8452495157618</v>
      </c>
      <c r="J69" s="481">
        <f t="shared" si="281"/>
        <v>1056.0963748755084</v>
      </c>
      <c r="K69" s="481">
        <f t="shared" si="281"/>
        <v>1089.3634106840871</v>
      </c>
      <c r="L69" s="481">
        <f t="shared" si="281"/>
        <v>1123.6783581206359</v>
      </c>
      <c r="M69" s="479"/>
      <c r="N69" s="479"/>
      <c r="O69" s="479"/>
      <c r="P69" s="479" t="s">
        <v>379</v>
      </c>
      <c r="Q69" s="482">
        <v>1000</v>
      </c>
      <c r="R69" s="482">
        <f>Q69*(1+C83)</f>
        <v>1090</v>
      </c>
      <c r="S69" s="482">
        <f t="shared" ca="1" si="264"/>
        <v>1191.1959356331408</v>
      </c>
      <c r="T69" s="482">
        <f t="shared" ca="1" si="265"/>
        <v>1305.9317177424141</v>
      </c>
      <c r="U69" s="482">
        <f t="shared" ca="1" si="266"/>
        <v>1436.5096623890311</v>
      </c>
      <c r="V69" s="482">
        <f t="shared" ca="1" si="267"/>
        <v>1584.8665650360906</v>
      </c>
      <c r="W69" s="482">
        <f t="shared" ca="1" si="268"/>
        <v>1753.8254687767621</v>
      </c>
      <c r="X69" s="482">
        <f t="shared" ca="1" si="269"/>
        <v>1946.4182294275647</v>
      </c>
      <c r="Y69" s="482">
        <f t="shared" ca="1" si="270"/>
        <v>2166.5191574342721</v>
      </c>
      <c r="Z69" s="482">
        <f t="shared" ca="1" si="271"/>
        <v>2420.0830344564929</v>
      </c>
      <c r="AA69" s="499"/>
      <c r="AB69" s="485" t="s">
        <v>379</v>
      </c>
      <c r="AC69" s="487">
        <v>850</v>
      </c>
      <c r="AD69" s="487">
        <f>AC69*(1+AC63)</f>
        <v>935.00000000000011</v>
      </c>
      <c r="AE69" s="487">
        <f t="shared" ref="AE69:AL69" si="282">AD69*(1+AD63)</f>
        <v>1028.5000000000002</v>
      </c>
      <c r="AF69" s="487">
        <f t="shared" si="282"/>
        <v>1131.3500000000004</v>
      </c>
      <c r="AG69" s="487">
        <f t="shared" si="282"/>
        <v>1244.4850000000006</v>
      </c>
      <c r="AH69" s="487">
        <f t="shared" si="282"/>
        <v>1368.9335000000008</v>
      </c>
      <c r="AI69" s="487">
        <f t="shared" si="282"/>
        <v>1505.8268500000011</v>
      </c>
      <c r="AJ69" s="487">
        <f t="shared" si="282"/>
        <v>1656.4095350000014</v>
      </c>
      <c r="AK69" s="487">
        <f t="shared" si="282"/>
        <v>1822.0504885000016</v>
      </c>
      <c r="AL69" s="487">
        <f t="shared" si="282"/>
        <v>2004.255537350002</v>
      </c>
      <c r="AM69" s="485"/>
      <c r="AN69" s="485"/>
      <c r="AO69" s="485"/>
      <c r="AP69" s="485" t="s">
        <v>379</v>
      </c>
      <c r="AQ69" s="488">
        <v>1000</v>
      </c>
      <c r="AR69" s="488">
        <f>AQ69*(1+AC83)</f>
        <v>1040</v>
      </c>
      <c r="AS69" s="488">
        <f t="shared" ca="1" si="273"/>
        <v>1085.6936046138032</v>
      </c>
      <c r="AT69" s="488">
        <f t="shared" ca="1" si="274"/>
        <v>1136.9052465167426</v>
      </c>
      <c r="AU69" s="488">
        <f t="shared" ca="1" si="275"/>
        <v>1195.0667816133407</v>
      </c>
      <c r="AV69" s="488">
        <f t="shared" ca="1" si="276"/>
        <v>1260.9454809395329</v>
      </c>
      <c r="AW69" s="488">
        <f t="shared" ca="1" si="277"/>
        <v>1335.3681337947985</v>
      </c>
      <c r="AX69" s="488">
        <f t="shared" ca="1" si="278"/>
        <v>1418.5563898502655</v>
      </c>
      <c r="AY69" s="488">
        <f t="shared" ca="1" si="279"/>
        <v>1510.6515016404712</v>
      </c>
      <c r="AZ69" s="488">
        <f t="shared" ca="1" si="280"/>
        <v>1614.596164767135</v>
      </c>
    </row>
    <row r="70" spans="2:52">
      <c r="B70" s="479" t="s">
        <v>297</v>
      </c>
      <c r="C70" s="481">
        <v>2000</v>
      </c>
      <c r="D70" s="481">
        <f>C70*(1+C63)</f>
        <v>2063</v>
      </c>
      <c r="E70" s="481">
        <f t="shared" ref="E70:L70" si="283">D70*(1+D63)</f>
        <v>2127.9845</v>
      </c>
      <c r="F70" s="481">
        <f t="shared" si="283"/>
        <v>2195.0160117500004</v>
      </c>
      <c r="G70" s="481">
        <f t="shared" si="283"/>
        <v>2264.1590161201257</v>
      </c>
      <c r="H70" s="481">
        <f t="shared" si="283"/>
        <v>2335.4800251279098</v>
      </c>
      <c r="I70" s="481">
        <f t="shared" si="283"/>
        <v>2409.0476459194392</v>
      </c>
      <c r="J70" s="481">
        <f t="shared" si="283"/>
        <v>2484.9326467659016</v>
      </c>
      <c r="K70" s="481">
        <f t="shared" si="283"/>
        <v>2563.2080251390275</v>
      </c>
      <c r="L70" s="481">
        <f t="shared" si="283"/>
        <v>2643.9490779309072</v>
      </c>
      <c r="M70" s="479"/>
      <c r="N70" s="479"/>
      <c r="O70" s="479"/>
      <c r="P70" s="479" t="s">
        <v>297</v>
      </c>
      <c r="Q70" s="482">
        <v>1270</v>
      </c>
      <c r="R70" s="482">
        <f>Q70*(1+C84)</f>
        <v>1295.4000000000001</v>
      </c>
      <c r="S70" s="482">
        <f t="shared" ca="1" si="264"/>
        <v>1326.4013413926896</v>
      </c>
      <c r="T70" s="482">
        <f t="shared" ca="1" si="265"/>
        <v>1363.3469764577969</v>
      </c>
      <c r="U70" s="482">
        <f t="shared" ca="1" si="266"/>
        <v>1404.7826651310434</v>
      </c>
      <c r="V70" s="482">
        <f t="shared" ca="1" si="267"/>
        <v>1451.3758412922473</v>
      </c>
      <c r="W70" s="482">
        <f t="shared" ca="1" si="268"/>
        <v>1505.2581131428853</v>
      </c>
      <c r="X70" s="482">
        <f t="shared" ca="1" si="269"/>
        <v>1566.5501006813408</v>
      </c>
      <c r="Y70" s="482">
        <f t="shared" ca="1" si="270"/>
        <v>1636.2479719589298</v>
      </c>
      <c r="Z70" s="482">
        <f t="shared" ca="1" si="271"/>
        <v>1713.5780396316263</v>
      </c>
      <c r="AA70" s="499"/>
      <c r="AB70" s="485" t="s">
        <v>297</v>
      </c>
      <c r="AC70" s="487">
        <v>2000</v>
      </c>
      <c r="AD70" s="487">
        <f>AC70*(1+AC63)</f>
        <v>2200</v>
      </c>
      <c r="AE70" s="487">
        <f t="shared" ref="AE70:AL70" si="284">AD70*(1+AD63)</f>
        <v>2420</v>
      </c>
      <c r="AF70" s="487">
        <f t="shared" si="284"/>
        <v>2662</v>
      </c>
      <c r="AG70" s="487">
        <f t="shared" si="284"/>
        <v>2928.2000000000003</v>
      </c>
      <c r="AH70" s="487">
        <f t="shared" si="284"/>
        <v>3221.0200000000004</v>
      </c>
      <c r="AI70" s="487">
        <f t="shared" si="284"/>
        <v>3543.1220000000008</v>
      </c>
      <c r="AJ70" s="487">
        <f t="shared" si="284"/>
        <v>3897.4342000000011</v>
      </c>
      <c r="AK70" s="487">
        <f t="shared" si="284"/>
        <v>4287.1776200000013</v>
      </c>
      <c r="AL70" s="487">
        <f t="shared" si="284"/>
        <v>4715.8953820000015</v>
      </c>
      <c r="AM70" s="485"/>
      <c r="AN70" s="485"/>
      <c r="AO70" s="485"/>
      <c r="AP70" s="485" t="s">
        <v>297</v>
      </c>
      <c r="AQ70" s="488">
        <v>1270</v>
      </c>
      <c r="AR70" s="488">
        <f>AQ70*(1+AC84)</f>
        <v>1308.1000000000001</v>
      </c>
      <c r="AS70" s="488">
        <f t="shared" ca="1" si="273"/>
        <v>1350.5211744891449</v>
      </c>
      <c r="AT70" s="488">
        <f t="shared" ca="1" si="274"/>
        <v>1399.5847571807967</v>
      </c>
      <c r="AU70" s="488">
        <f t="shared" ca="1" si="275"/>
        <v>1455.9893905015274</v>
      </c>
      <c r="AV70" s="488">
        <f t="shared" ca="1" si="276"/>
        <v>1520.2770867770232</v>
      </c>
      <c r="AW70" s="488">
        <f t="shared" ca="1" si="277"/>
        <v>1592.5530038524498</v>
      </c>
      <c r="AX70" s="488">
        <f t="shared" ca="1" si="278"/>
        <v>1674.5251561670211</v>
      </c>
      <c r="AY70" s="488">
        <f t="shared" ca="1" si="279"/>
        <v>1766.1796501180656</v>
      </c>
      <c r="AZ70" s="488">
        <f t="shared" ca="1" si="280"/>
        <v>1869.8891127610887</v>
      </c>
    </row>
    <row r="71" spans="2:52">
      <c r="B71" s="479" t="s">
        <v>383</v>
      </c>
      <c r="C71" s="481"/>
      <c r="D71" s="481">
        <v>3000</v>
      </c>
      <c r="E71" s="481">
        <f>D71*(1+D63)</f>
        <v>3094.5000000000005</v>
      </c>
      <c r="F71" s="481">
        <f t="shared" ref="F71:L71" si="285">E71*(1+E63)</f>
        <v>3191.9767500000007</v>
      </c>
      <c r="G71" s="481">
        <f t="shared" si="285"/>
        <v>3292.5240176250009</v>
      </c>
      <c r="H71" s="481">
        <f t="shared" si="285"/>
        <v>3396.2385241801885</v>
      </c>
      <c r="I71" s="481">
        <f t="shared" si="285"/>
        <v>3503.2200376918649</v>
      </c>
      <c r="J71" s="481">
        <f t="shared" si="285"/>
        <v>3613.5714688791591</v>
      </c>
      <c r="K71" s="481">
        <f t="shared" si="285"/>
        <v>3727.3989701488526</v>
      </c>
      <c r="L71" s="481">
        <f t="shared" si="285"/>
        <v>3844.812037708542</v>
      </c>
      <c r="M71" s="479"/>
      <c r="N71" s="479"/>
      <c r="O71" s="479"/>
      <c r="P71" s="479" t="s">
        <v>383</v>
      </c>
      <c r="Q71" s="482"/>
      <c r="R71" s="482">
        <v>635</v>
      </c>
      <c r="S71" s="482">
        <f ca="1">R71*(1+D85)</f>
        <v>662.59892633346237</v>
      </c>
      <c r="T71" s="482">
        <f t="shared" ca="1" si="265"/>
        <v>693.68891429038513</v>
      </c>
      <c r="U71" s="482">
        <f t="shared" ca="1" si="266"/>
        <v>728.50397211012375</v>
      </c>
      <c r="V71" s="482">
        <f t="shared" ca="1" si="267"/>
        <v>767.30280967744284</v>
      </c>
      <c r="W71" s="482">
        <f t="shared" ca="1" si="268"/>
        <v>810.83503324835283</v>
      </c>
      <c r="X71" s="482">
        <f t="shared" ca="1" si="269"/>
        <v>859.9522520238703</v>
      </c>
      <c r="Y71" s="482">
        <f t="shared" ca="1" si="270"/>
        <v>915.14402777938869</v>
      </c>
      <c r="Z71" s="482">
        <f t="shared" ca="1" si="271"/>
        <v>977.34191002452064</v>
      </c>
      <c r="AA71" s="499"/>
      <c r="AB71" s="485" t="s">
        <v>383</v>
      </c>
      <c r="AC71" s="487"/>
      <c r="AD71" s="487">
        <v>3000</v>
      </c>
      <c r="AE71" s="487">
        <f>AD71*(1+AD63)</f>
        <v>3300.0000000000005</v>
      </c>
      <c r="AF71" s="487">
        <f t="shared" ref="AF71:AL71" si="286">AE71*(1+AE63)</f>
        <v>3630.0000000000009</v>
      </c>
      <c r="AG71" s="487">
        <f t="shared" si="286"/>
        <v>3993.0000000000014</v>
      </c>
      <c r="AH71" s="487">
        <f t="shared" si="286"/>
        <v>4392.300000000002</v>
      </c>
      <c r="AI71" s="487">
        <f t="shared" si="286"/>
        <v>4831.5300000000025</v>
      </c>
      <c r="AJ71" s="487">
        <f t="shared" si="286"/>
        <v>5314.6830000000027</v>
      </c>
      <c r="AK71" s="487">
        <f t="shared" si="286"/>
        <v>5846.1513000000032</v>
      </c>
      <c r="AL71" s="487">
        <f t="shared" si="286"/>
        <v>6430.7664300000042</v>
      </c>
      <c r="AM71" s="485"/>
      <c r="AN71" s="485"/>
      <c r="AO71" s="485"/>
      <c r="AP71" s="485" t="s">
        <v>383</v>
      </c>
      <c r="AQ71" s="488"/>
      <c r="AR71" s="488">
        <v>635</v>
      </c>
      <c r="AS71" s="488">
        <f ca="1">AR71*(1+AD85)</f>
        <v>662.75042199037432</v>
      </c>
      <c r="AT71" s="488">
        <f t="shared" ca="1" si="274"/>
        <v>694.33549605249016</v>
      </c>
      <c r="AU71" s="488">
        <f t="shared" ca="1" si="275"/>
        <v>730.11123056780843</v>
      </c>
      <c r="AV71" s="488">
        <f t="shared" ca="1" si="276"/>
        <v>769.50324520783397</v>
      </c>
      <c r="AW71" s="488">
        <f t="shared" ca="1" si="277"/>
        <v>813.40450144287388</v>
      </c>
      <c r="AX71" s="488">
        <f t="shared" ca="1" si="278"/>
        <v>862.37635601239447</v>
      </c>
      <c r="AY71" s="488">
        <f t="shared" ca="1" si="279"/>
        <v>917.33042292582263</v>
      </c>
      <c r="AZ71" s="488">
        <f t="shared" ca="1" si="280"/>
        <v>978.70524091314314</v>
      </c>
    </row>
    <row r="72" spans="2:52">
      <c r="B72" s="479" t="s">
        <v>312</v>
      </c>
      <c r="C72" s="481"/>
      <c r="D72" s="481"/>
      <c r="E72" s="481">
        <v>10000</v>
      </c>
      <c r="F72" s="481">
        <f>E72*(1+E63)</f>
        <v>10315</v>
      </c>
      <c r="G72" s="481">
        <f t="shared" ref="G72:L72" si="287">F72*(1+F63)</f>
        <v>10639.922500000001</v>
      </c>
      <c r="H72" s="481">
        <f t="shared" si="287"/>
        <v>10975.080058750002</v>
      </c>
      <c r="I72" s="481">
        <f t="shared" si="287"/>
        <v>11320.795080600628</v>
      </c>
      <c r="J72" s="481">
        <f t="shared" si="287"/>
        <v>11677.40012563955</v>
      </c>
      <c r="K72" s="481">
        <f t="shared" si="287"/>
        <v>12045.238229597197</v>
      </c>
      <c r="L72" s="481">
        <f t="shared" si="287"/>
        <v>12424.663233829509</v>
      </c>
      <c r="M72" s="479"/>
      <c r="N72" s="479"/>
      <c r="O72" s="479"/>
      <c r="P72" s="479" t="s">
        <v>312</v>
      </c>
      <c r="Q72" s="482"/>
      <c r="R72" s="482"/>
      <c r="S72" s="482">
        <v>318</v>
      </c>
      <c r="T72" s="482">
        <f ca="1">S72*(1+E86)</f>
        <v>333.08323568665759</v>
      </c>
      <c r="U72" s="482">
        <f t="shared" ca="1" si="266"/>
        <v>350.20482432778499</v>
      </c>
      <c r="V72" s="482">
        <f t="shared" ca="1" si="267"/>
        <v>369.50196972197983</v>
      </c>
      <c r="W72" s="482">
        <f t="shared" ca="1" si="268"/>
        <v>391.12560110308357</v>
      </c>
      <c r="X72" s="482">
        <f t="shared" ca="1" si="269"/>
        <v>415.40372781579254</v>
      </c>
      <c r="Y72" s="482">
        <f t="shared" ca="1" si="270"/>
        <v>442.479545272363</v>
      </c>
      <c r="Z72" s="482">
        <f t="shared" ca="1" si="271"/>
        <v>472.9631629279146</v>
      </c>
      <c r="AA72" s="499"/>
      <c r="AB72" s="485" t="s">
        <v>312</v>
      </c>
      <c r="AC72" s="487"/>
      <c r="AD72" s="487"/>
      <c r="AE72" s="487">
        <v>10000</v>
      </c>
      <c r="AF72" s="487">
        <f>AE72*(1+AE63)</f>
        <v>11000</v>
      </c>
      <c r="AG72" s="487">
        <f t="shared" ref="AG72:AL72" si="288">AF72*(1+AF63)</f>
        <v>12100.000000000002</v>
      </c>
      <c r="AH72" s="487">
        <f t="shared" si="288"/>
        <v>13310.000000000004</v>
      </c>
      <c r="AI72" s="487">
        <f t="shared" si="288"/>
        <v>14641.000000000005</v>
      </c>
      <c r="AJ72" s="487">
        <f t="shared" si="288"/>
        <v>16105.100000000008</v>
      </c>
      <c r="AK72" s="487">
        <f t="shared" si="288"/>
        <v>17715.610000000011</v>
      </c>
      <c r="AL72" s="487">
        <f t="shared" si="288"/>
        <v>19487.171000000013</v>
      </c>
      <c r="AM72" s="485"/>
      <c r="AN72" s="485"/>
      <c r="AO72" s="485"/>
      <c r="AP72" s="485" t="s">
        <v>312</v>
      </c>
      <c r="AQ72" s="488"/>
      <c r="AR72" s="488"/>
      <c r="AS72" s="488">
        <v>318</v>
      </c>
      <c r="AT72" s="488">
        <f ca="1">AS72*(1+AE86)</f>
        <v>323.15704936344827</v>
      </c>
      <c r="AU72" s="488">
        <f t="shared" ca="1" si="275"/>
        <v>329.41419190203175</v>
      </c>
      <c r="AV72" s="488">
        <f t="shared" ca="1" si="276"/>
        <v>337.08652113357977</v>
      </c>
      <c r="AW72" s="488">
        <f t="shared" ca="1" si="277"/>
        <v>346.14275642044504</v>
      </c>
      <c r="AX72" s="488">
        <f t="shared" ca="1" si="278"/>
        <v>356.76612909852025</v>
      </c>
      <c r="AY72" s="488">
        <f t="shared" ca="1" si="279"/>
        <v>369.13540029868216</v>
      </c>
      <c r="AZ72" s="488">
        <f t="shared" ca="1" si="280"/>
        <v>383.40071056378514</v>
      </c>
    </row>
    <row r="73" spans="2:52">
      <c r="B73" s="479" t="s">
        <v>392</v>
      </c>
      <c r="C73" s="481">
        <v>0</v>
      </c>
      <c r="D73" s="481">
        <f>C73*C63</f>
        <v>0</v>
      </c>
      <c r="E73" s="481">
        <f t="shared" ref="E73:L73" si="289">D73*D63</f>
        <v>0</v>
      </c>
      <c r="F73" s="481">
        <f t="shared" si="289"/>
        <v>0</v>
      </c>
      <c r="G73" s="481">
        <f t="shared" si="289"/>
        <v>0</v>
      </c>
      <c r="H73" s="481">
        <f t="shared" si="289"/>
        <v>0</v>
      </c>
      <c r="I73" s="481">
        <f t="shared" si="289"/>
        <v>0</v>
      </c>
      <c r="J73" s="481">
        <f t="shared" si="289"/>
        <v>0</v>
      </c>
      <c r="K73" s="481">
        <f t="shared" si="289"/>
        <v>0</v>
      </c>
      <c r="L73" s="481">
        <f t="shared" si="289"/>
        <v>0</v>
      </c>
      <c r="M73" s="479"/>
      <c r="N73" s="479"/>
      <c r="O73" s="479"/>
      <c r="P73" s="479" t="s">
        <v>392</v>
      </c>
      <c r="Q73" s="479">
        <v>0</v>
      </c>
      <c r="R73" s="479">
        <f>Q73*C87</f>
        <v>0</v>
      </c>
      <c r="S73" s="479">
        <f t="shared" ref="S73" ca="1" si="290">R73*D87</f>
        <v>0</v>
      </c>
      <c r="T73" s="479">
        <f t="shared" ref="T73" ca="1" si="291">S73*E87</f>
        <v>0</v>
      </c>
      <c r="U73" s="479">
        <f t="shared" ref="U73" ca="1" si="292">T73*F87</f>
        <v>0</v>
      </c>
      <c r="V73" s="479">
        <f t="shared" ref="V73" ca="1" si="293">U73*G87</f>
        <v>0</v>
      </c>
      <c r="W73" s="479">
        <f t="shared" ref="W73" ca="1" si="294">V73*H87</f>
        <v>0</v>
      </c>
      <c r="X73" s="479">
        <f t="shared" ref="X73" ca="1" si="295">W73*I87</f>
        <v>0</v>
      </c>
      <c r="Y73" s="479">
        <f t="shared" ref="Y73" ca="1" si="296">X73*J87</f>
        <v>0</v>
      </c>
      <c r="Z73" s="479">
        <f t="shared" ref="Z73" ca="1" si="297">Y73*K87</f>
        <v>0</v>
      </c>
      <c r="AA73" s="499"/>
      <c r="AB73" s="485" t="s">
        <v>392</v>
      </c>
      <c r="AC73" s="487">
        <v>0</v>
      </c>
      <c r="AD73" s="487">
        <f>AC73*AC63</f>
        <v>0</v>
      </c>
      <c r="AE73" s="487">
        <f t="shared" ref="AE73:AL73" si="298">AD73*AD63</f>
        <v>0</v>
      </c>
      <c r="AF73" s="487">
        <f t="shared" si="298"/>
        <v>0</v>
      </c>
      <c r="AG73" s="487">
        <f t="shared" si="298"/>
        <v>0</v>
      </c>
      <c r="AH73" s="487">
        <f t="shared" si="298"/>
        <v>0</v>
      </c>
      <c r="AI73" s="487">
        <f t="shared" si="298"/>
        <v>0</v>
      </c>
      <c r="AJ73" s="487">
        <f t="shared" si="298"/>
        <v>0</v>
      </c>
      <c r="AK73" s="487">
        <f t="shared" si="298"/>
        <v>0</v>
      </c>
      <c r="AL73" s="487">
        <f t="shared" si="298"/>
        <v>0</v>
      </c>
      <c r="AM73" s="485"/>
      <c r="AN73" s="485"/>
      <c r="AO73" s="485"/>
      <c r="AP73" s="485" t="s">
        <v>392</v>
      </c>
      <c r="AQ73" s="485">
        <v>0</v>
      </c>
      <c r="AR73" s="485">
        <f>AQ73*AC87</f>
        <v>0</v>
      </c>
      <c r="AS73" s="485">
        <f t="shared" ref="AS73" ca="1" si="299">AR73*AD87</f>
        <v>0</v>
      </c>
      <c r="AT73" s="485">
        <f t="shared" ref="AT73" ca="1" si="300">AS73*AE87</f>
        <v>0</v>
      </c>
      <c r="AU73" s="485">
        <f t="shared" ref="AU73" ca="1" si="301">AT73*AF87</f>
        <v>0</v>
      </c>
      <c r="AV73" s="485">
        <f t="shared" ref="AV73" ca="1" si="302">AU73*AG87</f>
        <v>0</v>
      </c>
      <c r="AW73" s="485">
        <f t="shared" ref="AW73" ca="1" si="303">AV73*AH87</f>
        <v>0</v>
      </c>
      <c r="AX73" s="485">
        <f t="shared" ref="AX73" ca="1" si="304">AW73*AI87</f>
        <v>0</v>
      </c>
      <c r="AY73" s="485">
        <f t="shared" ref="AY73" ca="1" si="305">AX73*AJ87</f>
        <v>0</v>
      </c>
      <c r="AZ73" s="485">
        <f t="shared" ref="AZ73" ca="1" si="306">AY73*AK87</f>
        <v>0</v>
      </c>
    </row>
    <row r="74" spans="2:52">
      <c r="B74" s="479" t="s">
        <v>393</v>
      </c>
      <c r="C74" s="481">
        <v>0</v>
      </c>
      <c r="D74" s="481">
        <f>C74*C63</f>
        <v>0</v>
      </c>
      <c r="E74" s="481">
        <f t="shared" ref="E74:L74" si="307">D74*D63</f>
        <v>0</v>
      </c>
      <c r="F74" s="481">
        <f t="shared" si="307"/>
        <v>0</v>
      </c>
      <c r="G74" s="481">
        <f t="shared" si="307"/>
        <v>0</v>
      </c>
      <c r="H74" s="481">
        <f t="shared" si="307"/>
        <v>0</v>
      </c>
      <c r="I74" s="481">
        <f t="shared" si="307"/>
        <v>0</v>
      </c>
      <c r="J74" s="481">
        <f t="shared" si="307"/>
        <v>0</v>
      </c>
      <c r="K74" s="481">
        <f t="shared" si="307"/>
        <v>0</v>
      </c>
      <c r="L74" s="481">
        <f t="shared" si="307"/>
        <v>0</v>
      </c>
      <c r="M74" s="479"/>
      <c r="N74" s="479"/>
      <c r="O74" s="479"/>
      <c r="P74" s="479" t="s">
        <v>393</v>
      </c>
      <c r="Q74" s="479">
        <v>0</v>
      </c>
      <c r="R74" s="479">
        <v>0</v>
      </c>
      <c r="S74" s="479">
        <v>0</v>
      </c>
      <c r="T74" s="479">
        <v>0</v>
      </c>
      <c r="U74" s="479">
        <v>0</v>
      </c>
      <c r="V74" s="479">
        <v>0</v>
      </c>
      <c r="W74" s="479">
        <v>0</v>
      </c>
      <c r="X74" s="479">
        <v>0</v>
      </c>
      <c r="Y74" s="479">
        <v>0</v>
      </c>
      <c r="Z74" s="479">
        <v>0</v>
      </c>
      <c r="AA74" s="499"/>
      <c r="AB74" s="485" t="s">
        <v>393</v>
      </c>
      <c r="AC74" s="487">
        <v>0</v>
      </c>
      <c r="AD74" s="487">
        <f>AC74*AC63</f>
        <v>0</v>
      </c>
      <c r="AE74" s="487">
        <f t="shared" ref="AE74:AL74" si="308">AD74*AD63</f>
        <v>0</v>
      </c>
      <c r="AF74" s="487">
        <f t="shared" si="308"/>
        <v>0</v>
      </c>
      <c r="AG74" s="487">
        <f t="shared" si="308"/>
        <v>0</v>
      </c>
      <c r="AH74" s="487">
        <f t="shared" si="308"/>
        <v>0</v>
      </c>
      <c r="AI74" s="487">
        <f t="shared" si="308"/>
        <v>0</v>
      </c>
      <c r="AJ74" s="487">
        <f t="shared" si="308"/>
        <v>0</v>
      </c>
      <c r="AK74" s="487">
        <f t="shared" si="308"/>
        <v>0</v>
      </c>
      <c r="AL74" s="487">
        <f t="shared" si="308"/>
        <v>0</v>
      </c>
      <c r="AM74" s="485"/>
      <c r="AN74" s="485"/>
      <c r="AO74" s="485"/>
      <c r="AP74" s="485" t="s">
        <v>393</v>
      </c>
      <c r="AQ74" s="485">
        <v>0</v>
      </c>
      <c r="AR74" s="485">
        <v>0</v>
      </c>
      <c r="AS74" s="485">
        <v>0</v>
      </c>
      <c r="AT74" s="485">
        <v>0</v>
      </c>
      <c r="AU74" s="485">
        <v>0</v>
      </c>
      <c r="AV74" s="485">
        <v>0</v>
      </c>
      <c r="AW74" s="485">
        <v>0</v>
      </c>
      <c r="AX74" s="485">
        <v>0</v>
      </c>
      <c r="AY74" s="485">
        <v>0</v>
      </c>
      <c r="AZ74" s="485">
        <v>0</v>
      </c>
    </row>
    <row r="75" spans="2:52">
      <c r="B75" s="479" t="s">
        <v>394</v>
      </c>
      <c r="C75" s="481">
        <v>0</v>
      </c>
      <c r="D75" s="481">
        <f>C75*C63</f>
        <v>0</v>
      </c>
      <c r="E75" s="481">
        <f t="shared" ref="E75:L75" si="309">D75*D63</f>
        <v>0</v>
      </c>
      <c r="F75" s="481">
        <f t="shared" si="309"/>
        <v>0</v>
      </c>
      <c r="G75" s="481">
        <f t="shared" si="309"/>
        <v>0</v>
      </c>
      <c r="H75" s="481">
        <f t="shared" si="309"/>
        <v>0</v>
      </c>
      <c r="I75" s="481">
        <f t="shared" si="309"/>
        <v>0</v>
      </c>
      <c r="J75" s="481">
        <f t="shared" si="309"/>
        <v>0</v>
      </c>
      <c r="K75" s="481">
        <f t="shared" si="309"/>
        <v>0</v>
      </c>
      <c r="L75" s="481">
        <f t="shared" si="309"/>
        <v>0</v>
      </c>
      <c r="M75" s="479"/>
      <c r="N75" s="479"/>
      <c r="O75" s="479"/>
      <c r="P75" s="479" t="s">
        <v>394</v>
      </c>
      <c r="Q75" s="479">
        <v>0</v>
      </c>
      <c r="R75" s="479">
        <f>Q75*C88</f>
        <v>0</v>
      </c>
      <c r="S75" s="479">
        <f t="shared" ref="S75" ca="1" si="310">R75*D88</f>
        <v>0</v>
      </c>
      <c r="T75" s="479">
        <f t="shared" ref="T75" ca="1" si="311">S75*E88</f>
        <v>0</v>
      </c>
      <c r="U75" s="479">
        <f t="shared" ref="U75" ca="1" si="312">T75*F88</f>
        <v>0</v>
      </c>
      <c r="V75" s="479">
        <f t="shared" ref="V75" ca="1" si="313">U75*G88</f>
        <v>0</v>
      </c>
      <c r="W75" s="479">
        <f t="shared" ref="W75" ca="1" si="314">V75*H88</f>
        <v>0</v>
      </c>
      <c r="X75" s="479">
        <f t="shared" ref="X75" ca="1" si="315">W75*I88</f>
        <v>0</v>
      </c>
      <c r="Y75" s="479">
        <f t="shared" ref="Y75" ca="1" si="316">X75*J88</f>
        <v>0</v>
      </c>
      <c r="Z75" s="479">
        <f t="shared" ref="Z75" ca="1" si="317">Y75*K88</f>
        <v>0</v>
      </c>
      <c r="AA75" s="499"/>
      <c r="AB75" s="485" t="s">
        <v>394</v>
      </c>
      <c r="AC75" s="487">
        <v>0</v>
      </c>
      <c r="AD75" s="487">
        <f>AC75*AC63</f>
        <v>0</v>
      </c>
      <c r="AE75" s="487">
        <f t="shared" ref="AE75:AL75" si="318">AD75*AD63</f>
        <v>0</v>
      </c>
      <c r="AF75" s="487">
        <f t="shared" si="318"/>
        <v>0</v>
      </c>
      <c r="AG75" s="487">
        <f t="shared" si="318"/>
        <v>0</v>
      </c>
      <c r="AH75" s="487">
        <f t="shared" si="318"/>
        <v>0</v>
      </c>
      <c r="AI75" s="487">
        <f t="shared" si="318"/>
        <v>0</v>
      </c>
      <c r="AJ75" s="487">
        <f t="shared" si="318"/>
        <v>0</v>
      </c>
      <c r="AK75" s="487">
        <f t="shared" si="318"/>
        <v>0</v>
      </c>
      <c r="AL75" s="487">
        <f t="shared" si="318"/>
        <v>0</v>
      </c>
      <c r="AM75" s="485"/>
      <c r="AN75" s="485"/>
      <c r="AO75" s="485"/>
      <c r="AP75" s="485" t="s">
        <v>394</v>
      </c>
      <c r="AQ75" s="485">
        <v>0</v>
      </c>
      <c r="AR75" s="485">
        <f>AQ75*AC88</f>
        <v>0</v>
      </c>
      <c r="AS75" s="485">
        <f t="shared" ref="AS75" ca="1" si="319">AR75*AD88</f>
        <v>0</v>
      </c>
      <c r="AT75" s="485">
        <f t="shared" ref="AT75" ca="1" si="320">AS75*AE88</f>
        <v>0</v>
      </c>
      <c r="AU75" s="485">
        <f t="shared" ref="AU75" ca="1" si="321">AT75*AF88</f>
        <v>0</v>
      </c>
      <c r="AV75" s="485">
        <f t="shared" ref="AV75" ca="1" si="322">AU75*AG88</f>
        <v>0</v>
      </c>
      <c r="AW75" s="485">
        <f t="shared" ref="AW75" ca="1" si="323">AV75*AH88</f>
        <v>0</v>
      </c>
      <c r="AX75" s="485">
        <f t="shared" ref="AX75" ca="1" si="324">AW75*AI88</f>
        <v>0</v>
      </c>
      <c r="AY75" s="485">
        <f t="shared" ref="AY75" ca="1" si="325">AX75*AJ88</f>
        <v>0</v>
      </c>
      <c r="AZ75" s="485">
        <f t="shared" ref="AZ75" ca="1" si="326">AY75*AK88</f>
        <v>0</v>
      </c>
    </row>
    <row r="76" spans="2:52">
      <c r="B76" s="479" t="s">
        <v>395</v>
      </c>
      <c r="C76" s="481">
        <v>0</v>
      </c>
      <c r="D76" s="481">
        <f>C76*C63</f>
        <v>0</v>
      </c>
      <c r="E76" s="481">
        <f t="shared" ref="E76:L76" si="327">D76*D63</f>
        <v>0</v>
      </c>
      <c r="F76" s="481">
        <f t="shared" si="327"/>
        <v>0</v>
      </c>
      <c r="G76" s="481">
        <f t="shared" si="327"/>
        <v>0</v>
      </c>
      <c r="H76" s="481">
        <f t="shared" si="327"/>
        <v>0</v>
      </c>
      <c r="I76" s="481">
        <f t="shared" si="327"/>
        <v>0</v>
      </c>
      <c r="J76" s="481">
        <f t="shared" si="327"/>
        <v>0</v>
      </c>
      <c r="K76" s="481">
        <f t="shared" si="327"/>
        <v>0</v>
      </c>
      <c r="L76" s="481">
        <f t="shared" si="327"/>
        <v>0</v>
      </c>
      <c r="M76" s="479"/>
      <c r="N76" s="479"/>
      <c r="O76" s="479"/>
      <c r="P76" s="479" t="s">
        <v>395</v>
      </c>
      <c r="Q76" s="479">
        <v>0</v>
      </c>
      <c r="R76" s="479">
        <f>Q76*C90</f>
        <v>0</v>
      </c>
      <c r="S76" s="479">
        <f t="shared" ref="S76" ca="1" si="328">R76*D90</f>
        <v>0</v>
      </c>
      <c r="T76" s="479">
        <f t="shared" ref="T76" ca="1" si="329">S76*E90</f>
        <v>0</v>
      </c>
      <c r="U76" s="479">
        <f t="shared" ref="U76" ca="1" si="330">T76*F90</f>
        <v>0</v>
      </c>
      <c r="V76" s="479">
        <f t="shared" ref="V76" ca="1" si="331">U76*G90</f>
        <v>0</v>
      </c>
      <c r="W76" s="479">
        <f t="shared" ref="W76" ca="1" si="332">V76*H90</f>
        <v>0</v>
      </c>
      <c r="X76" s="479">
        <f t="shared" ref="X76" ca="1" si="333">W76*I90</f>
        <v>0</v>
      </c>
      <c r="Y76" s="479">
        <f t="shared" ref="Y76" ca="1" si="334">X76*J90</f>
        <v>0</v>
      </c>
      <c r="Z76" s="479">
        <f t="shared" ref="Z76" ca="1" si="335">Y76*K90</f>
        <v>0</v>
      </c>
      <c r="AA76" s="499"/>
      <c r="AB76" s="485" t="s">
        <v>395</v>
      </c>
      <c r="AC76" s="487">
        <v>0</v>
      </c>
      <c r="AD76" s="487">
        <f>AC76*AC63</f>
        <v>0</v>
      </c>
      <c r="AE76" s="487">
        <f t="shared" ref="AE76:AL76" si="336">AD76*AD63</f>
        <v>0</v>
      </c>
      <c r="AF76" s="487">
        <f t="shared" si="336"/>
        <v>0</v>
      </c>
      <c r="AG76" s="487">
        <f t="shared" si="336"/>
        <v>0</v>
      </c>
      <c r="AH76" s="487">
        <f t="shared" si="336"/>
        <v>0</v>
      </c>
      <c r="AI76" s="487">
        <f t="shared" si="336"/>
        <v>0</v>
      </c>
      <c r="AJ76" s="487">
        <f t="shared" si="336"/>
        <v>0</v>
      </c>
      <c r="AK76" s="487">
        <f t="shared" si="336"/>
        <v>0</v>
      </c>
      <c r="AL76" s="487">
        <f t="shared" si="336"/>
        <v>0</v>
      </c>
      <c r="AM76" s="485"/>
      <c r="AN76" s="485"/>
      <c r="AO76" s="485"/>
      <c r="AP76" s="485" t="s">
        <v>395</v>
      </c>
      <c r="AQ76" s="485">
        <v>0</v>
      </c>
      <c r="AR76" s="485">
        <f>AQ76*AC90</f>
        <v>0</v>
      </c>
      <c r="AS76" s="485">
        <f t="shared" ref="AS76" ca="1" si="337">AR76*AD90</f>
        <v>0</v>
      </c>
      <c r="AT76" s="485">
        <f t="shared" ref="AT76" ca="1" si="338">AS76*AE90</f>
        <v>0</v>
      </c>
      <c r="AU76" s="485">
        <f t="shared" ref="AU76" ca="1" si="339">AT76*AF90</f>
        <v>0</v>
      </c>
      <c r="AV76" s="485">
        <f t="shared" ref="AV76" ca="1" si="340">AU76*AG90</f>
        <v>0</v>
      </c>
      <c r="AW76" s="485">
        <f t="shared" ref="AW76" ca="1" si="341">AV76*AH90</f>
        <v>0</v>
      </c>
      <c r="AX76" s="485">
        <f t="shared" ref="AX76" ca="1" si="342">AW76*AI90</f>
        <v>0</v>
      </c>
      <c r="AY76" s="485">
        <f t="shared" ref="AY76" ca="1" si="343">AX76*AJ90</f>
        <v>0</v>
      </c>
      <c r="AZ76" s="485">
        <f t="shared" ref="AZ76" ca="1" si="344">AY76*AK90</f>
        <v>0</v>
      </c>
    </row>
    <row r="77" spans="2:52">
      <c r="B77" s="479"/>
      <c r="C77" s="479"/>
      <c r="D77" s="479"/>
      <c r="E77" s="479"/>
      <c r="F77" s="479"/>
      <c r="G77" s="479"/>
      <c r="H77" s="479"/>
      <c r="I77" s="479"/>
      <c r="J77" s="479"/>
      <c r="K77" s="479"/>
      <c r="L77" s="479"/>
      <c r="M77" s="479"/>
      <c r="N77" s="479"/>
      <c r="O77" s="479"/>
      <c r="P77" s="479"/>
      <c r="Q77" s="479"/>
      <c r="R77" s="479"/>
      <c r="S77" s="479"/>
      <c r="T77" s="479"/>
      <c r="U77" s="479"/>
      <c r="V77" s="479"/>
      <c r="W77" s="479"/>
      <c r="X77" s="479"/>
      <c r="Y77" s="479"/>
      <c r="Z77" s="479"/>
      <c r="AA77" s="499"/>
      <c r="AB77" s="485"/>
      <c r="AC77" s="485"/>
      <c r="AD77" s="485"/>
      <c r="AE77" s="485"/>
      <c r="AF77" s="485"/>
      <c r="AG77" s="485"/>
      <c r="AH77" s="485"/>
      <c r="AI77" s="485"/>
      <c r="AJ77" s="485"/>
      <c r="AK77" s="485"/>
      <c r="AL77" s="485"/>
      <c r="AM77" s="485"/>
      <c r="AN77" s="485"/>
      <c r="AO77" s="485"/>
      <c r="AP77" s="485"/>
      <c r="AQ77" s="485"/>
      <c r="AR77" s="485"/>
      <c r="AS77" s="485"/>
      <c r="AT77" s="485"/>
      <c r="AU77" s="485"/>
      <c r="AV77" s="485"/>
      <c r="AW77" s="485"/>
      <c r="AX77" s="485"/>
      <c r="AY77" s="485"/>
      <c r="AZ77" s="485"/>
    </row>
    <row r="78" spans="2:52"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  <c r="O78" s="479"/>
      <c r="P78" s="479"/>
      <c r="Q78" s="479"/>
      <c r="R78" s="479"/>
      <c r="S78" s="479"/>
      <c r="T78" s="479"/>
      <c r="U78" s="479"/>
      <c r="V78" s="479"/>
      <c r="W78" s="479"/>
      <c r="X78" s="479"/>
      <c r="Y78" s="479"/>
      <c r="Z78" s="479"/>
      <c r="AA78" s="499"/>
      <c r="AB78" s="485"/>
      <c r="AC78" s="485"/>
      <c r="AD78" s="485"/>
      <c r="AE78" s="485"/>
      <c r="AF78" s="485"/>
      <c r="AG78" s="485"/>
      <c r="AH78" s="485"/>
      <c r="AI78" s="485"/>
      <c r="AJ78" s="485"/>
      <c r="AK78" s="485"/>
      <c r="AL78" s="485"/>
      <c r="AM78" s="485"/>
      <c r="AN78" s="485"/>
      <c r="AO78" s="485"/>
      <c r="AP78" s="485"/>
      <c r="AQ78" s="485"/>
      <c r="AR78" s="485"/>
      <c r="AS78" s="485"/>
      <c r="AT78" s="485"/>
      <c r="AU78" s="485"/>
      <c r="AV78" s="485"/>
      <c r="AW78" s="485"/>
      <c r="AX78" s="485"/>
      <c r="AY78" s="485"/>
      <c r="AZ78" s="485"/>
    </row>
    <row r="79" spans="2:52">
      <c r="B79" s="479"/>
      <c r="C79" s="479"/>
      <c r="D79" s="479"/>
      <c r="E79" s="479"/>
      <c r="F79" s="479"/>
      <c r="G79" s="479"/>
      <c r="H79" s="479"/>
      <c r="I79" s="479"/>
      <c r="J79" s="479"/>
      <c r="K79" s="479"/>
      <c r="L79" s="479"/>
      <c r="M79" s="479"/>
      <c r="N79" s="479"/>
      <c r="O79" s="479"/>
      <c r="P79" s="479"/>
      <c r="Q79" s="479"/>
      <c r="R79" s="479"/>
      <c r="S79" s="479"/>
      <c r="T79" s="479"/>
      <c r="U79" s="479"/>
      <c r="V79" s="479"/>
      <c r="W79" s="479"/>
      <c r="X79" s="479"/>
      <c r="Y79" s="479"/>
      <c r="Z79" s="479"/>
      <c r="AA79" s="499"/>
      <c r="AB79" s="485"/>
      <c r="AC79" s="485"/>
      <c r="AD79" s="485"/>
      <c r="AE79" s="485"/>
      <c r="AF79" s="485"/>
      <c r="AG79" s="485"/>
      <c r="AH79" s="485"/>
      <c r="AI79" s="485"/>
      <c r="AJ79" s="485"/>
      <c r="AK79" s="485"/>
      <c r="AL79" s="485"/>
      <c r="AM79" s="485"/>
      <c r="AN79" s="485"/>
      <c r="AO79" s="485"/>
      <c r="AP79" s="485"/>
      <c r="AQ79" s="485"/>
      <c r="AR79" s="485"/>
      <c r="AS79" s="485"/>
      <c r="AT79" s="485"/>
      <c r="AU79" s="485"/>
      <c r="AV79" s="485"/>
      <c r="AW79" s="485"/>
      <c r="AX79" s="485"/>
      <c r="AY79" s="485"/>
      <c r="AZ79" s="485"/>
    </row>
    <row r="80" spans="2:52">
      <c r="B80" s="479"/>
      <c r="C80" s="479"/>
      <c r="D80" s="479"/>
      <c r="E80" s="479"/>
      <c r="F80" s="479"/>
      <c r="G80" s="479"/>
      <c r="H80" s="479"/>
      <c r="I80" s="479"/>
      <c r="J80" s="479"/>
      <c r="K80" s="479"/>
      <c r="L80" s="479"/>
      <c r="M80" s="479"/>
      <c r="N80" s="479"/>
      <c r="O80" s="479"/>
      <c r="P80" s="479"/>
      <c r="Q80" s="479"/>
      <c r="R80" s="479"/>
      <c r="S80" s="479"/>
      <c r="T80" s="479"/>
      <c r="U80" s="479"/>
      <c r="V80" s="479"/>
      <c r="W80" s="479"/>
      <c r="X80" s="479"/>
      <c r="Y80" s="479"/>
      <c r="Z80" s="479"/>
      <c r="AA80" s="499"/>
      <c r="AB80" s="485"/>
      <c r="AC80" s="485"/>
      <c r="AD80" s="485"/>
      <c r="AE80" s="485"/>
      <c r="AF80" s="485"/>
      <c r="AG80" s="485"/>
      <c r="AH80" s="485"/>
      <c r="AI80" s="485"/>
      <c r="AJ80" s="485"/>
      <c r="AK80" s="485"/>
      <c r="AL80" s="485"/>
      <c r="AM80" s="485"/>
      <c r="AN80" s="485"/>
      <c r="AO80" s="485"/>
      <c r="AP80" s="485"/>
      <c r="AQ80" s="485"/>
      <c r="AR80" s="485"/>
      <c r="AS80" s="485"/>
      <c r="AT80" s="485"/>
      <c r="AU80" s="485"/>
      <c r="AV80" s="485"/>
      <c r="AW80" s="485"/>
      <c r="AX80" s="485"/>
      <c r="AY80" s="485"/>
      <c r="AZ80" s="485"/>
    </row>
    <row r="81" spans="2:52">
      <c r="B81" s="479"/>
      <c r="C81" s="479" t="s">
        <v>139</v>
      </c>
      <c r="D81" s="479" t="s">
        <v>140</v>
      </c>
      <c r="E81" s="479" t="s">
        <v>141</v>
      </c>
      <c r="F81" s="479" t="s">
        <v>142</v>
      </c>
      <c r="G81" s="479" t="s">
        <v>143</v>
      </c>
      <c r="H81" s="479" t="s">
        <v>144</v>
      </c>
      <c r="I81" s="479" t="s">
        <v>145</v>
      </c>
      <c r="J81" s="479" t="s">
        <v>146</v>
      </c>
      <c r="K81" s="479" t="s">
        <v>147</v>
      </c>
      <c r="L81" s="479" t="s">
        <v>148</v>
      </c>
      <c r="M81" s="479"/>
      <c r="N81" s="479"/>
      <c r="O81" s="479"/>
      <c r="P81" s="479" t="s">
        <v>399</v>
      </c>
      <c r="Q81" s="479" t="s">
        <v>139</v>
      </c>
      <c r="R81" s="479" t="s">
        <v>140</v>
      </c>
      <c r="S81" s="479" t="s">
        <v>141</v>
      </c>
      <c r="T81" s="479" t="s">
        <v>142</v>
      </c>
      <c r="U81" s="479" t="s">
        <v>143</v>
      </c>
      <c r="V81" s="479" t="s">
        <v>144</v>
      </c>
      <c r="W81" s="479" t="s">
        <v>145</v>
      </c>
      <c r="X81" s="479" t="s">
        <v>146</v>
      </c>
      <c r="Y81" s="479" t="s">
        <v>147</v>
      </c>
      <c r="Z81" s="479" t="s">
        <v>148</v>
      </c>
      <c r="AA81" s="499"/>
      <c r="AB81" s="485"/>
      <c r="AC81" s="485" t="s">
        <v>139</v>
      </c>
      <c r="AD81" s="485" t="s">
        <v>140</v>
      </c>
      <c r="AE81" s="485" t="s">
        <v>141</v>
      </c>
      <c r="AF81" s="485" t="s">
        <v>142</v>
      </c>
      <c r="AG81" s="485" t="s">
        <v>143</v>
      </c>
      <c r="AH81" s="485" t="s">
        <v>144</v>
      </c>
      <c r="AI81" s="485" t="s">
        <v>145</v>
      </c>
      <c r="AJ81" s="485" t="s">
        <v>146</v>
      </c>
      <c r="AK81" s="485" t="s">
        <v>147</v>
      </c>
      <c r="AL81" s="485" t="s">
        <v>148</v>
      </c>
      <c r="AM81" s="485"/>
      <c r="AN81" s="485"/>
      <c r="AO81" s="485"/>
      <c r="AP81" s="485" t="s">
        <v>399</v>
      </c>
      <c r="AQ81" s="485" t="s">
        <v>139</v>
      </c>
      <c r="AR81" s="485" t="s">
        <v>140</v>
      </c>
      <c r="AS81" s="485" t="s">
        <v>141</v>
      </c>
      <c r="AT81" s="485" t="s">
        <v>142</v>
      </c>
      <c r="AU81" s="485" t="s">
        <v>143</v>
      </c>
      <c r="AV81" s="485" t="s">
        <v>144</v>
      </c>
      <c r="AW81" s="485" t="s">
        <v>145</v>
      </c>
      <c r="AX81" s="485" t="s">
        <v>146</v>
      </c>
      <c r="AY81" s="485" t="s">
        <v>147</v>
      </c>
      <c r="AZ81" s="485" t="s">
        <v>148</v>
      </c>
    </row>
    <row r="82" spans="2:52">
      <c r="B82" s="479" t="s">
        <v>378</v>
      </c>
      <c r="C82" s="483">
        <v>0.05</v>
      </c>
      <c r="D82" s="483">
        <f ca="1">C82+_xlfn.NORM.DIST(RAND(), 0, 1, FALSE)%</f>
        <v>5.3965647509396121E-2</v>
      </c>
      <c r="E82" s="483">
        <f t="shared" ref="E82:L82" ca="1" si="345">D82+_xlfn.NORM.DIST(RAND(), 0, 1, FALSE)%</f>
        <v>5.7613690149938009E-2</v>
      </c>
      <c r="F82" s="483">
        <f t="shared" ca="1" si="345"/>
        <v>6.1243030369384673E-2</v>
      </c>
      <c r="G82" s="483">
        <f t="shared" ca="1" si="345"/>
        <v>6.4059042323633603E-2</v>
      </c>
      <c r="H82" s="483">
        <f t="shared" ca="1" si="345"/>
        <v>6.8038984785777065E-2</v>
      </c>
      <c r="I82" s="483">
        <f t="shared" ca="1" si="345"/>
        <v>7.0487203542475882E-2</v>
      </c>
      <c r="J82" s="483">
        <f t="shared" ca="1" si="345"/>
        <v>7.368850586179361E-2</v>
      </c>
      <c r="K82" s="483">
        <f t="shared" ca="1" si="345"/>
        <v>7.6266962396195737E-2</v>
      </c>
      <c r="L82" s="483">
        <f t="shared" ca="1" si="345"/>
        <v>8.0184754644402931E-2</v>
      </c>
      <c r="M82" s="479"/>
      <c r="N82" s="479"/>
      <c r="O82" s="479"/>
      <c r="P82" s="479" t="s">
        <v>378</v>
      </c>
      <c r="Q82" s="481">
        <f>C68*Q68</f>
        <v>1540000</v>
      </c>
      <c r="R82" s="481">
        <f t="shared" ref="R82:R84" si="346">D68*R68</f>
        <v>1667935.5</v>
      </c>
      <c r="S82" s="481">
        <f t="shared" ref="S82:S85" ca="1" si="347">E68*S68</f>
        <v>1813322.040918143</v>
      </c>
      <c r="T82" s="481">
        <f t="shared" ref="T82:T90" ca="1" si="348">F68*T68</f>
        <v>1978204.7329021124</v>
      </c>
      <c r="U82" s="481">
        <f t="shared" ref="U82:U90" ca="1" si="349">G68*U68</f>
        <v>2165485.6989773344</v>
      </c>
      <c r="V82" s="481">
        <f t="shared" ref="V82:V90" ca="1" si="350">H68*V68</f>
        <v>2376787.0851484565</v>
      </c>
      <c r="W82" s="481">
        <f t="shared" ref="W82:W90" ca="1" si="351">I68*W68</f>
        <v>2618464.0553363319</v>
      </c>
      <c r="X82" s="481">
        <f t="shared" ref="X82:X90" ca="1" si="352">J68*X68</f>
        <v>2891327.7804949456</v>
      </c>
      <c r="Y82" s="481">
        <f t="shared" ref="Y82:Y90" ca="1" si="353">K68*Y68</f>
        <v>3202173.5448410981</v>
      </c>
      <c r="Z82" s="481">
        <f t="shared" ref="Z82:Z90" ca="1" si="354">L68*Z68</f>
        <v>3554954.9923879923</v>
      </c>
      <c r="AA82" s="499"/>
      <c r="AB82" s="485" t="s">
        <v>378</v>
      </c>
      <c r="AC82" s="489">
        <v>0.02</v>
      </c>
      <c r="AD82" s="489">
        <f ca="1">AC82+_xlfn.NORM.DIST(RAND(), 0, 1, FALSE)%</f>
        <v>2.3607303311144419E-2</v>
      </c>
      <c r="AE82" s="489">
        <f t="shared" ref="AE82:AL82" ca="1" si="355">AD82+_xlfn.NORM.DIST(RAND(), 0, 1, FALSE)%</f>
        <v>2.7587101301955047E-2</v>
      </c>
      <c r="AF82" s="489">
        <f t="shared" ca="1" si="355"/>
        <v>3.0859053224469839E-2</v>
      </c>
      <c r="AG82" s="489">
        <f t="shared" ca="1" si="355"/>
        <v>3.4056239160238345E-2</v>
      </c>
      <c r="AH82" s="489">
        <f t="shared" ca="1" si="355"/>
        <v>3.7771421291452612E-2</v>
      </c>
      <c r="AI82" s="489">
        <f t="shared" ca="1" si="355"/>
        <v>4.1187158752305317E-2</v>
      </c>
      <c r="AJ82" s="489">
        <f t="shared" ca="1" si="355"/>
        <v>4.4971770668961679E-2</v>
      </c>
      <c r="AK82" s="489">
        <f t="shared" ca="1" si="355"/>
        <v>4.8757395951559666E-2</v>
      </c>
      <c r="AL82" s="489">
        <f t="shared" ca="1" si="355"/>
        <v>5.211009299460384E-2</v>
      </c>
      <c r="AM82" s="485"/>
      <c r="AN82" s="485"/>
      <c r="AO82" s="485"/>
      <c r="AP82" s="485" t="s">
        <v>378</v>
      </c>
      <c r="AQ82" s="487">
        <f>AC68*AQ68</f>
        <v>1540000</v>
      </c>
      <c r="AR82" s="487">
        <f t="shared" ref="AR82:AR84" si="356">AD68*AR68</f>
        <v>1727880</v>
      </c>
      <c r="AS82" s="487">
        <f t="shared" ref="AS82:AS85" ca="1" si="357">AE68*AS68</f>
        <v>1945537.645969786</v>
      </c>
      <c r="AT82" s="487">
        <f t="shared" ref="AT82:AT90" ca="1" si="358">AF68*AT68</f>
        <v>2199130.3291055136</v>
      </c>
      <c r="AU82" s="487">
        <f t="shared" ref="AU82:AU90" ca="1" si="359">AG68*AU68</f>
        <v>2493692.74987682</v>
      </c>
      <c r="AV82" s="487">
        <f t="shared" ref="AV82:AV90" ca="1" si="360">AH68*AV68</f>
        <v>2836480.401214655</v>
      </c>
      <c r="AW82" s="487">
        <f t="shared" ref="AW82:AW90" ca="1" si="361">AI68*AW68</f>
        <v>3237980.1271772706</v>
      </c>
      <c r="AX82" s="487">
        <f t="shared" ref="AX82:AX90" ca="1" si="362">AJ68*AX68</f>
        <v>3708477.661583344</v>
      </c>
      <c r="AY82" s="487">
        <f t="shared" ref="AY82:AY90" ca="1" si="363">AK68*AY68</f>
        <v>4262779.9153621411</v>
      </c>
      <c r="AZ82" s="487">
        <f t="shared" ref="AZ82:AZ90" ca="1" si="364">AL68*AZ68</f>
        <v>4917684.1599047901</v>
      </c>
    </row>
    <row r="83" spans="2:52">
      <c r="B83" s="479" t="s">
        <v>379</v>
      </c>
      <c r="C83" s="483">
        <v>0.09</v>
      </c>
      <c r="D83" s="483">
        <f t="shared" ref="D83:L83" ca="1" si="365">C83+_xlfn.NORM.DIST(RAND(), 0, 1, FALSE)%</f>
        <v>9.2840307920312629E-2</v>
      </c>
      <c r="E83" s="483">
        <f t="shared" ca="1" si="365"/>
        <v>9.6319823361628004E-2</v>
      </c>
      <c r="F83" s="483">
        <f t="shared" ca="1" si="365"/>
        <v>9.9988340027723013E-2</v>
      </c>
      <c r="G83" s="483">
        <f t="shared" ca="1" si="365"/>
        <v>0.10327595179577836</v>
      </c>
      <c r="H83" s="483">
        <f ca="1">G83+_xlfn.NORM.DIST(RAND(), 0, 1, FALSE)%</f>
        <v>0.1066076523210797</v>
      </c>
      <c r="I83" s="483">
        <f t="shared" ref="I83:Q83" ca="1" si="366">H83+_xlfn.NORM.DIST(RAND(), 0, 1, FALSE)%</f>
        <v>0.10981295692160857</v>
      </c>
      <c r="J83" s="483">
        <f t="shared" ca="1" si="366"/>
        <v>0.11307997668694171</v>
      </c>
      <c r="K83" s="483">
        <f t="shared" ca="1" si="366"/>
        <v>0.11703744975073613</v>
      </c>
      <c r="L83" s="483">
        <f t="shared" ca="1" si="366"/>
        <v>0.12093189169487235</v>
      </c>
      <c r="M83" s="479"/>
      <c r="N83" s="479"/>
      <c r="O83" s="479"/>
      <c r="P83" s="479" t="s">
        <v>379</v>
      </c>
      <c r="Q83" s="481">
        <f>C69*Q69</f>
        <v>850000</v>
      </c>
      <c r="R83" s="481">
        <f t="shared" si="346"/>
        <v>955684.75000000012</v>
      </c>
      <c r="S83" s="481">
        <f t="shared" ca="1" si="347"/>
        <v>1077309.7571833867</v>
      </c>
      <c r="T83" s="481">
        <f t="shared" ca="1" si="348"/>
        <v>1218279.938046132</v>
      </c>
      <c r="U83" s="481">
        <f t="shared" ca="1" si="349"/>
        <v>1382306.6791327661</v>
      </c>
      <c r="V83" s="481">
        <f t="shared" ca="1" si="350"/>
        <v>1573105.2871823211</v>
      </c>
      <c r="W83" s="481">
        <f t="shared" ca="1" si="351"/>
        <v>1795645.8746868419</v>
      </c>
      <c r="X83" s="481">
        <f t="shared" ca="1" si="352"/>
        <v>2055605.2360900568</v>
      </c>
      <c r="Y83" s="481">
        <f t="shared" ca="1" si="353"/>
        <v>2360126.698655013</v>
      </c>
      <c r="Z83" s="481">
        <f t="shared" ca="1" si="354"/>
        <v>2719394.9306736784</v>
      </c>
      <c r="AA83" s="499"/>
      <c r="AB83" s="485" t="s">
        <v>379</v>
      </c>
      <c r="AC83" s="489">
        <v>0.04</v>
      </c>
      <c r="AD83" s="489">
        <f t="shared" ref="AD83:AL83" ca="1" si="367">AC83+_xlfn.NORM.DIST(RAND(), 0, 1, FALSE)%</f>
        <v>4.3936158282503066E-2</v>
      </c>
      <c r="AE83" s="489">
        <f t="shared" ca="1" si="367"/>
        <v>4.716951604514244E-2</v>
      </c>
      <c r="AF83" s="489">
        <f t="shared" ca="1" si="367"/>
        <v>5.1157768226326408E-2</v>
      </c>
      <c r="AG83" s="489">
        <f t="shared" ca="1" si="367"/>
        <v>5.512553803667445E-2</v>
      </c>
      <c r="AH83" s="489">
        <f ca="1">AG83+_xlfn.NORM.DIST(RAND(), 0, 1, FALSE)%</f>
        <v>5.9021308994115319E-2</v>
      </c>
      <c r="AI83" s="489">
        <f t="shared" ref="AI83:AQ83" ca="1" si="368">AH83+_xlfn.NORM.DIST(RAND(), 0, 1, FALSE)%</f>
        <v>6.2296121908395313E-2</v>
      </c>
      <c r="AJ83" s="489">
        <f t="shared" ca="1" si="368"/>
        <v>6.4921713686635102E-2</v>
      </c>
      <c r="AK83" s="489">
        <f t="shared" ca="1" si="368"/>
        <v>6.8807837554714937E-2</v>
      </c>
      <c r="AL83" s="489">
        <f t="shared" ca="1" si="368"/>
        <v>7.2023432133171861E-2</v>
      </c>
      <c r="AM83" s="485"/>
      <c r="AN83" s="485"/>
      <c r="AO83" s="485"/>
      <c r="AP83" s="485" t="s">
        <v>379</v>
      </c>
      <c r="AQ83" s="487">
        <f>AC69*AQ69</f>
        <v>850000</v>
      </c>
      <c r="AR83" s="487">
        <f t="shared" si="356"/>
        <v>972400.00000000012</v>
      </c>
      <c r="AS83" s="487">
        <f t="shared" ca="1" si="357"/>
        <v>1116635.8723452969</v>
      </c>
      <c r="AT83" s="487">
        <f t="shared" ca="1" si="358"/>
        <v>1286237.7506467171</v>
      </c>
      <c r="AU83" s="487">
        <f t="shared" ca="1" si="359"/>
        <v>1487242.683716079</v>
      </c>
      <c r="AV83" s="487">
        <f t="shared" ca="1" si="360"/>
        <v>1726150.5105317391</v>
      </c>
      <c r="AW83" s="487">
        <f t="shared" ca="1" si="361"/>
        <v>2010833.1905026014</v>
      </c>
      <c r="AX83" s="487">
        <f t="shared" ca="1" si="362"/>
        <v>2349710.3300831588</v>
      </c>
      <c r="AY83" s="487">
        <f t="shared" ca="1" si="363"/>
        <v>2752483.3065172816</v>
      </c>
      <c r="AZ83" s="487">
        <f t="shared" ca="1" si="364"/>
        <v>3236063.3038186063</v>
      </c>
    </row>
    <row r="84" spans="2:52">
      <c r="B84" s="479" t="s">
        <v>297</v>
      </c>
      <c r="C84" s="483">
        <v>0.02</v>
      </c>
      <c r="D84" s="483">
        <f t="shared" ref="D84:L84" ca="1" si="369">C84+_xlfn.NORM.DIST(RAND(), 0, 1, FALSE)%</f>
        <v>2.3931867680013576E-2</v>
      </c>
      <c r="E84" s="483">
        <f t="shared" ca="1" si="369"/>
        <v>2.7854039280686634E-2</v>
      </c>
      <c r="F84" s="483">
        <f t="shared" ca="1" si="369"/>
        <v>3.0392621532710145E-2</v>
      </c>
      <c r="G84" s="483">
        <f t="shared" ca="1" si="369"/>
        <v>3.316753353933051E-2</v>
      </c>
      <c r="H84" s="483">
        <f t="shared" ca="1" si="369"/>
        <v>3.7124961238615806E-2</v>
      </c>
      <c r="I84" s="483">
        <f t="shared" ca="1" si="369"/>
        <v>4.0718589724443685E-2</v>
      </c>
      <c r="J84" s="483">
        <f t="shared" ca="1" si="369"/>
        <v>4.4491313266824525E-2</v>
      </c>
      <c r="K84" s="483">
        <f t="shared" ca="1" si="369"/>
        <v>4.7260604136985622E-2</v>
      </c>
      <c r="L84" s="483">
        <f t="shared" ca="1" si="369"/>
        <v>5.1161729624813967E-2</v>
      </c>
      <c r="M84" s="479"/>
      <c r="N84" s="479"/>
      <c r="O84" s="479"/>
      <c r="P84" s="479" t="s">
        <v>297</v>
      </c>
      <c r="Q84" s="481">
        <f>C70*Q70</f>
        <v>2540000</v>
      </c>
      <c r="R84" s="481">
        <f t="shared" si="346"/>
        <v>2672410.2000000002</v>
      </c>
      <c r="S84" s="481">
        <f t="shared" ca="1" si="347"/>
        <v>2822561.4952628519</v>
      </c>
      <c r="T84" s="481">
        <f t="shared" ca="1" si="348"/>
        <v>2992568.4428958152</v>
      </c>
      <c r="U84" s="481">
        <f t="shared" ca="1" si="349"/>
        <v>3180651.3369457112</v>
      </c>
      <c r="V84" s="481">
        <f t="shared" ca="1" si="350"/>
        <v>3389659.2862912589</v>
      </c>
      <c r="W84" s="481">
        <f t="shared" ca="1" si="351"/>
        <v>3626238.5139680048</v>
      </c>
      <c r="X84" s="481">
        <f t="shared" ca="1" si="352"/>
        <v>3892771.487977474</v>
      </c>
      <c r="Y84" s="481">
        <f t="shared" ca="1" si="353"/>
        <v>4194043.9328425876</v>
      </c>
      <c r="Z84" s="481">
        <f t="shared" ca="1" si="354"/>
        <v>4530613.0778466901</v>
      </c>
      <c r="AA84" s="499"/>
      <c r="AB84" s="485" t="s">
        <v>297</v>
      </c>
      <c r="AC84" s="489">
        <v>0.03</v>
      </c>
      <c r="AD84" s="489">
        <f t="shared" ref="AD84:AL84" ca="1" si="370">AC84+_xlfn.NORM.DIST(RAND(), 0, 1, FALSE)%</f>
        <v>3.2429611259953202E-2</v>
      </c>
      <c r="AE84" s="489">
        <f t="shared" ca="1" si="370"/>
        <v>3.6329369445251988E-2</v>
      </c>
      <c r="AF84" s="489">
        <f t="shared" ca="1" si="370"/>
        <v>4.030097715149969E-2</v>
      </c>
      <c r="AG84" s="489">
        <f t="shared" ca="1" si="370"/>
        <v>4.4153959290425523E-2</v>
      </c>
      <c r="AH84" s="489">
        <f t="shared" ca="1" si="370"/>
        <v>4.7541278957674224E-2</v>
      </c>
      <c r="AI84" s="489">
        <f t="shared" ca="1" si="370"/>
        <v>5.1472165834529383E-2</v>
      </c>
      <c r="AJ84" s="489">
        <f t="shared" ca="1" si="370"/>
        <v>5.4734617520372814E-2</v>
      </c>
      <c r="AK84" s="489">
        <f t="shared" ca="1" si="370"/>
        <v>5.8719656653325333E-2</v>
      </c>
      <c r="AL84" s="489">
        <f t="shared" ca="1" si="370"/>
        <v>6.1523847350316227E-2</v>
      </c>
      <c r="AM84" s="485"/>
      <c r="AN84" s="485"/>
      <c r="AO84" s="485"/>
      <c r="AP84" s="485" t="s">
        <v>297</v>
      </c>
      <c r="AQ84" s="487">
        <f>AC70*AQ70</f>
        <v>2540000</v>
      </c>
      <c r="AR84" s="487">
        <f t="shared" si="356"/>
        <v>2877820.0000000005</v>
      </c>
      <c r="AS84" s="487">
        <f t="shared" ca="1" si="357"/>
        <v>3268261.2422637306</v>
      </c>
      <c r="AT84" s="487">
        <f t="shared" ca="1" si="358"/>
        <v>3725694.6236152807</v>
      </c>
      <c r="AU84" s="487">
        <f t="shared" ca="1" si="359"/>
        <v>4263428.1332665728</v>
      </c>
      <c r="AV84" s="487">
        <f t="shared" ca="1" si="360"/>
        <v>4896842.9020505277</v>
      </c>
      <c r="AW84" s="487">
        <f t="shared" ca="1" si="361"/>
        <v>5642609.5841157008</v>
      </c>
      <c r="AX84" s="487">
        <f t="shared" ca="1" si="362"/>
        <v>6526351.6124056904</v>
      </c>
      <c r="AY84" s="487">
        <f t="shared" ca="1" si="363"/>
        <v>7571925.8688856037</v>
      </c>
      <c r="AZ84" s="487">
        <f t="shared" ca="1" si="364"/>
        <v>8818201.431722099</v>
      </c>
    </row>
    <row r="85" spans="2:52">
      <c r="B85" s="479" t="s">
        <v>383</v>
      </c>
      <c r="C85" s="483">
        <v>0.04</v>
      </c>
      <c r="D85" s="483">
        <f t="shared" ref="D85:L85" ca="1" si="371">C85+_xlfn.NORM.DIST(RAND(), 0, 1, FALSE)%</f>
        <v>4.3462876115688776E-2</v>
      </c>
      <c r="E85" s="483">
        <f t="shared" ca="1" si="371"/>
        <v>4.6921277293582891E-2</v>
      </c>
      <c r="F85" s="483">
        <f t="shared" ca="1" si="371"/>
        <v>5.0188286280101621E-2</v>
      </c>
      <c r="G85" s="483">
        <f t="shared" ca="1" si="371"/>
        <v>5.3258237501351828E-2</v>
      </c>
      <c r="H85" s="483">
        <f t="shared" ca="1" si="371"/>
        <v>5.6734085972147012E-2</v>
      </c>
      <c r="I85" s="483">
        <f t="shared" ca="1" si="371"/>
        <v>6.0576093485680882E-2</v>
      </c>
      <c r="J85" s="483">
        <f t="shared" ca="1" si="371"/>
        <v>6.4180046770766858E-2</v>
      </c>
      <c r="K85" s="483">
        <f t="shared" ca="1" si="371"/>
        <v>6.7965129375379421E-2</v>
      </c>
      <c r="L85" s="483">
        <f t="shared" ca="1" si="371"/>
        <v>7.174681839100143E-2</v>
      </c>
      <c r="M85" s="479"/>
      <c r="N85" s="479"/>
      <c r="O85" s="479"/>
      <c r="P85" s="479" t="s">
        <v>383</v>
      </c>
      <c r="Q85" s="479"/>
      <c r="R85" s="481">
        <f>D71*R71</f>
        <v>1905000</v>
      </c>
      <c r="S85" s="481">
        <f t="shared" ca="1" si="347"/>
        <v>2050412.3775388997</v>
      </c>
      <c r="T85" s="481">
        <f t="shared" ca="1" si="348"/>
        <v>2214238.8861476528</v>
      </c>
      <c r="U85" s="481">
        <f t="shared" ca="1" si="349"/>
        <v>2398616.8251077961</v>
      </c>
      <c r="V85" s="481">
        <f t="shared" ca="1" si="350"/>
        <v>2605943.3619382307</v>
      </c>
      <c r="W85" s="481">
        <f t="shared" ca="1" si="351"/>
        <v>2840533.535738179</v>
      </c>
      <c r="X85" s="481">
        <f t="shared" ca="1" si="352"/>
        <v>3107498.9225118379</v>
      </c>
      <c r="Y85" s="481">
        <f t="shared" ca="1" si="353"/>
        <v>3411106.9066827665</v>
      </c>
      <c r="Z85" s="481">
        <f t="shared" ca="1" si="354"/>
        <v>3757695.9406193355</v>
      </c>
      <c r="AA85" s="499"/>
      <c r="AB85" s="485" t="s">
        <v>383</v>
      </c>
      <c r="AC85" s="489">
        <v>0.04</v>
      </c>
      <c r="AD85" s="489">
        <f t="shared" ref="AD85:AL85" ca="1" si="372">AC85+_xlfn.NORM.DIST(RAND(), 0, 1, FALSE)%</f>
        <v>4.3701451953345335E-2</v>
      </c>
      <c r="AE85" s="489">
        <f t="shared" ca="1" si="372"/>
        <v>4.7657569145349653E-2</v>
      </c>
      <c r="AF85" s="489">
        <f t="shared" ca="1" si="372"/>
        <v>5.1525141259109286E-2</v>
      </c>
      <c r="AG85" s="489">
        <f t="shared" ca="1" si="372"/>
        <v>5.3953442969765529E-2</v>
      </c>
      <c r="AH85" s="489">
        <f t="shared" ca="1" si="372"/>
        <v>5.7051424420156586E-2</v>
      </c>
      <c r="AI85" s="489">
        <f t="shared" ca="1" si="372"/>
        <v>6.0206028467571719E-2</v>
      </c>
      <c r="AJ85" s="489">
        <f t="shared" ca="1" si="372"/>
        <v>6.3723995365010153E-2</v>
      </c>
      <c r="AK85" s="489">
        <f t="shared" ca="1" si="372"/>
        <v>6.6905900484108868E-2</v>
      </c>
      <c r="AL85" s="489">
        <f t="shared" ca="1" si="372"/>
        <v>7.0308855011199267E-2</v>
      </c>
      <c r="AM85" s="485"/>
      <c r="AN85" s="485"/>
      <c r="AO85" s="485"/>
      <c r="AP85" s="485" t="s">
        <v>383</v>
      </c>
      <c r="AQ85" s="485"/>
      <c r="AR85" s="487">
        <f>AD71*AR71</f>
        <v>1905000</v>
      </c>
      <c r="AS85" s="487">
        <f t="shared" ca="1" si="357"/>
        <v>2187076.3925682358</v>
      </c>
      <c r="AT85" s="487">
        <f t="shared" ca="1" si="358"/>
        <v>2520437.8506705398</v>
      </c>
      <c r="AU85" s="487">
        <f t="shared" ca="1" si="359"/>
        <v>2915334.1436572601</v>
      </c>
      <c r="AV85" s="487">
        <f t="shared" ca="1" si="360"/>
        <v>3379889.1039263709</v>
      </c>
      <c r="AW85" s="487">
        <f t="shared" ca="1" si="361"/>
        <v>3929988.2508562906</v>
      </c>
      <c r="AX85" s="487">
        <f t="shared" ca="1" si="362"/>
        <v>4583256.9589010226</v>
      </c>
      <c r="AY85" s="487">
        <f t="shared" ca="1" si="363"/>
        <v>5362852.4445173508</v>
      </c>
      <c r="AZ85" s="487">
        <f t="shared" ca="1" si="364"/>
        <v>6293824.8081293078</v>
      </c>
    </row>
    <row r="86" spans="2:52">
      <c r="B86" s="479" t="s">
        <v>312</v>
      </c>
      <c r="C86" s="483">
        <v>0.04</v>
      </c>
      <c r="D86" s="483">
        <f t="shared" ref="D86:L86" ca="1" si="373">C86+_xlfn.NORM.DIST(RAND(), 0, 1, FALSE)%</f>
        <v>4.3737094220064068E-2</v>
      </c>
      <c r="E86" s="483">
        <f t="shared" ca="1" si="373"/>
        <v>4.7431558763074318E-2</v>
      </c>
      <c r="F86" s="483">
        <f t="shared" ca="1" si="373"/>
        <v>5.1403333481587356E-2</v>
      </c>
      <c r="G86" s="483">
        <f t="shared" ca="1" si="373"/>
        <v>5.5102454488557016E-2</v>
      </c>
      <c r="H86" s="483">
        <f t="shared" ca="1" si="373"/>
        <v>5.8521017891660525E-2</v>
      </c>
      <c r="I86" s="483">
        <f t="shared" ca="1" si="373"/>
        <v>6.2072456122119875E-2</v>
      </c>
      <c r="J86" s="483">
        <f t="shared" ca="1" si="373"/>
        <v>6.5179524504837993E-2</v>
      </c>
      <c r="K86" s="483">
        <f ca="1">J86+_xlfn.NORM.DIST(RAND(), 0, 1, FALSE)%</f>
        <v>6.8892716016483349E-2</v>
      </c>
      <c r="L86" s="483">
        <f t="shared" ref="L86:T90" ca="1" si="374">K86+_xlfn.NORM.DIST(RAND(), 0, 1, FALSE)%</f>
        <v>7.2124802813974903E-2</v>
      </c>
      <c r="M86" s="479"/>
      <c r="N86" s="479"/>
      <c r="O86" s="479"/>
      <c r="P86" s="479" t="s">
        <v>312</v>
      </c>
      <c r="Q86" s="479"/>
      <c r="R86" s="479"/>
      <c r="S86" s="481">
        <f>E72*S72</f>
        <v>3180000</v>
      </c>
      <c r="T86" s="481">
        <f t="shared" ca="1" si="348"/>
        <v>3435753.5761078731</v>
      </c>
      <c r="U86" s="481">
        <f t="shared" ca="1" si="349"/>
        <v>3726152.1899737469</v>
      </c>
      <c r="V86" s="481">
        <f t="shared" ca="1" si="350"/>
        <v>4055313.6995645477</v>
      </c>
      <c r="W86" s="481">
        <f t="shared" ca="1" si="351"/>
        <v>4427852.7808647519</v>
      </c>
      <c r="X86" s="481">
        <f t="shared" ca="1" si="352"/>
        <v>4850835.5433872733</v>
      </c>
      <c r="Y86" s="481">
        <f t="shared" ca="1" si="353"/>
        <v>5329771.5345294503</v>
      </c>
      <c r="Z86" s="481">
        <f t="shared" ca="1" si="354"/>
        <v>5876408.0213861763</v>
      </c>
      <c r="AA86" s="499"/>
      <c r="AB86" s="485" t="s">
        <v>312</v>
      </c>
      <c r="AC86" s="489">
        <v>0.01</v>
      </c>
      <c r="AD86" s="489">
        <f t="shared" ref="AD86:AL86" ca="1" si="375">AC86+_xlfn.NORM.DIST(RAND(), 0, 1, FALSE)%</f>
        <v>1.3032135508374176E-2</v>
      </c>
      <c r="AE86" s="489">
        <f t="shared" ca="1" si="375"/>
        <v>1.6217136363044865E-2</v>
      </c>
      <c r="AF86" s="489">
        <f t="shared" ca="1" si="375"/>
        <v>1.9362543849526893E-2</v>
      </c>
      <c r="AG86" s="489">
        <f t="shared" ca="1" si="375"/>
        <v>2.3290827839711845E-2</v>
      </c>
      <c r="AH86" s="489">
        <f t="shared" ca="1" si="375"/>
        <v>2.6866204131836165E-2</v>
      </c>
      <c r="AI86" s="489">
        <f t="shared" ca="1" si="375"/>
        <v>3.069072653125663E-2</v>
      </c>
      <c r="AJ86" s="489">
        <f t="shared" ca="1" si="375"/>
        <v>3.4670531172386491E-2</v>
      </c>
      <c r="AK86" s="489">
        <f ca="1">AJ86+_xlfn.NORM.DIST(RAND(), 0, 1, FALSE)%</f>
        <v>3.8645197002401731E-2</v>
      </c>
      <c r="AL86" s="489">
        <f t="shared" ref="AL86:AT86" ca="1" si="376">AK86+_xlfn.NORM.DIST(RAND(), 0, 1, FALSE)%</f>
        <v>4.1472010005489807E-2</v>
      </c>
      <c r="AM86" s="485"/>
      <c r="AN86" s="485"/>
      <c r="AO86" s="485"/>
      <c r="AP86" s="485" t="s">
        <v>312</v>
      </c>
      <c r="AQ86" s="485"/>
      <c r="AR86" s="485"/>
      <c r="AS86" s="487">
        <f>AE72*AS72</f>
        <v>3180000</v>
      </c>
      <c r="AT86" s="487">
        <f t="shared" ca="1" si="358"/>
        <v>3554727.5429979311</v>
      </c>
      <c r="AU86" s="487">
        <f t="shared" ca="1" si="359"/>
        <v>3985911.7220145846</v>
      </c>
      <c r="AV86" s="487">
        <f t="shared" ca="1" si="360"/>
        <v>4486621.5962879481</v>
      </c>
      <c r="AW86" s="487">
        <f t="shared" ca="1" si="361"/>
        <v>5067876.0967517374</v>
      </c>
      <c r="AX86" s="487">
        <f t="shared" ca="1" si="362"/>
        <v>5745754.1857445808</v>
      </c>
      <c r="AY86" s="487">
        <f t="shared" ca="1" si="363"/>
        <v>6539458.788885341</v>
      </c>
      <c r="AZ86" s="487">
        <f t="shared" ca="1" si="364"/>
        <v>7471395.208277992</v>
      </c>
    </row>
    <row r="87" spans="2:52">
      <c r="B87" s="479" t="s">
        <v>392</v>
      </c>
      <c r="C87" s="483">
        <v>0</v>
      </c>
      <c r="D87" s="492">
        <f t="shared" ref="D87:L87" ca="1" si="377">C87+_xlfn.NORM.DIST(RAND(), 0, 1, FALSE)%</f>
        <v>3.795523855997822E-3</v>
      </c>
      <c r="E87" s="492">
        <f t="shared" ca="1" si="377"/>
        <v>6.5878078156748404E-3</v>
      </c>
      <c r="F87" s="492">
        <f t="shared" ca="1" si="377"/>
        <v>1.0493957878131496E-2</v>
      </c>
      <c r="G87" s="492">
        <f t="shared" ca="1" si="377"/>
        <v>1.2967734740781653E-2</v>
      </c>
      <c r="H87" s="492">
        <f t="shared" ca="1" si="377"/>
        <v>1.6188538025969305E-2</v>
      </c>
      <c r="I87" s="492">
        <f t="shared" ca="1" si="377"/>
        <v>2.0142176551429771E-2</v>
      </c>
      <c r="J87" s="492">
        <f t="shared" ca="1" si="377"/>
        <v>2.3891545340945966E-2</v>
      </c>
      <c r="K87" s="492">
        <f ca="1">J87+_xlfn.NORM.DIST(RAND(), 0, 1, FALSE)%</f>
        <v>2.6949229461221927E-2</v>
      </c>
      <c r="L87" s="492">
        <f t="shared" ca="1" si="374"/>
        <v>3.019793700078164E-2</v>
      </c>
      <c r="M87" s="479"/>
      <c r="N87" s="479"/>
      <c r="O87" s="479"/>
      <c r="P87" s="479" t="s">
        <v>392</v>
      </c>
      <c r="Q87" s="481">
        <f>C73*Q73</f>
        <v>0</v>
      </c>
      <c r="R87" s="481">
        <f t="shared" ref="R87:R90" si="378">D73*R73</f>
        <v>0</v>
      </c>
      <c r="S87" s="481">
        <f t="shared" ref="S87:S90" ca="1" si="379">E73*S73</f>
        <v>0</v>
      </c>
      <c r="T87" s="481">
        <f t="shared" ca="1" si="348"/>
        <v>0</v>
      </c>
      <c r="U87" s="481">
        <f t="shared" ca="1" si="349"/>
        <v>0</v>
      </c>
      <c r="V87" s="481">
        <f t="shared" ca="1" si="350"/>
        <v>0</v>
      </c>
      <c r="W87" s="481">
        <f t="shared" ca="1" si="351"/>
        <v>0</v>
      </c>
      <c r="X87" s="481">
        <f t="shared" ca="1" si="352"/>
        <v>0</v>
      </c>
      <c r="Y87" s="481">
        <f t="shared" ca="1" si="353"/>
        <v>0</v>
      </c>
      <c r="Z87" s="481">
        <f t="shared" ca="1" si="354"/>
        <v>0</v>
      </c>
      <c r="AA87" s="499"/>
      <c r="AB87" s="485" t="s">
        <v>392</v>
      </c>
      <c r="AC87" s="489">
        <v>0</v>
      </c>
      <c r="AD87" s="498">
        <f t="shared" ref="AD87:AL87" ca="1" si="380">AC87+_xlfn.NORM.DIST(RAND(), 0, 1, FALSE)%</f>
        <v>3.8402510789008791E-3</v>
      </c>
      <c r="AE87" s="498">
        <f t="shared" ca="1" si="380"/>
        <v>7.6687035457174285E-3</v>
      </c>
      <c r="AF87" s="498">
        <f t="shared" ca="1" si="380"/>
        <v>1.1638522957853406E-2</v>
      </c>
      <c r="AG87" s="498">
        <f t="shared" ca="1" si="380"/>
        <v>1.5320932123893504E-2</v>
      </c>
      <c r="AH87" s="498">
        <f t="shared" ca="1" si="380"/>
        <v>1.8928628267248181E-2</v>
      </c>
      <c r="AI87" s="498">
        <f t="shared" ca="1" si="380"/>
        <v>2.2372612051435516E-2</v>
      </c>
      <c r="AJ87" s="498">
        <f t="shared" ca="1" si="380"/>
        <v>2.6346392163616901E-2</v>
      </c>
      <c r="AK87" s="498">
        <f ca="1">AJ87+_xlfn.NORM.DIST(RAND(), 0, 1, FALSE)%</f>
        <v>2.8828938263249435E-2</v>
      </c>
      <c r="AL87" s="498">
        <f t="shared" ref="AL87" ca="1" si="381">AK87+_xlfn.NORM.DIST(RAND(), 0, 1, FALSE)%</f>
        <v>3.1819350019989215E-2</v>
      </c>
      <c r="AM87" s="485"/>
      <c r="AN87" s="485"/>
      <c r="AO87" s="485"/>
      <c r="AP87" s="485" t="s">
        <v>392</v>
      </c>
      <c r="AQ87" s="487">
        <f>AC73*AQ73</f>
        <v>0</v>
      </c>
      <c r="AR87" s="487">
        <f t="shared" ref="AR87:AR90" si="382">AD73*AR73</f>
        <v>0</v>
      </c>
      <c r="AS87" s="487">
        <f t="shared" ref="AS87:AS90" ca="1" si="383">AE73*AS73</f>
        <v>0</v>
      </c>
      <c r="AT87" s="487">
        <f t="shared" ca="1" si="358"/>
        <v>0</v>
      </c>
      <c r="AU87" s="487">
        <f t="shared" ca="1" si="359"/>
        <v>0</v>
      </c>
      <c r="AV87" s="487">
        <f t="shared" ca="1" si="360"/>
        <v>0</v>
      </c>
      <c r="AW87" s="487">
        <f t="shared" ca="1" si="361"/>
        <v>0</v>
      </c>
      <c r="AX87" s="487">
        <f t="shared" ca="1" si="362"/>
        <v>0</v>
      </c>
      <c r="AY87" s="487">
        <f t="shared" ca="1" si="363"/>
        <v>0</v>
      </c>
      <c r="AZ87" s="487">
        <f t="shared" ca="1" si="364"/>
        <v>0</v>
      </c>
    </row>
    <row r="88" spans="2:52">
      <c r="B88" s="479" t="s">
        <v>393</v>
      </c>
      <c r="C88" s="483">
        <v>0</v>
      </c>
      <c r="D88" s="492">
        <f t="shared" ref="D88:L88" ca="1" si="384">C88+_xlfn.NORM.DIST(RAND(), 0, 1, FALSE)%</f>
        <v>2.4327279595676848E-3</v>
      </c>
      <c r="E88" s="492">
        <f t="shared" ca="1" si="384"/>
        <v>5.2439639906809903E-3</v>
      </c>
      <c r="F88" s="492">
        <f t="shared" ca="1" si="384"/>
        <v>8.580088510202033E-3</v>
      </c>
      <c r="G88" s="492">
        <f t="shared" ca="1" si="384"/>
        <v>1.250427544645301E-2</v>
      </c>
      <c r="H88" s="492">
        <f t="shared" ca="1" si="384"/>
        <v>1.5652152097841866E-2</v>
      </c>
      <c r="I88" s="492">
        <f t="shared" ca="1" si="384"/>
        <v>1.8675494470876748E-2</v>
      </c>
      <c r="J88" s="492">
        <f t="shared" ca="1" si="384"/>
        <v>2.2519494189668983E-2</v>
      </c>
      <c r="K88" s="492">
        <f ca="1">J88+_xlfn.NORM.DIST(RAND(), 0, 1, FALSE)%</f>
        <v>2.4973118999894239E-2</v>
      </c>
      <c r="L88" s="492">
        <f t="shared" ca="1" si="374"/>
        <v>2.7848398627465493E-2</v>
      </c>
      <c r="M88" s="479"/>
      <c r="N88" s="479"/>
      <c r="O88" s="479"/>
      <c r="P88" s="479" t="s">
        <v>393</v>
      </c>
      <c r="Q88" s="481">
        <f t="shared" ref="Q88:Q90" si="385">C74*Q74</f>
        <v>0</v>
      </c>
      <c r="R88" s="481">
        <f t="shared" si="378"/>
        <v>0</v>
      </c>
      <c r="S88" s="481">
        <f t="shared" si="379"/>
        <v>0</v>
      </c>
      <c r="T88" s="481">
        <f t="shared" si="348"/>
        <v>0</v>
      </c>
      <c r="U88" s="481">
        <f t="shared" si="349"/>
        <v>0</v>
      </c>
      <c r="V88" s="481">
        <f t="shared" si="350"/>
        <v>0</v>
      </c>
      <c r="W88" s="481">
        <f t="shared" si="351"/>
        <v>0</v>
      </c>
      <c r="X88" s="481">
        <f t="shared" si="352"/>
        <v>0</v>
      </c>
      <c r="Y88" s="481">
        <f t="shared" si="353"/>
        <v>0</v>
      </c>
      <c r="Z88" s="481">
        <f t="shared" si="354"/>
        <v>0</v>
      </c>
      <c r="AA88" s="499"/>
      <c r="AB88" s="485" t="s">
        <v>393</v>
      </c>
      <c r="AC88" s="489">
        <v>0</v>
      </c>
      <c r="AD88" s="498">
        <f t="shared" ref="AD88:AL88" ca="1" si="386">AC88+_xlfn.NORM.DIST(RAND(), 0, 1, FALSE)%</f>
        <v>3.1767771459109656E-3</v>
      </c>
      <c r="AE88" s="498">
        <f t="shared" ca="1" si="386"/>
        <v>7.1656057322715058E-3</v>
      </c>
      <c r="AF88" s="498">
        <f t="shared" ca="1" si="386"/>
        <v>1.0182227987589417E-2</v>
      </c>
      <c r="AG88" s="498">
        <f t="shared" ca="1" si="386"/>
        <v>1.4070074445505789E-2</v>
      </c>
      <c r="AH88" s="498">
        <f t="shared" ca="1" si="386"/>
        <v>1.7920242625454011E-2</v>
      </c>
      <c r="AI88" s="498">
        <f t="shared" ca="1" si="386"/>
        <v>2.1052450287101062E-2</v>
      </c>
      <c r="AJ88" s="498">
        <f t="shared" ca="1" si="386"/>
        <v>2.3837989618150028E-2</v>
      </c>
      <c r="AK88" s="498">
        <f ca="1">AJ88+_xlfn.NORM.DIST(RAND(), 0, 1, FALSE)%</f>
        <v>2.6338607457146529E-2</v>
      </c>
      <c r="AL88" s="498">
        <f t="shared" ref="AL88" ca="1" si="387">AK88+_xlfn.NORM.DIST(RAND(), 0, 1, FALSE)%</f>
        <v>3.0175235313479244E-2</v>
      </c>
      <c r="AM88" s="485"/>
      <c r="AN88" s="485"/>
      <c r="AO88" s="485"/>
      <c r="AP88" s="485" t="s">
        <v>393</v>
      </c>
      <c r="AQ88" s="487">
        <f t="shared" ref="AQ88:AQ90" si="388">AC74*AQ74</f>
        <v>0</v>
      </c>
      <c r="AR88" s="487">
        <f t="shared" si="382"/>
        <v>0</v>
      </c>
      <c r="AS88" s="487">
        <f t="shared" si="383"/>
        <v>0</v>
      </c>
      <c r="AT88" s="487">
        <f t="shared" si="358"/>
        <v>0</v>
      </c>
      <c r="AU88" s="487">
        <f t="shared" si="359"/>
        <v>0</v>
      </c>
      <c r="AV88" s="487">
        <f t="shared" si="360"/>
        <v>0</v>
      </c>
      <c r="AW88" s="487">
        <f t="shared" si="361"/>
        <v>0</v>
      </c>
      <c r="AX88" s="487">
        <f t="shared" si="362"/>
        <v>0</v>
      </c>
      <c r="AY88" s="487">
        <f t="shared" si="363"/>
        <v>0</v>
      </c>
      <c r="AZ88" s="487">
        <f t="shared" si="364"/>
        <v>0</v>
      </c>
    </row>
    <row r="89" spans="2:52">
      <c r="B89" s="479" t="s">
        <v>394</v>
      </c>
      <c r="C89" s="483">
        <v>0</v>
      </c>
      <c r="D89" s="492">
        <f t="shared" ref="D89:L89" ca="1" si="389">C89+_xlfn.NORM.DIST(RAND(), 0, 1, FALSE)%</f>
        <v>3.9787425568640457E-3</v>
      </c>
      <c r="E89" s="492">
        <f t="shared" ca="1" si="389"/>
        <v>7.6248111128875626E-3</v>
      </c>
      <c r="F89" s="492">
        <f t="shared" ca="1" si="389"/>
        <v>1.0434871724306566E-2</v>
      </c>
      <c r="G89" s="492">
        <f t="shared" ca="1" si="389"/>
        <v>1.3158796907559974E-2</v>
      </c>
      <c r="H89" s="492">
        <f t="shared" ca="1" si="389"/>
        <v>1.6950259944315687E-2</v>
      </c>
      <c r="I89" s="492">
        <f t="shared" ca="1" si="389"/>
        <v>1.9561842478330795E-2</v>
      </c>
      <c r="J89" s="492">
        <f t="shared" ca="1" si="389"/>
        <v>2.2207003451596655E-2</v>
      </c>
      <c r="K89" s="492">
        <f ca="1">J89+_xlfn.NORM.DIST(RAND(), 0, 1, FALSE)%</f>
        <v>2.6067925261799907E-2</v>
      </c>
      <c r="L89" s="492">
        <f t="shared" ca="1" si="374"/>
        <v>2.9314959558452907E-2</v>
      </c>
      <c r="M89" s="479"/>
      <c r="N89" s="479"/>
      <c r="O89" s="479"/>
      <c r="P89" s="479" t="s">
        <v>394</v>
      </c>
      <c r="Q89" s="481">
        <f t="shared" si="385"/>
        <v>0</v>
      </c>
      <c r="R89" s="481">
        <f t="shared" si="378"/>
        <v>0</v>
      </c>
      <c r="S89" s="481">
        <f t="shared" ca="1" si="379"/>
        <v>0</v>
      </c>
      <c r="T89" s="481">
        <f t="shared" ca="1" si="348"/>
        <v>0</v>
      </c>
      <c r="U89" s="481">
        <f t="shared" ca="1" si="349"/>
        <v>0</v>
      </c>
      <c r="V89" s="481">
        <f t="shared" ca="1" si="350"/>
        <v>0</v>
      </c>
      <c r="W89" s="481">
        <f t="shared" ca="1" si="351"/>
        <v>0</v>
      </c>
      <c r="X89" s="481">
        <f t="shared" ca="1" si="352"/>
        <v>0</v>
      </c>
      <c r="Y89" s="481">
        <f t="shared" ca="1" si="353"/>
        <v>0</v>
      </c>
      <c r="Z89" s="481">
        <f t="shared" ca="1" si="354"/>
        <v>0</v>
      </c>
      <c r="AA89" s="499"/>
      <c r="AB89" s="485" t="s">
        <v>394</v>
      </c>
      <c r="AC89" s="489">
        <v>0</v>
      </c>
      <c r="AD89" s="498">
        <f t="shared" ref="AD89:AL89" ca="1" si="390">AC89+_xlfn.NORM.DIST(RAND(), 0, 1, FALSE)%</f>
        <v>3.8266825227561379E-3</v>
      </c>
      <c r="AE89" s="498">
        <f t="shared" ca="1" si="390"/>
        <v>6.9794799874746804E-3</v>
      </c>
      <c r="AF89" s="498">
        <f t="shared" ca="1" si="390"/>
        <v>1.0711299510896607E-2</v>
      </c>
      <c r="AG89" s="498">
        <f t="shared" ca="1" si="390"/>
        <v>1.4610553670836801E-2</v>
      </c>
      <c r="AH89" s="498">
        <f t="shared" ca="1" si="390"/>
        <v>1.8560527760114034E-2</v>
      </c>
      <c r="AI89" s="498">
        <f t="shared" ca="1" si="390"/>
        <v>2.2451680928988683E-2</v>
      </c>
      <c r="AJ89" s="498">
        <f t="shared" ca="1" si="390"/>
        <v>2.6184085217698348E-2</v>
      </c>
      <c r="AK89" s="498">
        <f ca="1">AJ89+_xlfn.NORM.DIST(RAND(), 0, 1, FALSE)%</f>
        <v>2.8833572133893787E-2</v>
      </c>
      <c r="AL89" s="498">
        <f t="shared" ref="AL89" ca="1" si="391">AK89+_xlfn.NORM.DIST(RAND(), 0, 1, FALSE)%</f>
        <v>3.2783909514821137E-2</v>
      </c>
      <c r="AM89" s="485"/>
      <c r="AN89" s="485"/>
      <c r="AO89" s="485"/>
      <c r="AP89" s="485" t="s">
        <v>394</v>
      </c>
      <c r="AQ89" s="487">
        <f t="shared" si="388"/>
        <v>0</v>
      </c>
      <c r="AR89" s="487">
        <f t="shared" si="382"/>
        <v>0</v>
      </c>
      <c r="AS89" s="487">
        <f t="shared" ca="1" si="383"/>
        <v>0</v>
      </c>
      <c r="AT89" s="487">
        <f t="shared" ca="1" si="358"/>
        <v>0</v>
      </c>
      <c r="AU89" s="487">
        <f t="shared" ca="1" si="359"/>
        <v>0</v>
      </c>
      <c r="AV89" s="487">
        <f t="shared" ca="1" si="360"/>
        <v>0</v>
      </c>
      <c r="AW89" s="487">
        <f t="shared" ca="1" si="361"/>
        <v>0</v>
      </c>
      <c r="AX89" s="487">
        <f t="shared" ca="1" si="362"/>
        <v>0</v>
      </c>
      <c r="AY89" s="487">
        <f t="shared" ca="1" si="363"/>
        <v>0</v>
      </c>
      <c r="AZ89" s="487">
        <f t="shared" ca="1" si="364"/>
        <v>0</v>
      </c>
    </row>
    <row r="90" spans="2:52">
      <c r="B90" s="479" t="s">
        <v>395</v>
      </c>
      <c r="C90" s="483">
        <v>0</v>
      </c>
      <c r="D90" s="492">
        <f t="shared" ref="D90:L90" ca="1" si="392">C90+_xlfn.NORM.DIST(RAND(), 0, 1, FALSE)%</f>
        <v>3.3255588619830094E-3</v>
      </c>
      <c r="E90" s="492">
        <f t="shared" ca="1" si="392"/>
        <v>7.1229428378519442E-3</v>
      </c>
      <c r="F90" s="492">
        <f t="shared" ca="1" si="392"/>
        <v>9.9918589271732611E-3</v>
      </c>
      <c r="G90" s="492">
        <f t="shared" ca="1" si="392"/>
        <v>1.3051382436731401E-2</v>
      </c>
      <c r="H90" s="492">
        <f t="shared" ca="1" si="392"/>
        <v>1.7021176198055484E-2</v>
      </c>
      <c r="I90" s="492">
        <f t="shared" ca="1" si="392"/>
        <v>2.0845274541503745E-2</v>
      </c>
      <c r="J90" s="492">
        <f t="shared" ca="1" si="392"/>
        <v>2.4834697161136614E-2</v>
      </c>
      <c r="K90" s="492">
        <f ca="1">J90+_xlfn.NORM.DIST(RAND(), 0, 1, FALSE)%</f>
        <v>2.7715104251575279E-2</v>
      </c>
      <c r="L90" s="492">
        <f t="shared" ca="1" si="374"/>
        <v>3.1532760349185215E-2</v>
      </c>
      <c r="M90" s="479"/>
      <c r="N90" s="479"/>
      <c r="O90" s="479"/>
      <c r="P90" s="479" t="s">
        <v>395</v>
      </c>
      <c r="Q90" s="481">
        <f t="shared" si="385"/>
        <v>0</v>
      </c>
      <c r="R90" s="481">
        <f t="shared" si="378"/>
        <v>0</v>
      </c>
      <c r="S90" s="481">
        <f t="shared" ca="1" si="379"/>
        <v>0</v>
      </c>
      <c r="T90" s="481">
        <f t="shared" ca="1" si="348"/>
        <v>0</v>
      </c>
      <c r="U90" s="481">
        <f t="shared" ca="1" si="349"/>
        <v>0</v>
      </c>
      <c r="V90" s="481">
        <f t="shared" ca="1" si="350"/>
        <v>0</v>
      </c>
      <c r="W90" s="481">
        <f t="shared" ca="1" si="351"/>
        <v>0</v>
      </c>
      <c r="X90" s="481">
        <f t="shared" ca="1" si="352"/>
        <v>0</v>
      </c>
      <c r="Y90" s="481">
        <f t="shared" ca="1" si="353"/>
        <v>0</v>
      </c>
      <c r="Z90" s="481">
        <f t="shared" ca="1" si="354"/>
        <v>0</v>
      </c>
      <c r="AA90" s="499"/>
      <c r="AB90" s="485" t="s">
        <v>395</v>
      </c>
      <c r="AC90" s="489">
        <v>0</v>
      </c>
      <c r="AD90" s="498">
        <f t="shared" ref="AD90:AL90" ca="1" si="393">AC90+_xlfn.NORM.DIST(RAND(), 0, 1, FALSE)%</f>
        <v>3.9892024560669384E-3</v>
      </c>
      <c r="AE90" s="498">
        <f t="shared" ca="1" si="393"/>
        <v>7.1964763829270185E-3</v>
      </c>
      <c r="AF90" s="498">
        <f t="shared" ca="1" si="393"/>
        <v>9.9753950030131901E-3</v>
      </c>
      <c r="AG90" s="498">
        <f t="shared" ca="1" si="393"/>
        <v>1.3174585495625082E-2</v>
      </c>
      <c r="AH90" s="498">
        <f t="shared" ca="1" si="393"/>
        <v>1.7142863954109799E-2</v>
      </c>
      <c r="AI90" s="498">
        <f t="shared" ca="1" si="393"/>
        <v>2.077167997883924E-2</v>
      </c>
      <c r="AJ90" s="498">
        <f t="shared" ca="1" si="393"/>
        <v>2.4751933821973146E-2</v>
      </c>
      <c r="AK90" s="498">
        <f ca="1">AJ90+_xlfn.NORM.DIST(RAND(), 0, 1, FALSE)%</f>
        <v>2.873804673873653E-2</v>
      </c>
      <c r="AL90" s="498">
        <f t="shared" ref="AL90" ca="1" si="394">AK90+_xlfn.NORM.DIST(RAND(), 0, 1, FALSE)%</f>
        <v>3.1202587429777839E-2</v>
      </c>
      <c r="AM90" s="485"/>
      <c r="AN90" s="485"/>
      <c r="AO90" s="485"/>
      <c r="AP90" s="485" t="s">
        <v>395</v>
      </c>
      <c r="AQ90" s="487">
        <f t="shared" si="388"/>
        <v>0</v>
      </c>
      <c r="AR90" s="487">
        <f t="shared" si="382"/>
        <v>0</v>
      </c>
      <c r="AS90" s="487">
        <f t="shared" ca="1" si="383"/>
        <v>0</v>
      </c>
      <c r="AT90" s="487">
        <f t="shared" ca="1" si="358"/>
        <v>0</v>
      </c>
      <c r="AU90" s="487">
        <f t="shared" ca="1" si="359"/>
        <v>0</v>
      </c>
      <c r="AV90" s="487">
        <f t="shared" ca="1" si="360"/>
        <v>0</v>
      </c>
      <c r="AW90" s="487">
        <f t="shared" ca="1" si="361"/>
        <v>0</v>
      </c>
      <c r="AX90" s="487">
        <f t="shared" ca="1" si="362"/>
        <v>0</v>
      </c>
      <c r="AY90" s="487">
        <f t="shared" ca="1" si="363"/>
        <v>0</v>
      </c>
      <c r="AZ90" s="487">
        <f t="shared" ca="1" si="364"/>
        <v>0</v>
      </c>
    </row>
    <row r="91" spans="2:52">
      <c r="B91" s="479"/>
      <c r="C91" s="479"/>
      <c r="D91" s="479"/>
      <c r="E91" s="479"/>
      <c r="F91" s="479"/>
      <c r="G91" s="479"/>
      <c r="H91" s="479"/>
      <c r="I91" s="479"/>
      <c r="J91" s="479"/>
      <c r="K91" s="479"/>
      <c r="L91" s="479"/>
      <c r="M91" s="479"/>
      <c r="N91" s="479"/>
      <c r="O91" s="479"/>
      <c r="P91" s="479" t="s">
        <v>405</v>
      </c>
      <c r="Q91" s="481">
        <f>SUM(Q82:Q90)</f>
        <v>4930000</v>
      </c>
      <c r="R91" s="481">
        <f t="shared" ref="R91" si="395">SUM(R82:R90)</f>
        <v>7201030.4500000002</v>
      </c>
      <c r="S91" s="481">
        <f t="shared" ref="S91" ca="1" si="396">SUM(S82:S90)</f>
        <v>10943605.67090328</v>
      </c>
      <c r="T91" s="481">
        <f t="shared" ref="T91" ca="1" si="397">SUM(T82:T90)</f>
        <v>11839045.576099584</v>
      </c>
      <c r="U91" s="481">
        <f t="shared" ref="U91" ca="1" si="398">SUM(U82:U90)</f>
        <v>12853212.730137356</v>
      </c>
      <c r="V91" s="481">
        <f t="shared" ref="V91" ca="1" si="399">SUM(V82:V90)</f>
        <v>14000808.720124815</v>
      </c>
      <c r="W91" s="481">
        <f t="shared" ref="W91" ca="1" si="400">SUM(W82:W90)</f>
        <v>15308734.760594111</v>
      </c>
      <c r="X91" s="481">
        <f t="shared" ref="X91" ca="1" si="401">SUM(X82:X90)</f>
        <v>16798038.970461588</v>
      </c>
      <c r="Y91" s="481">
        <f t="shared" ref="Y91" ca="1" si="402">SUM(Y82:Y90)</f>
        <v>18497222.617550917</v>
      </c>
      <c r="Z91" s="481">
        <f t="shared" ref="Z91" ca="1" si="403">SUM(Z82:Z90)</f>
        <v>20439066.962913871</v>
      </c>
      <c r="AB91" s="485"/>
      <c r="AC91" s="485"/>
      <c r="AD91" s="485"/>
      <c r="AE91" s="485"/>
      <c r="AF91" s="485"/>
      <c r="AG91" s="485"/>
      <c r="AH91" s="485"/>
      <c r="AI91" s="485"/>
      <c r="AJ91" s="485"/>
      <c r="AK91" s="485"/>
      <c r="AL91" s="485"/>
      <c r="AM91" s="485"/>
      <c r="AN91" s="485"/>
      <c r="AO91" s="485"/>
      <c r="AP91" s="485" t="s">
        <v>405</v>
      </c>
      <c r="AQ91" s="487">
        <f>SUM(AQ82:AQ90)</f>
        <v>4930000</v>
      </c>
      <c r="AR91" s="487">
        <f t="shared" ref="AR91" si="404">SUM(AR82:AR90)</f>
        <v>7483100</v>
      </c>
      <c r="AS91" s="487">
        <f t="shared" ref="AS91" ca="1" si="405">SUM(AS82:AS90)</f>
        <v>11697511.153147049</v>
      </c>
      <c r="AT91" s="487">
        <f t="shared" ref="AT91" ca="1" si="406">SUM(AT82:AT90)</f>
        <v>13286228.097035982</v>
      </c>
      <c r="AU91" s="487">
        <f t="shared" ref="AU91" ca="1" si="407">SUM(AU82:AU90)</f>
        <v>15145609.432531316</v>
      </c>
      <c r="AV91" s="487">
        <f t="shared" ref="AV91" ca="1" si="408">SUM(AV82:AV90)</f>
        <v>17325984.514011241</v>
      </c>
      <c r="AW91" s="487">
        <f t="shared" ref="AW91" ca="1" si="409">SUM(AW82:AW90)</f>
        <v>19889287.249403603</v>
      </c>
      <c r="AX91" s="487">
        <f t="shared" ref="AX91" ca="1" si="410">SUM(AX82:AX90)</f>
        <v>22913550.748717796</v>
      </c>
      <c r="AY91" s="487">
        <f t="shared" ref="AY91" ca="1" si="411">SUM(AY82:AY90)</f>
        <v>26489500.324167717</v>
      </c>
      <c r="AZ91" s="487">
        <f t="shared" ref="AZ91" ca="1" si="412">SUM(AZ82:AZ90)</f>
        <v>30737168.911852796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43091-270D-4250-8909-6CE72ED1891C}">
  <dimension ref="A1:Z679"/>
  <sheetViews>
    <sheetView tabSelected="1" topLeftCell="A672" zoomScale="62" zoomScaleNormal="90" workbookViewId="0">
      <selection activeCell="AC35" sqref="AC35"/>
    </sheetView>
  </sheetViews>
  <sheetFormatPr defaultRowHeight="14.5"/>
  <cols>
    <col min="1" max="1" width="32.7265625" customWidth="1"/>
    <col min="2" max="2" width="16.54296875" customWidth="1"/>
    <col min="3" max="3" width="17.26953125" customWidth="1"/>
    <col min="4" max="4" width="17.6328125" customWidth="1"/>
    <col min="5" max="5" width="17.7265625" customWidth="1"/>
    <col min="6" max="6" width="17.81640625" customWidth="1"/>
    <col min="7" max="7" width="17.6328125" customWidth="1"/>
    <col min="8" max="8" width="17.36328125" customWidth="1"/>
    <col min="9" max="10" width="17.54296875" customWidth="1"/>
    <col min="11" max="11" width="17.6328125" customWidth="1"/>
    <col min="12" max="12" width="17.36328125" customWidth="1"/>
    <col min="13" max="13" width="16.7265625" bestFit="1" customWidth="1"/>
    <col min="16" max="17" width="10.36328125" bestFit="1" customWidth="1"/>
    <col min="18" max="25" width="12" bestFit="1" customWidth="1"/>
  </cols>
  <sheetData>
    <row r="1" spans="1:12">
      <c r="A1" s="1" t="s">
        <v>0</v>
      </c>
      <c r="B1" s="2" t="str">
        <f>'Table of Contents'!B1</f>
        <v>Electronics Manufacturing Venture</v>
      </c>
      <c r="C1" s="3"/>
      <c r="D1" s="3"/>
      <c r="E1" s="4" t="s">
        <v>1</v>
      </c>
      <c r="F1" s="5" t="s">
        <v>2</v>
      </c>
    </row>
    <row r="2" spans="1:12">
      <c r="A2" s="1" t="s">
        <v>3</v>
      </c>
      <c r="B2" s="2" t="str">
        <f>'Table of Contents'!B2</f>
        <v>Krishnamurthy Bindumadhavan</v>
      </c>
      <c r="C2" s="3"/>
      <c r="D2" s="3"/>
      <c r="E2" s="6" t="s">
        <v>4</v>
      </c>
      <c r="F2" s="5" t="s">
        <v>5</v>
      </c>
    </row>
    <row r="3" spans="1:12">
      <c r="A3" s="1" t="s">
        <v>6</v>
      </c>
      <c r="B3" s="2" t="s">
        <v>80</v>
      </c>
      <c r="C3" s="3"/>
      <c r="D3" s="3"/>
      <c r="E3" s="7" t="s">
        <v>8</v>
      </c>
      <c r="F3" s="5" t="s">
        <v>9</v>
      </c>
    </row>
    <row r="4" spans="1:12">
      <c r="A4" s="8" t="s">
        <v>10</v>
      </c>
      <c r="B4" s="9">
        <v>46033</v>
      </c>
      <c r="C4" s="3"/>
      <c r="D4" s="3"/>
      <c r="E4" s="10" t="s">
        <v>11</v>
      </c>
      <c r="F4" s="5" t="s">
        <v>12</v>
      </c>
    </row>
    <row r="5" spans="1:12" ht="15" thickBot="1"/>
    <row r="6" spans="1:12" ht="19" thickBot="1">
      <c r="A6" s="131" t="s">
        <v>80</v>
      </c>
      <c r="B6" s="26"/>
      <c r="C6" s="27" t="s">
        <v>139</v>
      </c>
      <c r="D6" s="27" t="s">
        <v>140</v>
      </c>
      <c r="E6" s="27" t="s">
        <v>141</v>
      </c>
      <c r="F6" s="27" t="s">
        <v>142</v>
      </c>
      <c r="G6" s="27" t="s">
        <v>143</v>
      </c>
      <c r="H6" s="27" t="s">
        <v>144</v>
      </c>
      <c r="I6" s="27" t="s">
        <v>145</v>
      </c>
      <c r="J6" s="27" t="s">
        <v>146</v>
      </c>
      <c r="K6" s="27" t="s">
        <v>147</v>
      </c>
      <c r="L6" s="28" t="s">
        <v>148</v>
      </c>
    </row>
    <row r="7" spans="1:12" ht="18.5">
      <c r="A7" s="132"/>
      <c r="B7" s="133"/>
      <c r="C7" s="134"/>
      <c r="D7" s="134"/>
      <c r="E7" s="134"/>
      <c r="F7" s="134"/>
      <c r="G7" s="134"/>
      <c r="H7" s="134"/>
      <c r="I7" s="134"/>
      <c r="J7" s="134"/>
      <c r="K7" s="134"/>
      <c r="L7" s="135"/>
    </row>
    <row r="8" spans="1:12" ht="18.5">
      <c r="A8" s="136" t="s">
        <v>95</v>
      </c>
      <c r="B8" s="137"/>
      <c r="C8" s="53"/>
      <c r="D8" s="53"/>
      <c r="E8" s="53"/>
      <c r="F8" s="53"/>
      <c r="G8" s="53"/>
      <c r="H8" s="53"/>
      <c r="I8" s="53"/>
      <c r="J8" s="53"/>
      <c r="K8" s="53"/>
      <c r="L8" s="54"/>
    </row>
    <row r="9" spans="1:12">
      <c r="A9" s="14"/>
      <c r="B9" s="137"/>
      <c r="C9" s="53"/>
      <c r="D9" s="53"/>
      <c r="E9" s="53"/>
      <c r="F9" s="53"/>
      <c r="G9" s="53"/>
      <c r="H9" s="53"/>
      <c r="I9" s="53"/>
      <c r="J9" s="53"/>
      <c r="K9" s="53"/>
      <c r="L9" s="54"/>
    </row>
    <row r="10" spans="1:12">
      <c r="A10" s="14" t="s">
        <v>285</v>
      </c>
      <c r="B10" s="137"/>
      <c r="C10" s="53">
        <f>Assumptions!$D$7</f>
        <v>254</v>
      </c>
      <c r="D10" s="53">
        <f t="shared" ref="D10:L10" si="0">C10</f>
        <v>254</v>
      </c>
      <c r="E10" s="53">
        <f t="shared" si="0"/>
        <v>254</v>
      </c>
      <c r="F10" s="53">
        <f t="shared" si="0"/>
        <v>254</v>
      </c>
      <c r="G10" s="53">
        <f t="shared" si="0"/>
        <v>254</v>
      </c>
      <c r="H10" s="53">
        <f t="shared" si="0"/>
        <v>254</v>
      </c>
      <c r="I10" s="53">
        <f t="shared" si="0"/>
        <v>254</v>
      </c>
      <c r="J10" s="53">
        <f t="shared" si="0"/>
        <v>254</v>
      </c>
      <c r="K10" s="53">
        <f t="shared" si="0"/>
        <v>254</v>
      </c>
      <c r="L10" s="54">
        <f t="shared" si="0"/>
        <v>254</v>
      </c>
    </row>
    <row r="11" spans="1:12" ht="15.5">
      <c r="A11" s="139"/>
      <c r="B11" s="137"/>
      <c r="C11" s="140"/>
      <c r="D11" s="140"/>
      <c r="E11" s="140"/>
      <c r="F11" s="140"/>
      <c r="G11" s="140"/>
      <c r="H11" s="140"/>
      <c r="I11" s="140"/>
      <c r="J11" s="140"/>
      <c r="K11" s="140"/>
      <c r="L11" s="141"/>
    </row>
    <row r="12" spans="1:12" ht="18.5">
      <c r="A12" s="136" t="s">
        <v>300</v>
      </c>
      <c r="B12" s="137"/>
      <c r="C12" s="140"/>
      <c r="D12" s="140"/>
      <c r="E12" s="140"/>
      <c r="F12" s="140"/>
      <c r="G12" s="140"/>
      <c r="H12" s="140"/>
      <c r="I12" s="140"/>
      <c r="J12" s="140"/>
      <c r="K12" s="140"/>
      <c r="L12" s="141"/>
    </row>
    <row r="13" spans="1:12" ht="15.5">
      <c r="A13" s="507" t="s">
        <v>400</v>
      </c>
      <c r="B13" s="137"/>
      <c r="C13" s="140"/>
      <c r="D13" s="140"/>
      <c r="E13" s="140"/>
      <c r="F13" s="140"/>
      <c r="G13" s="140"/>
      <c r="H13" s="140"/>
      <c r="I13" s="140"/>
      <c r="J13" s="140"/>
      <c r="K13" s="140"/>
      <c r="L13" s="141"/>
    </row>
    <row r="14" spans="1:12" ht="15.5">
      <c r="A14" s="506" t="s">
        <v>406</v>
      </c>
      <c r="B14" s="501"/>
      <c r="C14" s="53"/>
      <c r="D14" s="53"/>
      <c r="E14" s="53"/>
      <c r="F14" s="53"/>
      <c r="G14" s="53"/>
      <c r="H14" s="53"/>
      <c r="I14" s="53"/>
      <c r="J14" s="53"/>
      <c r="K14" s="53"/>
      <c r="L14" s="53"/>
    </row>
    <row r="15" spans="1:12">
      <c r="A15" s="504" t="s">
        <v>311</v>
      </c>
      <c r="B15" s="501"/>
      <c r="C15" s="138">
        <f>Revenue!Q8</f>
        <v>1540</v>
      </c>
      <c r="D15" s="138">
        <f>Revenue!R8</f>
        <v>1632.4</v>
      </c>
      <c r="E15" s="138">
        <f ca="1">Revenue!S8</f>
        <v>1736.6820341381285</v>
      </c>
      <c r="F15" s="138">
        <f ca="1">Revenue!T8</f>
        <v>1854.3306786367887</v>
      </c>
      <c r="G15" s="138">
        <f ca="1">Revenue!U8</f>
        <v>1987.2225291766247</v>
      </c>
      <c r="H15" s="138">
        <f ca="1">Revenue!V8</f>
        <v>2137.483962569986</v>
      </c>
      <c r="I15" s="138">
        <f ca="1">Revenue!W8</f>
        <v>2306.1176562826577</v>
      </c>
      <c r="J15" s="138">
        <f ca="1">Revenue!X8</f>
        <v>2497.227918757425</v>
      </c>
      <c r="K15" s="138">
        <f ca="1">Revenue!Y8</f>
        <v>2712.679517886108</v>
      </c>
      <c r="L15" s="138">
        <f ca="1">Revenue!Z8</f>
        <v>2957.3532687975853</v>
      </c>
    </row>
    <row r="16" spans="1:12">
      <c r="A16" s="504" t="s">
        <v>60</v>
      </c>
      <c r="B16" s="501"/>
      <c r="C16" s="500">
        <f>Revenue!C8</f>
        <v>1000</v>
      </c>
      <c r="D16" s="500">
        <f>Revenue!D8</f>
        <v>1046</v>
      </c>
      <c r="E16" s="500">
        <f>Revenue!E8</f>
        <v>1094.116</v>
      </c>
      <c r="F16" s="500">
        <f>Revenue!F8</f>
        <v>1144.445336</v>
      </c>
      <c r="G16" s="500">
        <f>Revenue!G8</f>
        <v>1197.089821456</v>
      </c>
      <c r="H16" s="500">
        <f>Revenue!H8</f>
        <v>1252.155953242976</v>
      </c>
      <c r="I16" s="500">
        <f>Revenue!I8</f>
        <v>1309.7551270921529</v>
      </c>
      <c r="J16" s="500">
        <f>Revenue!J8</f>
        <v>1370.0038629383919</v>
      </c>
      <c r="K16" s="500">
        <f>Revenue!K8</f>
        <v>1433.0240406335579</v>
      </c>
      <c r="L16" s="500">
        <f>Revenue!L8</f>
        <v>1498.9431465027017</v>
      </c>
    </row>
    <row r="17" spans="1:26" ht="15.5">
      <c r="A17" s="504" t="s">
        <v>417</v>
      </c>
      <c r="B17" s="501"/>
      <c r="C17" s="500">
        <f>C15*C16</f>
        <v>1540000</v>
      </c>
      <c r="D17" s="500">
        <f t="shared" ref="D17:L17" si="1">D15*D16</f>
        <v>1707490.4000000001</v>
      </c>
      <c r="E17" s="500">
        <f t="shared" ca="1" si="1"/>
        <v>1900131.6004630725</v>
      </c>
      <c r="F17" s="500">
        <f t="shared" ca="1" si="1"/>
        <v>2122180.0965675875</v>
      </c>
      <c r="G17" s="500">
        <f t="shared" ca="1" si="1"/>
        <v>2378883.8626453863</v>
      </c>
      <c r="H17" s="500">
        <f t="shared" ca="1" si="1"/>
        <v>2676463.2686933945</v>
      </c>
      <c r="I17" s="500">
        <f t="shared" ca="1" si="1"/>
        <v>3020449.4239939498</v>
      </c>
      <c r="J17" s="500">
        <f t="shared" ca="1" si="1"/>
        <v>3421211.8953352729</v>
      </c>
      <c r="K17" s="500">
        <f t="shared" ca="1" si="1"/>
        <v>3887334.9636650421</v>
      </c>
      <c r="L17" s="500">
        <f t="shared" ca="1" si="1"/>
        <v>4432904.4140515029</v>
      </c>
      <c r="N17" s="521"/>
      <c r="O17" s="440"/>
      <c r="P17" s="522"/>
      <c r="Q17" s="522"/>
      <c r="R17" s="522"/>
      <c r="S17" s="522"/>
      <c r="T17" s="522"/>
      <c r="U17" s="522"/>
      <c r="V17" s="522"/>
      <c r="W17" s="522"/>
      <c r="X17" s="522"/>
      <c r="Y17" s="522"/>
      <c r="Z17" s="440"/>
    </row>
    <row r="18" spans="1:26" ht="15.5">
      <c r="A18" s="506" t="s">
        <v>407</v>
      </c>
      <c r="B18" s="501"/>
      <c r="C18" s="53"/>
      <c r="D18" s="53"/>
      <c r="E18" s="53"/>
      <c r="F18" s="53"/>
      <c r="G18" s="53"/>
      <c r="H18" s="53"/>
      <c r="I18" s="53"/>
      <c r="J18" s="53"/>
      <c r="K18" s="53"/>
      <c r="L18" s="53"/>
      <c r="N18" s="440"/>
      <c r="O18" s="440"/>
      <c r="P18" s="440"/>
      <c r="Q18" s="440"/>
      <c r="R18" s="440"/>
      <c r="S18" s="440"/>
      <c r="T18" s="440"/>
      <c r="U18" s="440"/>
      <c r="V18" s="440"/>
      <c r="W18" s="440"/>
      <c r="X18" s="440"/>
      <c r="Y18" s="440"/>
      <c r="Z18" s="440"/>
    </row>
    <row r="19" spans="1:26" ht="15.5">
      <c r="A19" s="504" t="s">
        <v>409</v>
      </c>
      <c r="B19" s="501"/>
      <c r="C19" s="138">
        <f>Revenue!Q9</f>
        <v>1000</v>
      </c>
      <c r="D19" s="138">
        <f>Revenue!R9</f>
        <v>1060</v>
      </c>
      <c r="E19" s="138">
        <f ca="1">Revenue!S9</f>
        <v>1127.6284070972208</v>
      </c>
      <c r="F19" s="138">
        <f ca="1">Revenue!T9</f>
        <v>1203.5815450007806</v>
      </c>
      <c r="G19" s="138">
        <f ca="1">Revenue!U9</f>
        <v>1288.8746123591839</v>
      </c>
      <c r="H19" s="138">
        <f ca="1">Revenue!V9</f>
        <v>1385.1816314644534</v>
      </c>
      <c r="I19" s="138">
        <f ca="1">Revenue!W9</f>
        <v>1494.1472217225339</v>
      </c>
      <c r="J19" s="138">
        <f ca="1">Revenue!X9</f>
        <v>1616.4888556069732</v>
      </c>
      <c r="K19" s="138">
        <f ca="1">Revenue!Y9</f>
        <v>1753.6424758879209</v>
      </c>
      <c r="L19" s="138">
        <f ca="1">Revenue!Z9</f>
        <v>1909.2536383994141</v>
      </c>
      <c r="N19" s="521"/>
      <c r="O19" s="440"/>
      <c r="P19" s="440"/>
      <c r="Q19" s="440"/>
      <c r="R19" s="440"/>
      <c r="S19" s="440"/>
      <c r="T19" s="440"/>
      <c r="U19" s="440"/>
      <c r="V19" s="440"/>
      <c r="W19" s="440"/>
      <c r="X19" s="440"/>
      <c r="Y19" s="440"/>
      <c r="Z19" s="440"/>
    </row>
    <row r="20" spans="1:26">
      <c r="A20" s="508" t="s">
        <v>410</v>
      </c>
      <c r="B20" s="501"/>
      <c r="C20" s="500">
        <f>Revenue!C9</f>
        <v>850</v>
      </c>
      <c r="D20" s="500">
        <f>Revenue!D9</f>
        <v>889.1</v>
      </c>
      <c r="E20" s="500">
        <f>Revenue!E9</f>
        <v>929.99860000000001</v>
      </c>
      <c r="F20" s="500">
        <f>Revenue!F9</f>
        <v>972.77853560000005</v>
      </c>
      <c r="G20" s="500">
        <f>Revenue!G9</f>
        <v>1017.5263482376001</v>
      </c>
      <c r="H20" s="500">
        <f>Revenue!H9</f>
        <v>1064.3325602565299</v>
      </c>
      <c r="I20" s="500">
        <f>Revenue!I9</f>
        <v>1113.2918580283304</v>
      </c>
      <c r="J20" s="500">
        <f>Revenue!J9</f>
        <v>1164.5032834976337</v>
      </c>
      <c r="K20" s="500">
        <f>Revenue!K9</f>
        <v>1218.070434538525</v>
      </c>
      <c r="L20" s="500">
        <f>Revenue!L9</f>
        <v>1274.1016745272971</v>
      </c>
      <c r="N20" s="440"/>
      <c r="O20" s="440"/>
      <c r="P20" s="523"/>
      <c r="Q20" s="523"/>
      <c r="R20" s="523"/>
      <c r="S20" s="523"/>
      <c r="T20" s="523"/>
      <c r="U20" s="523"/>
      <c r="V20" s="523"/>
      <c r="W20" s="523"/>
      <c r="X20" s="523"/>
      <c r="Y20" s="523"/>
      <c r="Z20" s="440"/>
    </row>
    <row r="21" spans="1:26">
      <c r="A21" s="508" t="s">
        <v>418</v>
      </c>
      <c r="B21" s="501"/>
      <c r="C21" s="500">
        <f>C19*C20</f>
        <v>850000</v>
      </c>
      <c r="D21" s="500">
        <f t="shared" ref="D21:L21" si="2">D19*D20</f>
        <v>942446</v>
      </c>
      <c r="E21" s="500">
        <f t="shared" ca="1" si="2"/>
        <v>1048692.8399206453</v>
      </c>
      <c r="F21" s="500">
        <f t="shared" ca="1" si="2"/>
        <v>1170818.2928210448</v>
      </c>
      <c r="G21" s="500">
        <f t="shared" ca="1" si="2"/>
        <v>1311463.8776499927</v>
      </c>
      <c r="H21" s="500">
        <f t="shared" ca="1" si="2"/>
        <v>1474293.9122368786</v>
      </c>
      <c r="I21" s="500">
        <f t="shared" ca="1" si="2"/>
        <v>1663421.9366393473</v>
      </c>
      <c r="J21" s="500">
        <f t="shared" ca="1" si="2"/>
        <v>1882406.5800916525</v>
      </c>
      <c r="K21" s="500">
        <f t="shared" ca="1" si="2"/>
        <v>2136060.0526300147</v>
      </c>
      <c r="L21" s="500">
        <f t="shared" ca="1" si="2"/>
        <v>2432583.2577820281</v>
      </c>
      <c r="N21" s="440"/>
      <c r="O21" s="440"/>
      <c r="P21" s="524"/>
      <c r="Q21" s="522"/>
      <c r="R21" s="522"/>
      <c r="S21" s="522"/>
      <c r="T21" s="522"/>
      <c r="U21" s="522"/>
      <c r="V21" s="522"/>
      <c r="W21" s="522"/>
      <c r="X21" s="522"/>
      <c r="Y21" s="522"/>
      <c r="Z21" s="440"/>
    </row>
    <row r="22" spans="1:26" ht="15.5">
      <c r="A22" s="506" t="s">
        <v>408</v>
      </c>
      <c r="B22" s="501"/>
      <c r="C22" s="53"/>
      <c r="D22" s="53"/>
      <c r="E22" s="53"/>
      <c r="F22" s="53"/>
      <c r="G22" s="53"/>
      <c r="H22" s="53"/>
      <c r="I22" s="53"/>
      <c r="J22" s="53"/>
      <c r="K22" s="53"/>
      <c r="L22" s="53"/>
      <c r="N22" s="440"/>
      <c r="O22" s="440"/>
      <c r="P22" s="440"/>
      <c r="Q22" s="440"/>
      <c r="R22" s="440"/>
      <c r="S22" s="440"/>
      <c r="T22" s="440"/>
      <c r="U22" s="440"/>
      <c r="V22" s="440"/>
      <c r="W22" s="440"/>
      <c r="X22" s="440"/>
      <c r="Y22" s="440"/>
      <c r="Z22" s="440"/>
    </row>
    <row r="23" spans="1:26" ht="15.5">
      <c r="A23" s="504" t="s">
        <v>409</v>
      </c>
      <c r="B23" s="501"/>
      <c r="C23" s="138">
        <f>Revenue!Q10</f>
        <v>1270</v>
      </c>
      <c r="D23" s="138">
        <f>Revenue!R10</f>
        <v>1346.2</v>
      </c>
      <c r="E23" s="138">
        <f ca="1">Revenue!S10</f>
        <v>1432.0678711235275</v>
      </c>
      <c r="F23" s="138">
        <f ca="1">Revenue!T10</f>
        <v>1527.0724691013347</v>
      </c>
      <c r="G23" s="138">
        <f ca="1">Revenue!U10</f>
        <v>1633.0634838103288</v>
      </c>
      <c r="H23" s="138">
        <f ca="1">Revenue!V10</f>
        <v>1752.685267264535</v>
      </c>
      <c r="I23" s="138">
        <f ca="1">Revenue!W10</f>
        <v>1886.7245843063074</v>
      </c>
      <c r="J23" s="138">
        <f ca="1">Revenue!X10</f>
        <v>2037.8917408831733</v>
      </c>
      <c r="K23" s="138">
        <f ca="1">Revenue!Y10</f>
        <v>2206.1910203634393</v>
      </c>
      <c r="L23" s="138">
        <f ca="1">Revenue!Z10</f>
        <v>2396.5382310737236</v>
      </c>
      <c r="N23" s="521"/>
      <c r="O23" s="440"/>
      <c r="P23" s="522"/>
      <c r="Q23" s="522"/>
      <c r="R23" s="522"/>
      <c r="S23" s="522"/>
      <c r="T23" s="522"/>
      <c r="U23" s="522"/>
      <c r="V23" s="522"/>
      <c r="W23" s="522"/>
      <c r="X23" s="522"/>
      <c r="Y23" s="522"/>
      <c r="Z23" s="440"/>
    </row>
    <row r="24" spans="1:26" ht="15.5">
      <c r="A24" s="508" t="s">
        <v>410</v>
      </c>
      <c r="B24" s="501"/>
      <c r="C24" s="500">
        <f>Revenue!C10</f>
        <v>2000</v>
      </c>
      <c r="D24" s="500">
        <f>Revenue!D10</f>
        <v>2092</v>
      </c>
      <c r="E24" s="500">
        <f>Revenue!E10</f>
        <v>2188.232</v>
      </c>
      <c r="F24" s="500">
        <f>Revenue!F10</f>
        <v>2288.890672</v>
      </c>
      <c r="G24" s="500">
        <f>Revenue!G10</f>
        <v>2394.179642912</v>
      </c>
      <c r="H24" s="500">
        <f>Revenue!H10</f>
        <v>2504.311906485952</v>
      </c>
      <c r="I24" s="500">
        <f>Revenue!I10</f>
        <v>2619.5102541843057</v>
      </c>
      <c r="J24" s="500">
        <f>Revenue!J10</f>
        <v>2740.0077258767838</v>
      </c>
      <c r="K24" s="500">
        <f>Revenue!K10</f>
        <v>2866.0480812671158</v>
      </c>
      <c r="L24" s="500">
        <f>Revenue!L10</f>
        <v>2997.8862930054033</v>
      </c>
      <c r="N24" s="521"/>
      <c r="O24" s="440"/>
      <c r="P24" s="522"/>
      <c r="Q24" s="522"/>
      <c r="R24" s="522"/>
      <c r="S24" s="522"/>
      <c r="T24" s="522"/>
      <c r="U24" s="522"/>
      <c r="V24" s="522"/>
      <c r="W24" s="522"/>
      <c r="X24" s="522"/>
      <c r="Y24" s="522"/>
      <c r="Z24" s="440"/>
    </row>
    <row r="25" spans="1:26" ht="15.5">
      <c r="A25" s="508" t="s">
        <v>418</v>
      </c>
      <c r="B25" s="501"/>
      <c r="C25" s="500">
        <f>C23*C24</f>
        <v>2540000</v>
      </c>
      <c r="D25" s="500">
        <f t="shared" ref="D25:L25" si="3">D23*D24</f>
        <v>2816250.4</v>
      </c>
      <c r="E25" s="500">
        <f t="shared" ca="1" si="3"/>
        <v>3133696.7417643787</v>
      </c>
      <c r="F25" s="500">
        <f t="shared" ca="1" si="3"/>
        <v>3495301.9299940532</v>
      </c>
      <c r="G25" s="500">
        <f t="shared" ca="1" si="3"/>
        <v>3909847.3485216396</v>
      </c>
      <c r="H25" s="500">
        <f t="shared" ca="1" si="3"/>
        <v>4389270.5831330884</v>
      </c>
      <c r="I25" s="500">
        <f t="shared" ca="1" si="3"/>
        <v>4942294.3954119943</v>
      </c>
      <c r="J25" s="500">
        <f t="shared" ca="1" si="3"/>
        <v>5583839.1145203831</v>
      </c>
      <c r="K25" s="500">
        <f t="shared" ca="1" si="3"/>
        <v>6323049.5408213753</v>
      </c>
      <c r="L25" s="500">
        <f t="shared" ca="1" si="3"/>
        <v>7184549.113599332</v>
      </c>
      <c r="N25" s="521"/>
      <c r="O25" s="440"/>
      <c r="P25" s="440"/>
      <c r="Q25" s="440"/>
      <c r="R25" s="440"/>
      <c r="S25" s="440"/>
      <c r="T25" s="440"/>
      <c r="U25" s="440"/>
      <c r="V25" s="440"/>
      <c r="W25" s="440"/>
      <c r="X25" s="440"/>
      <c r="Y25" s="440"/>
      <c r="Z25" s="440"/>
    </row>
    <row r="26" spans="1:26" ht="15.5">
      <c r="A26" s="506" t="s">
        <v>411</v>
      </c>
      <c r="B26" s="501"/>
      <c r="C26" s="53"/>
      <c r="D26" s="53"/>
      <c r="E26" s="53"/>
      <c r="F26" s="53"/>
      <c r="G26" s="53"/>
      <c r="H26" s="53"/>
      <c r="I26" s="53"/>
      <c r="J26" s="53"/>
      <c r="K26" s="53"/>
      <c r="L26" s="53"/>
      <c r="N26" s="440"/>
      <c r="O26" s="440"/>
      <c r="P26" s="523"/>
      <c r="Q26" s="523"/>
      <c r="R26" s="523"/>
      <c r="S26" s="523"/>
      <c r="T26" s="523"/>
      <c r="U26" s="523"/>
      <c r="V26" s="523"/>
      <c r="W26" s="523"/>
      <c r="X26" s="523"/>
      <c r="Y26" s="523"/>
      <c r="Z26" s="440"/>
    </row>
    <row r="27" spans="1:26">
      <c r="A27" s="504" t="s">
        <v>409</v>
      </c>
      <c r="B27" s="501"/>
      <c r="C27" s="138">
        <f>Revenue!Q11</f>
        <v>0</v>
      </c>
      <c r="D27" s="138">
        <f>Revenue!R11</f>
        <v>635</v>
      </c>
      <c r="E27" s="138">
        <f ca="1">Revenue!S11</f>
        <v>675.62995868107907</v>
      </c>
      <c r="F27" s="138">
        <f ca="1">Revenue!T11</f>
        <v>721.06014256459127</v>
      </c>
      <c r="G27" s="138">
        <f ca="1">Revenue!U11</f>
        <v>772.0117946072063</v>
      </c>
      <c r="H27" s="138">
        <f ca="1">Revenue!V11</f>
        <v>829.14023762662578</v>
      </c>
      <c r="I27" s="138">
        <f ca="1">Revenue!W11</f>
        <v>893.14765036081769</v>
      </c>
      <c r="J27" s="138">
        <f ca="1">Revenue!X11</f>
        <v>964.40693507499566</v>
      </c>
      <c r="K27" s="138">
        <f ca="1">Revenue!Y11</f>
        <v>1044.6371417451994</v>
      </c>
      <c r="L27" s="138">
        <f ca="1">Revenue!Z11</f>
        <v>1135.4386254549768</v>
      </c>
      <c r="N27" s="440"/>
      <c r="O27" s="440"/>
      <c r="P27" s="524"/>
      <c r="Q27" s="522"/>
      <c r="R27" s="522"/>
      <c r="S27" s="522"/>
      <c r="T27" s="522"/>
      <c r="U27" s="522"/>
      <c r="V27" s="522"/>
      <c r="W27" s="522"/>
      <c r="X27" s="522"/>
      <c r="Y27" s="522"/>
      <c r="Z27" s="440"/>
    </row>
    <row r="28" spans="1:26">
      <c r="A28" s="508" t="s">
        <v>410</v>
      </c>
      <c r="B28" s="501"/>
      <c r="C28" s="500">
        <f>Revenue!C11</f>
        <v>0</v>
      </c>
      <c r="D28" s="500">
        <f>Revenue!D11</f>
        <v>3000</v>
      </c>
      <c r="E28" s="500">
        <f>Revenue!E11</f>
        <v>3138</v>
      </c>
      <c r="F28" s="500">
        <f>Revenue!F11</f>
        <v>3282.348</v>
      </c>
      <c r="G28" s="500">
        <f>Revenue!G11</f>
        <v>3433.3360080000002</v>
      </c>
      <c r="H28" s="500">
        <f>Revenue!H11</f>
        <v>3591.2694643680002</v>
      </c>
      <c r="I28" s="500">
        <f>Revenue!I11</f>
        <v>3756.4678597289285</v>
      </c>
      <c r="J28" s="500">
        <f>Revenue!J11</f>
        <v>3929.2653812764593</v>
      </c>
      <c r="K28" s="500">
        <f>Revenue!K11</f>
        <v>4110.0115888151768</v>
      </c>
      <c r="L28" s="500">
        <f>Revenue!L11</f>
        <v>4299.0721219006755</v>
      </c>
      <c r="N28" s="440"/>
      <c r="O28" s="440"/>
      <c r="P28" s="440"/>
      <c r="Q28" s="440"/>
      <c r="R28" s="440"/>
      <c r="S28" s="440"/>
      <c r="T28" s="440"/>
      <c r="U28" s="440"/>
      <c r="V28" s="440"/>
      <c r="W28" s="440"/>
      <c r="X28" s="440"/>
      <c r="Y28" s="440"/>
      <c r="Z28" s="440"/>
    </row>
    <row r="29" spans="1:26" ht="15.5">
      <c r="A29" s="508" t="s">
        <v>418</v>
      </c>
      <c r="B29" s="501"/>
      <c r="C29" s="500">
        <f>C27*C28</f>
        <v>0</v>
      </c>
      <c r="D29" s="500">
        <f t="shared" ref="D29:L29" si="4">D27*D28</f>
        <v>1905000</v>
      </c>
      <c r="E29" s="500">
        <f t="shared" ca="1" si="4"/>
        <v>2120126.8103412259</v>
      </c>
      <c r="F29" s="500">
        <f t="shared" ca="1" si="4"/>
        <v>2366770.316826601</v>
      </c>
      <c r="G29" s="500">
        <f t="shared" ca="1" si="4"/>
        <v>2650575.8930256218</v>
      </c>
      <c r="H29" s="500">
        <f t="shared" ca="1" si="4"/>
        <v>2977666.0170673286</v>
      </c>
      <c r="I29" s="500">
        <f t="shared" ca="1" si="4"/>
        <v>3355080.4425728223</v>
      </c>
      <c r="J29" s="500">
        <f t="shared" ca="1" si="4"/>
        <v>3789410.7834531143</v>
      </c>
      <c r="K29" s="500">
        <f t="shared" ca="1" si="4"/>
        <v>4293470.7586795324</v>
      </c>
      <c r="L29" s="500">
        <f t="shared" ca="1" si="4"/>
        <v>4881332.5408227136</v>
      </c>
      <c r="N29" s="521"/>
      <c r="O29" s="440"/>
      <c r="P29" s="522"/>
      <c r="Q29" s="522"/>
      <c r="R29" s="522"/>
      <c r="S29" s="522"/>
      <c r="T29" s="522"/>
      <c r="U29" s="522"/>
      <c r="V29" s="522"/>
      <c r="W29" s="522"/>
      <c r="X29" s="522"/>
      <c r="Y29" s="522"/>
      <c r="Z29" s="440"/>
    </row>
    <row r="30" spans="1:26" ht="15.5">
      <c r="A30" s="506" t="s">
        <v>413</v>
      </c>
      <c r="B30" s="501"/>
      <c r="C30" s="53"/>
      <c r="D30" s="53"/>
      <c r="E30" s="53"/>
      <c r="F30" s="53"/>
      <c r="G30" s="53"/>
      <c r="H30" s="53"/>
      <c r="I30" s="53"/>
      <c r="J30" s="53"/>
      <c r="K30" s="53"/>
      <c r="L30" s="53"/>
      <c r="N30" s="440"/>
      <c r="O30" s="440"/>
      <c r="P30" s="440"/>
      <c r="Q30" s="440"/>
      <c r="R30" s="440"/>
      <c r="S30" s="440"/>
      <c r="T30" s="440"/>
      <c r="U30" s="440"/>
      <c r="V30" s="440"/>
      <c r="W30" s="440"/>
      <c r="X30" s="440"/>
      <c r="Y30" s="440"/>
      <c r="Z30" s="440"/>
    </row>
    <row r="31" spans="1:26" ht="15.5">
      <c r="A31" s="504" t="s">
        <v>409</v>
      </c>
      <c r="B31" s="501"/>
      <c r="C31" s="138">
        <f>Revenue!Q12</f>
        <v>0</v>
      </c>
      <c r="D31" s="138">
        <f>Revenue!R12</f>
        <v>0</v>
      </c>
      <c r="E31" s="138">
        <f>Revenue!S12</f>
        <v>318</v>
      </c>
      <c r="F31" s="138">
        <f ca="1">Revenue!T12</f>
        <v>339.21808451907299</v>
      </c>
      <c r="G31" s="138">
        <f ca="1">Revenue!U12</f>
        <v>363.12900701546431</v>
      </c>
      <c r="H31" s="138">
        <f ca="1">Revenue!V12</f>
        <v>389.95537714633895</v>
      </c>
      <c r="I31" s="138">
        <f ca="1">Revenue!W12</f>
        <v>419.81130816157065</v>
      </c>
      <c r="J31" s="138">
        <f ca="1">Revenue!X12</f>
        <v>453.61074646791729</v>
      </c>
      <c r="K31" s="138">
        <f ca="1">Revenue!Y12</f>
        <v>491.30057317778579</v>
      </c>
      <c r="L31" s="138">
        <f ca="1">Revenue!Z12</f>
        <v>534.0819813263555</v>
      </c>
      <c r="N31" s="521"/>
      <c r="O31" s="440"/>
      <c r="P31" s="440"/>
      <c r="Q31" s="440"/>
      <c r="R31" s="440"/>
      <c r="S31" s="440"/>
      <c r="T31" s="440"/>
      <c r="U31" s="440"/>
      <c r="V31" s="440"/>
      <c r="W31" s="440"/>
      <c r="X31" s="440"/>
      <c r="Y31" s="440"/>
      <c r="Z31" s="440"/>
    </row>
    <row r="32" spans="1:26">
      <c r="A32" s="508" t="s">
        <v>410</v>
      </c>
      <c r="B32" s="501"/>
      <c r="C32" s="500">
        <f>Revenue!C12</f>
        <v>0</v>
      </c>
      <c r="D32" s="500">
        <f>Revenue!D12</f>
        <v>0</v>
      </c>
      <c r="E32" s="500">
        <f>Revenue!E12</f>
        <v>10000</v>
      </c>
      <c r="F32" s="500">
        <f>Revenue!F12</f>
        <v>10460</v>
      </c>
      <c r="G32" s="500">
        <f>Revenue!G12</f>
        <v>10941.16</v>
      </c>
      <c r="H32" s="500">
        <f>Revenue!H12</f>
        <v>11444.45336</v>
      </c>
      <c r="I32" s="500">
        <f>Revenue!I12</f>
        <v>11970.89821456</v>
      </c>
      <c r="J32" s="500">
        <f>Revenue!J12</f>
        <v>12521.559532429761</v>
      </c>
      <c r="K32" s="500">
        <f>Revenue!K12</f>
        <v>13097.551270921531</v>
      </c>
      <c r="L32" s="500">
        <f>Revenue!L12</f>
        <v>13700.038629383922</v>
      </c>
      <c r="N32" s="440"/>
      <c r="O32" s="440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440"/>
    </row>
    <row r="33" spans="1:26">
      <c r="A33" s="508" t="s">
        <v>418</v>
      </c>
      <c r="B33" s="501"/>
      <c r="C33" s="500">
        <f>C31*C32</f>
        <v>0</v>
      </c>
      <c r="D33" s="500">
        <f t="shared" ref="D33:L33" si="5">D31*D32</f>
        <v>0</v>
      </c>
      <c r="E33" s="500">
        <f t="shared" si="5"/>
        <v>3180000</v>
      </c>
      <c r="F33" s="500">
        <f t="shared" ca="1" si="5"/>
        <v>3548221.1640695035</v>
      </c>
      <c r="G33" s="500">
        <f t="shared" ca="1" si="5"/>
        <v>3973052.5663973172</v>
      </c>
      <c r="H33" s="500">
        <f t="shared" ca="1" si="5"/>
        <v>4462826.1262324862</v>
      </c>
      <c r="I33" s="500">
        <f t="shared" ca="1" si="5"/>
        <v>5025518.4393234439</v>
      </c>
      <c r="J33" s="500">
        <f t="shared" ca="1" si="5"/>
        <v>5679913.9664479289</v>
      </c>
      <c r="K33" s="500">
        <f t="shared" ca="1" si="5"/>
        <v>6434834.4466291852</v>
      </c>
      <c r="L33" s="500">
        <f t="shared" ca="1" si="5"/>
        <v>7316943.7754289731</v>
      </c>
      <c r="N33" s="440"/>
      <c r="O33" s="440"/>
      <c r="P33" s="524"/>
      <c r="Q33" s="522"/>
      <c r="R33" s="522"/>
      <c r="S33" s="522"/>
      <c r="T33" s="522"/>
      <c r="U33" s="522"/>
      <c r="V33" s="522"/>
      <c r="W33" s="522"/>
      <c r="X33" s="522"/>
      <c r="Y33" s="522"/>
      <c r="Z33" s="440"/>
    </row>
    <row r="34" spans="1:26" ht="15.5">
      <c r="A34" s="506" t="s">
        <v>412</v>
      </c>
      <c r="B34" s="501"/>
      <c r="C34" s="53"/>
      <c r="D34" s="53"/>
      <c r="E34" s="53"/>
      <c r="F34" s="53"/>
      <c r="G34" s="53"/>
      <c r="H34" s="53"/>
      <c r="I34" s="53"/>
      <c r="J34" s="53"/>
      <c r="K34" s="53"/>
      <c r="L34" s="53"/>
      <c r="N34" s="440"/>
      <c r="O34" s="440"/>
      <c r="P34" s="440"/>
      <c r="Q34" s="440"/>
      <c r="R34" s="440"/>
      <c r="S34" s="440"/>
      <c r="T34" s="440"/>
      <c r="U34" s="440"/>
      <c r="V34" s="440"/>
      <c r="W34" s="440"/>
      <c r="X34" s="440"/>
      <c r="Y34" s="440"/>
      <c r="Z34" s="440"/>
    </row>
    <row r="35" spans="1:26" ht="15.5">
      <c r="A35" s="504" t="s">
        <v>409</v>
      </c>
      <c r="B35" s="501"/>
      <c r="C35" s="138">
        <f>Revenue!Q13</f>
        <v>0</v>
      </c>
      <c r="D35" s="138">
        <f>Revenue!R13</f>
        <v>0</v>
      </c>
      <c r="E35" s="138">
        <f ca="1">Revenue!S13</f>
        <v>0</v>
      </c>
      <c r="F35" s="138">
        <f ca="1">Revenue!T13</f>
        <v>0</v>
      </c>
      <c r="G35" s="138">
        <f ca="1">Revenue!U13</f>
        <v>0</v>
      </c>
      <c r="H35" s="138">
        <f ca="1">Revenue!V13</f>
        <v>0</v>
      </c>
      <c r="I35" s="138">
        <f ca="1">Revenue!W13</f>
        <v>0</v>
      </c>
      <c r="J35" s="138">
        <f ca="1">Revenue!X13</f>
        <v>0</v>
      </c>
      <c r="K35" s="138">
        <f ca="1">Revenue!Y13</f>
        <v>0</v>
      </c>
      <c r="L35" s="138">
        <f ca="1">Revenue!Z13</f>
        <v>0</v>
      </c>
      <c r="N35" s="521"/>
      <c r="O35" s="440"/>
      <c r="P35" s="522"/>
      <c r="Q35" s="522"/>
      <c r="R35" s="522"/>
      <c r="S35" s="522"/>
      <c r="T35" s="522"/>
      <c r="U35" s="522"/>
      <c r="V35" s="522"/>
      <c r="W35" s="522"/>
      <c r="X35" s="522"/>
      <c r="Y35" s="522"/>
      <c r="Z35" s="440"/>
    </row>
    <row r="36" spans="1:26" ht="15.5">
      <c r="A36" s="508" t="s">
        <v>410</v>
      </c>
      <c r="B36" s="501"/>
      <c r="C36" s="500">
        <f>Revenue!C13</f>
        <v>0</v>
      </c>
      <c r="D36" s="500">
        <f>Revenue!D13</f>
        <v>0</v>
      </c>
      <c r="E36" s="500">
        <f>Revenue!E13</f>
        <v>0</v>
      </c>
      <c r="F36" s="500">
        <f>Revenue!F13</f>
        <v>0</v>
      </c>
      <c r="G36" s="500">
        <f>Revenue!G13</f>
        <v>0</v>
      </c>
      <c r="H36" s="500">
        <f>Revenue!H13</f>
        <v>0</v>
      </c>
      <c r="I36" s="500">
        <f>Revenue!I13</f>
        <v>0</v>
      </c>
      <c r="J36" s="500">
        <f>Revenue!J13</f>
        <v>0</v>
      </c>
      <c r="K36" s="500">
        <f>Revenue!K13</f>
        <v>0</v>
      </c>
      <c r="L36" s="500">
        <f>Revenue!L13</f>
        <v>0</v>
      </c>
      <c r="N36" s="521"/>
      <c r="O36" s="440"/>
      <c r="P36" s="522"/>
      <c r="Q36" s="522"/>
      <c r="R36" s="522"/>
      <c r="S36" s="522"/>
      <c r="T36" s="522"/>
      <c r="U36" s="522"/>
      <c r="V36" s="522"/>
      <c r="W36" s="522"/>
      <c r="X36" s="522"/>
      <c r="Y36" s="522"/>
      <c r="Z36" s="440"/>
    </row>
    <row r="37" spans="1:26" ht="15.5">
      <c r="A37" s="508" t="s">
        <v>418</v>
      </c>
      <c r="B37" s="501"/>
      <c r="C37" s="500">
        <f>C35*C36</f>
        <v>0</v>
      </c>
      <c r="D37" s="500">
        <f t="shared" ref="D37:L37" si="6">D35*D36</f>
        <v>0</v>
      </c>
      <c r="E37" s="500">
        <f t="shared" ca="1" si="6"/>
        <v>0</v>
      </c>
      <c r="F37" s="500">
        <f t="shared" ca="1" si="6"/>
        <v>0</v>
      </c>
      <c r="G37" s="500">
        <f t="shared" ca="1" si="6"/>
        <v>0</v>
      </c>
      <c r="H37" s="500">
        <f t="shared" ca="1" si="6"/>
        <v>0</v>
      </c>
      <c r="I37" s="500">
        <f t="shared" ca="1" si="6"/>
        <v>0</v>
      </c>
      <c r="J37" s="500">
        <f t="shared" ca="1" si="6"/>
        <v>0</v>
      </c>
      <c r="K37" s="500">
        <f t="shared" ca="1" si="6"/>
        <v>0</v>
      </c>
      <c r="L37" s="500">
        <f t="shared" ca="1" si="6"/>
        <v>0</v>
      </c>
      <c r="N37" s="521"/>
      <c r="O37" s="440"/>
      <c r="P37" s="440"/>
      <c r="Q37" s="440"/>
      <c r="R37" s="440"/>
      <c r="S37" s="440"/>
      <c r="T37" s="440"/>
      <c r="U37" s="440"/>
      <c r="V37" s="440"/>
      <c r="W37" s="440"/>
      <c r="X37" s="440"/>
      <c r="Y37" s="440"/>
      <c r="Z37" s="440"/>
    </row>
    <row r="38" spans="1:26" ht="15.5">
      <c r="A38" s="506" t="s">
        <v>414</v>
      </c>
      <c r="B38" s="501"/>
      <c r="C38" s="53"/>
      <c r="D38" s="53"/>
      <c r="E38" s="53"/>
      <c r="F38" s="53"/>
      <c r="G38" s="53"/>
      <c r="H38" s="53"/>
      <c r="I38" s="53"/>
      <c r="J38" s="53"/>
      <c r="K38" s="53"/>
      <c r="L38" s="53"/>
      <c r="N38" s="440"/>
      <c r="O38" s="440"/>
      <c r="P38" s="523"/>
      <c r="Q38" s="523"/>
      <c r="R38" s="523"/>
      <c r="S38" s="523"/>
      <c r="T38" s="523"/>
      <c r="U38" s="523"/>
      <c r="V38" s="523"/>
      <c r="W38" s="523"/>
      <c r="X38" s="523"/>
      <c r="Y38" s="523"/>
      <c r="Z38" s="440"/>
    </row>
    <row r="39" spans="1:26">
      <c r="A39" s="504" t="s">
        <v>409</v>
      </c>
      <c r="B39" s="501"/>
      <c r="C39" s="138">
        <f>Revenue!Q14</f>
        <v>0</v>
      </c>
      <c r="D39" s="138">
        <f>Revenue!R14</f>
        <v>0</v>
      </c>
      <c r="E39" s="138">
        <f>Revenue!S14</f>
        <v>0</v>
      </c>
      <c r="F39" s="138">
        <f>Revenue!T14</f>
        <v>0</v>
      </c>
      <c r="G39" s="138">
        <f>Revenue!U14</f>
        <v>0</v>
      </c>
      <c r="H39" s="138">
        <f>Revenue!V14</f>
        <v>0</v>
      </c>
      <c r="I39" s="138">
        <f>Revenue!W14</f>
        <v>0</v>
      </c>
      <c r="J39" s="138">
        <f>Revenue!X14</f>
        <v>0</v>
      </c>
      <c r="K39" s="138">
        <f>Revenue!Y14</f>
        <v>0</v>
      </c>
      <c r="L39" s="138">
        <f>Revenue!Z14</f>
        <v>0</v>
      </c>
      <c r="N39" s="440"/>
      <c r="O39" s="440"/>
      <c r="P39" s="524"/>
      <c r="Q39" s="522"/>
      <c r="R39" s="522"/>
      <c r="S39" s="522"/>
      <c r="T39" s="522"/>
      <c r="U39" s="522"/>
      <c r="V39" s="522"/>
      <c r="W39" s="522"/>
      <c r="X39" s="522"/>
      <c r="Y39" s="522"/>
      <c r="Z39" s="440"/>
    </row>
    <row r="40" spans="1:26">
      <c r="A40" s="508" t="s">
        <v>410</v>
      </c>
      <c r="B40" s="501"/>
      <c r="C40" s="500">
        <f>Revenue!C14</f>
        <v>0</v>
      </c>
      <c r="D40" s="500">
        <f>Revenue!D14</f>
        <v>0</v>
      </c>
      <c r="E40" s="500">
        <f>Revenue!E14</f>
        <v>0</v>
      </c>
      <c r="F40" s="500">
        <f>Revenue!F14</f>
        <v>0</v>
      </c>
      <c r="G40" s="500">
        <f>Revenue!G14</f>
        <v>0</v>
      </c>
      <c r="H40" s="500">
        <f>Revenue!H14</f>
        <v>0</v>
      </c>
      <c r="I40" s="500">
        <f>Revenue!I14</f>
        <v>0</v>
      </c>
      <c r="J40" s="500">
        <f>Revenue!J14</f>
        <v>0</v>
      </c>
      <c r="K40" s="500">
        <f>Revenue!K14</f>
        <v>0</v>
      </c>
      <c r="L40" s="500">
        <f>Revenue!L14</f>
        <v>0</v>
      </c>
      <c r="N40" s="440"/>
      <c r="O40" s="440"/>
      <c r="P40" s="440"/>
      <c r="Q40" s="440"/>
      <c r="R40" s="440"/>
      <c r="S40" s="440"/>
      <c r="T40" s="440"/>
      <c r="U40" s="440"/>
      <c r="V40" s="440"/>
      <c r="W40" s="440"/>
      <c r="X40" s="440"/>
      <c r="Y40" s="440"/>
      <c r="Z40" s="440"/>
    </row>
    <row r="41" spans="1:26" ht="15.5">
      <c r="A41" s="508" t="s">
        <v>418</v>
      </c>
      <c r="B41" s="501"/>
      <c r="C41" s="500">
        <f>C39*C40</f>
        <v>0</v>
      </c>
      <c r="D41" s="500">
        <f t="shared" ref="D41:L41" si="7">D39*D40</f>
        <v>0</v>
      </c>
      <c r="E41" s="500">
        <f t="shared" si="7"/>
        <v>0</v>
      </c>
      <c r="F41" s="500">
        <f t="shared" si="7"/>
        <v>0</v>
      </c>
      <c r="G41" s="500">
        <f t="shared" si="7"/>
        <v>0</v>
      </c>
      <c r="H41" s="500">
        <f t="shared" si="7"/>
        <v>0</v>
      </c>
      <c r="I41" s="500">
        <f t="shared" si="7"/>
        <v>0</v>
      </c>
      <c r="J41" s="500">
        <f t="shared" si="7"/>
        <v>0</v>
      </c>
      <c r="K41" s="500">
        <f t="shared" si="7"/>
        <v>0</v>
      </c>
      <c r="L41" s="500">
        <f t="shared" si="7"/>
        <v>0</v>
      </c>
      <c r="N41" s="521"/>
      <c r="O41" s="440"/>
      <c r="P41" s="522"/>
      <c r="Q41" s="522"/>
      <c r="R41" s="522"/>
      <c r="S41" s="522"/>
      <c r="T41" s="522"/>
      <c r="U41" s="522"/>
      <c r="V41" s="522"/>
      <c r="W41" s="522"/>
      <c r="X41" s="522"/>
      <c r="Y41" s="522"/>
      <c r="Z41" s="440"/>
    </row>
    <row r="42" spans="1:26" ht="15.5">
      <c r="A42" s="506" t="s">
        <v>415</v>
      </c>
      <c r="B42" s="501"/>
      <c r="C42" s="53"/>
      <c r="D42" s="53"/>
      <c r="E42" s="53"/>
      <c r="F42" s="53"/>
      <c r="G42" s="53"/>
      <c r="H42" s="53"/>
      <c r="I42" s="53"/>
      <c r="J42" s="53"/>
      <c r="K42" s="53"/>
      <c r="L42" s="53"/>
      <c r="N42" s="521"/>
      <c r="O42" s="440"/>
      <c r="P42" s="522"/>
      <c r="Q42" s="522"/>
      <c r="R42" s="522"/>
      <c r="S42" s="522"/>
      <c r="T42" s="522"/>
      <c r="U42" s="522"/>
      <c r="V42" s="522"/>
      <c r="W42" s="522"/>
      <c r="X42" s="522"/>
      <c r="Y42" s="522"/>
      <c r="Z42" s="440"/>
    </row>
    <row r="43" spans="1:26" ht="15.5">
      <c r="A43" s="504" t="s">
        <v>409</v>
      </c>
      <c r="B43" s="501"/>
      <c r="C43" s="138">
        <f>Revenue!Q15</f>
        <v>0</v>
      </c>
      <c r="D43" s="138">
        <f>Revenue!R15</f>
        <v>0</v>
      </c>
      <c r="E43" s="138">
        <f ca="1">Revenue!S15</f>
        <v>0</v>
      </c>
      <c r="F43" s="138">
        <f ca="1">Revenue!T15</f>
        <v>0</v>
      </c>
      <c r="G43" s="138">
        <f ca="1">Revenue!U15</f>
        <v>0</v>
      </c>
      <c r="H43" s="138">
        <f ca="1">Revenue!V15</f>
        <v>0</v>
      </c>
      <c r="I43" s="138">
        <f ca="1">Revenue!W15</f>
        <v>0</v>
      </c>
      <c r="J43" s="138">
        <f ca="1">Revenue!X15</f>
        <v>0</v>
      </c>
      <c r="K43" s="138">
        <f ca="1">Revenue!Y15</f>
        <v>0</v>
      </c>
      <c r="L43" s="138">
        <f ca="1">Revenue!Z15</f>
        <v>0</v>
      </c>
      <c r="N43" s="521"/>
      <c r="O43" s="440"/>
      <c r="P43" s="440"/>
      <c r="Q43" s="440"/>
      <c r="R43" s="440"/>
      <c r="S43" s="440"/>
      <c r="T43" s="440"/>
      <c r="U43" s="440"/>
      <c r="V43" s="440"/>
      <c r="W43" s="440"/>
      <c r="X43" s="440"/>
      <c r="Y43" s="440"/>
      <c r="Z43" s="440"/>
    </row>
    <row r="44" spans="1:26">
      <c r="A44" s="508" t="s">
        <v>410</v>
      </c>
      <c r="B44" s="501"/>
      <c r="C44" s="500">
        <f>Revenue!C15</f>
        <v>0</v>
      </c>
      <c r="D44" s="500">
        <f>Revenue!D15</f>
        <v>0</v>
      </c>
      <c r="E44" s="500">
        <f>Revenue!E15</f>
        <v>0</v>
      </c>
      <c r="F44" s="500">
        <f>Revenue!F15</f>
        <v>0</v>
      </c>
      <c r="G44" s="500">
        <f>Revenue!G15</f>
        <v>0</v>
      </c>
      <c r="H44" s="500">
        <f>Revenue!H15</f>
        <v>0</v>
      </c>
      <c r="I44" s="500">
        <f>Revenue!I15</f>
        <v>0</v>
      </c>
      <c r="J44" s="500">
        <f>Revenue!J15</f>
        <v>0</v>
      </c>
      <c r="K44" s="500">
        <f>Revenue!K15</f>
        <v>0</v>
      </c>
      <c r="L44" s="500">
        <f>Revenue!L15</f>
        <v>0</v>
      </c>
      <c r="N44" s="440"/>
      <c r="O44" s="440"/>
      <c r="P44" s="523"/>
      <c r="Q44" s="523"/>
      <c r="R44" s="523"/>
      <c r="S44" s="523"/>
      <c r="T44" s="523"/>
      <c r="U44" s="523"/>
      <c r="V44" s="523"/>
      <c r="W44" s="523"/>
      <c r="X44" s="523"/>
      <c r="Y44" s="523"/>
      <c r="Z44" s="440"/>
    </row>
    <row r="45" spans="1:26">
      <c r="A45" s="508" t="s">
        <v>418</v>
      </c>
      <c r="B45" s="501"/>
      <c r="C45" s="500">
        <f>C43*C44</f>
        <v>0</v>
      </c>
      <c r="D45" s="500">
        <f t="shared" ref="D45:L45" si="8">D43*D44</f>
        <v>0</v>
      </c>
      <c r="E45" s="500">
        <f t="shared" ca="1" si="8"/>
        <v>0</v>
      </c>
      <c r="F45" s="500">
        <f t="shared" ca="1" si="8"/>
        <v>0</v>
      </c>
      <c r="G45" s="500">
        <f t="shared" ca="1" si="8"/>
        <v>0</v>
      </c>
      <c r="H45" s="500">
        <f t="shared" ca="1" si="8"/>
        <v>0</v>
      </c>
      <c r="I45" s="500">
        <f t="shared" ca="1" si="8"/>
        <v>0</v>
      </c>
      <c r="J45" s="500">
        <f t="shared" ca="1" si="8"/>
        <v>0</v>
      </c>
      <c r="K45" s="500">
        <f t="shared" ca="1" si="8"/>
        <v>0</v>
      </c>
      <c r="L45" s="500">
        <f t="shared" ca="1" si="8"/>
        <v>0</v>
      </c>
      <c r="N45" s="440"/>
      <c r="O45" s="440"/>
      <c r="P45" s="524"/>
      <c r="Q45" s="522"/>
      <c r="R45" s="522"/>
      <c r="S45" s="522"/>
      <c r="T45" s="522"/>
      <c r="U45" s="522"/>
      <c r="V45" s="522"/>
      <c r="W45" s="522"/>
      <c r="X45" s="522"/>
      <c r="Y45" s="522"/>
      <c r="Z45" s="440"/>
    </row>
    <row r="46" spans="1:26" ht="15.5">
      <c r="A46" s="506" t="s">
        <v>416</v>
      </c>
      <c r="B46" s="501"/>
      <c r="C46" s="53"/>
      <c r="D46" s="53"/>
      <c r="E46" s="53"/>
      <c r="F46" s="53"/>
      <c r="G46" s="53"/>
      <c r="H46" s="53"/>
      <c r="I46" s="53"/>
      <c r="J46" s="53"/>
      <c r="K46" s="53"/>
      <c r="L46" s="53"/>
      <c r="N46" s="440"/>
      <c r="O46" s="440"/>
      <c r="P46" s="440"/>
      <c r="Q46" s="440"/>
      <c r="R46" s="440"/>
      <c r="S46" s="440"/>
      <c r="T46" s="440"/>
      <c r="U46" s="440"/>
      <c r="V46" s="440"/>
      <c r="W46" s="440"/>
      <c r="X46" s="440"/>
      <c r="Y46" s="440"/>
      <c r="Z46" s="440"/>
    </row>
    <row r="47" spans="1:26" ht="15.5">
      <c r="A47" s="504" t="s">
        <v>409</v>
      </c>
      <c r="B47" s="501"/>
      <c r="C47" s="138">
        <f>Revenue!Q16</f>
        <v>0</v>
      </c>
      <c r="D47" s="138">
        <f>Revenue!R16</f>
        <v>0</v>
      </c>
      <c r="E47" s="138">
        <f ca="1">Revenue!S16</f>
        <v>0</v>
      </c>
      <c r="F47" s="138">
        <f ca="1">Revenue!T16</f>
        <v>0</v>
      </c>
      <c r="G47" s="138">
        <f ca="1">Revenue!U16</f>
        <v>0</v>
      </c>
      <c r="H47" s="138">
        <f ca="1">Revenue!V16</f>
        <v>0</v>
      </c>
      <c r="I47" s="138">
        <f ca="1">Revenue!W16</f>
        <v>0</v>
      </c>
      <c r="J47" s="138">
        <f ca="1">Revenue!X16</f>
        <v>0</v>
      </c>
      <c r="K47" s="138">
        <f ca="1">Revenue!Y16</f>
        <v>0</v>
      </c>
      <c r="L47" s="138">
        <f ca="1">Revenue!Z16</f>
        <v>0</v>
      </c>
      <c r="N47" s="521"/>
      <c r="O47" s="440"/>
      <c r="P47" s="522"/>
      <c r="Q47" s="522"/>
      <c r="R47" s="522"/>
      <c r="S47" s="522"/>
      <c r="T47" s="522"/>
      <c r="U47" s="522"/>
      <c r="V47" s="522"/>
      <c r="W47" s="522"/>
      <c r="X47" s="522"/>
      <c r="Y47" s="522"/>
      <c r="Z47" s="440"/>
    </row>
    <row r="48" spans="1:26" ht="15.5">
      <c r="A48" s="508" t="s">
        <v>410</v>
      </c>
      <c r="B48" s="501"/>
      <c r="C48" s="500">
        <f>Revenue!C16</f>
        <v>0</v>
      </c>
      <c r="D48" s="500">
        <f>Revenue!D16</f>
        <v>0</v>
      </c>
      <c r="E48" s="500">
        <f>Revenue!E16</f>
        <v>0</v>
      </c>
      <c r="F48" s="500">
        <f>Revenue!F16</f>
        <v>0</v>
      </c>
      <c r="G48" s="500">
        <f>Revenue!G16</f>
        <v>0</v>
      </c>
      <c r="H48" s="500">
        <f>Revenue!H16</f>
        <v>0</v>
      </c>
      <c r="I48" s="500">
        <f>Revenue!I16</f>
        <v>0</v>
      </c>
      <c r="J48" s="500">
        <f>Revenue!J16</f>
        <v>0</v>
      </c>
      <c r="K48" s="500">
        <f>Revenue!K16</f>
        <v>0</v>
      </c>
      <c r="L48" s="500">
        <f>Revenue!L16</f>
        <v>0</v>
      </c>
      <c r="N48" s="521"/>
      <c r="O48" s="440"/>
      <c r="P48" s="522"/>
      <c r="Q48" s="522"/>
      <c r="R48" s="522"/>
      <c r="S48" s="522"/>
      <c r="T48" s="522"/>
      <c r="U48" s="522"/>
      <c r="V48" s="522"/>
      <c r="W48" s="522"/>
      <c r="X48" s="522"/>
      <c r="Y48" s="522"/>
      <c r="Z48" s="440"/>
    </row>
    <row r="49" spans="1:26" ht="15.5">
      <c r="A49" s="508" t="s">
        <v>418</v>
      </c>
      <c r="B49" s="501"/>
      <c r="C49" s="500">
        <f>C47*C48</f>
        <v>0</v>
      </c>
      <c r="D49" s="500">
        <f t="shared" ref="D49:L49" si="9">D47*D48</f>
        <v>0</v>
      </c>
      <c r="E49" s="500">
        <f t="shared" ca="1" si="9"/>
        <v>0</v>
      </c>
      <c r="F49" s="500">
        <f t="shared" ca="1" si="9"/>
        <v>0</v>
      </c>
      <c r="G49" s="500">
        <f t="shared" ca="1" si="9"/>
        <v>0</v>
      </c>
      <c r="H49" s="500">
        <f t="shared" ca="1" si="9"/>
        <v>0</v>
      </c>
      <c r="I49" s="500">
        <f t="shared" ca="1" si="9"/>
        <v>0</v>
      </c>
      <c r="J49" s="500">
        <f t="shared" ca="1" si="9"/>
        <v>0</v>
      </c>
      <c r="K49" s="500">
        <f t="shared" ca="1" si="9"/>
        <v>0</v>
      </c>
      <c r="L49" s="500">
        <f t="shared" ca="1" si="9"/>
        <v>0</v>
      </c>
      <c r="N49" s="521"/>
      <c r="O49" s="440"/>
      <c r="P49" s="440"/>
      <c r="Q49" s="440"/>
      <c r="R49" s="440"/>
      <c r="S49" s="440"/>
      <c r="T49" s="440"/>
      <c r="U49" s="440"/>
      <c r="V49" s="440"/>
      <c r="W49" s="440"/>
      <c r="X49" s="440"/>
      <c r="Y49" s="440"/>
      <c r="Z49" s="440"/>
    </row>
    <row r="50" spans="1:26">
      <c r="A50" s="504"/>
      <c r="B50" s="501"/>
      <c r="C50" s="53"/>
      <c r="D50" s="53"/>
      <c r="E50" s="53"/>
      <c r="F50" s="53"/>
      <c r="G50" s="53"/>
      <c r="H50" s="53"/>
      <c r="I50" s="53"/>
      <c r="J50" s="53"/>
      <c r="K50" s="53"/>
      <c r="L50" s="53"/>
      <c r="N50" s="440"/>
      <c r="O50" s="440"/>
      <c r="P50" s="523"/>
      <c r="Q50" s="523"/>
      <c r="R50" s="523"/>
      <c r="S50" s="523"/>
      <c r="T50" s="523"/>
      <c r="U50" s="523"/>
      <c r="V50" s="523"/>
      <c r="W50" s="523"/>
      <c r="X50" s="523"/>
      <c r="Y50" s="523"/>
      <c r="Z50" s="440"/>
    </row>
    <row r="51" spans="1:26" ht="15.5">
      <c r="A51" s="506" t="s">
        <v>419</v>
      </c>
      <c r="B51" s="501"/>
      <c r="C51" s="500">
        <f>SUM(C49,C45,C41,C37,C33,C29,C25,C21,C17)</f>
        <v>4930000</v>
      </c>
      <c r="D51" s="500">
        <f t="shared" ref="D51:L51" si="10">SUM(D49,D45,D41,D37,D33,D29,D25,D21,D17)</f>
        <v>7371186.8000000007</v>
      </c>
      <c r="E51" s="500">
        <f t="shared" ca="1" si="10"/>
        <v>11382647.992489323</v>
      </c>
      <c r="F51" s="500">
        <f t="shared" ca="1" si="10"/>
        <v>12703291.80027879</v>
      </c>
      <c r="G51" s="500">
        <f t="shared" ca="1" si="10"/>
        <v>14223823.548239956</v>
      </c>
      <c r="H51" s="500">
        <f t="shared" ca="1" si="10"/>
        <v>15980519.907363176</v>
      </c>
      <c r="I51" s="500">
        <f t="shared" ca="1" si="10"/>
        <v>18006764.637941558</v>
      </c>
      <c r="J51" s="500">
        <f t="shared" ca="1" si="10"/>
        <v>20356782.339848351</v>
      </c>
      <c r="K51" s="500">
        <f t="shared" ca="1" si="10"/>
        <v>23074749.762425151</v>
      </c>
      <c r="L51" s="500">
        <f t="shared" ca="1" si="10"/>
        <v>26248313.101684548</v>
      </c>
      <c r="N51" s="440"/>
      <c r="O51" s="440"/>
      <c r="P51" s="524"/>
      <c r="Q51" s="522"/>
      <c r="R51" s="522"/>
      <c r="S51" s="522"/>
      <c r="T51" s="522"/>
      <c r="U51" s="522"/>
      <c r="V51" s="522"/>
      <c r="W51" s="522"/>
      <c r="X51" s="522"/>
      <c r="Y51" s="522"/>
      <c r="Z51" s="440"/>
    </row>
    <row r="52" spans="1:26">
      <c r="A52" s="504"/>
      <c r="B52" s="501"/>
      <c r="C52" s="53"/>
      <c r="D52" s="53"/>
      <c r="E52" s="53"/>
      <c r="F52" s="53"/>
      <c r="G52" s="53"/>
      <c r="H52" s="53"/>
      <c r="I52" s="53"/>
      <c r="J52" s="53"/>
      <c r="K52" s="53"/>
      <c r="L52" s="53"/>
      <c r="N52" s="440"/>
      <c r="O52" s="440"/>
      <c r="P52" s="440"/>
      <c r="Q52" s="440"/>
      <c r="R52" s="440"/>
      <c r="S52" s="440"/>
      <c r="T52" s="440"/>
      <c r="U52" s="440"/>
      <c r="V52" s="440"/>
      <c r="W52" s="440"/>
      <c r="X52" s="440"/>
      <c r="Y52" s="440"/>
      <c r="Z52" s="440"/>
    </row>
    <row r="53" spans="1:26" ht="18.5">
      <c r="A53" s="509" t="s">
        <v>155</v>
      </c>
      <c r="B53" s="501"/>
      <c r="C53" s="53"/>
      <c r="D53" s="53"/>
      <c r="E53" s="53"/>
      <c r="F53" s="53"/>
      <c r="G53" s="53"/>
      <c r="H53" s="53"/>
      <c r="I53" s="53"/>
      <c r="J53" s="53"/>
      <c r="K53" s="53"/>
      <c r="L53" s="53"/>
      <c r="N53" s="521"/>
      <c r="O53" s="440"/>
      <c r="P53" s="522"/>
      <c r="Q53" s="522"/>
      <c r="R53" s="522"/>
      <c r="S53" s="522"/>
      <c r="T53" s="522"/>
      <c r="U53" s="522"/>
      <c r="V53" s="522"/>
      <c r="W53" s="522"/>
      <c r="X53" s="522"/>
      <c r="Y53" s="522"/>
      <c r="Z53" s="440"/>
    </row>
    <row r="54" spans="1:26" ht="15.5">
      <c r="A54" s="506" t="s">
        <v>328</v>
      </c>
      <c r="B54" s="501"/>
      <c r="C54" s="140">
        <f>Assumptions!$H$45*(C17+C21)</f>
        <v>836500</v>
      </c>
      <c r="D54" s="140">
        <f>Assumptions!$H$45*(D17+D21)</f>
        <v>927477.74000000011</v>
      </c>
      <c r="E54" s="140">
        <f ca="1">Assumptions!$H$45*(E17+E21)</f>
        <v>1032088.5541343011</v>
      </c>
      <c r="F54" s="140">
        <f ca="1">Assumptions!$H$45*(F17+F21)</f>
        <v>1152549.436286021</v>
      </c>
      <c r="G54" s="140">
        <f ca="1">Assumptions!$H$45*(G17+G21)</f>
        <v>1291621.7091033827</v>
      </c>
      <c r="H54" s="140">
        <f ca="1">Assumptions!$H$45*(H17+H21)</f>
        <v>1452765.0133255955</v>
      </c>
      <c r="I54" s="140">
        <f ca="1">Assumptions!$H$45*(I17+I21)</f>
        <v>1639354.9762216539</v>
      </c>
      <c r="J54" s="140">
        <f ca="1">Assumptions!$H$45*(J17+J21)</f>
        <v>1856266.4663994238</v>
      </c>
      <c r="K54" s="140">
        <f ca="1">Assumptions!$H$45*(K17+K21)</f>
        <v>2108188.25570327</v>
      </c>
      <c r="L54" s="140">
        <f ca="1">Assumptions!$H$45*(L17+L21)</f>
        <v>2402920.6851417357</v>
      </c>
      <c r="N54" s="521"/>
      <c r="O54" s="440"/>
      <c r="P54" s="522"/>
      <c r="Q54" s="522"/>
      <c r="R54" s="522"/>
      <c r="S54" s="522"/>
      <c r="T54" s="522"/>
      <c r="U54" s="522"/>
      <c r="V54" s="522"/>
      <c r="W54" s="522"/>
      <c r="X54" s="522"/>
      <c r="Y54" s="522"/>
      <c r="Z54" s="440"/>
    </row>
    <row r="55" spans="1:26" ht="15.5">
      <c r="A55" s="506" t="s">
        <v>329</v>
      </c>
      <c r="B55" s="501"/>
      <c r="C55" s="140">
        <f>Assumptions!$H$46*C25</f>
        <v>889000</v>
      </c>
      <c r="D55" s="140">
        <f>Assumptions!$H$46*D25</f>
        <v>985687.6399999999</v>
      </c>
      <c r="E55" s="140">
        <f ca="1">Assumptions!$H$46*E25</f>
        <v>1096793.8596175325</v>
      </c>
      <c r="F55" s="140">
        <f ca="1">Assumptions!$H$46*F25</f>
        <v>1223355.6754979186</v>
      </c>
      <c r="G55" s="140">
        <f ca="1">Assumptions!$H$46*G25</f>
        <v>1368446.5719825737</v>
      </c>
      <c r="H55" s="140">
        <f ca="1">Assumptions!$H$46*H25</f>
        <v>1536244.7040965809</v>
      </c>
      <c r="I55" s="140">
        <f ca="1">Assumptions!$H$46*I25</f>
        <v>1729803.0383941978</v>
      </c>
      <c r="J55" s="140">
        <f ca="1">Assumptions!$H$46*J25</f>
        <v>1954343.690082134</v>
      </c>
      <c r="K55" s="140">
        <f ca="1">Assumptions!$H$46*K25</f>
        <v>2213067.3392874813</v>
      </c>
      <c r="L55" s="140">
        <f ca="1">Assumptions!$H$46*L25</f>
        <v>2514592.1897597662</v>
      </c>
      <c r="N55" s="521"/>
      <c r="O55" s="440"/>
      <c r="P55" s="440"/>
      <c r="Q55" s="440"/>
      <c r="R55" s="440"/>
      <c r="S55" s="440"/>
      <c r="T55" s="440"/>
      <c r="U55" s="440"/>
      <c r="V55" s="440"/>
      <c r="W55" s="440"/>
      <c r="X55" s="440"/>
      <c r="Y55" s="440"/>
      <c r="Z55" s="440"/>
    </row>
    <row r="56" spans="1:26" ht="15.5">
      <c r="A56" s="506" t="s">
        <v>330</v>
      </c>
      <c r="B56" s="501"/>
      <c r="C56" s="140">
        <f>Assumptions!$H$47*C29</f>
        <v>0</v>
      </c>
      <c r="D56" s="140">
        <f>Assumptions!$H$47*D29</f>
        <v>762000</v>
      </c>
      <c r="E56" s="140">
        <f ca="1">Assumptions!$H$47*E29</f>
        <v>848050.72413649037</v>
      </c>
      <c r="F56" s="140">
        <f ca="1">Assumptions!$H$47*F29</f>
        <v>946708.12673064042</v>
      </c>
      <c r="G56" s="140">
        <f ca="1">Assumptions!$H$47*G29</f>
        <v>1060230.3572102487</v>
      </c>
      <c r="H56" s="140">
        <f ca="1">Assumptions!$H$47*H29</f>
        <v>1191066.4068269315</v>
      </c>
      <c r="I56" s="140">
        <f ca="1">Assumptions!$H$47*I29</f>
        <v>1342032.1770291291</v>
      </c>
      <c r="J56" s="140">
        <f ca="1">Assumptions!$H$47*J29</f>
        <v>1515764.3133812458</v>
      </c>
      <c r="K56" s="140">
        <f ca="1">Assumptions!$H$47*K29</f>
        <v>1717388.303471813</v>
      </c>
      <c r="L56" s="140">
        <f ca="1">Assumptions!$H$47*L29</f>
        <v>1952533.0163290855</v>
      </c>
      <c r="N56" s="440"/>
      <c r="O56" s="440"/>
      <c r="P56" s="523"/>
      <c r="Q56" s="523"/>
      <c r="R56" s="523"/>
      <c r="S56" s="523"/>
      <c r="T56" s="523"/>
      <c r="U56" s="523"/>
      <c r="V56" s="523"/>
      <c r="W56" s="523"/>
      <c r="X56" s="523"/>
      <c r="Y56" s="523"/>
      <c r="Z56" s="440"/>
    </row>
    <row r="57" spans="1:26" ht="15.5">
      <c r="A57" s="506" t="s">
        <v>331</v>
      </c>
      <c r="B57" s="501"/>
      <c r="C57" s="140">
        <f>Assumptions!$H$48*C33</f>
        <v>0</v>
      </c>
      <c r="D57" s="140">
        <f>Assumptions!$H$48*D33</f>
        <v>0</v>
      </c>
      <c r="E57" s="140">
        <f>Assumptions!$H$48*E33</f>
        <v>1272000</v>
      </c>
      <c r="F57" s="140">
        <f ca="1">Assumptions!$H$48*F33</f>
        <v>1419288.4656278016</v>
      </c>
      <c r="G57" s="140">
        <f ca="1">Assumptions!$H$48*G33</f>
        <v>1589221.026558927</v>
      </c>
      <c r="H57" s="140">
        <f ca="1">Assumptions!$H$48*H33</f>
        <v>1785130.4504929946</v>
      </c>
      <c r="I57" s="140">
        <f ca="1">Assumptions!$H$48*I33</f>
        <v>2010207.3757293776</v>
      </c>
      <c r="J57" s="140">
        <f ca="1">Assumptions!$H$48*J33</f>
        <v>2271965.5865791715</v>
      </c>
      <c r="K57" s="140">
        <f ca="1">Assumptions!$H$48*K33</f>
        <v>2573933.7786516743</v>
      </c>
      <c r="L57" s="140">
        <f ca="1">Assumptions!$H$48*L33</f>
        <v>2926777.5101715894</v>
      </c>
      <c r="N57" s="440"/>
      <c r="O57" s="440"/>
      <c r="P57" s="524"/>
      <c r="Q57" s="522"/>
      <c r="R57" s="522"/>
      <c r="S57" s="522"/>
      <c r="T57" s="522"/>
      <c r="U57" s="522"/>
      <c r="V57" s="522"/>
      <c r="W57" s="522"/>
      <c r="X57" s="522"/>
      <c r="Y57" s="522"/>
      <c r="Z57" s="440"/>
    </row>
    <row r="58" spans="1:26" ht="15.5">
      <c r="A58" s="506" t="s">
        <v>420</v>
      </c>
      <c r="B58" s="501"/>
      <c r="C58" s="140">
        <f>Assumptions!$H$49*C37</f>
        <v>0</v>
      </c>
      <c r="D58" s="140">
        <f>Assumptions!$H$49*D37</f>
        <v>0</v>
      </c>
      <c r="E58" s="140">
        <f ca="1">Assumptions!$H$49*E37</f>
        <v>0</v>
      </c>
      <c r="F58" s="140">
        <f ca="1">Assumptions!$H$49*F37</f>
        <v>0</v>
      </c>
      <c r="G58" s="140">
        <f ca="1">Assumptions!$H$49*G37</f>
        <v>0</v>
      </c>
      <c r="H58" s="140">
        <f ca="1">Assumptions!$H$49*H37</f>
        <v>0</v>
      </c>
      <c r="I58" s="140">
        <f ca="1">Assumptions!$H$49*I37</f>
        <v>0</v>
      </c>
      <c r="J58" s="140">
        <f ca="1">Assumptions!$H$49*J37</f>
        <v>0</v>
      </c>
      <c r="K58" s="140">
        <f ca="1">Assumptions!$H$49*K37</f>
        <v>0</v>
      </c>
      <c r="L58" s="140">
        <f ca="1">Assumptions!$H$49*L37</f>
        <v>0</v>
      </c>
      <c r="N58" s="440"/>
      <c r="O58" s="440"/>
      <c r="P58" s="440"/>
      <c r="Q58" s="440"/>
      <c r="R58" s="440"/>
      <c r="S58" s="440"/>
      <c r="T58" s="440"/>
      <c r="U58" s="440"/>
      <c r="V58" s="440"/>
      <c r="W58" s="440"/>
      <c r="X58" s="440"/>
      <c r="Y58" s="440"/>
      <c r="Z58" s="440"/>
    </row>
    <row r="59" spans="1:26" ht="15.5">
      <c r="A59" s="506" t="s">
        <v>421</v>
      </c>
      <c r="B59" s="501"/>
      <c r="C59" s="140">
        <f>Assumptions!$H$50*C41</f>
        <v>0</v>
      </c>
      <c r="D59" s="140">
        <f>Assumptions!$H$50*D41</f>
        <v>0</v>
      </c>
      <c r="E59" s="140">
        <f>Assumptions!$H$50*E41</f>
        <v>0</v>
      </c>
      <c r="F59" s="140">
        <f>Assumptions!$H$50*F41</f>
        <v>0</v>
      </c>
      <c r="G59" s="140">
        <f>Assumptions!$H$50*G41</f>
        <v>0</v>
      </c>
      <c r="H59" s="140">
        <f>Assumptions!$H$50*H41</f>
        <v>0</v>
      </c>
      <c r="I59" s="140">
        <f>Assumptions!$H$50*I41</f>
        <v>0</v>
      </c>
      <c r="J59" s="140">
        <f>Assumptions!$H$50*J41</f>
        <v>0</v>
      </c>
      <c r="K59" s="140">
        <f>Assumptions!$H$50*K41</f>
        <v>0</v>
      </c>
      <c r="L59" s="140">
        <f>Assumptions!$H$50*L41</f>
        <v>0</v>
      </c>
      <c r="N59" s="521"/>
      <c r="O59" s="440"/>
      <c r="P59" s="522"/>
      <c r="Q59" s="522"/>
      <c r="R59" s="522"/>
      <c r="S59" s="522"/>
      <c r="T59" s="522"/>
      <c r="U59" s="522"/>
      <c r="V59" s="522"/>
      <c r="W59" s="522"/>
      <c r="X59" s="522"/>
      <c r="Y59" s="522"/>
      <c r="Z59" s="440"/>
    </row>
    <row r="60" spans="1:26" ht="15.5">
      <c r="A60" s="506" t="s">
        <v>422</v>
      </c>
      <c r="B60" s="501"/>
      <c r="C60" s="140">
        <f>Assumptions!$H$51*C45</f>
        <v>0</v>
      </c>
      <c r="D60" s="140">
        <f>Assumptions!$H$51*D45</f>
        <v>0</v>
      </c>
      <c r="E60" s="140">
        <f ca="1">Assumptions!$H$51*E45</f>
        <v>0</v>
      </c>
      <c r="F60" s="140">
        <f ca="1">Assumptions!$H$51*F45</f>
        <v>0</v>
      </c>
      <c r="G60" s="140">
        <f ca="1">Assumptions!$H$51*G45</f>
        <v>0</v>
      </c>
      <c r="H60" s="140">
        <f ca="1">Assumptions!$H$51*H45</f>
        <v>0</v>
      </c>
      <c r="I60" s="140">
        <f ca="1">Assumptions!$H$51*I45</f>
        <v>0</v>
      </c>
      <c r="J60" s="140">
        <f ca="1">Assumptions!$H$51*J45</f>
        <v>0</v>
      </c>
      <c r="K60" s="140">
        <f ca="1">Assumptions!$H$51*K45</f>
        <v>0</v>
      </c>
      <c r="L60" s="140">
        <f ca="1">Assumptions!$H$51*L45</f>
        <v>0</v>
      </c>
      <c r="N60" s="521"/>
      <c r="O60" s="440"/>
      <c r="P60" s="522"/>
      <c r="Q60" s="522"/>
      <c r="R60" s="522"/>
      <c r="S60" s="522"/>
      <c r="T60" s="522"/>
      <c r="U60" s="522"/>
      <c r="V60" s="522"/>
      <c r="W60" s="522"/>
      <c r="X60" s="522"/>
      <c r="Y60" s="522"/>
      <c r="Z60" s="440"/>
    </row>
    <row r="61" spans="1:26" ht="15.5">
      <c r="A61" s="506" t="s">
        <v>423</v>
      </c>
      <c r="B61" s="501"/>
      <c r="C61" s="140">
        <f>Assumptions!$H$52*C49</f>
        <v>0</v>
      </c>
      <c r="D61" s="140">
        <f>Assumptions!$H$52*D49</f>
        <v>0</v>
      </c>
      <c r="E61" s="140">
        <f ca="1">Assumptions!$H$52*E49</f>
        <v>0</v>
      </c>
      <c r="F61" s="140">
        <f ca="1">Assumptions!$H$52*F49</f>
        <v>0</v>
      </c>
      <c r="G61" s="140">
        <f ca="1">Assumptions!$H$52*G49</f>
        <v>0</v>
      </c>
      <c r="H61" s="140">
        <f ca="1">Assumptions!$H$52*H49</f>
        <v>0</v>
      </c>
      <c r="I61" s="140">
        <f ca="1">Assumptions!$H$52*I49</f>
        <v>0</v>
      </c>
      <c r="J61" s="140">
        <f ca="1">Assumptions!$H$52*J49</f>
        <v>0</v>
      </c>
      <c r="K61" s="140">
        <f ca="1">Assumptions!$H$52*K49</f>
        <v>0</v>
      </c>
      <c r="L61" s="140">
        <f ca="1">Assumptions!$H$52*L49</f>
        <v>0</v>
      </c>
      <c r="N61" s="521"/>
      <c r="O61" s="440"/>
      <c r="P61" s="440"/>
      <c r="Q61" s="440"/>
      <c r="R61" s="440"/>
      <c r="S61" s="440"/>
      <c r="T61" s="440"/>
      <c r="U61" s="440"/>
      <c r="V61" s="440"/>
      <c r="W61" s="440"/>
      <c r="X61" s="440"/>
      <c r="Y61" s="440"/>
      <c r="Z61" s="440"/>
    </row>
    <row r="62" spans="1:26" ht="15.5">
      <c r="A62" s="506" t="s">
        <v>405</v>
      </c>
      <c r="B62" s="501"/>
      <c r="C62" s="140">
        <f>SUM(C54:C61)</f>
        <v>1725500</v>
      </c>
      <c r="D62" s="140">
        <f t="shared" ref="D62:L62" si="11">SUM(D54:D61)</f>
        <v>2675165.38</v>
      </c>
      <c r="E62" s="140">
        <f t="shared" ca="1" si="11"/>
        <v>4248933.1378883235</v>
      </c>
      <c r="F62" s="140">
        <f t="shared" ca="1" si="11"/>
        <v>4741901.7041423814</v>
      </c>
      <c r="G62" s="140">
        <f t="shared" ca="1" si="11"/>
        <v>5309519.6648551319</v>
      </c>
      <c r="H62" s="140">
        <f t="shared" ca="1" si="11"/>
        <v>5965206.5747421021</v>
      </c>
      <c r="I62" s="140">
        <f t="shared" ca="1" si="11"/>
        <v>6721397.567374358</v>
      </c>
      <c r="J62" s="140">
        <f t="shared" ca="1" si="11"/>
        <v>7598340.0564419758</v>
      </c>
      <c r="K62" s="140">
        <f t="shared" ca="1" si="11"/>
        <v>8612577.6771142371</v>
      </c>
      <c r="L62" s="140">
        <f t="shared" ca="1" si="11"/>
        <v>9796823.4014021754</v>
      </c>
      <c r="N62" s="440"/>
      <c r="O62" s="440"/>
      <c r="P62" s="523"/>
      <c r="Q62" s="523"/>
      <c r="R62" s="523"/>
      <c r="S62" s="523"/>
      <c r="T62" s="523"/>
      <c r="U62" s="523"/>
      <c r="V62" s="523"/>
      <c r="W62" s="523"/>
      <c r="X62" s="523"/>
      <c r="Y62" s="523"/>
      <c r="Z62" s="440"/>
    </row>
    <row r="63" spans="1:26">
      <c r="A63" s="504"/>
      <c r="B63" s="501"/>
      <c r="C63" s="53"/>
      <c r="D63" s="53"/>
      <c r="E63" s="53"/>
      <c r="F63" s="53"/>
      <c r="G63" s="53"/>
      <c r="H63" s="53"/>
      <c r="I63" s="53"/>
      <c r="J63" s="53"/>
      <c r="K63" s="53"/>
      <c r="L63" s="53"/>
      <c r="N63" s="440"/>
      <c r="O63" s="440"/>
      <c r="P63" s="524"/>
      <c r="Q63" s="522"/>
      <c r="R63" s="522"/>
      <c r="S63" s="522"/>
      <c r="T63" s="522"/>
      <c r="U63" s="522"/>
      <c r="V63" s="522"/>
      <c r="W63" s="522"/>
      <c r="X63" s="522"/>
      <c r="Y63" s="522"/>
      <c r="Z63" s="440"/>
    </row>
    <row r="64" spans="1:26" ht="15.5">
      <c r="A64" s="505" t="s">
        <v>157</v>
      </c>
      <c r="B64" s="501"/>
      <c r="C64" s="500">
        <f>C51-C62</f>
        <v>3204500</v>
      </c>
      <c r="D64" s="500">
        <f t="shared" ref="D64:L64" si="12">D51-D62</f>
        <v>4696021.4200000009</v>
      </c>
      <c r="E64" s="500">
        <f t="shared" ca="1" si="12"/>
        <v>7133714.8546009995</v>
      </c>
      <c r="F64" s="500">
        <f t="shared" ca="1" si="12"/>
        <v>7961390.0961364089</v>
      </c>
      <c r="G64" s="500">
        <f t="shared" ca="1" si="12"/>
        <v>8914303.8833848238</v>
      </c>
      <c r="H64" s="500">
        <f t="shared" ca="1" si="12"/>
        <v>10015313.332621075</v>
      </c>
      <c r="I64" s="500">
        <f t="shared" ca="1" si="12"/>
        <v>11285367.0705672</v>
      </c>
      <c r="J64" s="500">
        <f t="shared" ca="1" si="12"/>
        <v>12758442.283406375</v>
      </c>
      <c r="K64" s="500">
        <f t="shared" ca="1" si="12"/>
        <v>14462172.085310914</v>
      </c>
      <c r="L64" s="500">
        <f t="shared" ca="1" si="12"/>
        <v>16451489.700282373</v>
      </c>
      <c r="N64" s="440"/>
      <c r="O64" s="440"/>
      <c r="P64" s="440"/>
      <c r="Q64" s="440"/>
      <c r="R64" s="440"/>
      <c r="S64" s="440"/>
      <c r="T64" s="440"/>
      <c r="U64" s="440"/>
      <c r="V64" s="440"/>
      <c r="W64" s="440"/>
      <c r="X64" s="440"/>
      <c r="Y64" s="440"/>
      <c r="Z64" s="440"/>
    </row>
    <row r="65" spans="1:26" ht="15.5">
      <c r="A65" s="504"/>
      <c r="B65" s="501"/>
      <c r="C65" s="53"/>
      <c r="D65" s="53"/>
      <c r="E65" s="53"/>
      <c r="F65" s="53"/>
      <c r="G65" s="53"/>
      <c r="H65" s="53"/>
      <c r="I65" s="53"/>
      <c r="J65" s="53"/>
      <c r="K65" s="53"/>
      <c r="L65" s="53"/>
      <c r="N65" s="521"/>
      <c r="O65" s="440"/>
      <c r="P65" s="522"/>
      <c r="Q65" s="522"/>
      <c r="R65" s="522"/>
      <c r="S65" s="522"/>
      <c r="T65" s="522"/>
      <c r="U65" s="522"/>
      <c r="V65" s="522"/>
      <c r="W65" s="522"/>
      <c r="X65" s="522"/>
      <c r="Y65" s="522"/>
      <c r="Z65" s="440"/>
    </row>
    <row r="66" spans="1:26" ht="18.5">
      <c r="A66" s="509" t="s">
        <v>96</v>
      </c>
      <c r="B66" s="501"/>
      <c r="C66" s="53"/>
      <c r="D66" s="53"/>
      <c r="E66" s="53"/>
      <c r="F66" s="53"/>
      <c r="G66" s="53"/>
      <c r="H66" s="53"/>
      <c r="I66" s="53"/>
      <c r="J66" s="53"/>
      <c r="K66" s="53"/>
      <c r="L66" s="53"/>
      <c r="N66" s="440"/>
      <c r="O66" s="440"/>
      <c r="P66" s="440"/>
      <c r="Q66" s="440"/>
      <c r="R66" s="440"/>
      <c r="S66" s="440"/>
      <c r="T66" s="440"/>
      <c r="U66" s="440"/>
      <c r="V66" s="440"/>
      <c r="W66" s="440"/>
      <c r="X66" s="440"/>
      <c r="Y66" s="440"/>
      <c r="Z66" s="440"/>
    </row>
    <row r="67" spans="1:26" ht="15.5">
      <c r="A67" s="504"/>
      <c r="B67" s="501"/>
      <c r="C67" s="53"/>
      <c r="D67" s="53"/>
      <c r="E67" s="53"/>
      <c r="F67" s="53"/>
      <c r="G67" s="53"/>
      <c r="H67" s="53"/>
      <c r="I67" s="53"/>
      <c r="J67" s="53"/>
      <c r="K67" s="53"/>
      <c r="L67" s="53"/>
      <c r="N67" s="521"/>
      <c r="O67" s="440"/>
      <c r="P67" s="440"/>
      <c r="Q67" s="440"/>
      <c r="R67" s="440"/>
      <c r="S67" s="440"/>
      <c r="T67" s="440"/>
      <c r="U67" s="440"/>
      <c r="V67" s="440"/>
      <c r="W67" s="440"/>
      <c r="X67" s="440"/>
      <c r="Y67" s="440"/>
      <c r="Z67" s="440"/>
    </row>
    <row r="68" spans="1:26" ht="15.5">
      <c r="A68" s="506" t="s">
        <v>28</v>
      </c>
      <c r="B68" s="501"/>
      <c r="C68" s="53"/>
      <c r="D68" s="53"/>
      <c r="E68" s="53"/>
      <c r="F68" s="53"/>
      <c r="G68" s="53"/>
      <c r="H68" s="53"/>
      <c r="I68" s="53"/>
      <c r="J68" s="53"/>
      <c r="K68" s="53"/>
      <c r="L68" s="53"/>
      <c r="N68" s="521"/>
      <c r="O68" s="440"/>
      <c r="P68" s="440"/>
      <c r="Q68" s="440"/>
      <c r="R68" s="440"/>
      <c r="S68" s="440"/>
      <c r="T68" s="440"/>
      <c r="U68" s="440"/>
      <c r="V68" s="440"/>
      <c r="W68" s="440"/>
      <c r="X68" s="440"/>
      <c r="Y68" s="440"/>
      <c r="Z68" s="440"/>
    </row>
    <row r="69" spans="1:26" ht="15.5">
      <c r="A69" s="506"/>
      <c r="B69" s="501"/>
      <c r="C69" s="53"/>
      <c r="D69" s="53"/>
      <c r="E69" s="53"/>
      <c r="F69" s="53"/>
      <c r="G69" s="53"/>
      <c r="H69" s="53"/>
      <c r="I69" s="53"/>
      <c r="J69" s="53"/>
      <c r="K69" s="53"/>
      <c r="L69" s="53"/>
      <c r="N69" s="521"/>
      <c r="O69" s="440"/>
      <c r="P69" s="522"/>
      <c r="Q69" s="522"/>
      <c r="R69" s="522"/>
      <c r="S69" s="522"/>
      <c r="T69" s="522"/>
      <c r="U69" s="522"/>
      <c r="V69" s="522"/>
      <c r="W69" s="522"/>
      <c r="X69" s="522"/>
      <c r="Y69" s="522"/>
      <c r="Z69" s="440"/>
    </row>
    <row r="70" spans="1:26">
      <c r="A70" s="504" t="s">
        <v>37</v>
      </c>
      <c r="B70" s="501"/>
      <c r="C70" s="140">
        <f>Assumptions!D25</f>
        <v>5000</v>
      </c>
      <c r="D70" s="140">
        <v>0</v>
      </c>
      <c r="E70" s="140">
        <v>0</v>
      </c>
      <c r="F70" s="140">
        <v>0</v>
      </c>
      <c r="G70" s="140">
        <v>0</v>
      </c>
      <c r="H70" s="140">
        <v>0</v>
      </c>
      <c r="I70" s="140">
        <v>0</v>
      </c>
      <c r="J70" s="140">
        <v>0</v>
      </c>
      <c r="K70" s="140">
        <v>0</v>
      </c>
      <c r="L70" s="140">
        <v>0</v>
      </c>
      <c r="N70" s="440"/>
      <c r="O70" s="440"/>
      <c r="P70" s="440"/>
      <c r="Q70" s="440"/>
      <c r="R70" s="440"/>
      <c r="S70" s="440"/>
      <c r="T70" s="440"/>
      <c r="U70" s="440"/>
      <c r="V70" s="440"/>
      <c r="W70" s="440"/>
      <c r="X70" s="440"/>
      <c r="Y70" s="440"/>
      <c r="Z70" s="440"/>
    </row>
    <row r="71" spans="1:26" ht="18.5">
      <c r="A71" s="504" t="s">
        <v>356</v>
      </c>
      <c r="B71" s="501"/>
      <c r="C71" s="140">
        <f>Assumptions!D26</f>
        <v>15000</v>
      </c>
      <c r="D71" s="140">
        <v>0</v>
      </c>
      <c r="E71" s="140">
        <v>0</v>
      </c>
      <c r="F71" s="140">
        <v>0</v>
      </c>
      <c r="G71" s="140">
        <v>0</v>
      </c>
      <c r="H71" s="140">
        <v>0</v>
      </c>
      <c r="I71" s="140">
        <v>0</v>
      </c>
      <c r="J71" s="140">
        <v>0</v>
      </c>
      <c r="K71" s="140">
        <v>0</v>
      </c>
      <c r="L71" s="140">
        <v>0</v>
      </c>
      <c r="N71" s="525"/>
      <c r="O71" s="440"/>
      <c r="P71" s="522"/>
      <c r="Q71" s="522"/>
      <c r="R71" s="522"/>
      <c r="S71" s="522"/>
      <c r="T71" s="522"/>
      <c r="U71" s="522"/>
      <c r="V71" s="522"/>
      <c r="W71" s="522"/>
      <c r="X71" s="522"/>
      <c r="Y71" s="522"/>
      <c r="Z71" s="440"/>
    </row>
    <row r="72" spans="1:26">
      <c r="A72" s="504" t="s">
        <v>40</v>
      </c>
      <c r="B72" s="501"/>
      <c r="C72" s="140">
        <f>Assumptions!D27</f>
        <v>1000</v>
      </c>
      <c r="D72" s="140">
        <v>0</v>
      </c>
      <c r="E72" s="140">
        <v>0</v>
      </c>
      <c r="F72" s="140">
        <v>0</v>
      </c>
      <c r="G72" s="140">
        <v>0</v>
      </c>
      <c r="H72" s="140">
        <v>0</v>
      </c>
      <c r="I72" s="140">
        <v>0</v>
      </c>
      <c r="J72" s="140">
        <v>0</v>
      </c>
      <c r="K72" s="140">
        <v>0</v>
      </c>
      <c r="L72" s="140">
        <v>0</v>
      </c>
      <c r="N72" s="440"/>
      <c r="O72" s="440"/>
      <c r="P72" s="440"/>
      <c r="Q72" s="440"/>
      <c r="R72" s="440"/>
      <c r="S72" s="440"/>
      <c r="T72" s="440"/>
      <c r="U72" s="440"/>
      <c r="V72" s="440"/>
      <c r="W72" s="440"/>
      <c r="X72" s="440"/>
      <c r="Y72" s="440"/>
      <c r="Z72" s="440"/>
    </row>
    <row r="73" spans="1:26">
      <c r="A73" s="504" t="s">
        <v>41</v>
      </c>
      <c r="B73" s="501"/>
      <c r="C73" s="140">
        <f>Assumptions!D28</f>
        <v>5000</v>
      </c>
      <c r="D73" s="140">
        <v>0</v>
      </c>
      <c r="E73" s="140">
        <v>0</v>
      </c>
      <c r="F73" s="140">
        <v>0</v>
      </c>
      <c r="G73" s="140">
        <v>0</v>
      </c>
      <c r="H73" s="140">
        <v>0</v>
      </c>
      <c r="I73" s="140">
        <v>0</v>
      </c>
      <c r="J73" s="140">
        <v>0</v>
      </c>
      <c r="K73" s="140">
        <v>0</v>
      </c>
      <c r="L73" s="140">
        <v>0</v>
      </c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440"/>
    </row>
    <row r="74" spans="1:26">
      <c r="A74" s="504" t="s">
        <v>43</v>
      </c>
      <c r="B74" s="501"/>
      <c r="C74" s="140">
        <f>Assumptions!D29</f>
        <v>1000</v>
      </c>
      <c r="D74" s="140">
        <v>0</v>
      </c>
      <c r="E74" s="140">
        <v>0</v>
      </c>
      <c r="F74" s="140">
        <v>0</v>
      </c>
      <c r="G74" s="140">
        <v>0</v>
      </c>
      <c r="H74" s="140">
        <v>0</v>
      </c>
      <c r="I74" s="140">
        <v>0</v>
      </c>
      <c r="J74" s="140">
        <v>0</v>
      </c>
      <c r="K74" s="140">
        <v>0</v>
      </c>
      <c r="L74" s="140">
        <v>0</v>
      </c>
      <c r="N74" s="440"/>
      <c r="O74" s="440"/>
      <c r="P74" s="440"/>
      <c r="Q74" s="440"/>
      <c r="R74" s="440"/>
      <c r="S74" s="440"/>
      <c r="T74" s="440"/>
      <c r="U74" s="440"/>
      <c r="V74" s="440"/>
      <c r="W74" s="440"/>
      <c r="X74" s="440"/>
      <c r="Y74" s="440"/>
      <c r="Z74" s="440"/>
    </row>
    <row r="75" spans="1:26">
      <c r="A75" s="504" t="s">
        <v>45</v>
      </c>
      <c r="B75" s="501"/>
      <c r="C75" s="140">
        <f>Assumptions!D30</f>
        <v>3000</v>
      </c>
      <c r="D75" s="140">
        <v>0</v>
      </c>
      <c r="E75" s="140">
        <v>0</v>
      </c>
      <c r="F75" s="140">
        <v>0</v>
      </c>
      <c r="G75" s="140">
        <v>0</v>
      </c>
      <c r="H75" s="140">
        <v>0</v>
      </c>
      <c r="I75" s="140">
        <v>0</v>
      </c>
      <c r="J75" s="140">
        <v>0</v>
      </c>
      <c r="K75" s="140">
        <v>0</v>
      </c>
      <c r="L75" s="140">
        <v>0</v>
      </c>
      <c r="N75" s="440"/>
      <c r="O75" s="440"/>
      <c r="P75" s="440"/>
      <c r="Q75" s="440"/>
      <c r="R75" s="440"/>
      <c r="S75" s="440"/>
      <c r="T75" s="440"/>
      <c r="U75" s="440"/>
      <c r="V75" s="440"/>
      <c r="W75" s="440"/>
      <c r="X75" s="440"/>
      <c r="Y75" s="440"/>
      <c r="Z75" s="440"/>
    </row>
    <row r="76" spans="1:26">
      <c r="A76" s="504" t="s">
        <v>35</v>
      </c>
      <c r="B76" s="501"/>
      <c r="C76" s="140">
        <f>Assumptions!D31</f>
        <v>5000</v>
      </c>
      <c r="D76" s="140">
        <v>0</v>
      </c>
      <c r="E76" s="140">
        <v>0</v>
      </c>
      <c r="F76" s="140">
        <v>0</v>
      </c>
      <c r="G76" s="140">
        <v>0</v>
      </c>
      <c r="H76" s="140">
        <v>0</v>
      </c>
      <c r="I76" s="140">
        <v>0</v>
      </c>
      <c r="J76" s="140">
        <v>0</v>
      </c>
      <c r="K76" s="140">
        <v>0</v>
      </c>
      <c r="L76" s="140">
        <v>0</v>
      </c>
      <c r="N76" s="440"/>
      <c r="O76" s="440"/>
      <c r="P76" s="440"/>
      <c r="Q76" s="440"/>
      <c r="R76" s="440"/>
      <c r="S76" s="440"/>
      <c r="T76" s="440"/>
      <c r="U76" s="440"/>
      <c r="V76" s="440"/>
      <c r="W76" s="440"/>
      <c r="X76" s="440"/>
      <c r="Y76" s="440"/>
      <c r="Z76" s="440"/>
    </row>
    <row r="77" spans="1:26" ht="18.5">
      <c r="A77" s="504"/>
      <c r="B77" s="501"/>
      <c r="C77" s="53"/>
      <c r="D77" s="53"/>
      <c r="E77" s="53"/>
      <c r="F77" s="53"/>
      <c r="G77" s="53"/>
      <c r="H77" s="53"/>
      <c r="I77" s="53"/>
      <c r="J77" s="53"/>
      <c r="K77" s="53"/>
      <c r="L77" s="53"/>
      <c r="N77" s="525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440"/>
    </row>
    <row r="78" spans="1:26" ht="15.5">
      <c r="A78" s="506" t="s">
        <v>158</v>
      </c>
      <c r="B78" s="501"/>
      <c r="C78" s="140">
        <f t="shared" ref="C78:L78" si="13">SUM(C70:C76)</f>
        <v>35000</v>
      </c>
      <c r="D78" s="140">
        <f t="shared" si="13"/>
        <v>0</v>
      </c>
      <c r="E78" s="140">
        <f t="shared" si="13"/>
        <v>0</v>
      </c>
      <c r="F78" s="140">
        <f t="shared" si="13"/>
        <v>0</v>
      </c>
      <c r="G78" s="140">
        <f t="shared" si="13"/>
        <v>0</v>
      </c>
      <c r="H78" s="140">
        <f t="shared" si="13"/>
        <v>0</v>
      </c>
      <c r="I78" s="140">
        <f t="shared" si="13"/>
        <v>0</v>
      </c>
      <c r="J78" s="140">
        <f t="shared" si="13"/>
        <v>0</v>
      </c>
      <c r="K78" s="140">
        <f t="shared" si="13"/>
        <v>0</v>
      </c>
      <c r="L78" s="140">
        <f t="shared" si="13"/>
        <v>0</v>
      </c>
      <c r="N78" s="521"/>
      <c r="O78" s="440"/>
      <c r="P78" s="522"/>
      <c r="Q78" s="522"/>
      <c r="R78" s="522"/>
      <c r="S78" s="522"/>
      <c r="T78" s="522"/>
      <c r="U78" s="522"/>
      <c r="V78" s="522"/>
      <c r="W78" s="522"/>
      <c r="X78" s="522"/>
      <c r="Y78" s="522"/>
      <c r="Z78" s="440"/>
    </row>
    <row r="79" spans="1:26" ht="15.5">
      <c r="A79" s="504"/>
      <c r="B79" s="501"/>
      <c r="C79" s="53"/>
      <c r="D79" s="53"/>
      <c r="E79" s="53"/>
      <c r="F79" s="53"/>
      <c r="G79" s="53"/>
      <c r="H79" s="53"/>
      <c r="I79" s="53"/>
      <c r="J79" s="53"/>
      <c r="K79" s="53"/>
      <c r="L79" s="53"/>
      <c r="N79" s="521"/>
      <c r="O79" s="440"/>
      <c r="P79" s="522"/>
      <c r="Q79" s="522"/>
      <c r="R79" s="522"/>
      <c r="S79" s="522"/>
      <c r="T79" s="522"/>
      <c r="U79" s="522"/>
      <c r="V79" s="522"/>
      <c r="W79" s="522"/>
      <c r="X79" s="522"/>
      <c r="Y79" s="522"/>
      <c r="Z79" s="440"/>
    </row>
    <row r="80" spans="1:26" ht="15.5">
      <c r="A80" s="506" t="s">
        <v>13</v>
      </c>
      <c r="B80" s="501"/>
      <c r="C80" s="53"/>
      <c r="D80" s="53"/>
      <c r="E80" s="53"/>
      <c r="F80" s="53"/>
      <c r="G80" s="53"/>
      <c r="H80" s="53"/>
      <c r="I80" s="53"/>
      <c r="J80" s="53"/>
      <c r="K80" s="53"/>
      <c r="L80" s="53"/>
      <c r="N80" s="521"/>
      <c r="O80" s="440"/>
      <c r="P80" s="522"/>
      <c r="Q80" s="522"/>
      <c r="R80" s="522"/>
      <c r="S80" s="522"/>
      <c r="T80" s="522"/>
      <c r="U80" s="522"/>
      <c r="V80" s="522"/>
      <c r="W80" s="522"/>
      <c r="X80" s="522"/>
      <c r="Y80" s="522"/>
      <c r="Z80" s="440"/>
    </row>
    <row r="81" spans="1:26" ht="15.5">
      <c r="A81" s="504"/>
      <c r="B81" s="501"/>
      <c r="C81" s="53"/>
      <c r="D81" s="53"/>
      <c r="E81" s="53"/>
      <c r="F81" s="53"/>
      <c r="G81" s="53"/>
      <c r="H81" s="53"/>
      <c r="I81" s="53"/>
      <c r="J81" s="53"/>
      <c r="K81" s="53"/>
      <c r="L81" s="53"/>
      <c r="N81" s="521"/>
      <c r="O81" s="440"/>
      <c r="P81" s="522"/>
      <c r="Q81" s="522"/>
      <c r="R81" s="522"/>
      <c r="S81" s="522"/>
      <c r="T81" s="522"/>
      <c r="U81" s="522"/>
      <c r="V81" s="522"/>
      <c r="W81" s="522"/>
      <c r="X81" s="522"/>
      <c r="Y81" s="522"/>
      <c r="Z81" s="440"/>
    </row>
    <row r="82" spans="1:26" ht="15.5">
      <c r="A82" s="504" t="s">
        <v>14</v>
      </c>
      <c r="B82" s="501"/>
      <c r="C82" s="140">
        <f>Assumptions!G9</f>
        <v>60000</v>
      </c>
      <c r="D82" s="140">
        <f>C82*(1+Assumptions!$D$11)</f>
        <v>61800</v>
      </c>
      <c r="E82" s="140">
        <f>D82*(1+Assumptions!$D$11)</f>
        <v>63654</v>
      </c>
      <c r="F82" s="140">
        <f>E82*(1+Assumptions!$D$11)</f>
        <v>65563.62</v>
      </c>
      <c r="G82" s="140">
        <f>F82*(1+Assumptions!$D$11)</f>
        <v>67530.528599999991</v>
      </c>
      <c r="H82" s="140">
        <f>G82*(1+Assumptions!$D$11)</f>
        <v>69556.444457999998</v>
      </c>
      <c r="I82" s="140">
        <f>H82*(1+Assumptions!$D$11)</f>
        <v>71643.137791739995</v>
      </c>
      <c r="J82" s="140">
        <f>I82*(1+Assumptions!$D$11)</f>
        <v>73792.431925492201</v>
      </c>
      <c r="K82" s="140">
        <f>J82*(1+Assumptions!$D$11)</f>
        <v>76006.204883256971</v>
      </c>
      <c r="L82" s="140">
        <f>K82*(1+Assumptions!$D$11)</f>
        <v>78286.391029754683</v>
      </c>
      <c r="N82" s="521"/>
      <c r="O82" s="440"/>
      <c r="P82" s="522"/>
      <c r="Q82" s="522"/>
      <c r="R82" s="522"/>
      <c r="S82" s="522"/>
      <c r="T82" s="522"/>
      <c r="U82" s="522"/>
      <c r="V82" s="522"/>
      <c r="W82" s="522"/>
      <c r="X82" s="522"/>
      <c r="Y82" s="522"/>
      <c r="Z82" s="440"/>
    </row>
    <row r="83" spans="1:26" ht="15.5">
      <c r="A83" s="504" t="s">
        <v>15</v>
      </c>
      <c r="B83" s="501"/>
      <c r="C83" s="140">
        <f>Assumptions!G10</f>
        <v>12000</v>
      </c>
      <c r="D83" s="140">
        <f>C83*(1+Assumptions!$D$11)</f>
        <v>12360</v>
      </c>
      <c r="E83" s="140">
        <f>D83*(1+Assumptions!$D$11)</f>
        <v>12730.800000000001</v>
      </c>
      <c r="F83" s="140">
        <f>E83*(1+Assumptions!$D$11)</f>
        <v>13112.724000000002</v>
      </c>
      <c r="G83" s="140">
        <f>F83*(1+Assumptions!$D$11)</f>
        <v>13506.105720000003</v>
      </c>
      <c r="H83" s="140">
        <f>G83*(1+Assumptions!$D$11)</f>
        <v>13911.288891600003</v>
      </c>
      <c r="I83" s="140">
        <f>H83*(1+Assumptions!$D$11)</f>
        <v>14328.627558348004</v>
      </c>
      <c r="J83" s="140">
        <f>I83*(1+Assumptions!$D$11)</f>
        <v>14758.486385098444</v>
      </c>
      <c r="K83" s="140">
        <f>J83*(1+Assumptions!$D$11)</f>
        <v>15201.240976651397</v>
      </c>
      <c r="L83" s="140">
        <f>K83*(1+Assumptions!$D$11)</f>
        <v>15657.278205950939</v>
      </c>
      <c r="N83" s="521"/>
      <c r="O83" s="440"/>
      <c r="P83" s="522"/>
      <c r="Q83" s="522"/>
      <c r="R83" s="522"/>
      <c r="S83" s="522"/>
      <c r="T83" s="522"/>
      <c r="U83" s="522"/>
      <c r="V83" s="522"/>
      <c r="W83" s="522"/>
      <c r="X83" s="522"/>
      <c r="Y83" s="522"/>
      <c r="Z83" s="440"/>
    </row>
    <row r="84" spans="1:26" ht="15.5">
      <c r="A84" s="504" t="s">
        <v>17</v>
      </c>
      <c r="B84" s="501"/>
      <c r="C84" s="140">
        <f>Assumptions!G11</f>
        <v>1200</v>
      </c>
      <c r="D84" s="140">
        <f>C84*(1+Assumptions!$D$11)</f>
        <v>1236</v>
      </c>
      <c r="E84" s="140">
        <f>D84*(1+Assumptions!$D$11)</f>
        <v>1273.08</v>
      </c>
      <c r="F84" s="140">
        <f>E84*(1+Assumptions!$D$11)</f>
        <v>1311.2724000000001</v>
      </c>
      <c r="G84" s="140">
        <f>F84*(1+Assumptions!$D$11)</f>
        <v>1350.610572</v>
      </c>
      <c r="H84" s="140">
        <f>G84*(1+Assumptions!$D$11)</f>
        <v>1391.12888916</v>
      </c>
      <c r="I84" s="140">
        <f>H84*(1+Assumptions!$D$11)</f>
        <v>1432.8627558348001</v>
      </c>
      <c r="J84" s="140">
        <f>I84*(1+Assumptions!$D$11)</f>
        <v>1475.848638509844</v>
      </c>
      <c r="K84" s="140">
        <f>J84*(1+Assumptions!$D$11)</f>
        <v>1520.1240976651393</v>
      </c>
      <c r="L84" s="140">
        <f>K84*(1+Assumptions!$D$11)</f>
        <v>1565.7278205950936</v>
      </c>
      <c r="N84" s="521"/>
      <c r="O84" s="440"/>
      <c r="P84" s="522"/>
      <c r="Q84" s="522"/>
      <c r="R84" s="522"/>
      <c r="S84" s="522"/>
      <c r="T84" s="522"/>
      <c r="U84" s="522"/>
      <c r="V84" s="522"/>
      <c r="W84" s="522"/>
      <c r="X84" s="522"/>
      <c r="Y84" s="522"/>
      <c r="Z84" s="440"/>
    </row>
    <row r="85" spans="1:26" ht="15.5">
      <c r="A85" s="504" t="s">
        <v>19</v>
      </c>
      <c r="B85" s="501"/>
      <c r="C85" s="140">
        <f>Assumptions!G12</f>
        <v>12000</v>
      </c>
      <c r="D85" s="140">
        <f>C85*(1+Assumptions!$D$11)</f>
        <v>12360</v>
      </c>
      <c r="E85" s="140">
        <f>D85*(1+Assumptions!$D$11)</f>
        <v>12730.800000000001</v>
      </c>
      <c r="F85" s="140">
        <f>E85*(1+Assumptions!$D$11)</f>
        <v>13112.724000000002</v>
      </c>
      <c r="G85" s="140">
        <f>F85*(1+Assumptions!$D$11)</f>
        <v>13506.105720000003</v>
      </c>
      <c r="H85" s="140">
        <f>G85*(1+Assumptions!$D$11)</f>
        <v>13911.288891600003</v>
      </c>
      <c r="I85" s="140">
        <f>H85*(1+Assumptions!$D$11)</f>
        <v>14328.627558348004</v>
      </c>
      <c r="J85" s="140">
        <f>I85*(1+Assumptions!$D$11)</f>
        <v>14758.486385098444</v>
      </c>
      <c r="K85" s="140">
        <f>J85*(1+Assumptions!$D$11)</f>
        <v>15201.240976651397</v>
      </c>
      <c r="L85" s="140">
        <f>K85*(1+Assumptions!$D$11)</f>
        <v>15657.278205950939</v>
      </c>
      <c r="N85" s="521"/>
      <c r="O85" s="440"/>
      <c r="P85" s="522"/>
      <c r="Q85" s="522"/>
      <c r="R85" s="522"/>
      <c r="S85" s="522"/>
      <c r="T85" s="522"/>
      <c r="U85" s="522"/>
      <c r="V85" s="522"/>
      <c r="W85" s="522"/>
      <c r="X85" s="522"/>
      <c r="Y85" s="522"/>
      <c r="Z85" s="440"/>
    </row>
    <row r="86" spans="1:26" ht="15.5">
      <c r="A86" s="504" t="s">
        <v>20</v>
      </c>
      <c r="B86" s="501"/>
      <c r="C86" s="140">
        <f>Assumptions!G13</f>
        <v>6000</v>
      </c>
      <c r="D86" s="140">
        <f>C86*(1+Assumptions!$D$11)</f>
        <v>6180</v>
      </c>
      <c r="E86" s="140">
        <f>D86*(1+Assumptions!$D$11)</f>
        <v>6365.4000000000005</v>
      </c>
      <c r="F86" s="140">
        <f>E86*(1+Assumptions!$D$11)</f>
        <v>6556.362000000001</v>
      </c>
      <c r="G86" s="140">
        <f>F86*(1+Assumptions!$D$11)</f>
        <v>6753.0528600000016</v>
      </c>
      <c r="H86" s="140">
        <f>G86*(1+Assumptions!$D$11)</f>
        <v>6955.6444458000014</v>
      </c>
      <c r="I86" s="140">
        <f>H86*(1+Assumptions!$D$11)</f>
        <v>7164.3137791740019</v>
      </c>
      <c r="J86" s="140">
        <f>I86*(1+Assumptions!$D$11)</f>
        <v>7379.2431925492219</v>
      </c>
      <c r="K86" s="140">
        <f>J86*(1+Assumptions!$D$11)</f>
        <v>7600.6204883256987</v>
      </c>
      <c r="L86" s="140">
        <f>K86*(1+Assumptions!$D$11)</f>
        <v>7828.6391029754695</v>
      </c>
      <c r="N86" s="521"/>
      <c r="O86" s="440"/>
      <c r="P86" s="522"/>
      <c r="Q86" s="522"/>
      <c r="R86" s="522"/>
      <c r="S86" s="522"/>
      <c r="T86" s="522"/>
      <c r="U86" s="522"/>
      <c r="V86" s="522"/>
      <c r="W86" s="522"/>
      <c r="X86" s="522"/>
      <c r="Y86" s="522"/>
      <c r="Z86" s="440"/>
    </row>
    <row r="87" spans="1:26" ht="15.5">
      <c r="A87" s="504" t="s">
        <v>22</v>
      </c>
      <c r="B87" s="501"/>
      <c r="C87" s="140">
        <f>Assumptions!G14</f>
        <v>6000</v>
      </c>
      <c r="D87" s="140">
        <f>C87*(1+Assumptions!$D$11)</f>
        <v>6180</v>
      </c>
      <c r="E87" s="140">
        <f>D87*(1+Assumptions!$D$11)</f>
        <v>6365.4000000000005</v>
      </c>
      <c r="F87" s="140">
        <f>E87*(1+Assumptions!$D$11)</f>
        <v>6556.362000000001</v>
      </c>
      <c r="G87" s="140">
        <f>F87*(1+Assumptions!$D$11)</f>
        <v>6753.0528600000016</v>
      </c>
      <c r="H87" s="140">
        <f>G87*(1+Assumptions!$D$11)</f>
        <v>6955.6444458000014</v>
      </c>
      <c r="I87" s="140">
        <f>H87*(1+Assumptions!$D$11)</f>
        <v>7164.3137791740019</v>
      </c>
      <c r="J87" s="140">
        <f>I87*(1+Assumptions!$D$11)</f>
        <v>7379.2431925492219</v>
      </c>
      <c r="K87" s="140">
        <f>J87*(1+Assumptions!$D$11)</f>
        <v>7600.6204883256987</v>
      </c>
      <c r="L87" s="140">
        <f>K87*(1+Assumptions!$D$11)</f>
        <v>7828.6391029754695</v>
      </c>
      <c r="N87" s="521"/>
      <c r="O87" s="440"/>
      <c r="P87" s="522"/>
      <c r="Q87" s="522"/>
      <c r="R87" s="522"/>
      <c r="S87" s="522"/>
      <c r="T87" s="522"/>
      <c r="U87" s="522"/>
      <c r="V87" s="522"/>
      <c r="W87" s="522"/>
      <c r="X87" s="522"/>
      <c r="Y87" s="522"/>
      <c r="Z87" s="440"/>
    </row>
    <row r="88" spans="1:26" ht="15.5">
      <c r="A88" s="504" t="s">
        <v>25</v>
      </c>
      <c r="B88" s="501"/>
      <c r="C88" s="140">
        <f>Assumptions!G15</f>
        <v>1000</v>
      </c>
      <c r="D88" s="140">
        <f>C88*(1+Assumptions!$D$11)</f>
        <v>1030</v>
      </c>
      <c r="E88" s="140">
        <f>D88*(1+Assumptions!$D$11)</f>
        <v>1060.9000000000001</v>
      </c>
      <c r="F88" s="140">
        <f>E88*(1+Assumptions!$D$11)</f>
        <v>1092.7270000000001</v>
      </c>
      <c r="G88" s="140">
        <f>F88*(1+Assumptions!$D$11)</f>
        <v>1125.50881</v>
      </c>
      <c r="H88" s="140">
        <f>G88*(1+Assumptions!$D$11)</f>
        <v>1159.2740743000002</v>
      </c>
      <c r="I88" s="140">
        <f>H88*(1+Assumptions!$D$11)</f>
        <v>1194.0522965290002</v>
      </c>
      <c r="J88" s="140">
        <f>I88*(1+Assumptions!$D$11)</f>
        <v>1229.8738654248702</v>
      </c>
      <c r="K88" s="140">
        <f>J88*(1+Assumptions!$D$11)</f>
        <v>1266.7700813876163</v>
      </c>
      <c r="L88" s="140">
        <f>K88*(1+Assumptions!$D$11)</f>
        <v>1304.7731838292448</v>
      </c>
      <c r="N88" s="521"/>
      <c r="O88" s="440"/>
      <c r="P88" s="522"/>
      <c r="Q88" s="522"/>
      <c r="R88" s="522"/>
      <c r="S88" s="522"/>
      <c r="T88" s="522"/>
      <c r="U88" s="522"/>
      <c r="V88" s="522"/>
      <c r="W88" s="522"/>
      <c r="X88" s="522"/>
      <c r="Y88" s="522"/>
      <c r="Z88" s="440"/>
    </row>
    <row r="89" spans="1:26">
      <c r="A89" s="504" t="s">
        <v>27</v>
      </c>
      <c r="B89" s="501"/>
      <c r="C89" s="140">
        <f>Assumptions!G16</f>
        <v>1000</v>
      </c>
      <c r="D89" s="140">
        <f>C89*(1+Assumptions!$D$11)</f>
        <v>1030</v>
      </c>
      <c r="E89" s="140">
        <f>D89*(1+Assumptions!$D$11)</f>
        <v>1060.9000000000001</v>
      </c>
      <c r="F89" s="140">
        <f>E89*(1+Assumptions!$D$11)</f>
        <v>1092.7270000000001</v>
      </c>
      <c r="G89" s="140">
        <f>F89*(1+Assumptions!$D$11)</f>
        <v>1125.50881</v>
      </c>
      <c r="H89" s="140">
        <f>G89*(1+Assumptions!$D$11)</f>
        <v>1159.2740743000002</v>
      </c>
      <c r="I89" s="140">
        <f>H89*(1+Assumptions!$D$11)</f>
        <v>1194.0522965290002</v>
      </c>
      <c r="J89" s="140">
        <f>I89*(1+Assumptions!$D$11)</f>
        <v>1229.8738654248702</v>
      </c>
      <c r="K89" s="140">
        <f>J89*(1+Assumptions!$D$11)</f>
        <v>1266.7700813876163</v>
      </c>
      <c r="L89" s="140">
        <f>K89*(1+Assumptions!$D$11)</f>
        <v>1304.7731838292448</v>
      </c>
      <c r="N89" s="440"/>
      <c r="O89" s="440"/>
      <c r="P89" s="440"/>
      <c r="Q89" s="440"/>
      <c r="R89" s="440"/>
      <c r="S89" s="440"/>
      <c r="T89" s="440"/>
      <c r="U89" s="440"/>
      <c r="V89" s="440"/>
      <c r="W89" s="440"/>
      <c r="X89" s="440"/>
      <c r="Y89" s="440"/>
      <c r="Z89" s="440"/>
    </row>
    <row r="90" spans="1:26" ht="18.5">
      <c r="A90" s="504" t="s">
        <v>290</v>
      </c>
      <c r="B90" s="501"/>
      <c r="C90" s="140">
        <f>Assumptions!G17</f>
        <v>6000</v>
      </c>
      <c r="D90" s="140">
        <f>C90*(1+Assumptions!$D$11)</f>
        <v>6180</v>
      </c>
      <c r="E90" s="140">
        <f>D90*(1+Assumptions!$D$11)</f>
        <v>6365.4000000000005</v>
      </c>
      <c r="F90" s="140">
        <f>E90*(1+Assumptions!$D$11)</f>
        <v>6556.362000000001</v>
      </c>
      <c r="G90" s="140">
        <f>F90*(1+Assumptions!$D$11)</f>
        <v>6753.0528600000016</v>
      </c>
      <c r="H90" s="140">
        <f>G90*(1+Assumptions!$D$11)</f>
        <v>6955.6444458000014</v>
      </c>
      <c r="I90" s="140">
        <f>H90*(1+Assumptions!$D$11)</f>
        <v>7164.3137791740019</v>
      </c>
      <c r="J90" s="140">
        <f>I90*(1+Assumptions!$D$11)</f>
        <v>7379.2431925492219</v>
      </c>
      <c r="K90" s="140">
        <f>J90*(1+Assumptions!$D$11)</f>
        <v>7600.6204883256987</v>
      </c>
      <c r="L90" s="140">
        <f>K90*(1+Assumptions!$D$11)</f>
        <v>7828.6391029754695</v>
      </c>
      <c r="N90" s="525"/>
      <c r="O90" s="440"/>
      <c r="P90" s="522"/>
      <c r="Q90" s="522"/>
      <c r="R90" s="522"/>
      <c r="S90" s="522"/>
      <c r="T90" s="522"/>
      <c r="U90" s="522"/>
      <c r="V90" s="522"/>
      <c r="W90" s="522"/>
      <c r="X90" s="522"/>
      <c r="Y90" s="522"/>
      <c r="Z90" s="440"/>
    </row>
    <row r="91" spans="1:26">
      <c r="A91" s="504" t="s">
        <v>29</v>
      </c>
      <c r="B91" s="501"/>
      <c r="C91" s="140">
        <f>Assumptions!G18</f>
        <v>31200</v>
      </c>
      <c r="D91" s="140">
        <f>C91*(1+Assumptions!$D$11)*(1+Assumptions!$J$10)</f>
        <v>35670.960000000006</v>
      </c>
      <c r="E91" s="140">
        <f>D91*(1+Assumptions!$D$11)*(1+Assumptions!$J$10)</f>
        <v>40782.608568000011</v>
      </c>
      <c r="F91" s="140">
        <f>E91*(1+Assumptions!$D$11)*(1+Assumptions!$J$10)</f>
        <v>46626.756375794415</v>
      </c>
      <c r="G91" s="140">
        <f>F91*(1+Assumptions!$D$11)*(1+Assumptions!$J$10)</f>
        <v>53308.370564445766</v>
      </c>
      <c r="H91" s="140">
        <f>G91*(1+Assumptions!$D$11)*(1+Assumptions!$J$10)</f>
        <v>60947.460066330852</v>
      </c>
      <c r="I91" s="140">
        <f>H91*(1+Assumptions!$D$11)*(1+Assumptions!$J$10)</f>
        <v>69681.231093836075</v>
      </c>
      <c r="J91" s="140">
        <f>I91*(1+Assumptions!$D$11)*(1+Assumptions!$J$10)</f>
        <v>79666.551509582787</v>
      </c>
      <c r="K91" s="140">
        <f>J91*(1+Assumptions!$D$11)*(1+Assumptions!$J$10)</f>
        <v>91082.768340906012</v>
      </c>
      <c r="L91" s="140">
        <f>K91*(1+Assumptions!$D$11)*(1+Assumptions!$J$10)</f>
        <v>104134.92904415785</v>
      </c>
      <c r="N91" s="440"/>
      <c r="O91" s="440"/>
      <c r="P91" s="440"/>
      <c r="Q91" s="440"/>
      <c r="R91" s="440"/>
      <c r="S91" s="440"/>
      <c r="T91" s="440"/>
      <c r="U91" s="440"/>
      <c r="V91" s="440"/>
      <c r="W91" s="440"/>
      <c r="X91" s="440"/>
      <c r="Y91" s="440"/>
      <c r="Z91" s="440"/>
    </row>
    <row r="92" spans="1:26" ht="18.5">
      <c r="A92" s="504" t="s">
        <v>291</v>
      </c>
      <c r="B92" s="501"/>
      <c r="C92" s="140">
        <f>Assumptions!G19</f>
        <v>120000</v>
      </c>
      <c r="D92" s="140">
        <f>C92*(1+Assumptions!$D$11)*(1+Assumptions!$J$11)</f>
        <v>135960</v>
      </c>
      <c r="E92" s="140">
        <f>D92*(1+Assumptions!$D$11)*(1+Assumptions!$J$11)</f>
        <v>154042.68000000002</v>
      </c>
      <c r="F92" s="140">
        <f>E92*(1+Assumptions!$D$11)*(1+Assumptions!$J$11)</f>
        <v>174530.35644000006</v>
      </c>
      <c r="G92" s="140">
        <f>F92*(1+Assumptions!$D$11)*(1+Assumptions!$J$11)</f>
        <v>197742.89384652011</v>
      </c>
      <c r="H92" s="140">
        <f>G92*(1+Assumptions!$D$11)*(1+Assumptions!$J$11)</f>
        <v>224042.69872810729</v>
      </c>
      <c r="I92" s="140">
        <f>H92*(1+Assumptions!$D$11)*(1+Assumptions!$J$11)</f>
        <v>253840.3776589456</v>
      </c>
      <c r="J92" s="140">
        <f>I92*(1+Assumptions!$D$11)*(1+Assumptions!$J$11)</f>
        <v>287601.14788758539</v>
      </c>
      <c r="K92" s="140">
        <f>J92*(1+Assumptions!$D$11)*(1+Assumptions!$J$11)</f>
        <v>325852.10055663431</v>
      </c>
      <c r="L92" s="140">
        <f>K92*(1+Assumptions!$D$11)*(1+Assumptions!$J$11)</f>
        <v>369190.42993066669</v>
      </c>
      <c r="N92" s="525"/>
      <c r="O92" s="440"/>
      <c r="P92" s="440"/>
      <c r="Q92" s="440"/>
      <c r="R92" s="440"/>
      <c r="S92" s="440"/>
      <c r="T92" s="440"/>
      <c r="U92" s="440"/>
      <c r="V92" s="440"/>
      <c r="W92" s="440"/>
      <c r="X92" s="440"/>
      <c r="Y92" s="440"/>
      <c r="Z92" s="440"/>
    </row>
    <row r="93" spans="1:26">
      <c r="A93" s="504" t="s">
        <v>31</v>
      </c>
      <c r="B93" s="501"/>
      <c r="C93" s="140">
        <f>Assumptions!G20</f>
        <v>1200</v>
      </c>
      <c r="D93" s="140">
        <f>C93*(1+Assumptions!$D$11)</f>
        <v>1236</v>
      </c>
      <c r="E93" s="140">
        <f>D93*(1+Assumptions!$D$11)</f>
        <v>1273.08</v>
      </c>
      <c r="F93" s="140">
        <f>E93*(1+Assumptions!$D$11)</f>
        <v>1311.2724000000001</v>
      </c>
      <c r="G93" s="140">
        <f>F93*(1+Assumptions!$D$11)</f>
        <v>1350.610572</v>
      </c>
      <c r="H93" s="140">
        <f>G93*(1+Assumptions!$D$11)</f>
        <v>1391.12888916</v>
      </c>
      <c r="I93" s="140">
        <f>H93*(1+Assumptions!$D$11)</f>
        <v>1432.8627558348001</v>
      </c>
      <c r="J93" s="140">
        <f>I93*(1+Assumptions!$D$11)</f>
        <v>1475.848638509844</v>
      </c>
      <c r="K93" s="140">
        <f>J93*(1+Assumptions!$D$11)</f>
        <v>1520.1240976651393</v>
      </c>
      <c r="L93" s="140">
        <f>K93*(1+Assumptions!$D$11)</f>
        <v>1565.7278205950936</v>
      </c>
      <c r="N93" s="440"/>
      <c r="O93" s="440"/>
      <c r="P93" s="440"/>
      <c r="Q93" s="440"/>
      <c r="R93" s="440"/>
      <c r="S93" s="440"/>
      <c r="T93" s="440"/>
      <c r="U93" s="440"/>
      <c r="V93" s="440"/>
      <c r="W93" s="440"/>
      <c r="X93" s="440"/>
      <c r="Y93" s="440"/>
      <c r="Z93" s="440"/>
    </row>
    <row r="94" spans="1:26" ht="15.5">
      <c r="A94" s="504" t="s">
        <v>33</v>
      </c>
      <c r="B94" s="501"/>
      <c r="C94" s="140">
        <f>Assumptions!G21</f>
        <v>1000</v>
      </c>
      <c r="D94" s="140">
        <f>C94*(1+Assumptions!$D$11)</f>
        <v>1030</v>
      </c>
      <c r="E94" s="140">
        <f>D94*(1+Assumptions!$D$11)</f>
        <v>1060.9000000000001</v>
      </c>
      <c r="F94" s="140">
        <f>E94*(1+Assumptions!$D$11)</f>
        <v>1092.7270000000001</v>
      </c>
      <c r="G94" s="140">
        <f>F94*(1+Assumptions!$D$11)</f>
        <v>1125.50881</v>
      </c>
      <c r="H94" s="140">
        <f>G94*(1+Assumptions!$D$11)</f>
        <v>1159.2740743000002</v>
      </c>
      <c r="I94" s="140">
        <f>H94*(1+Assumptions!$D$11)</f>
        <v>1194.0522965290002</v>
      </c>
      <c r="J94" s="140">
        <f>I94*(1+Assumptions!$D$11)</f>
        <v>1229.8738654248702</v>
      </c>
      <c r="K94" s="140">
        <f>J94*(1+Assumptions!$D$11)</f>
        <v>1266.7700813876163</v>
      </c>
      <c r="L94" s="140">
        <f>K94*(1+Assumptions!$D$11)</f>
        <v>1304.7731838292448</v>
      </c>
      <c r="N94" s="521"/>
      <c r="O94" s="440"/>
      <c r="P94" s="440"/>
      <c r="Q94" s="440"/>
      <c r="R94" s="440"/>
      <c r="S94" s="440"/>
      <c r="T94" s="440"/>
      <c r="U94" s="440"/>
      <c r="V94" s="440"/>
      <c r="W94" s="440"/>
      <c r="X94" s="440"/>
      <c r="Y94" s="440"/>
      <c r="Z94" s="440"/>
    </row>
    <row r="95" spans="1:26" ht="15.5">
      <c r="A95" s="504" t="s">
        <v>35</v>
      </c>
      <c r="B95" s="501"/>
      <c r="C95" s="140">
        <f>Assumptions!G22</f>
        <v>5000</v>
      </c>
      <c r="D95" s="140">
        <f>C95*(1+Assumptions!$D$11)</f>
        <v>5150</v>
      </c>
      <c r="E95" s="140">
        <f>D95*(1+Assumptions!$D$11)</f>
        <v>5304.5</v>
      </c>
      <c r="F95" s="140">
        <f>E95*(1+Assumptions!$D$11)</f>
        <v>5463.6350000000002</v>
      </c>
      <c r="G95" s="140">
        <f>F95*(1+Assumptions!$D$11)</f>
        <v>5627.5440500000004</v>
      </c>
      <c r="H95" s="140">
        <f>G95*(1+Assumptions!$D$11)</f>
        <v>5796.3703715000001</v>
      </c>
      <c r="I95" s="140">
        <f>H95*(1+Assumptions!$D$11)</f>
        <v>5970.2614826449999</v>
      </c>
      <c r="J95" s="140">
        <f>I95*(1+Assumptions!$D$11)</f>
        <v>6149.3693271243501</v>
      </c>
      <c r="K95" s="140">
        <f>J95*(1+Assumptions!$D$11)</f>
        <v>6333.8504069380806</v>
      </c>
      <c r="L95" s="140">
        <f>K95*(1+Assumptions!$D$11)</f>
        <v>6523.865919146223</v>
      </c>
      <c r="N95" s="521"/>
      <c r="O95" s="440"/>
      <c r="P95" s="440"/>
      <c r="Q95" s="440"/>
      <c r="R95" s="440"/>
      <c r="S95" s="440"/>
      <c r="T95" s="440"/>
      <c r="U95" s="440"/>
      <c r="V95" s="440"/>
      <c r="W95" s="440"/>
      <c r="X95" s="440"/>
      <c r="Y95" s="440"/>
      <c r="Z95" s="440"/>
    </row>
    <row r="96" spans="1:26">
      <c r="A96" s="504"/>
      <c r="B96" s="501"/>
      <c r="C96" s="53"/>
      <c r="D96" s="53"/>
      <c r="E96" s="53"/>
      <c r="F96" s="53"/>
      <c r="G96" s="53"/>
      <c r="H96" s="53"/>
      <c r="I96" s="53"/>
      <c r="J96" s="53"/>
      <c r="K96" s="53"/>
      <c r="L96" s="53"/>
      <c r="N96" s="440"/>
      <c r="O96" s="440"/>
      <c r="P96" s="522"/>
      <c r="Q96" s="522"/>
      <c r="R96" s="522"/>
      <c r="S96" s="522"/>
      <c r="T96" s="522"/>
      <c r="U96" s="522"/>
      <c r="V96" s="522"/>
      <c r="W96" s="522"/>
      <c r="X96" s="522"/>
      <c r="Y96" s="522"/>
      <c r="Z96" s="440"/>
    </row>
    <row r="97" spans="1:26" ht="15.5">
      <c r="A97" s="506" t="s">
        <v>159</v>
      </c>
      <c r="B97" s="501"/>
      <c r="C97" s="140">
        <f t="shared" ref="C97:L97" si="14">SUM(C82:C95)</f>
        <v>263600</v>
      </c>
      <c r="D97" s="140">
        <f t="shared" si="14"/>
        <v>287402.96000000002</v>
      </c>
      <c r="E97" s="140">
        <f t="shared" si="14"/>
        <v>314070.44856800005</v>
      </c>
      <c r="F97" s="140">
        <f t="shared" si="14"/>
        <v>343979.62761579448</v>
      </c>
      <c r="G97" s="140">
        <f t="shared" si="14"/>
        <v>377558.4546549659</v>
      </c>
      <c r="H97" s="140">
        <f t="shared" si="14"/>
        <v>415292.56474575819</v>
      </c>
      <c r="I97" s="140">
        <f t="shared" si="14"/>
        <v>457733.08688264131</v>
      </c>
      <c r="J97" s="140">
        <f t="shared" si="14"/>
        <v>505505.52187092358</v>
      </c>
      <c r="K97" s="140">
        <f t="shared" si="14"/>
        <v>559319.8260455085</v>
      </c>
      <c r="L97" s="140">
        <f t="shared" si="14"/>
        <v>619981.8648372317</v>
      </c>
      <c r="N97" s="440"/>
      <c r="O97" s="440"/>
      <c r="P97" s="522"/>
      <c r="Q97" s="522"/>
      <c r="R97" s="522"/>
      <c r="S97" s="522"/>
      <c r="T97" s="522"/>
      <c r="U97" s="522"/>
      <c r="V97" s="522"/>
      <c r="W97" s="522"/>
      <c r="X97" s="522"/>
      <c r="Y97" s="522"/>
      <c r="Z97" s="440"/>
    </row>
    <row r="98" spans="1:26" ht="15.5">
      <c r="A98" s="506"/>
      <c r="B98" s="501"/>
      <c r="C98" s="53"/>
      <c r="D98" s="53"/>
      <c r="E98" s="53"/>
      <c r="F98" s="53"/>
      <c r="G98" s="53"/>
      <c r="H98" s="53"/>
      <c r="I98" s="53"/>
      <c r="J98" s="53"/>
      <c r="K98" s="53"/>
      <c r="L98" s="53"/>
      <c r="N98" s="440"/>
      <c r="O98" s="440"/>
      <c r="P98" s="522"/>
      <c r="Q98" s="522"/>
      <c r="R98" s="522"/>
      <c r="S98" s="522"/>
      <c r="T98" s="522"/>
      <c r="U98" s="522"/>
      <c r="V98" s="522"/>
      <c r="W98" s="522"/>
      <c r="X98" s="522"/>
      <c r="Y98" s="522"/>
      <c r="Z98" s="440"/>
    </row>
    <row r="99" spans="1:26" ht="15.5">
      <c r="A99" s="506" t="s">
        <v>36</v>
      </c>
      <c r="B99" s="501"/>
      <c r="C99" s="53"/>
      <c r="D99" s="53"/>
      <c r="E99" s="53"/>
      <c r="F99" s="53"/>
      <c r="G99" s="53"/>
      <c r="H99" s="53"/>
      <c r="I99" s="53"/>
      <c r="J99" s="53"/>
      <c r="K99" s="53"/>
      <c r="L99" s="53"/>
      <c r="N99" s="440"/>
      <c r="O99" s="440"/>
      <c r="P99" s="522"/>
      <c r="Q99" s="522"/>
      <c r="R99" s="522"/>
      <c r="S99" s="522"/>
      <c r="T99" s="522"/>
      <c r="U99" s="522"/>
      <c r="V99" s="522"/>
      <c r="W99" s="522"/>
      <c r="X99" s="522"/>
      <c r="Y99" s="522"/>
      <c r="Z99" s="440"/>
    </row>
    <row r="100" spans="1:26">
      <c r="A100" s="504" t="s">
        <v>38</v>
      </c>
      <c r="B100" s="501"/>
      <c r="C100" s="140">
        <f>Assumptions!G25</f>
        <v>5000</v>
      </c>
      <c r="D100" s="140">
        <f>C100*(1+Assumptions!$D$11)</f>
        <v>5150</v>
      </c>
      <c r="E100" s="140">
        <f>D100*(1+Assumptions!$D$11)</f>
        <v>5304.5</v>
      </c>
      <c r="F100" s="140">
        <f>E100*(1+Assumptions!$D$11)</f>
        <v>5463.6350000000002</v>
      </c>
      <c r="G100" s="140">
        <f>F100*(1+Assumptions!$D$11)</f>
        <v>5627.5440500000004</v>
      </c>
      <c r="H100" s="140">
        <f>G100*(1+Assumptions!$D$11)</f>
        <v>5796.3703715000001</v>
      </c>
      <c r="I100" s="140">
        <f>H100*(1+Assumptions!$D$11)</f>
        <v>5970.2614826449999</v>
      </c>
      <c r="J100" s="140">
        <f>I100*(1+Assumptions!$D$11)</f>
        <v>6149.3693271243501</v>
      </c>
      <c r="K100" s="140">
        <f>J100*(1+Assumptions!$D$11)</f>
        <v>6333.8504069380806</v>
      </c>
      <c r="L100" s="140">
        <f>K100*(1+Assumptions!$D$11)</f>
        <v>6523.865919146223</v>
      </c>
      <c r="N100" s="440"/>
      <c r="O100" s="440"/>
      <c r="P100" s="522"/>
      <c r="Q100" s="522"/>
      <c r="R100" s="522"/>
      <c r="S100" s="522"/>
      <c r="T100" s="522"/>
      <c r="U100" s="522"/>
      <c r="V100" s="522"/>
      <c r="W100" s="522"/>
      <c r="X100" s="522"/>
      <c r="Y100" s="522"/>
      <c r="Z100" s="440"/>
    </row>
    <row r="101" spans="1:26">
      <c r="A101" s="504" t="s">
        <v>39</v>
      </c>
      <c r="B101" s="501"/>
      <c r="C101" s="140">
        <f>Assumptions!G26</f>
        <v>500</v>
      </c>
      <c r="D101" s="140">
        <f t="shared" ref="D101" si="15">C101</f>
        <v>500</v>
      </c>
      <c r="E101" s="140">
        <f t="shared" ref="E101" si="16">D101</f>
        <v>500</v>
      </c>
      <c r="F101" s="140">
        <f t="shared" ref="F101" si="17">E101</f>
        <v>500</v>
      </c>
      <c r="G101" s="140">
        <f t="shared" ref="G101" si="18">F101</f>
        <v>500</v>
      </c>
      <c r="H101" s="140">
        <f t="shared" ref="H101" si="19">G101</f>
        <v>500</v>
      </c>
      <c r="I101" s="140">
        <f t="shared" ref="I101" si="20">H101</f>
        <v>500</v>
      </c>
      <c r="J101" s="140">
        <f t="shared" ref="J101" si="21">I101</f>
        <v>500</v>
      </c>
      <c r="K101" s="140">
        <f t="shared" ref="K101" si="22">J101</f>
        <v>500</v>
      </c>
      <c r="L101" s="140">
        <f t="shared" ref="L101" si="23">K101</f>
        <v>500</v>
      </c>
      <c r="N101" s="440"/>
      <c r="O101" s="440"/>
      <c r="P101" s="522"/>
      <c r="Q101" s="522"/>
      <c r="R101" s="522"/>
      <c r="S101" s="522"/>
      <c r="T101" s="522"/>
      <c r="U101" s="522"/>
      <c r="V101" s="522"/>
      <c r="W101" s="522"/>
      <c r="X101" s="522"/>
      <c r="Y101" s="522"/>
      <c r="Z101" s="440"/>
    </row>
    <row r="102" spans="1:26">
      <c r="A102" s="504"/>
      <c r="B102" s="501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N102" s="440"/>
      <c r="O102" s="440"/>
      <c r="P102" s="522"/>
      <c r="Q102" s="522"/>
      <c r="R102" s="522"/>
      <c r="S102" s="522"/>
      <c r="T102" s="522"/>
      <c r="U102" s="522"/>
      <c r="V102" s="522"/>
      <c r="W102" s="522"/>
      <c r="X102" s="522"/>
      <c r="Y102" s="522"/>
      <c r="Z102" s="440"/>
    </row>
    <row r="103" spans="1:26" ht="15.5">
      <c r="A103" s="506" t="s">
        <v>160</v>
      </c>
      <c r="B103" s="501"/>
      <c r="C103" s="140">
        <f t="shared" ref="C103:L103" si="24">SUM(C100:C101)</f>
        <v>5500</v>
      </c>
      <c r="D103" s="140">
        <f t="shared" si="24"/>
        <v>5650</v>
      </c>
      <c r="E103" s="140">
        <f t="shared" si="24"/>
        <v>5804.5</v>
      </c>
      <c r="F103" s="140">
        <f t="shared" si="24"/>
        <v>5963.6350000000002</v>
      </c>
      <c r="G103" s="140">
        <f t="shared" si="24"/>
        <v>6127.5440500000004</v>
      </c>
      <c r="H103" s="140">
        <f t="shared" si="24"/>
        <v>6296.3703715000001</v>
      </c>
      <c r="I103" s="140">
        <f t="shared" si="24"/>
        <v>6470.2614826449999</v>
      </c>
      <c r="J103" s="140">
        <f t="shared" si="24"/>
        <v>6649.3693271243501</v>
      </c>
      <c r="K103" s="140">
        <f t="shared" si="24"/>
        <v>6833.8504069380806</v>
      </c>
      <c r="L103" s="140">
        <f t="shared" si="24"/>
        <v>7023.865919146223</v>
      </c>
      <c r="N103" s="440"/>
      <c r="O103" s="440"/>
      <c r="P103" s="440"/>
      <c r="Q103" s="440"/>
      <c r="R103" s="440"/>
      <c r="S103" s="440"/>
      <c r="T103" s="440"/>
      <c r="U103" s="440"/>
      <c r="V103" s="440"/>
      <c r="W103" s="440"/>
      <c r="X103" s="440"/>
      <c r="Y103" s="440"/>
      <c r="Z103" s="440"/>
    </row>
    <row r="104" spans="1:26" ht="15.5">
      <c r="A104" s="504"/>
      <c r="B104" s="501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N104" s="521"/>
      <c r="O104" s="440"/>
      <c r="P104" s="522"/>
      <c r="Q104" s="522"/>
      <c r="R104" s="522"/>
      <c r="S104" s="522"/>
      <c r="T104" s="522"/>
      <c r="U104" s="522"/>
      <c r="V104" s="522"/>
      <c r="W104" s="522"/>
      <c r="X104" s="522"/>
      <c r="Y104" s="522"/>
      <c r="Z104" s="440"/>
    </row>
    <row r="105" spans="1:26" ht="15.5">
      <c r="A105" s="506" t="s">
        <v>112</v>
      </c>
      <c r="B105" s="501"/>
      <c r="C105" s="140">
        <f t="shared" ref="C105:L105" si="25">C78+C97+C103</f>
        <v>304100</v>
      </c>
      <c r="D105" s="140">
        <f t="shared" si="25"/>
        <v>293052.96000000002</v>
      </c>
      <c r="E105" s="140">
        <f t="shared" si="25"/>
        <v>319874.94856800005</v>
      </c>
      <c r="F105" s="140">
        <f t="shared" si="25"/>
        <v>349943.26261579449</v>
      </c>
      <c r="G105" s="140">
        <f t="shared" si="25"/>
        <v>383685.99870496592</v>
      </c>
      <c r="H105" s="140">
        <f t="shared" si="25"/>
        <v>421588.93511725817</v>
      </c>
      <c r="I105" s="140">
        <f t="shared" si="25"/>
        <v>464203.34836528631</v>
      </c>
      <c r="J105" s="140">
        <f t="shared" si="25"/>
        <v>512154.8911980479</v>
      </c>
      <c r="K105" s="140">
        <f t="shared" si="25"/>
        <v>566153.67645244661</v>
      </c>
      <c r="L105" s="140">
        <f t="shared" si="25"/>
        <v>627005.73075637792</v>
      </c>
      <c r="N105" s="440"/>
      <c r="O105" s="440"/>
      <c r="P105" s="440"/>
      <c r="Q105" s="440"/>
      <c r="R105" s="440"/>
      <c r="S105" s="440"/>
      <c r="T105" s="440"/>
      <c r="U105" s="440"/>
      <c r="V105" s="440"/>
      <c r="W105" s="440"/>
      <c r="X105" s="440"/>
      <c r="Y105" s="440"/>
      <c r="Z105" s="440"/>
    </row>
    <row r="106" spans="1:26" ht="15.5">
      <c r="A106" s="504"/>
      <c r="B106" s="501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N106" s="521"/>
      <c r="O106" s="440"/>
      <c r="P106" s="440"/>
      <c r="Q106" s="440"/>
      <c r="R106" s="440"/>
      <c r="S106" s="440"/>
      <c r="T106" s="440"/>
      <c r="U106" s="440"/>
      <c r="V106" s="440"/>
      <c r="W106" s="440"/>
      <c r="X106" s="440"/>
      <c r="Y106" s="440"/>
      <c r="Z106" s="440"/>
    </row>
    <row r="107" spans="1:26" ht="15.5">
      <c r="A107" s="506" t="s">
        <v>424</v>
      </c>
      <c r="B107" s="501"/>
      <c r="C107" s="500">
        <f>C64-C105</f>
        <v>2900400</v>
      </c>
      <c r="D107" s="500">
        <f t="shared" ref="D107:L107" si="26">D64-D105</f>
        <v>4402968.4600000009</v>
      </c>
      <c r="E107" s="500">
        <f t="shared" ca="1" si="26"/>
        <v>6813839.906032999</v>
      </c>
      <c r="F107" s="500">
        <f t="shared" ca="1" si="26"/>
        <v>7611446.8335206145</v>
      </c>
      <c r="G107" s="500">
        <f t="shared" ca="1" si="26"/>
        <v>8530617.8846798576</v>
      </c>
      <c r="H107" s="500">
        <f t="shared" ca="1" si="26"/>
        <v>9593724.3975038175</v>
      </c>
      <c r="I107" s="500">
        <f t="shared" ca="1" si="26"/>
        <v>10821163.722201914</v>
      </c>
      <c r="J107" s="500">
        <f t="shared" ca="1" si="26"/>
        <v>12246287.392208327</v>
      </c>
      <c r="K107" s="500">
        <f t="shared" ca="1" si="26"/>
        <v>13896018.408858467</v>
      </c>
      <c r="L107" s="500">
        <f t="shared" ca="1" si="26"/>
        <v>15824483.969525995</v>
      </c>
      <c r="N107" s="440"/>
      <c r="O107" s="440"/>
      <c r="P107" s="440"/>
      <c r="Q107" s="440"/>
      <c r="R107" s="440"/>
      <c r="S107" s="440"/>
      <c r="T107" s="440"/>
      <c r="U107" s="440"/>
      <c r="V107" s="440"/>
      <c r="W107" s="440"/>
      <c r="X107" s="440"/>
      <c r="Y107" s="440"/>
      <c r="Z107" s="440"/>
    </row>
    <row r="108" spans="1:26">
      <c r="A108" s="504"/>
      <c r="B108" s="501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N108" s="440"/>
      <c r="O108" s="440"/>
      <c r="P108" s="522"/>
      <c r="Q108" s="522"/>
      <c r="R108" s="522"/>
      <c r="S108" s="522"/>
      <c r="T108" s="522"/>
      <c r="U108" s="522"/>
      <c r="V108" s="522"/>
      <c r="W108" s="522"/>
      <c r="X108" s="522"/>
      <c r="Y108" s="522"/>
      <c r="Z108" s="440"/>
    </row>
    <row r="109" spans="1:26">
      <c r="A109" s="504" t="s">
        <v>162</v>
      </c>
      <c r="B109" s="501"/>
      <c r="C109" s="53">
        <f>'Depreciation Schedule'!G10</f>
        <v>20611.111111111113</v>
      </c>
      <c r="D109" s="53">
        <f>'Depreciation Schedule'!H10</f>
        <v>20611.111111111113</v>
      </c>
      <c r="E109" s="53">
        <f>'Depreciation Schedule'!I10</f>
        <v>20611.111111111113</v>
      </c>
      <c r="F109" s="53">
        <f>'Depreciation Schedule'!J10</f>
        <v>20611.111111111113</v>
      </c>
      <c r="G109" s="53">
        <f>'Depreciation Schedule'!K10</f>
        <v>20611.111111111113</v>
      </c>
      <c r="H109" s="53">
        <f>'Depreciation Schedule'!L10</f>
        <v>20611.111111111113</v>
      </c>
      <c r="I109" s="53">
        <f>'Depreciation Schedule'!M10</f>
        <v>20611.111111111113</v>
      </c>
      <c r="J109" s="53">
        <f>'Depreciation Schedule'!N10</f>
        <v>20611.111111111113</v>
      </c>
      <c r="K109" s="53">
        <f>'Depreciation Schedule'!O10</f>
        <v>20611.111111111113</v>
      </c>
      <c r="L109" s="53">
        <f>'Depreciation Schedule'!P10</f>
        <v>20611.111111111113</v>
      </c>
      <c r="N109" s="440"/>
      <c r="O109" s="440"/>
      <c r="P109" s="522"/>
      <c r="Q109" s="522"/>
      <c r="R109" s="522"/>
      <c r="S109" s="522"/>
      <c r="T109" s="522"/>
      <c r="U109" s="522"/>
      <c r="V109" s="522"/>
      <c r="W109" s="522"/>
      <c r="X109" s="522"/>
      <c r="Y109" s="522"/>
      <c r="Z109" s="440"/>
    </row>
    <row r="110" spans="1:26">
      <c r="A110" s="504" t="s">
        <v>163</v>
      </c>
      <c r="B110" s="501"/>
      <c r="C110" s="53">
        <v>0</v>
      </c>
      <c r="D110" s="53">
        <v>0</v>
      </c>
      <c r="E110" s="53">
        <v>0</v>
      </c>
      <c r="F110" s="53">
        <v>0</v>
      </c>
      <c r="G110" s="53">
        <v>0</v>
      </c>
      <c r="H110" s="53">
        <v>0</v>
      </c>
      <c r="I110" s="53">
        <v>0</v>
      </c>
      <c r="J110" s="53">
        <v>0</v>
      </c>
      <c r="K110" s="53">
        <v>0</v>
      </c>
      <c r="L110" s="53">
        <v>0</v>
      </c>
      <c r="N110" s="440"/>
      <c r="O110" s="440"/>
      <c r="P110" s="522"/>
      <c r="Q110" s="522"/>
      <c r="R110" s="522"/>
      <c r="S110" s="522"/>
      <c r="T110" s="522"/>
      <c r="U110" s="522"/>
      <c r="V110" s="522"/>
      <c r="W110" s="522"/>
      <c r="X110" s="522"/>
      <c r="Y110" s="522"/>
      <c r="Z110" s="440"/>
    </row>
    <row r="111" spans="1:26">
      <c r="A111" s="504"/>
      <c r="B111" s="501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N111" s="440"/>
      <c r="O111" s="440"/>
      <c r="P111" s="522"/>
      <c r="Q111" s="522"/>
      <c r="R111" s="522"/>
      <c r="S111" s="522"/>
      <c r="T111" s="522"/>
      <c r="U111" s="522"/>
      <c r="V111" s="522"/>
      <c r="W111" s="522"/>
      <c r="X111" s="522"/>
      <c r="Y111" s="522"/>
      <c r="Z111" s="440"/>
    </row>
    <row r="112" spans="1:26" ht="15.5">
      <c r="A112" s="506" t="s">
        <v>425</v>
      </c>
      <c r="B112" s="501"/>
      <c r="C112" s="500">
        <f>C107-C109-C110</f>
        <v>2879788.888888889</v>
      </c>
      <c r="D112" s="500">
        <f t="shared" ref="D112:L112" si="27">D107-D109-D110</f>
        <v>4382357.3488888899</v>
      </c>
      <c r="E112" s="500">
        <f t="shared" ca="1" si="27"/>
        <v>6793228.794921888</v>
      </c>
      <c r="F112" s="500">
        <f t="shared" ca="1" si="27"/>
        <v>7590835.7224095035</v>
      </c>
      <c r="G112" s="500">
        <f t="shared" ca="1" si="27"/>
        <v>8510006.7735687457</v>
      </c>
      <c r="H112" s="500">
        <f t="shared" ca="1" si="27"/>
        <v>9573113.2863927055</v>
      </c>
      <c r="I112" s="500">
        <f t="shared" ca="1" si="27"/>
        <v>10800552.611090802</v>
      </c>
      <c r="J112" s="500">
        <f t="shared" ca="1" si="27"/>
        <v>12225676.281097215</v>
      </c>
      <c r="K112" s="500">
        <f t="shared" ca="1" si="27"/>
        <v>13875407.297747355</v>
      </c>
      <c r="L112" s="500">
        <f t="shared" ca="1" si="27"/>
        <v>15803872.858414883</v>
      </c>
      <c r="N112" s="440"/>
      <c r="O112" s="440"/>
      <c r="P112" s="522"/>
      <c r="Q112" s="522"/>
      <c r="R112" s="522"/>
      <c r="S112" s="522"/>
      <c r="T112" s="522"/>
      <c r="U112" s="522"/>
      <c r="V112" s="522"/>
      <c r="W112" s="522"/>
      <c r="X112" s="522"/>
      <c r="Y112" s="522"/>
      <c r="Z112" s="440"/>
    </row>
    <row r="113" spans="1:26">
      <c r="A113" s="504"/>
      <c r="B113" s="501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N113" s="440"/>
      <c r="O113" s="440"/>
      <c r="P113" s="522"/>
      <c r="Q113" s="522"/>
      <c r="R113" s="522"/>
      <c r="S113" s="522"/>
      <c r="T113" s="522"/>
      <c r="U113" s="522"/>
      <c r="V113" s="522"/>
      <c r="W113" s="522"/>
      <c r="X113" s="522"/>
      <c r="Y113" s="522"/>
      <c r="Z113" s="440"/>
    </row>
    <row r="114" spans="1:26">
      <c r="A114" s="504" t="s">
        <v>165</v>
      </c>
      <c r="B114" s="501"/>
      <c r="C114" s="140">
        <f>'Loan Repayment Schedule'!H24</f>
        <v>78887.593138586235</v>
      </c>
      <c r="D114" s="140">
        <f>'Loan Repayment Schedule'!I24</f>
        <v>74852.949804201286</v>
      </c>
      <c r="E114" s="140">
        <f>'Loan Repayment Schedule'!J24</f>
        <v>70169.719326413004</v>
      </c>
      <c r="F114" s="140">
        <f>'Loan Repayment Schedule'!K24</f>
        <v>64733.63839178221</v>
      </c>
      <c r="G114" s="140">
        <f>'Loan Repayment Schedule'!L24</f>
        <v>58423.682888201663</v>
      </c>
      <c r="H114" s="140">
        <f>'Loan Repayment Schedule'!M24</f>
        <v>51099.373530789453</v>
      </c>
      <c r="I114" s="140">
        <f>'Loan Repayment Schedule'!N24</f>
        <v>42597.648354972385</v>
      </c>
      <c r="J114" s="140">
        <f>'Loan Repayment Schedule'!O24</f>
        <v>32729.232448703373</v>
      </c>
      <c r="K114" s="140">
        <f>'Loan Repayment Schedule'!P24</f>
        <v>21274.424102732115</v>
      </c>
      <c r="L114" s="140">
        <f>'Loan Repayment Schedule'!Q24</f>
        <v>7978.2035654948695</v>
      </c>
      <c r="N114" s="440"/>
      <c r="O114" s="440"/>
      <c r="P114" s="522"/>
      <c r="Q114" s="522"/>
      <c r="R114" s="522"/>
      <c r="S114" s="522"/>
      <c r="T114" s="522"/>
      <c r="U114" s="522"/>
      <c r="V114" s="522"/>
      <c r="W114" s="522"/>
      <c r="X114" s="522"/>
      <c r="Y114" s="522"/>
      <c r="Z114" s="440"/>
    </row>
    <row r="115" spans="1:26">
      <c r="A115" s="504"/>
      <c r="B115" s="501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N115" s="440"/>
      <c r="O115" s="440"/>
      <c r="P115" s="522"/>
      <c r="Q115" s="522"/>
      <c r="R115" s="522"/>
      <c r="S115" s="522"/>
      <c r="T115" s="522"/>
      <c r="U115" s="522"/>
      <c r="V115" s="522"/>
      <c r="W115" s="522"/>
      <c r="X115" s="522"/>
      <c r="Y115" s="522"/>
      <c r="Z115" s="440"/>
    </row>
    <row r="116" spans="1:26" ht="15.5">
      <c r="A116" s="506" t="s">
        <v>426</v>
      </c>
      <c r="B116" s="501"/>
      <c r="C116" s="500">
        <f>C112-C114</f>
        <v>2800901.2957503027</v>
      </c>
      <c r="D116" s="500">
        <f t="shared" ref="D116:L116" si="28">D112-D114</f>
        <v>4307504.3990846882</v>
      </c>
      <c r="E116" s="500">
        <f t="shared" ca="1" si="28"/>
        <v>6723059.0755954748</v>
      </c>
      <c r="F116" s="500">
        <f t="shared" ca="1" si="28"/>
        <v>7526102.084017721</v>
      </c>
      <c r="G116" s="500">
        <f t="shared" ca="1" si="28"/>
        <v>8451583.0906805433</v>
      </c>
      <c r="H116" s="500">
        <f t="shared" ca="1" si="28"/>
        <v>9522013.9128619153</v>
      </c>
      <c r="I116" s="500">
        <f t="shared" ca="1" si="28"/>
        <v>10757954.96273583</v>
      </c>
      <c r="J116" s="500">
        <f t="shared" ca="1" si="28"/>
        <v>12192947.048648512</v>
      </c>
      <c r="K116" s="500">
        <f t="shared" ca="1" si="28"/>
        <v>13854132.873644622</v>
      </c>
      <c r="L116" s="500">
        <f t="shared" ca="1" si="28"/>
        <v>15795894.654849388</v>
      </c>
      <c r="N116" s="440"/>
      <c r="O116" s="440"/>
      <c r="P116" s="522"/>
      <c r="Q116" s="522"/>
      <c r="R116" s="522"/>
      <c r="S116" s="522"/>
      <c r="T116" s="522"/>
      <c r="U116" s="522"/>
      <c r="V116" s="522"/>
      <c r="W116" s="522"/>
      <c r="X116" s="522"/>
      <c r="Y116" s="522"/>
      <c r="Z116" s="440"/>
    </row>
    <row r="117" spans="1:26">
      <c r="A117" s="504"/>
      <c r="B117" s="501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N117" s="440"/>
      <c r="O117" s="440"/>
      <c r="P117" s="522"/>
      <c r="Q117" s="522"/>
      <c r="R117" s="522"/>
      <c r="S117" s="522"/>
      <c r="T117" s="522"/>
      <c r="U117" s="522"/>
      <c r="V117" s="522"/>
      <c r="W117" s="522"/>
      <c r="X117" s="522"/>
      <c r="Y117" s="522"/>
      <c r="Z117" s="440"/>
    </row>
    <row r="118" spans="1:26">
      <c r="A118" s="504" t="s">
        <v>167</v>
      </c>
      <c r="B118" s="501"/>
      <c r="C118" s="140">
        <f>C116*Assumptions!$D$12</f>
        <v>980315.45351260586</v>
      </c>
      <c r="D118" s="140">
        <f>D116*Assumptions!$D$12</f>
        <v>1507626.5396796407</v>
      </c>
      <c r="E118" s="140">
        <f ca="1">E116*Assumptions!$D$12</f>
        <v>2353070.676458416</v>
      </c>
      <c r="F118" s="140">
        <f ca="1">F116*Assumptions!$D$12</f>
        <v>2634135.7294062022</v>
      </c>
      <c r="G118" s="140">
        <f ca="1">G116*Assumptions!$D$12</f>
        <v>2958054.0817381898</v>
      </c>
      <c r="H118" s="140">
        <f ca="1">H116*Assumptions!$D$12</f>
        <v>3332704.8695016704</v>
      </c>
      <c r="I118" s="140">
        <f ca="1">I116*Assumptions!$D$12</f>
        <v>3765284.2369575403</v>
      </c>
      <c r="J118" s="140">
        <f ca="1">J116*Assumptions!$D$12</f>
        <v>4267531.4670269787</v>
      </c>
      <c r="K118" s="140">
        <f ca="1">K116*Assumptions!$D$12</f>
        <v>4848946.5057756174</v>
      </c>
      <c r="L118" s="140">
        <f ca="1">L116*Assumptions!$D$12</f>
        <v>5528563.1291972855</v>
      </c>
      <c r="N118" s="440"/>
      <c r="O118" s="440"/>
      <c r="P118" s="522"/>
      <c r="Q118" s="522"/>
      <c r="R118" s="522"/>
      <c r="S118" s="522"/>
      <c r="T118" s="522"/>
      <c r="U118" s="522"/>
      <c r="V118" s="522"/>
      <c r="W118" s="522"/>
      <c r="X118" s="522"/>
      <c r="Y118" s="522"/>
      <c r="Z118" s="440"/>
    </row>
    <row r="119" spans="1:26">
      <c r="A119" s="504"/>
      <c r="B119" s="501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N119" s="440"/>
      <c r="O119" s="440"/>
      <c r="P119" s="522"/>
      <c r="Q119" s="522"/>
      <c r="R119" s="522"/>
      <c r="S119" s="522"/>
      <c r="T119" s="522"/>
      <c r="U119" s="522"/>
      <c r="V119" s="522"/>
      <c r="W119" s="522"/>
      <c r="X119" s="522"/>
      <c r="Y119" s="522"/>
      <c r="Z119" s="440"/>
    </row>
    <row r="120" spans="1:26" ht="15.5">
      <c r="A120" s="506" t="s">
        <v>97</v>
      </c>
      <c r="B120" s="501"/>
      <c r="C120" s="500">
        <f>C116-C118</f>
        <v>1820585.842237697</v>
      </c>
      <c r="D120" s="500">
        <f t="shared" ref="D120:L120" si="29">D116-D118</f>
        <v>2799877.8594050473</v>
      </c>
      <c r="E120" s="500">
        <f t="shared" ca="1" si="29"/>
        <v>4369988.3991370592</v>
      </c>
      <c r="F120" s="500">
        <f t="shared" ca="1" si="29"/>
        <v>4891966.3546115188</v>
      </c>
      <c r="G120" s="500">
        <f t="shared" ca="1" si="29"/>
        <v>5493529.0089423535</v>
      </c>
      <c r="H120" s="500">
        <f t="shared" ca="1" si="29"/>
        <v>6189309.0433602445</v>
      </c>
      <c r="I120" s="500">
        <f t="shared" ca="1" si="29"/>
        <v>6992670.7257782891</v>
      </c>
      <c r="J120" s="500">
        <f t="shared" ca="1" si="29"/>
        <v>7925415.5816215333</v>
      </c>
      <c r="K120" s="500">
        <f t="shared" ca="1" si="29"/>
        <v>9005186.3678690046</v>
      </c>
      <c r="L120" s="500">
        <f t="shared" ca="1" si="29"/>
        <v>10267331.525652103</v>
      </c>
      <c r="N120" s="440"/>
      <c r="O120" s="440"/>
      <c r="P120" s="522"/>
      <c r="Q120" s="522"/>
      <c r="R120" s="522"/>
      <c r="S120" s="522"/>
      <c r="T120" s="522"/>
      <c r="U120" s="522"/>
      <c r="V120" s="522"/>
      <c r="W120" s="522"/>
      <c r="X120" s="522"/>
      <c r="Y120" s="522"/>
      <c r="Z120" s="440"/>
    </row>
    <row r="121" spans="1:26">
      <c r="A121" s="504"/>
      <c r="B121" s="501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N121" s="440"/>
      <c r="O121" s="440"/>
      <c r="P121" s="522"/>
      <c r="Q121" s="522"/>
      <c r="R121" s="522"/>
      <c r="S121" s="522"/>
      <c r="T121" s="522"/>
      <c r="U121" s="522"/>
      <c r="V121" s="522"/>
      <c r="W121" s="522"/>
      <c r="X121" s="522"/>
      <c r="Y121" s="522"/>
      <c r="Z121" s="440"/>
    </row>
    <row r="122" spans="1:26" ht="16" thickBot="1">
      <c r="A122" s="510" t="s">
        <v>168</v>
      </c>
      <c r="B122" s="502"/>
      <c r="C122" s="503">
        <f>C120</f>
        <v>1820585.842237697</v>
      </c>
      <c r="D122" s="503">
        <f>C122+D120</f>
        <v>4620463.7016427442</v>
      </c>
      <c r="E122" s="503">
        <f t="shared" ref="E122" ca="1" si="30">D122+E120</f>
        <v>8990452.1007798035</v>
      </c>
      <c r="F122" s="503">
        <f t="shared" ref="F122" ca="1" si="31">E122+F120</f>
        <v>13882418.455391321</v>
      </c>
      <c r="G122" s="503">
        <f t="shared" ref="G122" ca="1" si="32">F122+G120</f>
        <v>19375947.464333676</v>
      </c>
      <c r="H122" s="503">
        <f t="shared" ref="H122" ca="1" si="33">G122+H120</f>
        <v>25565256.50769392</v>
      </c>
      <c r="I122" s="503">
        <f t="shared" ref="I122" ca="1" si="34">H122+I120</f>
        <v>32557927.233472209</v>
      </c>
      <c r="J122" s="503">
        <f t="shared" ref="J122" ca="1" si="35">I122+J120</f>
        <v>40483342.815093741</v>
      </c>
      <c r="K122" s="503">
        <f t="shared" ref="K122" ca="1" si="36">J122+K120</f>
        <v>49488529.182962745</v>
      </c>
      <c r="L122" s="503">
        <f t="shared" ref="L122" ca="1" si="37">K122+L120</f>
        <v>59755860.708614849</v>
      </c>
      <c r="N122" s="440"/>
      <c r="O122" s="440"/>
      <c r="P122" s="440"/>
      <c r="Q122" s="440"/>
      <c r="R122" s="440"/>
      <c r="S122" s="440"/>
      <c r="T122" s="440"/>
      <c r="U122" s="440"/>
      <c r="V122" s="440"/>
      <c r="W122" s="440"/>
      <c r="X122" s="440"/>
      <c r="Y122" s="440"/>
      <c r="Z122" s="440"/>
    </row>
    <row r="123" spans="1:26" ht="16" thickTop="1">
      <c r="B123" s="519"/>
      <c r="C123" s="520"/>
      <c r="D123" s="520"/>
      <c r="E123" s="520"/>
      <c r="F123" s="520"/>
      <c r="G123" s="520"/>
      <c r="H123" s="520"/>
      <c r="I123" s="520"/>
      <c r="J123" s="520"/>
      <c r="K123" s="520"/>
      <c r="L123" s="520"/>
      <c r="N123" s="521"/>
      <c r="O123" s="440"/>
      <c r="P123" s="522"/>
      <c r="Q123" s="522"/>
      <c r="R123" s="522"/>
      <c r="S123" s="522"/>
      <c r="T123" s="522"/>
      <c r="U123" s="522"/>
      <c r="V123" s="522"/>
      <c r="W123" s="522"/>
      <c r="X123" s="522"/>
      <c r="Y123" s="522"/>
      <c r="Z123" s="440"/>
    </row>
    <row r="124" spans="1:26" ht="15.5">
      <c r="A124" s="511" t="s">
        <v>346</v>
      </c>
      <c r="B124" s="501"/>
      <c r="C124" s="140"/>
      <c r="D124" s="140"/>
      <c r="E124" s="140"/>
      <c r="F124" s="140"/>
      <c r="G124" s="140"/>
      <c r="H124" s="140"/>
      <c r="I124" s="140"/>
      <c r="J124" s="140"/>
      <c r="K124" s="140"/>
      <c r="L124" s="141"/>
      <c r="N124" s="521"/>
      <c r="O124" s="440"/>
      <c r="P124" s="440"/>
      <c r="Q124" s="440"/>
      <c r="R124" s="440"/>
      <c r="S124" s="440"/>
      <c r="T124" s="440"/>
      <c r="U124" s="440"/>
      <c r="V124" s="440"/>
      <c r="W124" s="440"/>
      <c r="X124" s="440"/>
      <c r="Y124" s="440"/>
      <c r="Z124" s="440"/>
    </row>
    <row r="125" spans="1:26" ht="15.5">
      <c r="A125" s="512" t="s">
        <v>406</v>
      </c>
      <c r="B125" s="501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N125" s="521"/>
      <c r="O125" s="440"/>
      <c r="P125" s="440"/>
      <c r="Q125" s="440"/>
      <c r="R125" s="440"/>
      <c r="S125" s="440"/>
      <c r="T125" s="440"/>
      <c r="U125" s="440"/>
      <c r="V125" s="440"/>
      <c r="W125" s="440"/>
      <c r="X125" s="440"/>
      <c r="Y125" s="440"/>
      <c r="Z125" s="440"/>
    </row>
    <row r="126" spans="1:26">
      <c r="A126" s="513" t="s">
        <v>311</v>
      </c>
      <c r="B126" s="501"/>
      <c r="C126" s="138">
        <f>Revenue!Q38</f>
        <v>1540</v>
      </c>
      <c r="D126" s="138">
        <f>Revenue!R38</f>
        <v>1601.6000000000001</v>
      </c>
      <c r="E126" s="138">
        <f ca="1">Revenue!S38</f>
        <v>1670.4491250937408</v>
      </c>
      <c r="F126" s="138">
        <f ca="1">Revenue!T38</f>
        <v>1748.4414390954678</v>
      </c>
      <c r="G126" s="138">
        <f ca="1">Revenue!U38</f>
        <v>1836.6131180753387</v>
      </c>
      <c r="H126" s="138">
        <f ca="1">Revenue!V38</f>
        <v>1935.242504004555</v>
      </c>
      <c r="I126" s="138">
        <f ca="1">Revenue!W38</f>
        <v>2046.1355132154324</v>
      </c>
      <c r="J126" s="138">
        <f ca="1">Revenue!X38</f>
        <v>2171.3522788831888</v>
      </c>
      <c r="K126" s="138">
        <f ca="1">Revenue!Y38</f>
        <v>2309.7244422850267</v>
      </c>
      <c r="L126" s="138">
        <f ca="1">Revenue!Z38</f>
        <v>2465.554098018376</v>
      </c>
      <c r="N126" s="440"/>
      <c r="O126" s="440"/>
      <c r="P126" s="522"/>
      <c r="Q126" s="522"/>
      <c r="R126" s="522"/>
      <c r="S126" s="522"/>
      <c r="T126" s="522"/>
      <c r="U126" s="522"/>
      <c r="V126" s="522"/>
      <c r="W126" s="522"/>
      <c r="X126" s="522"/>
      <c r="Y126" s="522"/>
      <c r="Z126" s="440"/>
    </row>
    <row r="127" spans="1:26">
      <c r="A127" s="513" t="s">
        <v>60</v>
      </c>
      <c r="B127" s="501"/>
      <c r="C127" s="500">
        <f>Revenue!C38</f>
        <v>1000</v>
      </c>
      <c r="D127" s="500">
        <f>Revenue!D38</f>
        <v>1020</v>
      </c>
      <c r="E127" s="500">
        <f>Revenue!E38</f>
        <v>1040.4000000000001</v>
      </c>
      <c r="F127" s="500">
        <f>Revenue!F38</f>
        <v>1061.2080000000001</v>
      </c>
      <c r="G127" s="500">
        <f>Revenue!G38</f>
        <v>1082.4321600000001</v>
      </c>
      <c r="H127" s="500">
        <f>Revenue!H38</f>
        <v>1104.0808032</v>
      </c>
      <c r="I127" s="500">
        <f>Revenue!I38</f>
        <v>1126.1624192639999</v>
      </c>
      <c r="J127" s="500">
        <f>Revenue!J38</f>
        <v>1148.68566764928</v>
      </c>
      <c r="K127" s="500">
        <f>Revenue!K38</f>
        <v>1171.6593810022657</v>
      </c>
      <c r="L127" s="500">
        <f>Revenue!L38</f>
        <v>1195.0925686223111</v>
      </c>
      <c r="N127" s="440"/>
      <c r="O127" s="440"/>
      <c r="P127" s="522"/>
      <c r="Q127" s="522"/>
      <c r="R127" s="522"/>
      <c r="S127" s="522"/>
      <c r="T127" s="522"/>
      <c r="U127" s="522"/>
      <c r="V127" s="522"/>
      <c r="W127" s="522"/>
      <c r="X127" s="522"/>
      <c r="Y127" s="522"/>
      <c r="Z127" s="440"/>
    </row>
    <row r="128" spans="1:26">
      <c r="A128" s="513" t="s">
        <v>417</v>
      </c>
      <c r="B128" s="501"/>
      <c r="C128" s="500">
        <f>C126*C127</f>
        <v>1540000</v>
      </c>
      <c r="D128" s="500">
        <f t="shared" ref="D128" si="38">D126*D127</f>
        <v>1633632.0000000002</v>
      </c>
      <c r="E128" s="500">
        <f t="shared" ref="E128" ca="1" si="39">E126*E127</f>
        <v>1737935.269747528</v>
      </c>
      <c r="F128" s="500">
        <f t="shared" ref="F128" ca="1" si="40">F126*F127</f>
        <v>1855460.0426996234</v>
      </c>
      <c r="G128" s="500">
        <f t="shared" ref="G128" ca="1" si="41">G126*G127</f>
        <v>1988009.104482624</v>
      </c>
      <c r="H128" s="500">
        <f t="shared" ref="H128" ca="1" si="42">H126*H127</f>
        <v>2136664.0982081285</v>
      </c>
      <c r="I128" s="500">
        <f t="shared" ref="I128" ca="1" si="43">I126*I127</f>
        <v>2304280.9197046775</v>
      </c>
      <c r="J128" s="500">
        <f t="shared" ref="J128" ca="1" si="44">J126*J127</f>
        <v>2494201.2421707213</v>
      </c>
      <c r="K128" s="500">
        <f t="shared" ref="K128" ca="1" si="45">K126*K127</f>
        <v>2706210.3103334778</v>
      </c>
      <c r="L128" s="500">
        <f t="shared" ref="L128" ca="1" si="46">L126*L127</f>
        <v>2946565.3800780461</v>
      </c>
      <c r="N128" s="440"/>
      <c r="O128" s="440"/>
      <c r="P128" s="440"/>
      <c r="Q128" s="440"/>
      <c r="R128" s="440"/>
      <c r="S128" s="440"/>
      <c r="T128" s="440"/>
      <c r="U128" s="440"/>
      <c r="V128" s="440"/>
      <c r="W128" s="440"/>
      <c r="X128" s="440"/>
      <c r="Y128" s="440"/>
      <c r="Z128" s="440"/>
    </row>
    <row r="129" spans="1:26" ht="15.5">
      <c r="A129" s="514" t="s">
        <v>407</v>
      </c>
      <c r="B129" s="501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N129" s="521"/>
      <c r="O129" s="440"/>
      <c r="P129" s="522"/>
      <c r="Q129" s="522"/>
      <c r="R129" s="522"/>
      <c r="S129" s="522"/>
      <c r="T129" s="522"/>
      <c r="U129" s="522"/>
      <c r="V129" s="522"/>
      <c r="W129" s="522"/>
      <c r="X129" s="522"/>
      <c r="Y129" s="522"/>
      <c r="Z129" s="440"/>
    </row>
    <row r="130" spans="1:26">
      <c r="A130" s="515" t="s">
        <v>409</v>
      </c>
      <c r="B130" s="501"/>
      <c r="C130" s="138">
        <f>Revenue!Q39</f>
        <v>1000</v>
      </c>
      <c r="D130" s="138">
        <f>Revenue!R39</f>
        <v>1030</v>
      </c>
      <c r="E130" s="138">
        <f ca="1">Revenue!S39</f>
        <v>1064.688890212296</v>
      </c>
      <c r="F130" s="138">
        <f ca="1">Revenue!T39</f>
        <v>1104.4836835363842</v>
      </c>
      <c r="G130" s="138">
        <f ca="1">Revenue!U39</f>
        <v>1149.3872738005603</v>
      </c>
      <c r="H130" s="138">
        <f ca="1">Revenue!V39</f>
        <v>1200.1741183585318</v>
      </c>
      <c r="I130" s="138">
        <f ca="1">Revenue!W39</f>
        <v>1257.8976713147506</v>
      </c>
      <c r="J130" s="138">
        <f ca="1">Revenue!X39</f>
        <v>1322.2636519322743</v>
      </c>
      <c r="K130" s="138">
        <f ca="1">Revenue!Y39</f>
        <v>1394.315494340331</v>
      </c>
      <c r="L130" s="138">
        <f ca="1">Revenue!Z39</f>
        <v>1475.5683293539782</v>
      </c>
      <c r="N130" s="440"/>
      <c r="O130" s="440"/>
      <c r="P130" s="440"/>
      <c r="Q130" s="440"/>
      <c r="R130" s="440"/>
      <c r="S130" s="440"/>
      <c r="T130" s="440"/>
      <c r="U130" s="440"/>
      <c r="V130" s="440"/>
      <c r="W130" s="440"/>
      <c r="X130" s="440"/>
      <c r="Y130" s="440"/>
      <c r="Z130" s="440"/>
    </row>
    <row r="131" spans="1:26" ht="15.5">
      <c r="A131" s="516" t="s">
        <v>410</v>
      </c>
      <c r="B131" s="501"/>
      <c r="C131" s="500">
        <f>Revenue!C39</f>
        <v>850</v>
      </c>
      <c r="D131" s="500">
        <f>Revenue!D39</f>
        <v>867</v>
      </c>
      <c r="E131" s="500">
        <f>Revenue!E39</f>
        <v>884.34</v>
      </c>
      <c r="F131" s="500">
        <f>Revenue!F39</f>
        <v>902.02680000000009</v>
      </c>
      <c r="G131" s="500">
        <f>Revenue!G39</f>
        <v>920.06733600000007</v>
      </c>
      <c r="H131" s="500">
        <f>Revenue!H39</f>
        <v>938.46868272000006</v>
      </c>
      <c r="I131" s="500">
        <f>Revenue!I39</f>
        <v>957.23805637440012</v>
      </c>
      <c r="J131" s="500">
        <f>Revenue!J39</f>
        <v>976.3828175018881</v>
      </c>
      <c r="K131" s="500">
        <f>Revenue!K39</f>
        <v>995.91047385192587</v>
      </c>
      <c r="L131" s="500">
        <f>Revenue!L39</f>
        <v>1015.8286833289644</v>
      </c>
      <c r="N131" s="521"/>
      <c r="O131" s="440"/>
      <c r="P131" s="522"/>
      <c r="Q131" s="522"/>
      <c r="R131" s="522"/>
      <c r="S131" s="522"/>
      <c r="T131" s="522"/>
      <c r="U131" s="522"/>
      <c r="V131" s="522"/>
      <c r="W131" s="522"/>
      <c r="X131" s="522"/>
      <c r="Y131" s="522"/>
      <c r="Z131" s="440"/>
    </row>
    <row r="132" spans="1:26">
      <c r="A132" s="517" t="s">
        <v>418</v>
      </c>
      <c r="B132" s="501"/>
      <c r="C132" s="500">
        <f>C130*C131</f>
        <v>850000</v>
      </c>
      <c r="D132" s="500">
        <f t="shared" ref="D132" si="47">D130*D131</f>
        <v>893010</v>
      </c>
      <c r="E132" s="500">
        <f t="shared" ref="E132" ca="1" si="48">E130*E131</f>
        <v>941546.97317034181</v>
      </c>
      <c r="F132" s="500">
        <f t="shared" ref="F132" ca="1" si="49">F130*F131</f>
        <v>996273.88271253742</v>
      </c>
      <c r="G132" s="500">
        <f t="shared" ref="G132" ca="1" si="50">G130*G131</f>
        <v>1057513.6870379841</v>
      </c>
      <c r="H132" s="500">
        <f t="shared" ref="H132" ca="1" si="51">H130*H131</f>
        <v>1126325.8238905687</v>
      </c>
      <c r="I132" s="500">
        <f t="shared" ref="I132" ca="1" si="52">I130*I131</f>
        <v>1204107.5220072158</v>
      </c>
      <c r="J132" s="500">
        <f t="shared" ref="J132" ca="1" si="53">J130*J131</f>
        <v>1291035.5099539699</v>
      </c>
      <c r="K132" s="500">
        <f t="shared" ref="K132" ca="1" si="54">K130*K131</f>
        <v>1388613.4046675614</v>
      </c>
      <c r="L132" s="500">
        <f t="shared" ref="L132" ca="1" si="55">L130*L131</f>
        <v>1498924.6331695714</v>
      </c>
      <c r="N132" s="440"/>
      <c r="O132" s="440"/>
      <c r="P132" s="440"/>
      <c r="Q132" s="440"/>
      <c r="R132" s="440"/>
      <c r="S132" s="440"/>
      <c r="T132" s="440"/>
      <c r="U132" s="440"/>
      <c r="V132" s="440"/>
      <c r="W132" s="440"/>
      <c r="X132" s="440"/>
      <c r="Y132" s="440"/>
      <c r="Z132" s="440"/>
    </row>
    <row r="133" spans="1:26" ht="15.5">
      <c r="A133" s="514" t="s">
        <v>408</v>
      </c>
      <c r="B133" s="501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N133" s="521"/>
      <c r="O133" s="440"/>
      <c r="P133" s="522"/>
      <c r="Q133" s="522"/>
      <c r="R133" s="522"/>
      <c r="S133" s="522"/>
      <c r="T133" s="522"/>
      <c r="U133" s="522"/>
      <c r="V133" s="522"/>
      <c r="W133" s="522"/>
      <c r="X133" s="522"/>
      <c r="Y133" s="522"/>
      <c r="Z133" s="440"/>
    </row>
    <row r="134" spans="1:26">
      <c r="A134" s="515" t="s">
        <v>409</v>
      </c>
      <c r="B134" s="501"/>
      <c r="C134" s="138">
        <f>Revenue!Q40</f>
        <v>1270</v>
      </c>
      <c r="D134" s="138">
        <f>Revenue!R40</f>
        <v>1333.5</v>
      </c>
      <c r="E134" s="138">
        <f ca="1">Revenue!S40</f>
        <v>1404.524232634441</v>
      </c>
      <c r="F134" s="138">
        <f ca="1">Revenue!T40</f>
        <v>1484.456036801442</v>
      </c>
      <c r="G134" s="138">
        <f ca="1">Revenue!U40</f>
        <v>1574.5352141106875</v>
      </c>
      <c r="H134" s="138">
        <f ca="1">Revenue!V40</f>
        <v>1674.2196221959287</v>
      </c>
      <c r="I134" s="138">
        <f ca="1">Revenue!W40</f>
        <v>1784.5628206971389</v>
      </c>
      <c r="J134" s="138">
        <f ca="1">Revenue!X40</f>
        <v>1908.8346638374892</v>
      </c>
      <c r="K134" s="138">
        <f ca="1">Revenue!Y40</f>
        <v>2048.6482648638234</v>
      </c>
      <c r="L134" s="138">
        <f ca="1">Revenue!Z40</f>
        <v>2206.4693688839252</v>
      </c>
      <c r="N134" s="440"/>
      <c r="O134" s="440"/>
      <c r="P134" s="440"/>
      <c r="Q134" s="440"/>
      <c r="R134" s="440"/>
      <c r="S134" s="440"/>
      <c r="T134" s="440"/>
      <c r="U134" s="440"/>
      <c r="V134" s="440"/>
      <c r="W134" s="440"/>
      <c r="X134" s="440"/>
      <c r="Y134" s="440"/>
      <c r="Z134" s="440"/>
    </row>
    <row r="135" spans="1:26">
      <c r="A135" s="516" t="s">
        <v>410</v>
      </c>
      <c r="B135" s="501"/>
      <c r="C135" s="500">
        <f>Revenue!C40</f>
        <v>2000</v>
      </c>
      <c r="D135" s="500">
        <f>Revenue!D40</f>
        <v>2040</v>
      </c>
      <c r="E135" s="500">
        <f>Revenue!E40</f>
        <v>2080.8000000000002</v>
      </c>
      <c r="F135" s="500">
        <f>Revenue!F40</f>
        <v>2122.4160000000002</v>
      </c>
      <c r="G135" s="500">
        <f>Revenue!G40</f>
        <v>2164.8643200000001</v>
      </c>
      <c r="H135" s="500">
        <f>Revenue!H40</f>
        <v>2208.1616064</v>
      </c>
      <c r="I135" s="500">
        <f>Revenue!I40</f>
        <v>2252.3248385279999</v>
      </c>
      <c r="J135" s="500">
        <f>Revenue!J40</f>
        <v>2297.3713352985601</v>
      </c>
      <c r="K135" s="500">
        <f>Revenue!K40</f>
        <v>2343.3187620045314</v>
      </c>
      <c r="L135" s="500">
        <f>Revenue!L40</f>
        <v>2390.1851372446222</v>
      </c>
      <c r="N135" s="440"/>
      <c r="O135" s="440"/>
      <c r="P135" s="440"/>
      <c r="Q135" s="440"/>
      <c r="R135" s="440"/>
      <c r="S135" s="440"/>
      <c r="T135" s="440"/>
      <c r="U135" s="440"/>
      <c r="V135" s="440"/>
      <c r="W135" s="440"/>
      <c r="X135" s="440"/>
      <c r="Y135" s="440"/>
      <c r="Z135" s="440"/>
    </row>
    <row r="136" spans="1:26">
      <c r="A136" s="517" t="s">
        <v>418</v>
      </c>
      <c r="B136" s="501"/>
      <c r="C136" s="500">
        <f>C134*C135</f>
        <v>2540000</v>
      </c>
      <c r="D136" s="500">
        <f t="shared" ref="D136" si="56">D134*D135</f>
        <v>2720340</v>
      </c>
      <c r="E136" s="500">
        <f t="shared" ref="E136" ca="1" si="57">E134*E135</f>
        <v>2922534.023265745</v>
      </c>
      <c r="F136" s="500">
        <f t="shared" ref="F136" ca="1" si="58">F134*F135</f>
        <v>3150633.2438039696</v>
      </c>
      <c r="G136" s="500">
        <f t="shared" ref="G136" ca="1" si="59">G134*G135</f>
        <v>3408655.1056117881</v>
      </c>
      <c r="H136" s="500">
        <f t="shared" ref="H136" ca="1" si="60">H134*H135</f>
        <v>3696947.4904145631</v>
      </c>
      <c r="I136" s="500">
        <f t="shared" ref="I136" ca="1" si="61">I134*I135</f>
        <v>4019415.1669697557</v>
      </c>
      <c r="J136" s="500">
        <f t="shared" ref="J136" ca="1" si="62">J134*J135</f>
        <v>4385302.0405245107</v>
      </c>
      <c r="K136" s="500">
        <f t="shared" ref="K136" ca="1" si="63">K134*K135</f>
        <v>4800635.9158034259</v>
      </c>
      <c r="L136" s="500">
        <f t="shared" ref="L136" ca="1" si="64">L134*L135</f>
        <v>5273870.2912918795</v>
      </c>
      <c r="N136" s="440"/>
      <c r="O136" s="440"/>
      <c r="P136" s="440"/>
      <c r="Q136" s="440"/>
      <c r="R136" s="440"/>
      <c r="S136" s="440"/>
      <c r="T136" s="440"/>
      <c r="U136" s="440"/>
      <c r="V136" s="440"/>
      <c r="W136" s="440"/>
      <c r="X136" s="440"/>
      <c r="Y136" s="440"/>
      <c r="Z136" s="440"/>
    </row>
    <row r="137" spans="1:26" ht="15.5">
      <c r="A137" s="514" t="s">
        <v>411</v>
      </c>
      <c r="B137" s="501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N137" s="440"/>
      <c r="O137" s="440"/>
      <c r="P137" s="440"/>
      <c r="Q137" s="440"/>
      <c r="R137" s="440"/>
      <c r="S137" s="440"/>
      <c r="T137" s="440"/>
      <c r="U137" s="440"/>
      <c r="V137" s="440"/>
      <c r="W137" s="440"/>
      <c r="X137" s="440"/>
      <c r="Y137" s="440"/>
      <c r="Z137" s="440"/>
    </row>
    <row r="138" spans="1:26" ht="15.5">
      <c r="A138" s="515" t="s">
        <v>409</v>
      </c>
      <c r="B138" s="501"/>
      <c r="C138" s="138">
        <f>Revenue!Q41</f>
        <v>0</v>
      </c>
      <c r="D138" s="138">
        <f>Revenue!R41</f>
        <v>635</v>
      </c>
      <c r="E138" s="138">
        <f ca="1">Revenue!S41</f>
        <v>669.19893531868945</v>
      </c>
      <c r="F138" s="138">
        <f ca="1">Revenue!T41</f>
        <v>707.70794733262255</v>
      </c>
      <c r="G138" s="138">
        <f ca="1">Revenue!U41</f>
        <v>751.01985389707625</v>
      </c>
      <c r="H138" s="138">
        <f ca="1">Revenue!V41</f>
        <v>799.95972531603968</v>
      </c>
      <c r="I138" s="138">
        <f ca="1">Revenue!W41</f>
        <v>854.47162171815592</v>
      </c>
      <c r="J138" s="138">
        <f ca="1">Revenue!X41</f>
        <v>916.0066016260979</v>
      </c>
      <c r="K138" s="138">
        <f ca="1">Revenue!Y41</f>
        <v>985.32352741402144</v>
      </c>
      <c r="L138" s="138">
        <f ca="1">Revenue!Z41</f>
        <v>1062.9012808214991</v>
      </c>
      <c r="N138" s="521"/>
      <c r="O138" s="440"/>
      <c r="P138" s="522"/>
      <c r="Q138" s="522"/>
      <c r="R138" s="522"/>
      <c r="S138" s="522"/>
      <c r="T138" s="522"/>
      <c r="U138" s="522"/>
      <c r="V138" s="522"/>
      <c r="W138" s="522"/>
      <c r="X138" s="522"/>
      <c r="Y138" s="522"/>
      <c r="Z138" s="440"/>
    </row>
    <row r="139" spans="1:26">
      <c r="A139" s="516" t="s">
        <v>410</v>
      </c>
      <c r="B139" s="501"/>
      <c r="C139" s="500">
        <f>Revenue!C41</f>
        <v>0</v>
      </c>
      <c r="D139" s="500">
        <f>Revenue!D41</f>
        <v>3000</v>
      </c>
      <c r="E139" s="500">
        <f>Revenue!E41</f>
        <v>3060</v>
      </c>
      <c r="F139" s="500">
        <f>Revenue!F41</f>
        <v>3121.2000000000003</v>
      </c>
      <c r="G139" s="500">
        <f>Revenue!G41</f>
        <v>3183.6240000000003</v>
      </c>
      <c r="H139" s="500">
        <f>Revenue!H41</f>
        <v>3247.2964800000004</v>
      </c>
      <c r="I139" s="500">
        <f>Revenue!I41</f>
        <v>3312.2424096000004</v>
      </c>
      <c r="J139" s="500">
        <f>Revenue!J41</f>
        <v>3378.4872577920005</v>
      </c>
      <c r="K139" s="500">
        <f>Revenue!K41</f>
        <v>3446.0570029478404</v>
      </c>
      <c r="L139" s="500">
        <f>Revenue!L41</f>
        <v>3514.9781430067974</v>
      </c>
      <c r="N139" s="526"/>
      <c r="O139" s="440"/>
      <c r="P139" s="440"/>
      <c r="Q139" s="440"/>
      <c r="R139" s="440"/>
      <c r="S139" s="440"/>
      <c r="T139" s="440"/>
      <c r="U139" s="440"/>
      <c r="V139" s="440"/>
      <c r="W139" s="440"/>
      <c r="X139" s="440"/>
      <c r="Y139" s="440"/>
      <c r="Z139" s="440"/>
    </row>
    <row r="140" spans="1:26">
      <c r="A140" s="517" t="s">
        <v>418</v>
      </c>
      <c r="B140" s="501"/>
      <c r="C140" s="500">
        <f>C138*C139</f>
        <v>0</v>
      </c>
      <c r="D140" s="500">
        <f t="shared" ref="D140" si="65">D138*D139</f>
        <v>1905000</v>
      </c>
      <c r="E140" s="500">
        <f t="shared" ref="E140" ca="1" si="66">E138*E139</f>
        <v>2047748.7420751897</v>
      </c>
      <c r="F140" s="500">
        <f t="shared" ref="F140" ca="1" si="67">F138*F139</f>
        <v>2208898.0452145818</v>
      </c>
      <c r="G140" s="500">
        <f t="shared" ref="G140" ca="1" si="68">G138*G139</f>
        <v>2390964.8313432257</v>
      </c>
      <c r="H140" s="500">
        <f t="shared" ref="H140" ca="1" si="69">H138*H139</f>
        <v>2597706.4001605427</v>
      </c>
      <c r="I140" s="500">
        <f t="shared" ref="I140" ca="1" si="70">I138*I139</f>
        <v>2830217.1432545646</v>
      </c>
      <c r="J140" s="500">
        <f t="shared" ref="J140" ca="1" si="71">J138*J139</f>
        <v>3094716.6316471249</v>
      </c>
      <c r="K140" s="500">
        <f t="shared" ref="K140" ca="1" si="72">K138*K139</f>
        <v>3395481.041814357</v>
      </c>
      <c r="L140" s="500">
        <f t="shared" ref="L140" ca="1" si="73">L138*L139</f>
        <v>3736074.7702614991</v>
      </c>
      <c r="N140" s="440"/>
      <c r="O140" s="440"/>
      <c r="P140" s="522"/>
      <c r="Q140" s="522"/>
      <c r="R140" s="522"/>
      <c r="S140" s="522"/>
      <c r="T140" s="522"/>
      <c r="U140" s="522"/>
      <c r="V140" s="522"/>
      <c r="W140" s="522"/>
      <c r="X140" s="522"/>
      <c r="Y140" s="522"/>
      <c r="Z140" s="440"/>
    </row>
    <row r="141" spans="1:26" ht="15.5">
      <c r="A141" s="514" t="s">
        <v>413</v>
      </c>
      <c r="B141" s="501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N141" s="440"/>
      <c r="O141" s="440"/>
      <c r="P141" s="527"/>
      <c r="Q141" s="440"/>
      <c r="R141" s="440"/>
      <c r="S141" s="440"/>
      <c r="T141" s="440"/>
      <c r="U141" s="440"/>
      <c r="V141" s="440"/>
      <c r="W141" s="440"/>
      <c r="X141" s="440"/>
      <c r="Y141" s="440"/>
      <c r="Z141" s="440"/>
    </row>
    <row r="142" spans="1:26" ht="15.5">
      <c r="A142" s="515" t="s">
        <v>409</v>
      </c>
      <c r="B142" s="501"/>
      <c r="C142" s="138">
        <f>Revenue!Q42</f>
        <v>0</v>
      </c>
      <c r="D142" s="138">
        <f>Revenue!R42</f>
        <v>0</v>
      </c>
      <c r="E142" s="138">
        <f>Revenue!S42</f>
        <v>318</v>
      </c>
      <c r="F142" s="138">
        <f ca="1">Revenue!T42</f>
        <v>332.6172575045332</v>
      </c>
      <c r="G142" s="138">
        <f ca="1">Revenue!U42</f>
        <v>348.91970130652032</v>
      </c>
      <c r="H142" s="138">
        <f ca="1">Revenue!V42</f>
        <v>367.2919555299282</v>
      </c>
      <c r="I142" s="138">
        <f ca="1">Revenue!W42</f>
        <v>388.0796250278857</v>
      </c>
      <c r="J142" s="138">
        <f ca="1">Revenue!X42</f>
        <v>411.5919677576839</v>
      </c>
      <c r="K142" s="138">
        <f ca="1">Revenue!Y42</f>
        <v>437.7587239100294</v>
      </c>
      <c r="L142" s="138">
        <f ca="1">Revenue!Z42</f>
        <v>466.80925429834298</v>
      </c>
      <c r="N142" s="521"/>
      <c r="O142" s="440"/>
      <c r="P142" s="522"/>
      <c r="Q142" s="522"/>
      <c r="R142" s="522"/>
      <c r="S142" s="522"/>
      <c r="T142" s="522"/>
      <c r="U142" s="522"/>
      <c r="V142" s="522"/>
      <c r="W142" s="522"/>
      <c r="X142" s="522"/>
      <c r="Y142" s="522"/>
      <c r="Z142" s="440"/>
    </row>
    <row r="143" spans="1:26">
      <c r="A143" s="516" t="s">
        <v>410</v>
      </c>
      <c r="B143" s="501"/>
      <c r="C143" s="500">
        <f>Revenue!C42</f>
        <v>0</v>
      </c>
      <c r="D143" s="500">
        <f>Revenue!D42</f>
        <v>0</v>
      </c>
      <c r="E143" s="500">
        <f>Revenue!E42</f>
        <v>10000</v>
      </c>
      <c r="F143" s="500">
        <f>Revenue!F42</f>
        <v>10200</v>
      </c>
      <c r="G143" s="500">
        <f>Revenue!G42</f>
        <v>10404</v>
      </c>
      <c r="H143" s="500">
        <f>Revenue!H42</f>
        <v>10612.08</v>
      </c>
      <c r="I143" s="500">
        <f>Revenue!I42</f>
        <v>10824.321599999999</v>
      </c>
      <c r="J143" s="500">
        <f>Revenue!J42</f>
        <v>11040.808031999999</v>
      </c>
      <c r="K143" s="500">
        <f>Revenue!K42</f>
        <v>11261.62419264</v>
      </c>
      <c r="L143" s="500">
        <f>Revenue!L42</f>
        <v>11486.8566764928</v>
      </c>
      <c r="N143" s="526"/>
      <c r="O143" s="440"/>
      <c r="P143" s="440"/>
      <c r="Q143" s="440"/>
      <c r="R143" s="440"/>
      <c r="S143" s="440"/>
      <c r="T143" s="440"/>
      <c r="U143" s="440"/>
      <c r="V143" s="440"/>
      <c r="W143" s="440"/>
      <c r="X143" s="440"/>
      <c r="Y143" s="440"/>
      <c r="Z143" s="440"/>
    </row>
    <row r="144" spans="1:26">
      <c r="A144" s="517" t="s">
        <v>418</v>
      </c>
      <c r="B144" s="501"/>
      <c r="C144" s="500">
        <f>C142*C143</f>
        <v>0</v>
      </c>
      <c r="D144" s="500">
        <f t="shared" ref="D144" si="74">D142*D143</f>
        <v>0</v>
      </c>
      <c r="E144" s="500">
        <f t="shared" ref="E144" si="75">E142*E143</f>
        <v>3180000</v>
      </c>
      <c r="F144" s="500">
        <f t="shared" ref="F144" ca="1" si="76">F142*F143</f>
        <v>3392696.0265462385</v>
      </c>
      <c r="G144" s="500">
        <f t="shared" ref="G144" ca="1" si="77">G142*G143</f>
        <v>3630160.5723930374</v>
      </c>
      <c r="H144" s="500">
        <f t="shared" ref="H144" ca="1" si="78">H142*H143</f>
        <v>3897731.6154400404</v>
      </c>
      <c r="I144" s="500">
        <f t="shared" ref="I144" ca="1" si="79">I142*I143</f>
        <v>4200698.6677092435</v>
      </c>
      <c r="J144" s="500">
        <f t="shared" ref="J144" ca="1" si="80">J142*J143</f>
        <v>4544307.9035257213</v>
      </c>
      <c r="K144" s="500">
        <f t="shared" ref="K144" ca="1" si="81">K142*K143</f>
        <v>4929874.2357244017</v>
      </c>
      <c r="L144" s="500">
        <f t="shared" ref="L144" ca="1" si="82">L142*L143</f>
        <v>5362170.999385546</v>
      </c>
      <c r="N144" s="440"/>
      <c r="O144" s="440"/>
      <c r="P144" s="522"/>
      <c r="Q144" s="522"/>
      <c r="R144" s="522"/>
      <c r="S144" s="522"/>
      <c r="T144" s="522"/>
      <c r="U144" s="522"/>
      <c r="V144" s="522"/>
      <c r="W144" s="522"/>
      <c r="X144" s="522"/>
      <c r="Y144" s="522"/>
      <c r="Z144" s="440"/>
    </row>
    <row r="145" spans="1:26" ht="15.5">
      <c r="A145" s="514" t="s">
        <v>412</v>
      </c>
      <c r="B145" s="501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N145" s="440"/>
      <c r="O145" s="440"/>
      <c r="P145" s="440"/>
      <c r="Q145" s="440"/>
      <c r="R145" s="440"/>
      <c r="S145" s="440"/>
      <c r="T145" s="440"/>
      <c r="U145" s="440"/>
      <c r="V145" s="440"/>
      <c r="W145" s="440"/>
      <c r="X145" s="440"/>
      <c r="Y145" s="440"/>
      <c r="Z145" s="440"/>
    </row>
    <row r="146" spans="1:26" ht="15.5">
      <c r="A146" s="515" t="s">
        <v>409</v>
      </c>
      <c r="B146" s="501"/>
      <c r="C146" s="138">
        <f>Revenue!Q43</f>
        <v>0</v>
      </c>
      <c r="D146" s="138">
        <f>Revenue!R43</f>
        <v>0</v>
      </c>
      <c r="E146" s="138">
        <f ca="1">Revenue!S43</f>
        <v>0</v>
      </c>
      <c r="F146" s="138">
        <f ca="1">Revenue!T43</f>
        <v>0</v>
      </c>
      <c r="G146" s="138">
        <f ca="1">Revenue!U43</f>
        <v>0</v>
      </c>
      <c r="H146" s="138">
        <f ca="1">Revenue!V43</f>
        <v>0</v>
      </c>
      <c r="I146" s="138">
        <f ca="1">Revenue!W43</f>
        <v>0</v>
      </c>
      <c r="J146" s="138">
        <f ca="1">Revenue!X43</f>
        <v>0</v>
      </c>
      <c r="K146" s="138">
        <f ca="1">Revenue!Y43</f>
        <v>0</v>
      </c>
      <c r="L146" s="138">
        <f ca="1">Revenue!Z43</f>
        <v>0</v>
      </c>
      <c r="N146" s="521"/>
      <c r="O146" s="440"/>
      <c r="P146" s="522"/>
      <c r="Q146" s="522"/>
      <c r="R146" s="522"/>
      <c r="S146" s="522"/>
      <c r="T146" s="522"/>
      <c r="U146" s="522"/>
      <c r="V146" s="522"/>
      <c r="W146" s="522"/>
      <c r="X146" s="522"/>
      <c r="Y146" s="522"/>
      <c r="Z146" s="440"/>
    </row>
    <row r="147" spans="1:26">
      <c r="A147" s="516" t="s">
        <v>410</v>
      </c>
      <c r="B147" s="501"/>
      <c r="C147" s="500">
        <f>Revenue!C43</f>
        <v>0</v>
      </c>
      <c r="D147" s="500">
        <f>Revenue!D43</f>
        <v>0</v>
      </c>
      <c r="E147" s="500">
        <f>Revenue!E43</f>
        <v>0</v>
      </c>
      <c r="F147" s="500">
        <f>Revenue!F43</f>
        <v>0</v>
      </c>
      <c r="G147" s="500">
        <f>Revenue!G43</f>
        <v>0</v>
      </c>
      <c r="H147" s="500">
        <f>Revenue!H43</f>
        <v>0</v>
      </c>
      <c r="I147" s="500">
        <f>Revenue!I43</f>
        <v>0</v>
      </c>
      <c r="J147" s="500">
        <f>Revenue!J43</f>
        <v>0</v>
      </c>
      <c r="K147" s="500">
        <f>Revenue!K43</f>
        <v>0</v>
      </c>
      <c r="L147" s="500">
        <f>Revenue!L43</f>
        <v>0</v>
      </c>
      <c r="N147" s="526"/>
      <c r="O147" s="440"/>
      <c r="P147" s="440"/>
      <c r="Q147" s="440"/>
      <c r="R147" s="440"/>
      <c r="S147" s="440"/>
      <c r="T147" s="440"/>
      <c r="U147" s="440"/>
      <c r="V147" s="440"/>
      <c r="W147" s="440"/>
      <c r="X147" s="440"/>
      <c r="Y147" s="440"/>
      <c r="Z147" s="440"/>
    </row>
    <row r="148" spans="1:26" ht="15.5">
      <c r="A148" s="517" t="s">
        <v>418</v>
      </c>
      <c r="B148" s="501"/>
      <c r="C148" s="500">
        <f>C146*C147</f>
        <v>0</v>
      </c>
      <c r="D148" s="500">
        <f t="shared" ref="D148" si="83">D146*D147</f>
        <v>0</v>
      </c>
      <c r="E148" s="500">
        <f t="shared" ref="E148" ca="1" si="84">E146*E147</f>
        <v>0</v>
      </c>
      <c r="F148" s="500">
        <f t="shared" ref="F148" ca="1" si="85">F146*F147</f>
        <v>0</v>
      </c>
      <c r="G148" s="500">
        <f t="shared" ref="G148" ca="1" si="86">G146*G147</f>
        <v>0</v>
      </c>
      <c r="H148" s="500">
        <f t="shared" ref="H148" ca="1" si="87">H146*H147</f>
        <v>0</v>
      </c>
      <c r="I148" s="500">
        <f t="shared" ref="I148" ca="1" si="88">I146*I147</f>
        <v>0</v>
      </c>
      <c r="J148" s="500">
        <f t="shared" ref="J148" ca="1" si="89">J146*J147</f>
        <v>0</v>
      </c>
      <c r="K148" s="500">
        <f t="shared" ref="K148" ca="1" si="90">K146*K147</f>
        <v>0</v>
      </c>
      <c r="L148" s="500">
        <f t="shared" ref="L148" ca="1" si="91">L146*L147</f>
        <v>0</v>
      </c>
      <c r="N148" s="521"/>
      <c r="O148" s="440"/>
      <c r="P148" s="522"/>
      <c r="Q148" s="522"/>
      <c r="R148" s="522"/>
      <c r="S148" s="522"/>
      <c r="T148" s="522"/>
      <c r="U148" s="522"/>
      <c r="V148" s="522"/>
      <c r="W148" s="522"/>
      <c r="X148" s="522"/>
      <c r="Y148" s="522"/>
      <c r="Z148" s="440"/>
    </row>
    <row r="149" spans="1:26" ht="15.5">
      <c r="A149" s="514" t="s">
        <v>414</v>
      </c>
      <c r="B149" s="501"/>
      <c r="C149" s="53"/>
      <c r="D149" s="53"/>
      <c r="E149" s="53"/>
      <c r="F149" s="53"/>
      <c r="G149" s="53"/>
      <c r="H149" s="53"/>
      <c r="I149" s="53"/>
      <c r="J149" s="53"/>
      <c r="K149" s="53"/>
      <c r="L149" s="53"/>
    </row>
    <row r="150" spans="1:26">
      <c r="A150" s="515" t="s">
        <v>409</v>
      </c>
      <c r="B150" s="501"/>
      <c r="C150" s="138">
        <f>Revenue!Q44</f>
        <v>0</v>
      </c>
      <c r="D150" s="138">
        <f>Revenue!R44</f>
        <v>0</v>
      </c>
      <c r="E150" s="138">
        <f>Revenue!S44</f>
        <v>0</v>
      </c>
      <c r="F150" s="138">
        <f>Revenue!T44</f>
        <v>0</v>
      </c>
      <c r="G150" s="138">
        <f>Revenue!U44</f>
        <v>0</v>
      </c>
      <c r="H150" s="138">
        <f>Revenue!V44</f>
        <v>0</v>
      </c>
      <c r="I150" s="138">
        <f>Revenue!W44</f>
        <v>0</v>
      </c>
      <c r="J150" s="138">
        <f>Revenue!X44</f>
        <v>0</v>
      </c>
      <c r="K150" s="138">
        <f>Revenue!Y44</f>
        <v>0</v>
      </c>
      <c r="L150" s="138">
        <f>Revenue!Z44</f>
        <v>0</v>
      </c>
    </row>
    <row r="151" spans="1:26">
      <c r="A151" s="516" t="s">
        <v>410</v>
      </c>
      <c r="B151" s="501"/>
      <c r="C151" s="500">
        <f>Revenue!C44</f>
        <v>0</v>
      </c>
      <c r="D151" s="500">
        <f>Revenue!D44</f>
        <v>0</v>
      </c>
      <c r="E151" s="500">
        <f>Revenue!E44</f>
        <v>0</v>
      </c>
      <c r="F151" s="500">
        <f>Revenue!F44</f>
        <v>0</v>
      </c>
      <c r="G151" s="500">
        <f>Revenue!G44</f>
        <v>0</v>
      </c>
      <c r="H151" s="500">
        <f>Revenue!H44</f>
        <v>0</v>
      </c>
      <c r="I151" s="500">
        <f>Revenue!I44</f>
        <v>0</v>
      </c>
      <c r="J151" s="500">
        <f>Revenue!J44</f>
        <v>0</v>
      </c>
      <c r="K151" s="500">
        <f>Revenue!K44</f>
        <v>0</v>
      </c>
      <c r="L151" s="500">
        <f>Revenue!L44</f>
        <v>0</v>
      </c>
    </row>
    <row r="152" spans="1:26">
      <c r="A152" s="517" t="s">
        <v>418</v>
      </c>
      <c r="B152" s="501"/>
      <c r="C152" s="500">
        <f>C150*C151</f>
        <v>0</v>
      </c>
      <c r="D152" s="500">
        <f t="shared" ref="D152" si="92">D150*D151</f>
        <v>0</v>
      </c>
      <c r="E152" s="500">
        <f t="shared" ref="E152" si="93">E150*E151</f>
        <v>0</v>
      </c>
      <c r="F152" s="500">
        <f t="shared" ref="F152" si="94">F150*F151</f>
        <v>0</v>
      </c>
      <c r="G152" s="500">
        <f t="shared" ref="G152" si="95">G150*G151</f>
        <v>0</v>
      </c>
      <c r="H152" s="500">
        <f t="shared" ref="H152" si="96">H150*H151</f>
        <v>0</v>
      </c>
      <c r="I152" s="500">
        <f t="shared" ref="I152" si="97">I150*I151</f>
        <v>0</v>
      </c>
      <c r="J152" s="500">
        <f t="shared" ref="J152" si="98">J150*J151</f>
        <v>0</v>
      </c>
      <c r="K152" s="500">
        <f t="shared" ref="K152" si="99">K150*K151</f>
        <v>0</v>
      </c>
      <c r="L152" s="500">
        <f t="shared" ref="L152" si="100">L150*L151</f>
        <v>0</v>
      </c>
    </row>
    <row r="153" spans="1:26" ht="15.5">
      <c r="A153" s="514" t="s">
        <v>415</v>
      </c>
      <c r="B153" s="501"/>
      <c r="C153" s="53"/>
      <c r="D153" s="53"/>
      <c r="E153" s="53"/>
      <c r="F153" s="53"/>
      <c r="G153" s="53"/>
      <c r="H153" s="53"/>
      <c r="I153" s="53"/>
      <c r="J153" s="53"/>
      <c r="K153" s="53"/>
      <c r="L153" s="53"/>
    </row>
    <row r="154" spans="1:26">
      <c r="A154" s="515" t="s">
        <v>409</v>
      </c>
      <c r="B154" s="501"/>
      <c r="C154" s="138">
        <f>Revenue!Q45</f>
        <v>0</v>
      </c>
      <c r="D154" s="138">
        <f>Revenue!R45</f>
        <v>0</v>
      </c>
      <c r="E154" s="138">
        <f ca="1">Revenue!S45</f>
        <v>0</v>
      </c>
      <c r="F154" s="138">
        <f ca="1">Revenue!T45</f>
        <v>0</v>
      </c>
      <c r="G154" s="138">
        <f ca="1">Revenue!U45</f>
        <v>0</v>
      </c>
      <c r="H154" s="138">
        <f ca="1">Revenue!V45</f>
        <v>0</v>
      </c>
      <c r="I154" s="138">
        <f ca="1">Revenue!W45</f>
        <v>0</v>
      </c>
      <c r="J154" s="138">
        <f ca="1">Revenue!X45</f>
        <v>0</v>
      </c>
      <c r="K154" s="138">
        <f ca="1">Revenue!Y45</f>
        <v>0</v>
      </c>
      <c r="L154" s="138">
        <f ca="1">Revenue!Z45</f>
        <v>0</v>
      </c>
    </row>
    <row r="155" spans="1:26">
      <c r="A155" s="516" t="s">
        <v>410</v>
      </c>
      <c r="B155" s="501"/>
      <c r="C155" s="500">
        <f>Revenue!C45</f>
        <v>0</v>
      </c>
      <c r="D155" s="500">
        <f>Revenue!D45</f>
        <v>0</v>
      </c>
      <c r="E155" s="500">
        <f>Revenue!E45</f>
        <v>0</v>
      </c>
      <c r="F155" s="500">
        <f>Revenue!F45</f>
        <v>0</v>
      </c>
      <c r="G155" s="500">
        <f>Revenue!G45</f>
        <v>0</v>
      </c>
      <c r="H155" s="500">
        <f>Revenue!H45</f>
        <v>0</v>
      </c>
      <c r="I155" s="500">
        <f>Revenue!I45</f>
        <v>0</v>
      </c>
      <c r="J155" s="500">
        <f>Revenue!J45</f>
        <v>0</v>
      </c>
      <c r="K155" s="500">
        <f>Revenue!K45</f>
        <v>0</v>
      </c>
      <c r="L155" s="500">
        <f>Revenue!L45</f>
        <v>0</v>
      </c>
    </row>
    <row r="156" spans="1:26">
      <c r="A156" s="517" t="s">
        <v>418</v>
      </c>
      <c r="B156" s="501"/>
      <c r="C156" s="500">
        <f>C154*C155</f>
        <v>0</v>
      </c>
      <c r="D156" s="500">
        <f t="shared" ref="D156" si="101">D154*D155</f>
        <v>0</v>
      </c>
      <c r="E156" s="500">
        <f t="shared" ref="E156" ca="1" si="102">E154*E155</f>
        <v>0</v>
      </c>
      <c r="F156" s="500">
        <f t="shared" ref="F156" ca="1" si="103">F154*F155</f>
        <v>0</v>
      </c>
      <c r="G156" s="500">
        <f t="shared" ref="G156" ca="1" si="104">G154*G155</f>
        <v>0</v>
      </c>
      <c r="H156" s="500">
        <f t="shared" ref="H156" ca="1" si="105">H154*H155</f>
        <v>0</v>
      </c>
      <c r="I156" s="500">
        <f t="shared" ref="I156" ca="1" si="106">I154*I155</f>
        <v>0</v>
      </c>
      <c r="J156" s="500">
        <f t="shared" ref="J156" ca="1" si="107">J154*J155</f>
        <v>0</v>
      </c>
      <c r="K156" s="500">
        <f t="shared" ref="K156" ca="1" si="108">K154*K155</f>
        <v>0</v>
      </c>
      <c r="L156" s="500">
        <f t="shared" ref="L156" ca="1" si="109">L154*L155</f>
        <v>0</v>
      </c>
    </row>
    <row r="157" spans="1:26" ht="15.5">
      <c r="A157" s="514" t="s">
        <v>416</v>
      </c>
      <c r="B157" s="501"/>
      <c r="C157" s="53"/>
      <c r="D157" s="53"/>
      <c r="E157" s="53"/>
      <c r="F157" s="53"/>
      <c r="G157" s="53"/>
      <c r="H157" s="53"/>
      <c r="I157" s="53"/>
      <c r="J157" s="53"/>
      <c r="K157" s="53"/>
      <c r="L157" s="53"/>
    </row>
    <row r="158" spans="1:26">
      <c r="A158" s="515" t="s">
        <v>409</v>
      </c>
      <c r="B158" s="501"/>
      <c r="C158" s="138">
        <f>Revenue!Q46</f>
        <v>0</v>
      </c>
      <c r="D158" s="138">
        <f>Revenue!R46</f>
        <v>0</v>
      </c>
      <c r="E158" s="138">
        <f ca="1">Revenue!S46</f>
        <v>0</v>
      </c>
      <c r="F158" s="138">
        <f ca="1">Revenue!T46</f>
        <v>0</v>
      </c>
      <c r="G158" s="138">
        <f ca="1">Revenue!U46</f>
        <v>0</v>
      </c>
      <c r="H158" s="138">
        <f ca="1">Revenue!V46</f>
        <v>0</v>
      </c>
      <c r="I158" s="138">
        <f ca="1">Revenue!W46</f>
        <v>0</v>
      </c>
      <c r="J158" s="138">
        <f ca="1">Revenue!X46</f>
        <v>0</v>
      </c>
      <c r="K158" s="138">
        <f ca="1">Revenue!Y46</f>
        <v>0</v>
      </c>
      <c r="L158" s="138">
        <f ca="1">Revenue!Z46</f>
        <v>0</v>
      </c>
    </row>
    <row r="159" spans="1:26">
      <c r="A159" s="516" t="s">
        <v>410</v>
      </c>
      <c r="B159" s="501"/>
      <c r="C159" s="500">
        <f>Revenue!C46</f>
        <v>0</v>
      </c>
      <c r="D159" s="500">
        <f>Revenue!D46</f>
        <v>0</v>
      </c>
      <c r="E159" s="500">
        <f>Revenue!E46</f>
        <v>0</v>
      </c>
      <c r="F159" s="500">
        <f>Revenue!F46</f>
        <v>0</v>
      </c>
      <c r="G159" s="500">
        <f>Revenue!G46</f>
        <v>0</v>
      </c>
      <c r="H159" s="500">
        <f>Revenue!H46</f>
        <v>0</v>
      </c>
      <c r="I159" s="500">
        <f>Revenue!I46</f>
        <v>0</v>
      </c>
      <c r="J159" s="500">
        <f>Revenue!J46</f>
        <v>0</v>
      </c>
      <c r="K159" s="500">
        <f>Revenue!K46</f>
        <v>0</v>
      </c>
      <c r="L159" s="500">
        <f>Revenue!L46</f>
        <v>0</v>
      </c>
    </row>
    <row r="160" spans="1:26">
      <c r="A160" s="516" t="s">
        <v>418</v>
      </c>
      <c r="B160" s="501"/>
      <c r="C160" s="500">
        <f>C158*C159</f>
        <v>0</v>
      </c>
      <c r="D160" s="500">
        <f t="shared" ref="D160" si="110">D158*D159</f>
        <v>0</v>
      </c>
      <c r="E160" s="500">
        <f t="shared" ref="E160" ca="1" si="111">E158*E159</f>
        <v>0</v>
      </c>
      <c r="F160" s="500">
        <f t="shared" ref="F160" ca="1" si="112">F158*F159</f>
        <v>0</v>
      </c>
      <c r="G160" s="500">
        <f t="shared" ref="G160" ca="1" si="113">G158*G159</f>
        <v>0</v>
      </c>
      <c r="H160" s="500">
        <f t="shared" ref="H160" ca="1" si="114">H158*H159</f>
        <v>0</v>
      </c>
      <c r="I160" s="500">
        <f t="shared" ref="I160" ca="1" si="115">I158*I159</f>
        <v>0</v>
      </c>
      <c r="J160" s="500">
        <f t="shared" ref="J160" ca="1" si="116">J158*J159</f>
        <v>0</v>
      </c>
      <c r="K160" s="500">
        <f t="shared" ref="K160" ca="1" si="117">K158*K159</f>
        <v>0</v>
      </c>
      <c r="L160" s="500">
        <f t="shared" ref="L160" ca="1" si="118">L158*L159</f>
        <v>0</v>
      </c>
    </row>
    <row r="161" spans="1:12">
      <c r="A161" s="518"/>
      <c r="B161" s="501"/>
      <c r="C161" s="53"/>
      <c r="D161" s="53"/>
      <c r="E161" s="53"/>
      <c r="F161" s="53"/>
      <c r="G161" s="53"/>
      <c r="H161" s="53"/>
      <c r="I161" s="53"/>
      <c r="J161" s="53"/>
      <c r="K161" s="53"/>
      <c r="L161" s="143"/>
    </row>
    <row r="162" spans="1:12" ht="15.5">
      <c r="A162" s="506" t="s">
        <v>419</v>
      </c>
      <c r="B162" s="501"/>
      <c r="C162" s="500">
        <f>SUM(C160,C156,C152,C148,C144,C140,C136,C132,C128)</f>
        <v>4930000</v>
      </c>
      <c r="D162" s="500">
        <f t="shared" ref="D162:L162" si="119">SUM(D160,D156,D152,D148,D144,D140,D136,D132,D128)</f>
        <v>7151982</v>
      </c>
      <c r="E162" s="500">
        <f t="shared" ca="1" si="119"/>
        <v>10829765.008258805</v>
      </c>
      <c r="F162" s="500">
        <f t="shared" ca="1" si="119"/>
        <v>11603961.24097695</v>
      </c>
      <c r="G162" s="500">
        <f t="shared" ca="1" si="119"/>
        <v>12475303.30086866</v>
      </c>
      <c r="H162" s="500">
        <f t="shared" ca="1" si="119"/>
        <v>13455375.428113844</v>
      </c>
      <c r="I162" s="500">
        <f t="shared" ca="1" si="119"/>
        <v>14558719.419645457</v>
      </c>
      <c r="J162" s="500">
        <f t="shared" ca="1" si="119"/>
        <v>15809563.327822048</v>
      </c>
      <c r="K162" s="500">
        <f t="shared" ca="1" si="119"/>
        <v>17220814.908343226</v>
      </c>
      <c r="L162" s="500">
        <f t="shared" ca="1" si="119"/>
        <v>18817606.074186541</v>
      </c>
    </row>
    <row r="163" spans="1:12">
      <c r="A163" s="504"/>
      <c r="B163" s="501"/>
      <c r="C163" s="53"/>
      <c r="D163" s="53"/>
      <c r="E163" s="53"/>
      <c r="F163" s="53"/>
      <c r="G163" s="53"/>
      <c r="H163" s="53"/>
      <c r="I163" s="53"/>
      <c r="J163" s="53"/>
      <c r="K163" s="53"/>
      <c r="L163" s="53"/>
    </row>
    <row r="164" spans="1:12" ht="18.5">
      <c r="A164" s="509" t="s">
        <v>155</v>
      </c>
      <c r="B164" s="501"/>
      <c r="C164" s="53"/>
      <c r="D164" s="53"/>
      <c r="E164" s="53"/>
      <c r="F164" s="53"/>
      <c r="G164" s="53"/>
      <c r="H164" s="53"/>
      <c r="I164" s="53"/>
      <c r="J164" s="53"/>
      <c r="K164" s="53"/>
      <c r="L164" s="53"/>
    </row>
    <row r="165" spans="1:12" ht="15.5">
      <c r="A165" s="506" t="s">
        <v>328</v>
      </c>
      <c r="B165" s="501"/>
      <c r="C165" s="140">
        <f>Assumptions!$H$45*(C128+C132)</f>
        <v>836500</v>
      </c>
      <c r="D165" s="140">
        <f>Assumptions!$H$45*(D128+D132)</f>
        <v>884324.7</v>
      </c>
      <c r="E165" s="140">
        <f ca="1">Assumptions!$H$45*(E128+E132)</f>
        <v>937818.78502125433</v>
      </c>
      <c r="F165" s="140">
        <f ca="1">Assumptions!$H$45*(F128+F132)</f>
        <v>998106.87389425619</v>
      </c>
      <c r="G165" s="140">
        <f ca="1">Assumptions!$H$45*(G128+G132)</f>
        <v>1065932.9770322128</v>
      </c>
      <c r="H165" s="140">
        <f ca="1">Assumptions!$H$45*(H128+H132)</f>
        <v>1142046.472734544</v>
      </c>
      <c r="I165" s="140">
        <f ca="1">Assumptions!$H$45*(I128+I132)</f>
        <v>1227935.9545991626</v>
      </c>
      <c r="J165" s="140">
        <f ca="1">Assumptions!$H$45*(J128+J132)</f>
        <v>1324832.8632436418</v>
      </c>
      <c r="K165" s="140">
        <f ca="1">Assumptions!$H$45*(K128+K132)</f>
        <v>1433188.3002503635</v>
      </c>
      <c r="L165" s="140">
        <f ca="1">Assumptions!$H$45*(L128+L132)</f>
        <v>1555921.504636666</v>
      </c>
    </row>
    <row r="166" spans="1:12" ht="15.5">
      <c r="A166" s="506" t="s">
        <v>329</v>
      </c>
      <c r="B166" s="501"/>
      <c r="C166" s="140">
        <f>Assumptions!$H$46*C136</f>
        <v>889000</v>
      </c>
      <c r="D166" s="140">
        <f>Assumptions!$H$46*D136</f>
        <v>952118.99999999988</v>
      </c>
      <c r="E166" s="140">
        <f ca="1">Assumptions!$H$46*E136</f>
        <v>1022886.9081430107</v>
      </c>
      <c r="F166" s="140">
        <f ca="1">Assumptions!$H$46*F136</f>
        <v>1102721.6353313893</v>
      </c>
      <c r="G166" s="140">
        <f ca="1">Assumptions!$H$46*G136</f>
        <v>1193029.2869641257</v>
      </c>
      <c r="H166" s="140">
        <f ca="1">Assumptions!$H$46*H136</f>
        <v>1293931.6216450969</v>
      </c>
      <c r="I166" s="140">
        <f ca="1">Assumptions!$H$46*I136</f>
        <v>1406795.3084394145</v>
      </c>
      <c r="J166" s="140">
        <f ca="1">Assumptions!$H$46*J136</f>
        <v>1534855.7141835787</v>
      </c>
      <c r="K166" s="140">
        <f ca="1">Assumptions!$H$46*K136</f>
        <v>1680222.570531199</v>
      </c>
      <c r="L166" s="140">
        <f ca="1">Assumptions!$H$46*L136</f>
        <v>1845854.6019521577</v>
      </c>
    </row>
    <row r="167" spans="1:12" ht="15.5">
      <c r="A167" s="506" t="s">
        <v>330</v>
      </c>
      <c r="B167" s="501"/>
      <c r="C167" s="140">
        <f>Assumptions!$H$47*C140</f>
        <v>0</v>
      </c>
      <c r="D167" s="140">
        <f>Assumptions!$H$47*D140</f>
        <v>762000</v>
      </c>
      <c r="E167" s="140">
        <f ca="1">Assumptions!$H$47*E140</f>
        <v>819099.49683007598</v>
      </c>
      <c r="F167" s="140">
        <f ca="1">Assumptions!$H$47*F140</f>
        <v>883559.21808583278</v>
      </c>
      <c r="G167" s="140">
        <f ca="1">Assumptions!$H$47*G140</f>
        <v>956385.93253729027</v>
      </c>
      <c r="H167" s="140">
        <f ca="1">Assumptions!$H$47*H140</f>
        <v>1039082.5600642171</v>
      </c>
      <c r="I167" s="140">
        <f ca="1">Assumptions!$H$47*I140</f>
        <v>1132086.8573018259</v>
      </c>
      <c r="J167" s="140">
        <f ca="1">Assumptions!$H$47*J140</f>
        <v>1237886.65265885</v>
      </c>
      <c r="K167" s="140">
        <f ca="1">Assumptions!$H$47*K140</f>
        <v>1358192.4167257429</v>
      </c>
      <c r="L167" s="140">
        <f ca="1">Assumptions!$H$47*L140</f>
        <v>1494429.9081045997</v>
      </c>
    </row>
    <row r="168" spans="1:12" ht="15.5">
      <c r="A168" s="506" t="s">
        <v>331</v>
      </c>
      <c r="B168" s="501"/>
      <c r="C168" s="140">
        <f>Assumptions!$H$48*C144</f>
        <v>0</v>
      </c>
      <c r="D168" s="140">
        <f>Assumptions!$H$48*D144</f>
        <v>0</v>
      </c>
      <c r="E168" s="140">
        <f>Assumptions!$H$48*E144</f>
        <v>1272000</v>
      </c>
      <c r="F168" s="140">
        <f ca="1">Assumptions!$H$48*F144</f>
        <v>1357078.4106184954</v>
      </c>
      <c r="G168" s="140">
        <f ca="1">Assumptions!$H$48*G144</f>
        <v>1452064.2289572151</v>
      </c>
      <c r="H168" s="140">
        <f ca="1">Assumptions!$H$48*H144</f>
        <v>1559092.6461760162</v>
      </c>
      <c r="I168" s="140">
        <f ca="1">Assumptions!$H$48*I144</f>
        <v>1680279.4670836974</v>
      </c>
      <c r="J168" s="140">
        <f ca="1">Assumptions!$H$48*J144</f>
        <v>1817723.1614102887</v>
      </c>
      <c r="K168" s="140">
        <f ca="1">Assumptions!$H$48*K144</f>
        <v>1971949.6942897607</v>
      </c>
      <c r="L168" s="140">
        <f ca="1">Assumptions!$H$48*L144</f>
        <v>2144868.3997542183</v>
      </c>
    </row>
    <row r="169" spans="1:12" ht="15.5">
      <c r="A169" s="506" t="s">
        <v>420</v>
      </c>
      <c r="B169" s="501"/>
      <c r="C169" s="140">
        <f>Assumptions!$H$49*C148</f>
        <v>0</v>
      </c>
      <c r="D169" s="140">
        <f>Assumptions!$H$49*D148</f>
        <v>0</v>
      </c>
      <c r="E169" s="140">
        <f ca="1">Assumptions!$H$49*E148</f>
        <v>0</v>
      </c>
      <c r="F169" s="140">
        <f ca="1">Assumptions!$H$49*F148</f>
        <v>0</v>
      </c>
      <c r="G169" s="140">
        <f ca="1">Assumptions!$H$49*G148</f>
        <v>0</v>
      </c>
      <c r="H169" s="140">
        <f ca="1">Assumptions!$H$49*H148</f>
        <v>0</v>
      </c>
      <c r="I169" s="140">
        <f ca="1">Assumptions!$H$49*I148</f>
        <v>0</v>
      </c>
      <c r="J169" s="140">
        <f ca="1">Assumptions!$H$49*J148</f>
        <v>0</v>
      </c>
      <c r="K169" s="140">
        <f ca="1">Assumptions!$H$49*K148</f>
        <v>0</v>
      </c>
      <c r="L169" s="140">
        <f ca="1">Assumptions!$H$49*L148</f>
        <v>0</v>
      </c>
    </row>
    <row r="170" spans="1:12" ht="15.5">
      <c r="A170" s="506" t="s">
        <v>421</v>
      </c>
      <c r="B170" s="501"/>
      <c r="C170" s="140">
        <f>Assumptions!$H$50*C152</f>
        <v>0</v>
      </c>
      <c r="D170" s="140">
        <f>Assumptions!$H$50*D152</f>
        <v>0</v>
      </c>
      <c r="E170" s="140">
        <f>Assumptions!$H$50*E152</f>
        <v>0</v>
      </c>
      <c r="F170" s="140">
        <f>Assumptions!$H$50*F152</f>
        <v>0</v>
      </c>
      <c r="G170" s="140">
        <f>Assumptions!$H$50*G152</f>
        <v>0</v>
      </c>
      <c r="H170" s="140">
        <f>Assumptions!$H$50*H152</f>
        <v>0</v>
      </c>
      <c r="I170" s="140">
        <f>Assumptions!$H$50*I152</f>
        <v>0</v>
      </c>
      <c r="J170" s="140">
        <f>Assumptions!$H$50*J152</f>
        <v>0</v>
      </c>
      <c r="K170" s="140">
        <f>Assumptions!$H$50*K152</f>
        <v>0</v>
      </c>
      <c r="L170" s="140">
        <f>Assumptions!$H$50*L152</f>
        <v>0</v>
      </c>
    </row>
    <row r="171" spans="1:12" ht="15.5">
      <c r="A171" s="506" t="s">
        <v>422</v>
      </c>
      <c r="B171" s="501"/>
      <c r="C171" s="140">
        <f>Assumptions!$H$51*C156</f>
        <v>0</v>
      </c>
      <c r="D171" s="140">
        <f>Assumptions!$H$51*D156</f>
        <v>0</v>
      </c>
      <c r="E171" s="140">
        <f ca="1">Assumptions!$H$51*E156</f>
        <v>0</v>
      </c>
      <c r="F171" s="140">
        <f ca="1">Assumptions!$H$51*F156</f>
        <v>0</v>
      </c>
      <c r="G171" s="140">
        <f ca="1">Assumptions!$H$51*G156</f>
        <v>0</v>
      </c>
      <c r="H171" s="140">
        <f ca="1">Assumptions!$H$51*H156</f>
        <v>0</v>
      </c>
      <c r="I171" s="140">
        <f ca="1">Assumptions!$H$51*I156</f>
        <v>0</v>
      </c>
      <c r="J171" s="140">
        <f ca="1">Assumptions!$H$51*J156</f>
        <v>0</v>
      </c>
      <c r="K171" s="140">
        <f ca="1">Assumptions!$H$51*K156</f>
        <v>0</v>
      </c>
      <c r="L171" s="140">
        <f ca="1">Assumptions!$H$51*L156</f>
        <v>0</v>
      </c>
    </row>
    <row r="172" spans="1:12" ht="15.5">
      <c r="A172" s="506" t="s">
        <v>423</v>
      </c>
      <c r="B172" s="501"/>
      <c r="C172" s="140">
        <f>Assumptions!$H$52*C160</f>
        <v>0</v>
      </c>
      <c r="D172" s="140">
        <f>Assumptions!$H$52*D160</f>
        <v>0</v>
      </c>
      <c r="E172" s="140">
        <f ca="1">Assumptions!$H$52*E160</f>
        <v>0</v>
      </c>
      <c r="F172" s="140">
        <f ca="1">Assumptions!$H$52*F160</f>
        <v>0</v>
      </c>
      <c r="G172" s="140">
        <f ca="1">Assumptions!$H$52*G160</f>
        <v>0</v>
      </c>
      <c r="H172" s="140">
        <f ca="1">Assumptions!$H$52*H160</f>
        <v>0</v>
      </c>
      <c r="I172" s="140">
        <f ca="1">Assumptions!$H$52*I160</f>
        <v>0</v>
      </c>
      <c r="J172" s="140">
        <f ca="1">Assumptions!$H$52*J160</f>
        <v>0</v>
      </c>
      <c r="K172" s="140">
        <f ca="1">Assumptions!$H$52*K160</f>
        <v>0</v>
      </c>
      <c r="L172" s="140">
        <f ca="1">Assumptions!$H$52*L160</f>
        <v>0</v>
      </c>
    </row>
    <row r="173" spans="1:12" ht="15.5">
      <c r="A173" s="506" t="s">
        <v>405</v>
      </c>
      <c r="B173" s="501"/>
      <c r="C173" s="140">
        <f>SUM(C165:C172)</f>
        <v>1725500</v>
      </c>
      <c r="D173" s="140">
        <f t="shared" ref="D173" si="120">SUM(D165:D172)</f>
        <v>2598443.6999999997</v>
      </c>
      <c r="E173" s="140">
        <f t="shared" ref="E173" ca="1" si="121">SUM(E165:E172)</f>
        <v>4051805.1899943408</v>
      </c>
      <c r="F173" s="140">
        <f t="shared" ref="F173" ca="1" si="122">SUM(F165:F172)</f>
        <v>4341466.1379299741</v>
      </c>
      <c r="G173" s="140">
        <f t="shared" ref="G173" ca="1" si="123">SUM(G165:G172)</f>
        <v>4667412.4254908441</v>
      </c>
      <c r="H173" s="140">
        <f t="shared" ref="H173" ca="1" si="124">SUM(H165:H172)</f>
        <v>5034153.3006198741</v>
      </c>
      <c r="I173" s="140">
        <f t="shared" ref="I173" ca="1" si="125">SUM(I165:I172)</f>
        <v>5447097.5874241004</v>
      </c>
      <c r="J173" s="140">
        <f t="shared" ref="J173" ca="1" si="126">SUM(J165:J172)</f>
        <v>5915298.3914963594</v>
      </c>
      <c r="K173" s="140">
        <f t="shared" ref="K173" ca="1" si="127">SUM(K165:K172)</f>
        <v>6443552.9817970656</v>
      </c>
      <c r="L173" s="140">
        <f t="shared" ref="L173" ca="1" si="128">SUM(L165:L172)</f>
        <v>7041074.414447641</v>
      </c>
    </row>
    <row r="174" spans="1:12">
      <c r="A174" s="504"/>
      <c r="B174" s="501"/>
      <c r="C174" s="53"/>
      <c r="D174" s="53"/>
      <c r="E174" s="53"/>
      <c r="F174" s="53"/>
      <c r="G174" s="53"/>
      <c r="H174" s="53"/>
      <c r="I174" s="53"/>
      <c r="J174" s="53"/>
      <c r="K174" s="53"/>
      <c r="L174" s="53"/>
    </row>
    <row r="175" spans="1:12" ht="15.5">
      <c r="A175" s="505" t="s">
        <v>157</v>
      </c>
      <c r="B175" s="501"/>
      <c r="C175" s="500">
        <f>C162-C173</f>
        <v>3204500</v>
      </c>
      <c r="D175" s="500">
        <f t="shared" ref="D175:L175" si="129">D162-D173</f>
        <v>4553538.3000000007</v>
      </c>
      <c r="E175" s="500">
        <f t="shared" ca="1" si="129"/>
        <v>6777959.8182644639</v>
      </c>
      <c r="F175" s="500">
        <f t="shared" ca="1" si="129"/>
        <v>7262495.103046976</v>
      </c>
      <c r="G175" s="500">
        <f t="shared" ca="1" si="129"/>
        <v>7807890.8753778161</v>
      </c>
      <c r="H175" s="500">
        <f t="shared" ca="1" si="129"/>
        <v>8421222.1274939701</v>
      </c>
      <c r="I175" s="500">
        <f t="shared" ca="1" si="129"/>
        <v>9111621.8322213553</v>
      </c>
      <c r="J175" s="500">
        <f t="shared" ca="1" si="129"/>
        <v>9894264.9363256879</v>
      </c>
      <c r="K175" s="500">
        <f t="shared" ca="1" si="129"/>
        <v>10777261.92654616</v>
      </c>
      <c r="L175" s="500">
        <f t="shared" ca="1" si="129"/>
        <v>11776531.6597389</v>
      </c>
    </row>
    <row r="176" spans="1:12">
      <c r="A176" s="504"/>
      <c r="B176" s="501"/>
      <c r="C176" s="53"/>
      <c r="D176" s="53"/>
      <c r="E176" s="53"/>
      <c r="F176" s="53"/>
      <c r="G176" s="53"/>
      <c r="H176" s="53"/>
      <c r="I176" s="53"/>
      <c r="J176" s="53"/>
      <c r="K176" s="53"/>
      <c r="L176" s="53"/>
    </row>
    <row r="177" spans="1:12" ht="18.5">
      <c r="A177" s="509" t="s">
        <v>96</v>
      </c>
      <c r="B177" s="501"/>
      <c r="C177" s="53"/>
      <c r="D177" s="53"/>
      <c r="E177" s="53"/>
      <c r="F177" s="53"/>
      <c r="G177" s="53"/>
      <c r="H177" s="53"/>
      <c r="I177" s="53"/>
      <c r="J177" s="53"/>
      <c r="K177" s="53"/>
      <c r="L177" s="53"/>
    </row>
    <row r="178" spans="1:12">
      <c r="A178" s="504"/>
      <c r="B178" s="501"/>
      <c r="C178" s="53"/>
      <c r="D178" s="53"/>
      <c r="E178" s="53"/>
      <c r="F178" s="53"/>
      <c r="G178" s="53"/>
      <c r="H178" s="53"/>
      <c r="I178" s="53"/>
      <c r="J178" s="53"/>
      <c r="K178" s="53"/>
      <c r="L178" s="53"/>
    </row>
    <row r="179" spans="1:12" ht="15.5">
      <c r="A179" s="506" t="s">
        <v>28</v>
      </c>
      <c r="B179" s="501"/>
      <c r="C179" s="53"/>
      <c r="D179" s="53"/>
      <c r="E179" s="53"/>
      <c r="F179" s="53"/>
      <c r="G179" s="53"/>
      <c r="H179" s="53"/>
      <c r="I179" s="53"/>
      <c r="J179" s="53"/>
      <c r="K179" s="53"/>
      <c r="L179" s="53"/>
    </row>
    <row r="180" spans="1:12" ht="15.5">
      <c r="A180" s="506"/>
      <c r="B180" s="501"/>
      <c r="C180" s="53"/>
      <c r="D180" s="53"/>
      <c r="E180" s="53"/>
      <c r="F180" s="53"/>
      <c r="G180" s="53"/>
      <c r="H180" s="53"/>
      <c r="I180" s="53"/>
      <c r="J180" s="53"/>
      <c r="K180" s="53"/>
      <c r="L180" s="53"/>
    </row>
    <row r="181" spans="1:12">
      <c r="A181" s="504" t="s">
        <v>37</v>
      </c>
      <c r="B181" s="501"/>
      <c r="C181" s="140">
        <f>Assumptions!D25</f>
        <v>5000</v>
      </c>
      <c r="D181" s="140">
        <v>0</v>
      </c>
      <c r="E181" s="140">
        <v>0</v>
      </c>
      <c r="F181" s="140">
        <v>0</v>
      </c>
      <c r="G181" s="140">
        <v>0</v>
      </c>
      <c r="H181" s="140">
        <v>0</v>
      </c>
      <c r="I181" s="140">
        <v>0</v>
      </c>
      <c r="J181" s="140">
        <v>0</v>
      </c>
      <c r="K181" s="140">
        <v>0</v>
      </c>
      <c r="L181" s="140">
        <v>0</v>
      </c>
    </row>
    <row r="182" spans="1:12">
      <c r="A182" s="504" t="s">
        <v>356</v>
      </c>
      <c r="B182" s="501"/>
      <c r="C182" s="140">
        <f>Assumptions!D26</f>
        <v>15000</v>
      </c>
      <c r="D182" s="140">
        <v>0</v>
      </c>
      <c r="E182" s="140">
        <v>0</v>
      </c>
      <c r="F182" s="140">
        <v>0</v>
      </c>
      <c r="G182" s="140">
        <v>0</v>
      </c>
      <c r="H182" s="140">
        <v>0</v>
      </c>
      <c r="I182" s="140">
        <v>0</v>
      </c>
      <c r="J182" s="140">
        <v>0</v>
      </c>
      <c r="K182" s="140">
        <v>0</v>
      </c>
      <c r="L182" s="140">
        <v>0</v>
      </c>
    </row>
    <row r="183" spans="1:12">
      <c r="A183" s="504" t="s">
        <v>40</v>
      </c>
      <c r="B183" s="501"/>
      <c r="C183" s="140">
        <f>Assumptions!D27</f>
        <v>1000</v>
      </c>
      <c r="D183" s="140">
        <v>0</v>
      </c>
      <c r="E183" s="140">
        <v>0</v>
      </c>
      <c r="F183" s="140">
        <v>0</v>
      </c>
      <c r="G183" s="140">
        <v>0</v>
      </c>
      <c r="H183" s="140">
        <v>0</v>
      </c>
      <c r="I183" s="140">
        <v>0</v>
      </c>
      <c r="J183" s="140">
        <v>0</v>
      </c>
      <c r="K183" s="140">
        <v>0</v>
      </c>
      <c r="L183" s="140">
        <v>0</v>
      </c>
    </row>
    <row r="184" spans="1:12">
      <c r="A184" s="504" t="s">
        <v>41</v>
      </c>
      <c r="B184" s="501"/>
      <c r="C184" s="140">
        <f>Assumptions!D28</f>
        <v>5000</v>
      </c>
      <c r="D184" s="140">
        <v>0</v>
      </c>
      <c r="E184" s="140">
        <v>0</v>
      </c>
      <c r="F184" s="140">
        <v>0</v>
      </c>
      <c r="G184" s="140">
        <v>0</v>
      </c>
      <c r="H184" s="140">
        <v>0</v>
      </c>
      <c r="I184" s="140">
        <v>0</v>
      </c>
      <c r="J184" s="140">
        <v>0</v>
      </c>
      <c r="K184" s="140">
        <v>0</v>
      </c>
      <c r="L184" s="140">
        <v>0</v>
      </c>
    </row>
    <row r="185" spans="1:12">
      <c r="A185" s="504" t="s">
        <v>43</v>
      </c>
      <c r="B185" s="501"/>
      <c r="C185" s="140">
        <f>Assumptions!D29</f>
        <v>1000</v>
      </c>
      <c r="D185" s="140">
        <v>0</v>
      </c>
      <c r="E185" s="140">
        <v>0</v>
      </c>
      <c r="F185" s="140">
        <v>0</v>
      </c>
      <c r="G185" s="140">
        <v>0</v>
      </c>
      <c r="H185" s="140">
        <v>0</v>
      </c>
      <c r="I185" s="140">
        <v>0</v>
      </c>
      <c r="J185" s="140">
        <v>0</v>
      </c>
      <c r="K185" s="140">
        <v>0</v>
      </c>
      <c r="L185" s="140">
        <v>0</v>
      </c>
    </row>
    <row r="186" spans="1:12">
      <c r="A186" s="504" t="s">
        <v>45</v>
      </c>
      <c r="B186" s="501"/>
      <c r="C186" s="140">
        <f>Assumptions!D30</f>
        <v>3000</v>
      </c>
      <c r="D186" s="140">
        <v>0</v>
      </c>
      <c r="E186" s="140">
        <v>0</v>
      </c>
      <c r="F186" s="140">
        <v>0</v>
      </c>
      <c r="G186" s="140">
        <v>0</v>
      </c>
      <c r="H186" s="140">
        <v>0</v>
      </c>
      <c r="I186" s="140">
        <v>0</v>
      </c>
      <c r="J186" s="140">
        <v>0</v>
      </c>
      <c r="K186" s="140">
        <v>0</v>
      </c>
      <c r="L186" s="140">
        <v>0</v>
      </c>
    </row>
    <row r="187" spans="1:12">
      <c r="A187" s="504" t="s">
        <v>35</v>
      </c>
      <c r="B187" s="501"/>
      <c r="C187" s="140">
        <f>Assumptions!D31</f>
        <v>5000</v>
      </c>
      <c r="D187" s="140">
        <v>0</v>
      </c>
      <c r="E187" s="140">
        <v>0</v>
      </c>
      <c r="F187" s="140">
        <v>0</v>
      </c>
      <c r="G187" s="140">
        <v>0</v>
      </c>
      <c r="H187" s="140">
        <v>0</v>
      </c>
      <c r="I187" s="140">
        <v>0</v>
      </c>
      <c r="J187" s="140">
        <v>0</v>
      </c>
      <c r="K187" s="140">
        <v>0</v>
      </c>
      <c r="L187" s="140">
        <v>0</v>
      </c>
    </row>
    <row r="188" spans="1:12">
      <c r="A188" s="504"/>
      <c r="B188" s="501"/>
      <c r="C188" s="53"/>
      <c r="D188" s="53"/>
      <c r="E188" s="53"/>
      <c r="F188" s="53"/>
      <c r="G188" s="53"/>
      <c r="H188" s="53"/>
      <c r="I188" s="53"/>
      <c r="J188" s="53"/>
      <c r="K188" s="53"/>
      <c r="L188" s="53"/>
    </row>
    <row r="189" spans="1:12" ht="15.5">
      <c r="A189" s="506" t="s">
        <v>158</v>
      </c>
      <c r="B189" s="501"/>
      <c r="C189" s="140">
        <f t="shared" ref="C189:L189" si="130">SUM(C181:C187)</f>
        <v>35000</v>
      </c>
      <c r="D189" s="140">
        <f t="shared" si="130"/>
        <v>0</v>
      </c>
      <c r="E189" s="140">
        <f t="shared" si="130"/>
        <v>0</v>
      </c>
      <c r="F189" s="140">
        <f t="shared" si="130"/>
        <v>0</v>
      </c>
      <c r="G189" s="140">
        <f t="shared" si="130"/>
        <v>0</v>
      </c>
      <c r="H189" s="140">
        <f t="shared" si="130"/>
        <v>0</v>
      </c>
      <c r="I189" s="140">
        <f t="shared" si="130"/>
        <v>0</v>
      </c>
      <c r="J189" s="140">
        <f t="shared" si="130"/>
        <v>0</v>
      </c>
      <c r="K189" s="140">
        <f t="shared" si="130"/>
        <v>0</v>
      </c>
      <c r="L189" s="140">
        <f t="shared" si="130"/>
        <v>0</v>
      </c>
    </row>
    <row r="190" spans="1:12">
      <c r="A190" s="504"/>
      <c r="B190" s="501"/>
      <c r="C190" s="53"/>
      <c r="D190" s="53"/>
      <c r="E190" s="53"/>
      <c r="F190" s="53"/>
      <c r="G190" s="53"/>
      <c r="H190" s="53"/>
      <c r="I190" s="53"/>
      <c r="J190" s="53"/>
      <c r="K190" s="53"/>
      <c r="L190" s="53"/>
    </row>
    <row r="191" spans="1:12" ht="15.5">
      <c r="A191" s="506" t="s">
        <v>13</v>
      </c>
      <c r="B191" s="501"/>
      <c r="C191" s="53"/>
      <c r="D191" s="53"/>
      <c r="E191" s="53"/>
      <c r="F191" s="53"/>
      <c r="G191" s="53"/>
      <c r="H191" s="53"/>
      <c r="I191" s="53"/>
      <c r="J191" s="53"/>
      <c r="K191" s="53"/>
      <c r="L191" s="53"/>
    </row>
    <row r="192" spans="1:12">
      <c r="A192" s="504"/>
      <c r="B192" s="501"/>
      <c r="C192" s="53"/>
      <c r="D192" s="53"/>
      <c r="E192" s="53"/>
      <c r="F192" s="53"/>
      <c r="G192" s="53"/>
      <c r="H192" s="53"/>
      <c r="I192" s="53"/>
      <c r="J192" s="53"/>
      <c r="K192" s="53"/>
      <c r="L192" s="53"/>
    </row>
    <row r="193" spans="1:12">
      <c r="A193" s="504" t="s">
        <v>14</v>
      </c>
      <c r="B193" s="501"/>
      <c r="C193" s="140">
        <f>Assumptions!G9</f>
        <v>60000</v>
      </c>
      <c r="D193" s="140">
        <f>C193*(1+Assumptions!$D$11)</f>
        <v>61800</v>
      </c>
      <c r="E193" s="140">
        <f>D193*(1+Assumptions!$D$11)</f>
        <v>63654</v>
      </c>
      <c r="F193" s="140">
        <f>E193*(1+Assumptions!$D$11)</f>
        <v>65563.62</v>
      </c>
      <c r="G193" s="140">
        <f>F193*(1+Assumptions!$D$11)</f>
        <v>67530.528599999991</v>
      </c>
      <c r="H193" s="140">
        <f>G193*(1+Assumptions!$D$11)</f>
        <v>69556.444457999998</v>
      </c>
      <c r="I193" s="140">
        <f>H193*(1+Assumptions!$D$11)</f>
        <v>71643.137791739995</v>
      </c>
      <c r="J193" s="140">
        <f>I193*(1+Assumptions!$D$11)</f>
        <v>73792.431925492201</v>
      </c>
      <c r="K193" s="140">
        <f>J193*(1+Assumptions!$D$11)</f>
        <v>76006.204883256971</v>
      </c>
      <c r="L193" s="140">
        <f>K193*(1+Assumptions!$D$11)</f>
        <v>78286.391029754683</v>
      </c>
    </row>
    <row r="194" spans="1:12">
      <c r="A194" s="504" t="s">
        <v>15</v>
      </c>
      <c r="B194" s="501"/>
      <c r="C194" s="140">
        <f>Assumptions!G10</f>
        <v>12000</v>
      </c>
      <c r="D194" s="140">
        <f>C194*(1+Assumptions!$D$11)</f>
        <v>12360</v>
      </c>
      <c r="E194" s="140">
        <f>D194*(1+Assumptions!$D$11)</f>
        <v>12730.800000000001</v>
      </c>
      <c r="F194" s="140">
        <f>E194*(1+Assumptions!$D$11)</f>
        <v>13112.724000000002</v>
      </c>
      <c r="G194" s="140">
        <f>F194*(1+Assumptions!$D$11)</f>
        <v>13506.105720000003</v>
      </c>
      <c r="H194" s="140">
        <f>G194*(1+Assumptions!$D$11)</f>
        <v>13911.288891600003</v>
      </c>
      <c r="I194" s="140">
        <f>H194*(1+Assumptions!$D$11)</f>
        <v>14328.627558348004</v>
      </c>
      <c r="J194" s="140">
        <f>I194*(1+Assumptions!$D$11)</f>
        <v>14758.486385098444</v>
      </c>
      <c r="K194" s="140">
        <f>J194*(1+Assumptions!$D$11)</f>
        <v>15201.240976651397</v>
      </c>
      <c r="L194" s="140">
        <f>K194*(1+Assumptions!$D$11)</f>
        <v>15657.278205950939</v>
      </c>
    </row>
    <row r="195" spans="1:12">
      <c r="A195" s="504" t="s">
        <v>17</v>
      </c>
      <c r="B195" s="501"/>
      <c r="C195" s="140">
        <f>Assumptions!G11</f>
        <v>1200</v>
      </c>
      <c r="D195" s="140">
        <f>C195*(1+Assumptions!$D$11)</f>
        <v>1236</v>
      </c>
      <c r="E195" s="140">
        <f>D195*(1+Assumptions!$D$11)</f>
        <v>1273.08</v>
      </c>
      <c r="F195" s="140">
        <f>E195*(1+Assumptions!$D$11)</f>
        <v>1311.2724000000001</v>
      </c>
      <c r="G195" s="140">
        <f>F195*(1+Assumptions!$D$11)</f>
        <v>1350.610572</v>
      </c>
      <c r="H195" s="140">
        <f>G195*(1+Assumptions!$D$11)</f>
        <v>1391.12888916</v>
      </c>
      <c r="I195" s="140">
        <f>H195*(1+Assumptions!$D$11)</f>
        <v>1432.8627558348001</v>
      </c>
      <c r="J195" s="140">
        <f>I195*(1+Assumptions!$D$11)</f>
        <v>1475.848638509844</v>
      </c>
      <c r="K195" s="140">
        <f>J195*(1+Assumptions!$D$11)</f>
        <v>1520.1240976651393</v>
      </c>
      <c r="L195" s="140">
        <f>K195*(1+Assumptions!$D$11)</f>
        <v>1565.7278205950936</v>
      </c>
    </row>
    <row r="196" spans="1:12">
      <c r="A196" s="504" t="s">
        <v>19</v>
      </c>
      <c r="B196" s="501"/>
      <c r="C196" s="140">
        <f>Assumptions!G12</f>
        <v>12000</v>
      </c>
      <c r="D196" s="140">
        <f>C196*(1+Assumptions!$D$11)</f>
        <v>12360</v>
      </c>
      <c r="E196" s="140">
        <f>D196*(1+Assumptions!$D$11)</f>
        <v>12730.800000000001</v>
      </c>
      <c r="F196" s="140">
        <f>E196*(1+Assumptions!$D$11)</f>
        <v>13112.724000000002</v>
      </c>
      <c r="G196" s="140">
        <f>F196*(1+Assumptions!$D$11)</f>
        <v>13506.105720000003</v>
      </c>
      <c r="H196" s="140">
        <f>G196*(1+Assumptions!$D$11)</f>
        <v>13911.288891600003</v>
      </c>
      <c r="I196" s="140">
        <f>H196*(1+Assumptions!$D$11)</f>
        <v>14328.627558348004</v>
      </c>
      <c r="J196" s="140">
        <f>I196*(1+Assumptions!$D$11)</f>
        <v>14758.486385098444</v>
      </c>
      <c r="K196" s="140">
        <f>J196*(1+Assumptions!$D$11)</f>
        <v>15201.240976651397</v>
      </c>
      <c r="L196" s="140">
        <f>K196*(1+Assumptions!$D$11)</f>
        <v>15657.278205950939</v>
      </c>
    </row>
    <row r="197" spans="1:12">
      <c r="A197" s="504" t="s">
        <v>20</v>
      </c>
      <c r="B197" s="501"/>
      <c r="C197" s="140">
        <f>Assumptions!G13</f>
        <v>6000</v>
      </c>
      <c r="D197" s="140">
        <f>C197*(1+Assumptions!$D$11)</f>
        <v>6180</v>
      </c>
      <c r="E197" s="140">
        <f>D197*(1+Assumptions!$D$11)</f>
        <v>6365.4000000000005</v>
      </c>
      <c r="F197" s="140">
        <f>E197*(1+Assumptions!$D$11)</f>
        <v>6556.362000000001</v>
      </c>
      <c r="G197" s="140">
        <f>F197*(1+Assumptions!$D$11)</f>
        <v>6753.0528600000016</v>
      </c>
      <c r="H197" s="140">
        <f>G197*(1+Assumptions!$D$11)</f>
        <v>6955.6444458000014</v>
      </c>
      <c r="I197" s="140">
        <f>H197*(1+Assumptions!$D$11)</f>
        <v>7164.3137791740019</v>
      </c>
      <c r="J197" s="140">
        <f>I197*(1+Assumptions!$D$11)</f>
        <v>7379.2431925492219</v>
      </c>
      <c r="K197" s="140">
        <f>J197*(1+Assumptions!$D$11)</f>
        <v>7600.6204883256987</v>
      </c>
      <c r="L197" s="140">
        <f>K197*(1+Assumptions!$D$11)</f>
        <v>7828.6391029754695</v>
      </c>
    </row>
    <row r="198" spans="1:12">
      <c r="A198" s="504" t="s">
        <v>22</v>
      </c>
      <c r="B198" s="501"/>
      <c r="C198" s="140">
        <f>Assumptions!G14</f>
        <v>6000</v>
      </c>
      <c r="D198" s="140">
        <f>C198*(1+Assumptions!$D$11)</f>
        <v>6180</v>
      </c>
      <c r="E198" s="140">
        <f>D198*(1+Assumptions!$D$11)</f>
        <v>6365.4000000000005</v>
      </c>
      <c r="F198" s="140">
        <f>E198*(1+Assumptions!$D$11)</f>
        <v>6556.362000000001</v>
      </c>
      <c r="G198" s="140">
        <f>F198*(1+Assumptions!$D$11)</f>
        <v>6753.0528600000016</v>
      </c>
      <c r="H198" s="140">
        <f>G198*(1+Assumptions!$D$11)</f>
        <v>6955.6444458000014</v>
      </c>
      <c r="I198" s="140">
        <f>H198*(1+Assumptions!$D$11)</f>
        <v>7164.3137791740019</v>
      </c>
      <c r="J198" s="140">
        <f>I198*(1+Assumptions!$D$11)</f>
        <v>7379.2431925492219</v>
      </c>
      <c r="K198" s="140">
        <f>J198*(1+Assumptions!$D$11)</f>
        <v>7600.6204883256987</v>
      </c>
      <c r="L198" s="140">
        <f>K198*(1+Assumptions!$D$11)</f>
        <v>7828.6391029754695</v>
      </c>
    </row>
    <row r="199" spans="1:12">
      <c r="A199" s="504" t="s">
        <v>25</v>
      </c>
      <c r="B199" s="501"/>
      <c r="C199" s="140">
        <f>Assumptions!G15</f>
        <v>1000</v>
      </c>
      <c r="D199" s="140">
        <f>C199*(1+Assumptions!$D$11)</f>
        <v>1030</v>
      </c>
      <c r="E199" s="140">
        <f>D199*(1+Assumptions!$D$11)</f>
        <v>1060.9000000000001</v>
      </c>
      <c r="F199" s="140">
        <f>E199*(1+Assumptions!$D$11)</f>
        <v>1092.7270000000001</v>
      </c>
      <c r="G199" s="140">
        <f>F199*(1+Assumptions!$D$11)</f>
        <v>1125.50881</v>
      </c>
      <c r="H199" s="140">
        <f>G199*(1+Assumptions!$D$11)</f>
        <v>1159.2740743000002</v>
      </c>
      <c r="I199" s="140">
        <f>H199*(1+Assumptions!$D$11)</f>
        <v>1194.0522965290002</v>
      </c>
      <c r="J199" s="140">
        <f>I199*(1+Assumptions!$D$11)</f>
        <v>1229.8738654248702</v>
      </c>
      <c r="K199" s="140">
        <f>J199*(1+Assumptions!$D$11)</f>
        <v>1266.7700813876163</v>
      </c>
      <c r="L199" s="140">
        <f>K199*(1+Assumptions!$D$11)</f>
        <v>1304.7731838292448</v>
      </c>
    </row>
    <row r="200" spans="1:12">
      <c r="A200" s="504" t="s">
        <v>27</v>
      </c>
      <c r="B200" s="501"/>
      <c r="C200" s="140">
        <f>Assumptions!G16</f>
        <v>1000</v>
      </c>
      <c r="D200" s="140">
        <f>C200*(1+Assumptions!$D$11)</f>
        <v>1030</v>
      </c>
      <c r="E200" s="140">
        <f>D200*(1+Assumptions!$D$11)</f>
        <v>1060.9000000000001</v>
      </c>
      <c r="F200" s="140">
        <f>E200*(1+Assumptions!$D$11)</f>
        <v>1092.7270000000001</v>
      </c>
      <c r="G200" s="140">
        <f>F200*(1+Assumptions!$D$11)</f>
        <v>1125.50881</v>
      </c>
      <c r="H200" s="140">
        <f>G200*(1+Assumptions!$D$11)</f>
        <v>1159.2740743000002</v>
      </c>
      <c r="I200" s="140">
        <f>H200*(1+Assumptions!$D$11)</f>
        <v>1194.0522965290002</v>
      </c>
      <c r="J200" s="140">
        <f>I200*(1+Assumptions!$D$11)</f>
        <v>1229.8738654248702</v>
      </c>
      <c r="K200" s="140">
        <f>J200*(1+Assumptions!$D$11)</f>
        <v>1266.7700813876163</v>
      </c>
      <c r="L200" s="140">
        <f>K200*(1+Assumptions!$D$11)</f>
        <v>1304.7731838292448</v>
      </c>
    </row>
    <row r="201" spans="1:12">
      <c r="A201" s="504" t="s">
        <v>290</v>
      </c>
      <c r="B201" s="501"/>
      <c r="C201" s="140">
        <f>Assumptions!G17</f>
        <v>6000</v>
      </c>
      <c r="D201" s="140">
        <f>C201*(1+Assumptions!$D$11)</f>
        <v>6180</v>
      </c>
      <c r="E201" s="140">
        <f>D201*(1+Assumptions!$D$11)</f>
        <v>6365.4000000000005</v>
      </c>
      <c r="F201" s="140">
        <f>E201*(1+Assumptions!$D$11)</f>
        <v>6556.362000000001</v>
      </c>
      <c r="G201" s="140">
        <f>F201*(1+Assumptions!$D$11)</f>
        <v>6753.0528600000016</v>
      </c>
      <c r="H201" s="140">
        <f>G201*(1+Assumptions!$D$11)</f>
        <v>6955.6444458000014</v>
      </c>
      <c r="I201" s="140">
        <f>H201*(1+Assumptions!$D$11)</f>
        <v>7164.3137791740019</v>
      </c>
      <c r="J201" s="140">
        <f>I201*(1+Assumptions!$D$11)</f>
        <v>7379.2431925492219</v>
      </c>
      <c r="K201" s="140">
        <f>J201*(1+Assumptions!$D$11)</f>
        <v>7600.6204883256987</v>
      </c>
      <c r="L201" s="140">
        <f>K201*(1+Assumptions!$D$11)</f>
        <v>7828.6391029754695</v>
      </c>
    </row>
    <row r="202" spans="1:12">
      <c r="A202" s="504" t="s">
        <v>29</v>
      </c>
      <c r="B202" s="501"/>
      <c r="C202" s="140">
        <f>Assumptions!G18</f>
        <v>31200</v>
      </c>
      <c r="D202" s="140">
        <f>C202*(1+Assumptions!$D$11)*(1+Assumptions!$J$10)</f>
        <v>35670.960000000006</v>
      </c>
      <c r="E202" s="140">
        <f>D202*(1+Assumptions!$D$11)*(1+Assumptions!$J$10)</f>
        <v>40782.608568000011</v>
      </c>
      <c r="F202" s="140">
        <f>E202*(1+Assumptions!$D$11)*(1+Assumptions!$J$10)</f>
        <v>46626.756375794415</v>
      </c>
      <c r="G202" s="140">
        <f>F202*(1+Assumptions!$D$11)*(1+Assumptions!$J$10)</f>
        <v>53308.370564445766</v>
      </c>
      <c r="H202" s="140">
        <f>G202*(1+Assumptions!$D$11)*(1+Assumptions!$J$10)</f>
        <v>60947.460066330852</v>
      </c>
      <c r="I202" s="140">
        <f>H202*(1+Assumptions!$D$11)*(1+Assumptions!$J$10)</f>
        <v>69681.231093836075</v>
      </c>
      <c r="J202" s="140">
        <f>I202*(1+Assumptions!$D$11)*(1+Assumptions!$J$10)</f>
        <v>79666.551509582787</v>
      </c>
      <c r="K202" s="140">
        <f>J202*(1+Assumptions!$D$11)*(1+Assumptions!$J$10)</f>
        <v>91082.768340906012</v>
      </c>
      <c r="L202" s="140">
        <f>K202*(1+Assumptions!$D$11)*(1+Assumptions!$J$10)</f>
        <v>104134.92904415785</v>
      </c>
    </row>
    <row r="203" spans="1:12">
      <c r="A203" s="504" t="s">
        <v>291</v>
      </c>
      <c r="B203" s="501"/>
      <c r="C203" s="140">
        <f>Assumptions!G19</f>
        <v>120000</v>
      </c>
      <c r="D203" s="140">
        <f>C203*(1+Assumptions!$D$11)*(1+Assumptions!$J$11)</f>
        <v>135960</v>
      </c>
      <c r="E203" s="140">
        <f>D203*(1+Assumptions!$D$11)*(1+Assumptions!$J$11)</f>
        <v>154042.68000000002</v>
      </c>
      <c r="F203" s="140">
        <f>E203*(1+Assumptions!$D$11)*(1+Assumptions!$J$11)</f>
        <v>174530.35644000006</v>
      </c>
      <c r="G203" s="140">
        <f>F203*(1+Assumptions!$D$11)*(1+Assumptions!$J$11)</f>
        <v>197742.89384652011</v>
      </c>
      <c r="H203" s="140">
        <f>G203*(1+Assumptions!$D$11)*(1+Assumptions!$J$11)</f>
        <v>224042.69872810729</v>
      </c>
      <c r="I203" s="140">
        <f>H203*(1+Assumptions!$D$11)*(1+Assumptions!$J$11)</f>
        <v>253840.3776589456</v>
      </c>
      <c r="J203" s="140">
        <f>I203*(1+Assumptions!$D$11)*(1+Assumptions!$J$11)</f>
        <v>287601.14788758539</v>
      </c>
      <c r="K203" s="140">
        <f>J203*(1+Assumptions!$D$11)*(1+Assumptions!$J$11)</f>
        <v>325852.10055663431</v>
      </c>
      <c r="L203" s="140">
        <f>K203*(1+Assumptions!$D$11)*(1+Assumptions!$J$11)</f>
        <v>369190.42993066669</v>
      </c>
    </row>
    <row r="204" spans="1:12">
      <c r="A204" s="504" t="s">
        <v>31</v>
      </c>
      <c r="B204" s="501"/>
      <c r="C204" s="140">
        <f>Assumptions!G20</f>
        <v>1200</v>
      </c>
      <c r="D204" s="140">
        <f>C204*(1+Assumptions!$D$11)</f>
        <v>1236</v>
      </c>
      <c r="E204" s="140">
        <f>D204*(1+Assumptions!$D$11)</f>
        <v>1273.08</v>
      </c>
      <c r="F204" s="140">
        <f>E204*(1+Assumptions!$D$11)</f>
        <v>1311.2724000000001</v>
      </c>
      <c r="G204" s="140">
        <f>F204*(1+Assumptions!$D$11)</f>
        <v>1350.610572</v>
      </c>
      <c r="H204" s="140">
        <f>G204*(1+Assumptions!$D$11)</f>
        <v>1391.12888916</v>
      </c>
      <c r="I204" s="140">
        <f>H204*(1+Assumptions!$D$11)</f>
        <v>1432.8627558348001</v>
      </c>
      <c r="J204" s="140">
        <f>I204*(1+Assumptions!$D$11)</f>
        <v>1475.848638509844</v>
      </c>
      <c r="K204" s="140">
        <f>J204*(1+Assumptions!$D$11)</f>
        <v>1520.1240976651393</v>
      </c>
      <c r="L204" s="140">
        <f>K204*(1+Assumptions!$D$11)</f>
        <v>1565.7278205950936</v>
      </c>
    </row>
    <row r="205" spans="1:12">
      <c r="A205" s="504" t="s">
        <v>33</v>
      </c>
      <c r="B205" s="501"/>
      <c r="C205" s="140">
        <f>Assumptions!G21</f>
        <v>1000</v>
      </c>
      <c r="D205" s="140">
        <f>C205*(1+Assumptions!$D$11)</f>
        <v>1030</v>
      </c>
      <c r="E205" s="140">
        <f>D205*(1+Assumptions!$D$11)</f>
        <v>1060.9000000000001</v>
      </c>
      <c r="F205" s="140">
        <f>E205*(1+Assumptions!$D$11)</f>
        <v>1092.7270000000001</v>
      </c>
      <c r="G205" s="140">
        <f>F205*(1+Assumptions!$D$11)</f>
        <v>1125.50881</v>
      </c>
      <c r="H205" s="140">
        <f>G205*(1+Assumptions!$D$11)</f>
        <v>1159.2740743000002</v>
      </c>
      <c r="I205" s="140">
        <f>H205*(1+Assumptions!$D$11)</f>
        <v>1194.0522965290002</v>
      </c>
      <c r="J205" s="140">
        <f>I205*(1+Assumptions!$D$11)</f>
        <v>1229.8738654248702</v>
      </c>
      <c r="K205" s="140">
        <f>J205*(1+Assumptions!$D$11)</f>
        <v>1266.7700813876163</v>
      </c>
      <c r="L205" s="140">
        <f>K205*(1+Assumptions!$D$11)</f>
        <v>1304.7731838292448</v>
      </c>
    </row>
    <row r="206" spans="1:12">
      <c r="A206" s="504" t="s">
        <v>35</v>
      </c>
      <c r="B206" s="501"/>
      <c r="C206" s="140">
        <f>Assumptions!G22</f>
        <v>5000</v>
      </c>
      <c r="D206" s="140">
        <f>C206*(1+Assumptions!$D$11)</f>
        <v>5150</v>
      </c>
      <c r="E206" s="140">
        <f>D206*(1+Assumptions!$D$11)</f>
        <v>5304.5</v>
      </c>
      <c r="F206" s="140">
        <f>E206*(1+Assumptions!$D$11)</f>
        <v>5463.6350000000002</v>
      </c>
      <c r="G206" s="140">
        <f>F206*(1+Assumptions!$D$11)</f>
        <v>5627.5440500000004</v>
      </c>
      <c r="H206" s="140">
        <f>G206*(1+Assumptions!$D$11)</f>
        <v>5796.3703715000001</v>
      </c>
      <c r="I206" s="140">
        <f>H206*(1+Assumptions!$D$11)</f>
        <v>5970.2614826449999</v>
      </c>
      <c r="J206" s="140">
        <f>I206*(1+Assumptions!$D$11)</f>
        <v>6149.3693271243501</v>
      </c>
      <c r="K206" s="140">
        <f>J206*(1+Assumptions!$D$11)</f>
        <v>6333.8504069380806</v>
      </c>
      <c r="L206" s="140">
        <f>K206*(1+Assumptions!$D$11)</f>
        <v>6523.865919146223</v>
      </c>
    </row>
    <row r="207" spans="1:12">
      <c r="A207" s="504"/>
      <c r="B207" s="501"/>
      <c r="C207" s="53"/>
      <c r="D207" s="53"/>
      <c r="E207" s="53"/>
      <c r="F207" s="53"/>
      <c r="G207" s="53"/>
      <c r="H207" s="53"/>
      <c r="I207" s="53"/>
      <c r="J207" s="53"/>
      <c r="K207" s="53"/>
      <c r="L207" s="53"/>
    </row>
    <row r="208" spans="1:12" ht="15.5">
      <c r="A208" s="506" t="s">
        <v>159</v>
      </c>
      <c r="B208" s="501"/>
      <c r="C208" s="140">
        <f t="shared" ref="C208:L208" si="131">SUM(C193:C206)</f>
        <v>263600</v>
      </c>
      <c r="D208" s="140">
        <f t="shared" si="131"/>
        <v>287402.96000000002</v>
      </c>
      <c r="E208" s="140">
        <f t="shared" si="131"/>
        <v>314070.44856800005</v>
      </c>
      <c r="F208" s="140">
        <f t="shared" si="131"/>
        <v>343979.62761579448</v>
      </c>
      <c r="G208" s="140">
        <f t="shared" si="131"/>
        <v>377558.4546549659</v>
      </c>
      <c r="H208" s="140">
        <f t="shared" si="131"/>
        <v>415292.56474575819</v>
      </c>
      <c r="I208" s="140">
        <f t="shared" si="131"/>
        <v>457733.08688264131</v>
      </c>
      <c r="J208" s="140">
        <f t="shared" si="131"/>
        <v>505505.52187092358</v>
      </c>
      <c r="K208" s="140">
        <f t="shared" si="131"/>
        <v>559319.8260455085</v>
      </c>
      <c r="L208" s="140">
        <f t="shared" si="131"/>
        <v>619981.8648372317</v>
      </c>
    </row>
    <row r="209" spans="1:12" ht="15.5">
      <c r="A209" s="506"/>
      <c r="B209" s="501"/>
      <c r="C209" s="53"/>
      <c r="D209" s="53"/>
      <c r="E209" s="53"/>
      <c r="F209" s="53"/>
      <c r="G209" s="53"/>
      <c r="H209" s="53"/>
      <c r="I209" s="53"/>
      <c r="J209" s="53"/>
      <c r="K209" s="53"/>
      <c r="L209" s="53"/>
    </row>
    <row r="210" spans="1:12" ht="15.5">
      <c r="A210" s="506" t="s">
        <v>36</v>
      </c>
      <c r="B210" s="501"/>
      <c r="C210" s="53"/>
      <c r="D210" s="53"/>
      <c r="E210" s="53"/>
      <c r="F210" s="53"/>
      <c r="G210" s="53"/>
      <c r="H210" s="53"/>
      <c r="I210" s="53"/>
      <c r="J210" s="53"/>
      <c r="K210" s="53"/>
      <c r="L210" s="53"/>
    </row>
    <row r="211" spans="1:12">
      <c r="A211" s="504" t="s">
        <v>38</v>
      </c>
      <c r="B211" s="501"/>
      <c r="C211" s="140">
        <f>Assumptions!G25</f>
        <v>5000</v>
      </c>
      <c r="D211" s="140">
        <f>C211*(1+Assumptions!$D$11)</f>
        <v>5150</v>
      </c>
      <c r="E211" s="140">
        <f>D211*(1+Assumptions!$D$11)</f>
        <v>5304.5</v>
      </c>
      <c r="F211" s="140">
        <f>E211*(1+Assumptions!$D$11)</f>
        <v>5463.6350000000002</v>
      </c>
      <c r="G211" s="140">
        <f>F211*(1+Assumptions!$D$11)</f>
        <v>5627.5440500000004</v>
      </c>
      <c r="H211" s="140">
        <f>G211*(1+Assumptions!$D$11)</f>
        <v>5796.3703715000001</v>
      </c>
      <c r="I211" s="140">
        <f>H211*(1+Assumptions!$D$11)</f>
        <v>5970.2614826449999</v>
      </c>
      <c r="J211" s="140">
        <f>I211*(1+Assumptions!$D$11)</f>
        <v>6149.3693271243501</v>
      </c>
      <c r="K211" s="140">
        <f>J211*(1+Assumptions!$D$11)</f>
        <v>6333.8504069380806</v>
      </c>
      <c r="L211" s="140">
        <f>K211*(1+Assumptions!$D$11)</f>
        <v>6523.865919146223</v>
      </c>
    </row>
    <row r="212" spans="1:12">
      <c r="A212" s="504" t="s">
        <v>39</v>
      </c>
      <c r="B212" s="501"/>
      <c r="C212" s="140">
        <f>Assumptions!G26</f>
        <v>500</v>
      </c>
      <c r="D212" s="140">
        <f t="shared" ref="D212" si="132">C212</f>
        <v>500</v>
      </c>
      <c r="E212" s="140">
        <f t="shared" ref="E212" si="133">D212</f>
        <v>500</v>
      </c>
      <c r="F212" s="140">
        <f t="shared" ref="F212" si="134">E212</f>
        <v>500</v>
      </c>
      <c r="G212" s="140">
        <f t="shared" ref="G212" si="135">F212</f>
        <v>500</v>
      </c>
      <c r="H212" s="140">
        <f t="shared" ref="H212" si="136">G212</f>
        <v>500</v>
      </c>
      <c r="I212" s="140">
        <f t="shared" ref="I212" si="137">H212</f>
        <v>500</v>
      </c>
      <c r="J212" s="140">
        <f t="shared" ref="J212" si="138">I212</f>
        <v>500</v>
      </c>
      <c r="K212" s="140">
        <f t="shared" ref="K212" si="139">J212</f>
        <v>500</v>
      </c>
      <c r="L212" s="140">
        <f t="shared" ref="L212" si="140">K212</f>
        <v>500</v>
      </c>
    </row>
    <row r="213" spans="1:12">
      <c r="A213" s="504"/>
      <c r="B213" s="501"/>
      <c r="C213" s="53"/>
      <c r="D213" s="53"/>
      <c r="E213" s="53"/>
      <c r="F213" s="53"/>
      <c r="G213" s="53"/>
      <c r="H213" s="53"/>
      <c r="I213" s="53"/>
      <c r="J213" s="53"/>
      <c r="K213" s="53"/>
      <c r="L213" s="53"/>
    </row>
    <row r="214" spans="1:12" ht="15.5">
      <c r="A214" s="506" t="s">
        <v>160</v>
      </c>
      <c r="B214" s="501"/>
      <c r="C214" s="140">
        <f t="shared" ref="C214:L214" si="141">SUM(C211:C212)</f>
        <v>5500</v>
      </c>
      <c r="D214" s="140">
        <f t="shared" si="141"/>
        <v>5650</v>
      </c>
      <c r="E214" s="140">
        <f t="shared" si="141"/>
        <v>5804.5</v>
      </c>
      <c r="F214" s="140">
        <f t="shared" si="141"/>
        <v>5963.6350000000002</v>
      </c>
      <c r="G214" s="140">
        <f t="shared" si="141"/>
        <v>6127.5440500000004</v>
      </c>
      <c r="H214" s="140">
        <f t="shared" si="141"/>
        <v>6296.3703715000001</v>
      </c>
      <c r="I214" s="140">
        <f t="shared" si="141"/>
        <v>6470.2614826449999</v>
      </c>
      <c r="J214" s="140">
        <f t="shared" si="141"/>
        <v>6649.3693271243501</v>
      </c>
      <c r="K214" s="140">
        <f t="shared" si="141"/>
        <v>6833.8504069380806</v>
      </c>
      <c r="L214" s="140">
        <f t="shared" si="141"/>
        <v>7023.865919146223</v>
      </c>
    </row>
    <row r="215" spans="1:12">
      <c r="A215" s="504"/>
      <c r="B215" s="501"/>
      <c r="C215" s="53"/>
      <c r="D215" s="53"/>
      <c r="E215" s="53"/>
      <c r="F215" s="53"/>
      <c r="G215" s="53"/>
      <c r="H215" s="53"/>
      <c r="I215" s="53"/>
      <c r="J215" s="53"/>
      <c r="K215" s="53"/>
      <c r="L215" s="53"/>
    </row>
    <row r="216" spans="1:12" ht="15.5">
      <c r="A216" s="506" t="s">
        <v>112</v>
      </c>
      <c r="B216" s="501"/>
      <c r="C216" s="140">
        <f t="shared" ref="C216:L216" si="142">C189+C208+C214</f>
        <v>304100</v>
      </c>
      <c r="D216" s="140">
        <f t="shared" si="142"/>
        <v>293052.96000000002</v>
      </c>
      <c r="E216" s="140">
        <f t="shared" si="142"/>
        <v>319874.94856800005</v>
      </c>
      <c r="F216" s="140">
        <f t="shared" si="142"/>
        <v>349943.26261579449</v>
      </c>
      <c r="G216" s="140">
        <f t="shared" si="142"/>
        <v>383685.99870496592</v>
      </c>
      <c r="H216" s="140">
        <f t="shared" si="142"/>
        <v>421588.93511725817</v>
      </c>
      <c r="I216" s="140">
        <f t="shared" si="142"/>
        <v>464203.34836528631</v>
      </c>
      <c r="J216" s="140">
        <f t="shared" si="142"/>
        <v>512154.8911980479</v>
      </c>
      <c r="K216" s="140">
        <f t="shared" si="142"/>
        <v>566153.67645244661</v>
      </c>
      <c r="L216" s="140">
        <f t="shared" si="142"/>
        <v>627005.73075637792</v>
      </c>
    </row>
    <row r="217" spans="1:12">
      <c r="A217" s="504"/>
      <c r="B217" s="501"/>
      <c r="C217" s="53"/>
      <c r="D217" s="53"/>
      <c r="E217" s="53"/>
      <c r="F217" s="53"/>
      <c r="G217" s="53"/>
      <c r="H217" s="53"/>
      <c r="I217" s="53"/>
      <c r="J217" s="53"/>
      <c r="K217" s="53"/>
      <c r="L217" s="53"/>
    </row>
    <row r="218" spans="1:12" ht="15.5">
      <c r="A218" s="506" t="s">
        <v>424</v>
      </c>
      <c r="B218" s="501"/>
      <c r="C218" s="500">
        <f>C175-C216</f>
        <v>2900400</v>
      </c>
      <c r="D218" s="500">
        <f t="shared" ref="D218:L218" si="143">D175-D216</f>
        <v>4260485.3400000008</v>
      </c>
      <c r="E218" s="500">
        <f t="shared" ca="1" si="143"/>
        <v>6458084.8696964635</v>
      </c>
      <c r="F218" s="500">
        <f t="shared" ca="1" si="143"/>
        <v>6912551.8404311817</v>
      </c>
      <c r="G218" s="500">
        <f t="shared" ca="1" si="143"/>
        <v>7424204.87667285</v>
      </c>
      <c r="H218" s="500">
        <f t="shared" ca="1" si="143"/>
        <v>7999633.1923767123</v>
      </c>
      <c r="I218" s="500">
        <f t="shared" ca="1" si="143"/>
        <v>8647418.4838560689</v>
      </c>
      <c r="J218" s="500">
        <f t="shared" ca="1" si="143"/>
        <v>9382110.0451276395</v>
      </c>
      <c r="K218" s="500">
        <f t="shared" ca="1" si="143"/>
        <v>10211108.250093713</v>
      </c>
      <c r="L218" s="500">
        <f t="shared" ca="1" si="143"/>
        <v>11149525.928982522</v>
      </c>
    </row>
    <row r="219" spans="1:12">
      <c r="A219" s="504"/>
      <c r="B219" s="501"/>
      <c r="C219" s="53"/>
      <c r="D219" s="53"/>
      <c r="E219" s="53"/>
      <c r="F219" s="53"/>
      <c r="G219" s="53"/>
      <c r="H219" s="53"/>
      <c r="I219" s="53"/>
      <c r="J219" s="53"/>
      <c r="K219" s="53"/>
      <c r="L219" s="53"/>
    </row>
    <row r="220" spans="1:12">
      <c r="A220" s="504" t="s">
        <v>162</v>
      </c>
      <c r="B220" s="501"/>
      <c r="C220" s="53">
        <f>'Depreciation Schedule'!G10</f>
        <v>20611.111111111113</v>
      </c>
      <c r="D220" s="53">
        <f>'Depreciation Schedule'!H10</f>
        <v>20611.111111111113</v>
      </c>
      <c r="E220" s="53">
        <f>'Depreciation Schedule'!I10</f>
        <v>20611.111111111113</v>
      </c>
      <c r="F220" s="53">
        <f>'Depreciation Schedule'!J10</f>
        <v>20611.111111111113</v>
      </c>
      <c r="G220" s="53">
        <f>'Depreciation Schedule'!K10</f>
        <v>20611.111111111113</v>
      </c>
      <c r="H220" s="53">
        <f>'Depreciation Schedule'!L10</f>
        <v>20611.111111111113</v>
      </c>
      <c r="I220" s="53">
        <f>'Depreciation Schedule'!M10</f>
        <v>20611.111111111113</v>
      </c>
      <c r="J220" s="53">
        <f>'Depreciation Schedule'!N10</f>
        <v>20611.111111111113</v>
      </c>
      <c r="K220" s="53">
        <f>'Depreciation Schedule'!O10</f>
        <v>20611.111111111113</v>
      </c>
      <c r="L220" s="53">
        <f>'Depreciation Schedule'!P10</f>
        <v>20611.111111111113</v>
      </c>
    </row>
    <row r="221" spans="1:12">
      <c r="A221" s="504" t="s">
        <v>163</v>
      </c>
      <c r="B221" s="501"/>
      <c r="C221" s="53">
        <v>0</v>
      </c>
      <c r="D221" s="53">
        <v>0</v>
      </c>
      <c r="E221" s="53">
        <v>0</v>
      </c>
      <c r="F221" s="53">
        <v>0</v>
      </c>
      <c r="G221" s="53">
        <v>0</v>
      </c>
      <c r="H221" s="53">
        <v>0</v>
      </c>
      <c r="I221" s="53">
        <v>0</v>
      </c>
      <c r="J221" s="53">
        <v>0</v>
      </c>
      <c r="K221" s="53">
        <v>0</v>
      </c>
      <c r="L221" s="53">
        <v>0</v>
      </c>
    </row>
    <row r="222" spans="1:12">
      <c r="A222" s="504"/>
      <c r="B222" s="501"/>
      <c r="C222" s="53"/>
      <c r="D222" s="53"/>
      <c r="E222" s="53"/>
      <c r="F222" s="53"/>
      <c r="G222" s="53"/>
      <c r="H222" s="53"/>
      <c r="I222" s="53"/>
      <c r="J222" s="53"/>
      <c r="K222" s="53"/>
      <c r="L222" s="53"/>
    </row>
    <row r="223" spans="1:12" ht="15.5">
      <c r="A223" s="506" t="s">
        <v>425</v>
      </c>
      <c r="B223" s="501"/>
      <c r="C223" s="500">
        <f>C218-C220-C221</f>
        <v>2879788.888888889</v>
      </c>
      <c r="D223" s="500">
        <f t="shared" ref="D223:L223" si="144">D218-D220-D221</f>
        <v>4239874.2288888898</v>
      </c>
      <c r="E223" s="500">
        <f t="shared" ca="1" si="144"/>
        <v>6437473.7585853525</v>
      </c>
      <c r="F223" s="500">
        <f t="shared" ca="1" si="144"/>
        <v>6891940.7293200707</v>
      </c>
      <c r="G223" s="500">
        <f t="shared" ca="1" si="144"/>
        <v>7403593.765561739</v>
      </c>
      <c r="H223" s="500">
        <f t="shared" ca="1" si="144"/>
        <v>7979022.0812656013</v>
      </c>
      <c r="I223" s="500">
        <f t="shared" ca="1" si="144"/>
        <v>8626807.372744957</v>
      </c>
      <c r="J223" s="500">
        <f t="shared" ca="1" si="144"/>
        <v>9361498.9340165276</v>
      </c>
      <c r="K223" s="500">
        <f t="shared" ca="1" si="144"/>
        <v>10190497.138982601</v>
      </c>
      <c r="L223" s="500">
        <f t="shared" ca="1" si="144"/>
        <v>11128914.81787141</v>
      </c>
    </row>
    <row r="224" spans="1:12">
      <c r="A224" s="504"/>
      <c r="B224" s="501"/>
      <c r="C224" s="53"/>
      <c r="D224" s="53"/>
      <c r="E224" s="53"/>
      <c r="F224" s="53"/>
      <c r="G224" s="53"/>
      <c r="H224" s="53"/>
      <c r="I224" s="53"/>
      <c r="J224" s="53"/>
      <c r="K224" s="53"/>
      <c r="L224" s="53"/>
    </row>
    <row r="225" spans="1:12">
      <c r="A225" s="504" t="s">
        <v>165</v>
      </c>
      <c r="B225" s="501"/>
      <c r="C225" s="140">
        <f>'Loan Repayment Schedule'!H24</f>
        <v>78887.593138586235</v>
      </c>
      <c r="D225" s="140">
        <f>'Loan Repayment Schedule'!I24</f>
        <v>74852.949804201286</v>
      </c>
      <c r="E225" s="140">
        <f>'Loan Repayment Schedule'!J24</f>
        <v>70169.719326413004</v>
      </c>
      <c r="F225" s="140">
        <f>'Loan Repayment Schedule'!K24</f>
        <v>64733.63839178221</v>
      </c>
      <c r="G225" s="140">
        <f>'Loan Repayment Schedule'!L24</f>
        <v>58423.682888201663</v>
      </c>
      <c r="H225" s="140">
        <f>'Loan Repayment Schedule'!M24</f>
        <v>51099.373530789453</v>
      </c>
      <c r="I225" s="140">
        <f>'Loan Repayment Schedule'!N24</f>
        <v>42597.648354972385</v>
      </c>
      <c r="J225" s="140">
        <f>'Loan Repayment Schedule'!O24</f>
        <v>32729.232448703373</v>
      </c>
      <c r="K225" s="140">
        <f>'Loan Repayment Schedule'!P24</f>
        <v>21274.424102732115</v>
      </c>
      <c r="L225" s="140">
        <f>'Loan Repayment Schedule'!Q24</f>
        <v>7978.2035654948695</v>
      </c>
    </row>
    <row r="226" spans="1:12">
      <c r="A226" s="504"/>
      <c r="B226" s="501"/>
      <c r="C226" s="53"/>
      <c r="D226" s="53"/>
      <c r="E226" s="53"/>
      <c r="F226" s="53"/>
      <c r="G226" s="53"/>
      <c r="H226" s="53"/>
      <c r="I226" s="53"/>
      <c r="J226" s="53"/>
      <c r="K226" s="53"/>
      <c r="L226" s="53"/>
    </row>
    <row r="227" spans="1:12" ht="15.5">
      <c r="A227" s="506" t="s">
        <v>426</v>
      </c>
      <c r="B227" s="501"/>
      <c r="C227" s="500">
        <f>C223-C225</f>
        <v>2800901.2957503027</v>
      </c>
      <c r="D227" s="500">
        <f t="shared" ref="D227:L227" si="145">D223-D225</f>
        <v>4165021.2790846885</v>
      </c>
      <c r="E227" s="500">
        <f t="shared" ca="1" si="145"/>
        <v>6367304.0392589392</v>
      </c>
      <c r="F227" s="500">
        <f t="shared" ca="1" si="145"/>
        <v>6827207.0909282882</v>
      </c>
      <c r="G227" s="500">
        <f t="shared" ca="1" si="145"/>
        <v>7345170.0826735375</v>
      </c>
      <c r="H227" s="500">
        <f t="shared" ca="1" si="145"/>
        <v>7927922.7077348121</v>
      </c>
      <c r="I227" s="500">
        <f t="shared" ca="1" si="145"/>
        <v>8584209.7243899852</v>
      </c>
      <c r="J227" s="500">
        <f t="shared" ca="1" si="145"/>
        <v>9328769.7015678249</v>
      </c>
      <c r="K227" s="500">
        <f t="shared" ca="1" si="145"/>
        <v>10169222.714879869</v>
      </c>
      <c r="L227" s="500">
        <f t="shared" ca="1" si="145"/>
        <v>11120936.614305915</v>
      </c>
    </row>
    <row r="228" spans="1:12">
      <c r="A228" s="504"/>
      <c r="B228" s="501"/>
      <c r="C228" s="53"/>
      <c r="D228" s="53"/>
      <c r="E228" s="53"/>
      <c r="F228" s="53"/>
      <c r="G228" s="53"/>
      <c r="H228" s="53"/>
      <c r="I228" s="53"/>
      <c r="J228" s="53"/>
      <c r="K228" s="53"/>
      <c r="L228" s="53"/>
    </row>
    <row r="229" spans="1:12">
      <c r="A229" s="504" t="s">
        <v>167</v>
      </c>
      <c r="B229" s="501"/>
      <c r="C229" s="140">
        <f>C227*Assumptions!$D$12</f>
        <v>980315.45351260586</v>
      </c>
      <c r="D229" s="140">
        <f>D227*Assumptions!$D$12</f>
        <v>1457757.447679641</v>
      </c>
      <c r="E229" s="140">
        <f ca="1">E227*Assumptions!$D$12</f>
        <v>2228556.4137406284</v>
      </c>
      <c r="F229" s="140">
        <f ca="1">F227*Assumptions!$D$12</f>
        <v>2389522.4818249005</v>
      </c>
      <c r="G229" s="140">
        <f ca="1">G227*Assumptions!$D$12</f>
        <v>2570809.5289357379</v>
      </c>
      <c r="H229" s="140">
        <f ca="1">H227*Assumptions!$D$12</f>
        <v>2774772.9477071841</v>
      </c>
      <c r="I229" s="140">
        <f ca="1">I227*Assumptions!$D$12</f>
        <v>3004473.4035364948</v>
      </c>
      <c r="J229" s="140">
        <f ca="1">J227*Assumptions!$D$12</f>
        <v>3265069.3955487385</v>
      </c>
      <c r="K229" s="140">
        <f ca="1">K227*Assumptions!$D$12</f>
        <v>3559227.9502079538</v>
      </c>
      <c r="L229" s="140">
        <f ca="1">L227*Assumptions!$D$12</f>
        <v>3892327.8150070701</v>
      </c>
    </row>
    <row r="230" spans="1:12">
      <c r="A230" s="504"/>
      <c r="B230" s="501"/>
      <c r="C230" s="53"/>
      <c r="D230" s="53"/>
      <c r="E230" s="53"/>
      <c r="F230" s="53"/>
      <c r="G230" s="53"/>
      <c r="H230" s="53"/>
      <c r="I230" s="53"/>
      <c r="J230" s="53"/>
      <c r="K230" s="53"/>
      <c r="L230" s="53"/>
    </row>
    <row r="231" spans="1:12" ht="15.5">
      <c r="A231" s="506" t="s">
        <v>97</v>
      </c>
      <c r="B231" s="501"/>
      <c r="C231" s="500">
        <f>C227-C229</f>
        <v>1820585.842237697</v>
      </c>
      <c r="D231" s="500">
        <f t="shared" ref="D231:L231" si="146">D227-D229</f>
        <v>2707263.8314050473</v>
      </c>
      <c r="E231" s="500">
        <f t="shared" ca="1" si="146"/>
        <v>4138747.6255183108</v>
      </c>
      <c r="F231" s="500">
        <f t="shared" ca="1" si="146"/>
        <v>4437684.6091033872</v>
      </c>
      <c r="G231" s="500">
        <f t="shared" ca="1" si="146"/>
        <v>4774360.5537377996</v>
      </c>
      <c r="H231" s="500">
        <f t="shared" ca="1" si="146"/>
        <v>5153149.7600276284</v>
      </c>
      <c r="I231" s="500">
        <f t="shared" ca="1" si="146"/>
        <v>5579736.3208534904</v>
      </c>
      <c r="J231" s="500">
        <f t="shared" ca="1" si="146"/>
        <v>6063700.3060190864</v>
      </c>
      <c r="K231" s="500">
        <f t="shared" ca="1" si="146"/>
        <v>6609994.7646719143</v>
      </c>
      <c r="L231" s="500">
        <f t="shared" ca="1" si="146"/>
        <v>7228608.7992988452</v>
      </c>
    </row>
    <row r="232" spans="1:12">
      <c r="A232" s="504"/>
      <c r="B232" s="501"/>
      <c r="C232" s="53"/>
      <c r="D232" s="53"/>
      <c r="E232" s="53"/>
      <c r="F232" s="53"/>
      <c r="G232" s="53"/>
      <c r="H232" s="53"/>
      <c r="I232" s="53"/>
      <c r="J232" s="53"/>
      <c r="K232" s="53"/>
      <c r="L232" s="53"/>
    </row>
    <row r="233" spans="1:12" ht="16" thickBot="1">
      <c r="A233" s="510" t="s">
        <v>168</v>
      </c>
      <c r="B233" s="502"/>
      <c r="C233" s="503">
        <f>C231</f>
        <v>1820585.842237697</v>
      </c>
      <c r="D233" s="503">
        <f>C233+D231</f>
        <v>4527849.6736427443</v>
      </c>
      <c r="E233" s="503">
        <f t="shared" ref="E233" ca="1" si="147">D233+E231</f>
        <v>8666597.2991610542</v>
      </c>
      <c r="F233" s="503">
        <f t="shared" ref="F233" ca="1" si="148">E233+F231</f>
        <v>13104281.908264441</v>
      </c>
      <c r="G233" s="503">
        <f t="shared" ref="G233" ca="1" si="149">F233+G231</f>
        <v>17878642.46200224</v>
      </c>
      <c r="H233" s="503">
        <f t="shared" ref="H233" ca="1" si="150">G233+H231</f>
        <v>23031792.222029869</v>
      </c>
      <c r="I233" s="503">
        <f t="shared" ref="I233" ca="1" si="151">H233+I231</f>
        <v>28611528.542883359</v>
      </c>
      <c r="J233" s="503">
        <f t="shared" ref="J233" ca="1" si="152">I233+J231</f>
        <v>34675228.848902449</v>
      </c>
      <c r="K233" s="503">
        <f t="shared" ref="K233" ca="1" si="153">J233+K231</f>
        <v>41285223.613574363</v>
      </c>
      <c r="L233" s="503">
        <f t="shared" ref="L233" ca="1" si="154">K233+L231</f>
        <v>48513832.412873209</v>
      </c>
    </row>
    <row r="234" spans="1:12" ht="15" thickTop="1">
      <c r="B234" s="519"/>
      <c r="C234" s="520"/>
      <c r="D234" s="520"/>
      <c r="E234" s="520"/>
      <c r="F234" s="520"/>
      <c r="G234" s="520"/>
      <c r="H234" s="520"/>
      <c r="I234" s="520"/>
      <c r="J234" s="520"/>
      <c r="K234" s="520"/>
      <c r="L234" s="520"/>
    </row>
    <row r="235" spans="1:12" ht="15.5">
      <c r="A235" s="511" t="s">
        <v>403</v>
      </c>
      <c r="B235" s="501"/>
      <c r="C235" s="140"/>
      <c r="D235" s="140"/>
      <c r="E235" s="140"/>
      <c r="F235" s="140"/>
      <c r="G235" s="140"/>
      <c r="H235" s="140"/>
      <c r="I235" s="140"/>
      <c r="J235" s="140"/>
      <c r="K235" s="140"/>
      <c r="L235" s="141"/>
    </row>
    <row r="236" spans="1:12" ht="15.5">
      <c r="A236" s="512" t="s">
        <v>406</v>
      </c>
      <c r="B236" s="501"/>
      <c r="C236" s="53"/>
      <c r="D236" s="53"/>
      <c r="E236" s="53"/>
      <c r="F236" s="53"/>
      <c r="G236" s="53"/>
      <c r="H236" s="53"/>
      <c r="I236" s="53"/>
      <c r="J236" s="53"/>
      <c r="K236" s="53"/>
      <c r="L236" s="53"/>
    </row>
    <row r="237" spans="1:12">
      <c r="A237" s="513" t="s">
        <v>311</v>
      </c>
      <c r="B237" s="501"/>
      <c r="C237" s="138">
        <f>Revenue!Q68</f>
        <v>1540</v>
      </c>
      <c r="D237" s="138">
        <f>Revenue!R68</f>
        <v>1617</v>
      </c>
      <c r="E237" s="138">
        <f ca="1">Revenue!S68</f>
        <v>1704.2624520226937</v>
      </c>
      <c r="F237" s="138">
        <f ca="1">Revenue!T68</f>
        <v>1802.4513008677027</v>
      </c>
      <c r="G237" s="138">
        <f ca="1">Revenue!U68</f>
        <v>1912.8388806260805</v>
      </c>
      <c r="H237" s="138">
        <f ca="1">Revenue!V68</f>
        <v>2035.3735074383985</v>
      </c>
      <c r="I237" s="138">
        <f ca="1">Revenue!W68</f>
        <v>2173.8582545443733</v>
      </c>
      <c r="J237" s="138">
        <f ca="1">Revenue!X68</f>
        <v>2327.0874438049341</v>
      </c>
      <c r="K237" s="138">
        <f ca="1">Revenue!Y68</f>
        <v>2498.5670405486603</v>
      </c>
      <c r="L237" s="138">
        <f ca="1">Revenue!Z68</f>
        <v>2689.1251590745592</v>
      </c>
    </row>
    <row r="238" spans="1:12">
      <c r="A238" s="513" t="s">
        <v>60</v>
      </c>
      <c r="B238" s="501"/>
      <c r="C238" s="500">
        <f>Revenue!C68</f>
        <v>1000</v>
      </c>
      <c r="D238" s="500">
        <f>Revenue!D68</f>
        <v>1031.5</v>
      </c>
      <c r="E238" s="500">
        <f>Revenue!E68</f>
        <v>1063.99225</v>
      </c>
      <c r="F238" s="500">
        <f>Revenue!F68</f>
        <v>1097.5080058750002</v>
      </c>
      <c r="G238" s="500">
        <f>Revenue!G68</f>
        <v>1132.0795080600628</v>
      </c>
      <c r="H238" s="500">
        <f>Revenue!H68</f>
        <v>1167.7400125639549</v>
      </c>
      <c r="I238" s="500">
        <f>Revenue!I68</f>
        <v>1204.5238229597196</v>
      </c>
      <c r="J238" s="500">
        <f>Revenue!J68</f>
        <v>1242.4663233829508</v>
      </c>
      <c r="K238" s="500">
        <f>Revenue!K68</f>
        <v>1281.6040125695138</v>
      </c>
      <c r="L238" s="500">
        <f>Revenue!L68</f>
        <v>1321.9745389654536</v>
      </c>
    </row>
    <row r="239" spans="1:12">
      <c r="A239" s="513" t="s">
        <v>417</v>
      </c>
      <c r="B239" s="501"/>
      <c r="C239" s="500">
        <f>C237*C238</f>
        <v>1540000</v>
      </c>
      <c r="D239" s="500">
        <f t="shared" ref="D239" si="155">D237*D238</f>
        <v>1667935.5</v>
      </c>
      <c r="E239" s="500">
        <f t="shared" ref="E239" ca="1" si="156">E237*E238</f>
        <v>1813322.040918143</v>
      </c>
      <c r="F239" s="500">
        <f t="shared" ref="F239" ca="1" si="157">F237*F238</f>
        <v>1978204.7329021124</v>
      </c>
      <c r="G239" s="500">
        <f t="shared" ref="G239" ca="1" si="158">G237*G238</f>
        <v>2165485.6989773344</v>
      </c>
      <c r="H239" s="500">
        <f t="shared" ref="H239" ca="1" si="159">H237*H238</f>
        <v>2376787.0851484565</v>
      </c>
      <c r="I239" s="500">
        <f t="shared" ref="I239" ca="1" si="160">I237*I238</f>
        <v>2618464.0553363319</v>
      </c>
      <c r="J239" s="500">
        <f t="shared" ref="J239" ca="1" si="161">J237*J238</f>
        <v>2891327.7804949456</v>
      </c>
      <c r="K239" s="500">
        <f t="shared" ref="K239" ca="1" si="162">K237*K238</f>
        <v>3202173.5448410981</v>
      </c>
      <c r="L239" s="500">
        <f t="shared" ref="L239" ca="1" si="163">L237*L238</f>
        <v>3554954.9923879923</v>
      </c>
    </row>
    <row r="240" spans="1:12" ht="15.5">
      <c r="A240" s="514" t="s">
        <v>407</v>
      </c>
      <c r="B240" s="501"/>
      <c r="C240" s="53"/>
      <c r="D240" s="53"/>
      <c r="E240" s="53"/>
      <c r="F240" s="53"/>
      <c r="G240" s="53"/>
      <c r="H240" s="53"/>
      <c r="I240" s="53"/>
      <c r="J240" s="53"/>
      <c r="K240" s="53"/>
      <c r="L240" s="53"/>
    </row>
    <row r="241" spans="1:12">
      <c r="A241" s="515" t="s">
        <v>409</v>
      </c>
      <c r="B241" s="501"/>
      <c r="C241" s="138">
        <f>Revenue!Q69</f>
        <v>1000</v>
      </c>
      <c r="D241" s="138">
        <f>Revenue!R69</f>
        <v>1090</v>
      </c>
      <c r="E241" s="138">
        <f ca="1">Revenue!S69</f>
        <v>1191.1959356331408</v>
      </c>
      <c r="F241" s="138">
        <f ca="1">Revenue!T69</f>
        <v>1305.9317177424141</v>
      </c>
      <c r="G241" s="138">
        <f ca="1">Revenue!U69</f>
        <v>1436.5096623890311</v>
      </c>
      <c r="H241" s="138">
        <f ca="1">Revenue!V69</f>
        <v>1584.8665650360906</v>
      </c>
      <c r="I241" s="138">
        <f ca="1">Revenue!W69</f>
        <v>1753.8254687767621</v>
      </c>
      <c r="J241" s="138">
        <f ca="1">Revenue!X69</f>
        <v>1946.4182294275647</v>
      </c>
      <c r="K241" s="138">
        <f ca="1">Revenue!Y69</f>
        <v>2166.5191574342721</v>
      </c>
      <c r="L241" s="138">
        <f ca="1">Revenue!Z69</f>
        <v>2420.0830344564929</v>
      </c>
    </row>
    <row r="242" spans="1:12">
      <c r="A242" s="516" t="s">
        <v>410</v>
      </c>
      <c r="B242" s="501"/>
      <c r="C242" s="500">
        <f>Revenue!C69</f>
        <v>850</v>
      </c>
      <c r="D242" s="500">
        <f>Revenue!D69</f>
        <v>876.77500000000009</v>
      </c>
      <c r="E242" s="500">
        <f>Revenue!E69</f>
        <v>904.39341250000018</v>
      </c>
      <c r="F242" s="500">
        <f>Revenue!F69</f>
        <v>932.88180499375028</v>
      </c>
      <c r="G242" s="500">
        <f>Revenue!G69</f>
        <v>962.26758185105348</v>
      </c>
      <c r="H242" s="500">
        <f>Revenue!H69</f>
        <v>992.57901067936177</v>
      </c>
      <c r="I242" s="500">
        <f>Revenue!I69</f>
        <v>1023.8452495157618</v>
      </c>
      <c r="J242" s="500">
        <f>Revenue!J69</f>
        <v>1056.0963748755084</v>
      </c>
      <c r="K242" s="500">
        <f>Revenue!K69</f>
        <v>1089.3634106840871</v>
      </c>
      <c r="L242" s="500">
        <f>Revenue!L69</f>
        <v>1123.6783581206359</v>
      </c>
    </row>
    <row r="243" spans="1:12">
      <c r="A243" s="517" t="s">
        <v>418</v>
      </c>
      <c r="B243" s="501"/>
      <c r="C243" s="500">
        <f>C241*C242</f>
        <v>850000</v>
      </c>
      <c r="D243" s="500">
        <f t="shared" ref="D243" si="164">D241*D242</f>
        <v>955684.75000000012</v>
      </c>
      <c r="E243" s="500">
        <f t="shared" ref="E243" ca="1" si="165">E241*E242</f>
        <v>1077309.7571833867</v>
      </c>
      <c r="F243" s="500">
        <f t="shared" ref="F243" ca="1" si="166">F241*F242</f>
        <v>1218279.938046132</v>
      </c>
      <c r="G243" s="500">
        <f t="shared" ref="G243" ca="1" si="167">G241*G242</f>
        <v>1382306.6791327661</v>
      </c>
      <c r="H243" s="500">
        <f t="shared" ref="H243" ca="1" si="168">H241*H242</f>
        <v>1573105.2871823211</v>
      </c>
      <c r="I243" s="500">
        <f t="shared" ref="I243" ca="1" si="169">I241*I242</f>
        <v>1795645.8746868419</v>
      </c>
      <c r="J243" s="500">
        <f t="shared" ref="J243" ca="1" si="170">J241*J242</f>
        <v>2055605.2360900568</v>
      </c>
      <c r="K243" s="500">
        <f t="shared" ref="K243" ca="1" si="171">K241*K242</f>
        <v>2360126.698655013</v>
      </c>
      <c r="L243" s="500">
        <f t="shared" ref="L243" ca="1" si="172">L241*L242</f>
        <v>2719394.9306736784</v>
      </c>
    </row>
    <row r="244" spans="1:12" ht="15.5">
      <c r="A244" s="514" t="s">
        <v>408</v>
      </c>
      <c r="B244" s="501"/>
      <c r="C244" s="53"/>
      <c r="D244" s="53"/>
      <c r="E244" s="53"/>
      <c r="F244" s="53"/>
      <c r="G244" s="53"/>
      <c r="H244" s="53"/>
      <c r="I244" s="53"/>
      <c r="J244" s="53"/>
      <c r="K244" s="53"/>
      <c r="L244" s="53"/>
    </row>
    <row r="245" spans="1:12">
      <c r="A245" s="515" t="s">
        <v>409</v>
      </c>
      <c r="B245" s="501"/>
      <c r="C245" s="138">
        <f>Revenue!Q70</f>
        <v>1270</v>
      </c>
      <c r="D245" s="138">
        <f>Revenue!R70</f>
        <v>1295.4000000000001</v>
      </c>
      <c r="E245" s="138">
        <f ca="1">Revenue!S70</f>
        <v>1326.4013413926896</v>
      </c>
      <c r="F245" s="138">
        <f ca="1">Revenue!T70</f>
        <v>1363.3469764577969</v>
      </c>
      <c r="G245" s="138">
        <f ca="1">Revenue!U70</f>
        <v>1404.7826651310434</v>
      </c>
      <c r="H245" s="138">
        <f ca="1">Revenue!V70</f>
        <v>1451.3758412922473</v>
      </c>
      <c r="I245" s="138">
        <f ca="1">Revenue!W70</f>
        <v>1505.2581131428853</v>
      </c>
      <c r="J245" s="138">
        <f ca="1">Revenue!X70</f>
        <v>1566.5501006813408</v>
      </c>
      <c r="K245" s="138">
        <f ca="1">Revenue!Y70</f>
        <v>1636.2479719589298</v>
      </c>
      <c r="L245" s="138">
        <f ca="1">Revenue!Z70</f>
        <v>1713.5780396316263</v>
      </c>
    </row>
    <row r="246" spans="1:12">
      <c r="A246" s="516" t="s">
        <v>410</v>
      </c>
      <c r="B246" s="501"/>
      <c r="C246" s="500">
        <f>Revenue!C70</f>
        <v>2000</v>
      </c>
      <c r="D246" s="500">
        <f>Revenue!D70</f>
        <v>2063</v>
      </c>
      <c r="E246" s="500">
        <f>Revenue!E70</f>
        <v>2127.9845</v>
      </c>
      <c r="F246" s="500">
        <f>Revenue!F70</f>
        <v>2195.0160117500004</v>
      </c>
      <c r="G246" s="500">
        <f>Revenue!G70</f>
        <v>2264.1590161201257</v>
      </c>
      <c r="H246" s="500">
        <f>Revenue!H70</f>
        <v>2335.4800251279098</v>
      </c>
      <c r="I246" s="500">
        <f>Revenue!I70</f>
        <v>2409.0476459194392</v>
      </c>
      <c r="J246" s="500">
        <f>Revenue!J70</f>
        <v>2484.9326467659016</v>
      </c>
      <c r="K246" s="500">
        <f>Revenue!K70</f>
        <v>2563.2080251390275</v>
      </c>
      <c r="L246" s="500">
        <f>Revenue!L70</f>
        <v>2643.9490779309072</v>
      </c>
    </row>
    <row r="247" spans="1:12">
      <c r="A247" s="517" t="s">
        <v>418</v>
      </c>
      <c r="B247" s="501"/>
      <c r="C247" s="500">
        <f>C245*C246</f>
        <v>2540000</v>
      </c>
      <c r="D247" s="500">
        <f t="shared" ref="D247" si="173">D245*D246</f>
        <v>2672410.2000000002</v>
      </c>
      <c r="E247" s="500">
        <f t="shared" ref="E247" ca="1" si="174">E245*E246</f>
        <v>2822561.4952628519</v>
      </c>
      <c r="F247" s="500">
        <f t="shared" ref="F247" ca="1" si="175">F245*F246</f>
        <v>2992568.4428958152</v>
      </c>
      <c r="G247" s="500">
        <f t="shared" ref="G247" ca="1" si="176">G245*G246</f>
        <v>3180651.3369457112</v>
      </c>
      <c r="H247" s="500">
        <f t="shared" ref="H247" ca="1" si="177">H245*H246</f>
        <v>3389659.2862912589</v>
      </c>
      <c r="I247" s="500">
        <f t="shared" ref="I247" ca="1" si="178">I245*I246</f>
        <v>3626238.5139680048</v>
      </c>
      <c r="J247" s="500">
        <f t="shared" ref="J247" ca="1" si="179">J245*J246</f>
        <v>3892771.487977474</v>
      </c>
      <c r="K247" s="500">
        <f t="shared" ref="K247" ca="1" si="180">K245*K246</f>
        <v>4194043.9328425876</v>
      </c>
      <c r="L247" s="500">
        <f t="shared" ref="L247" ca="1" si="181">L245*L246</f>
        <v>4530613.0778466901</v>
      </c>
    </row>
    <row r="248" spans="1:12" ht="15.5">
      <c r="A248" s="514" t="s">
        <v>411</v>
      </c>
      <c r="B248" s="501"/>
      <c r="C248" s="53"/>
      <c r="D248" s="53"/>
      <c r="E248" s="53"/>
      <c r="F248" s="53"/>
      <c r="G248" s="53"/>
      <c r="H248" s="53"/>
      <c r="I248" s="53"/>
      <c r="J248" s="53"/>
      <c r="K248" s="53"/>
      <c r="L248" s="53"/>
    </row>
    <row r="249" spans="1:12">
      <c r="A249" s="515" t="s">
        <v>409</v>
      </c>
      <c r="B249" s="501"/>
      <c r="C249" s="138">
        <f>Revenue!Q71</f>
        <v>0</v>
      </c>
      <c r="D249" s="138">
        <f>Revenue!R71</f>
        <v>635</v>
      </c>
      <c r="E249" s="138">
        <f ca="1">Revenue!S71</f>
        <v>662.59892633346237</v>
      </c>
      <c r="F249" s="138">
        <f ca="1">Revenue!T71</f>
        <v>693.68891429038513</v>
      </c>
      <c r="G249" s="138">
        <f ca="1">Revenue!U71</f>
        <v>728.50397211012375</v>
      </c>
      <c r="H249" s="138">
        <f ca="1">Revenue!V71</f>
        <v>767.30280967744284</v>
      </c>
      <c r="I249" s="138">
        <f ca="1">Revenue!W71</f>
        <v>810.83503324835283</v>
      </c>
      <c r="J249" s="138">
        <f ca="1">Revenue!X71</f>
        <v>859.9522520238703</v>
      </c>
      <c r="K249" s="138">
        <f ca="1">Revenue!Y71</f>
        <v>915.14402777938869</v>
      </c>
      <c r="L249" s="138">
        <f ca="1">Revenue!Z71</f>
        <v>977.34191002452064</v>
      </c>
    </row>
    <row r="250" spans="1:12">
      <c r="A250" s="516" t="s">
        <v>410</v>
      </c>
      <c r="B250" s="501"/>
      <c r="C250" s="500">
        <f>Revenue!C71</f>
        <v>0</v>
      </c>
      <c r="D250" s="500">
        <f>Revenue!D71</f>
        <v>3000</v>
      </c>
      <c r="E250" s="500">
        <f>Revenue!E71</f>
        <v>3094.5000000000005</v>
      </c>
      <c r="F250" s="500">
        <f>Revenue!F71</f>
        <v>3191.9767500000007</v>
      </c>
      <c r="G250" s="500">
        <f>Revenue!G71</f>
        <v>3292.5240176250009</v>
      </c>
      <c r="H250" s="500">
        <f>Revenue!H71</f>
        <v>3396.2385241801885</v>
      </c>
      <c r="I250" s="500">
        <f>Revenue!I71</f>
        <v>3503.2200376918649</v>
      </c>
      <c r="J250" s="500">
        <f>Revenue!J71</f>
        <v>3613.5714688791591</v>
      </c>
      <c r="K250" s="500">
        <f>Revenue!K71</f>
        <v>3727.3989701488526</v>
      </c>
      <c r="L250" s="500">
        <f>Revenue!L71</f>
        <v>3844.812037708542</v>
      </c>
    </row>
    <row r="251" spans="1:12">
      <c r="A251" s="517" t="s">
        <v>418</v>
      </c>
      <c r="B251" s="501"/>
      <c r="C251" s="500">
        <f>C249*C250</f>
        <v>0</v>
      </c>
      <c r="D251" s="500">
        <f t="shared" ref="D251" si="182">D249*D250</f>
        <v>1905000</v>
      </c>
      <c r="E251" s="500">
        <f t="shared" ref="E251" ca="1" si="183">E249*E250</f>
        <v>2050412.3775388997</v>
      </c>
      <c r="F251" s="500">
        <f t="shared" ref="F251" ca="1" si="184">F249*F250</f>
        <v>2214238.8861476528</v>
      </c>
      <c r="G251" s="500">
        <f t="shared" ref="G251" ca="1" si="185">G249*G250</f>
        <v>2398616.8251077961</v>
      </c>
      <c r="H251" s="500">
        <f t="shared" ref="H251" ca="1" si="186">H249*H250</f>
        <v>2605943.3619382307</v>
      </c>
      <c r="I251" s="500">
        <f t="shared" ref="I251" ca="1" si="187">I249*I250</f>
        <v>2840533.535738179</v>
      </c>
      <c r="J251" s="500">
        <f t="shared" ref="J251" ca="1" si="188">J249*J250</f>
        <v>3107498.9225118379</v>
      </c>
      <c r="K251" s="500">
        <f t="shared" ref="K251" ca="1" si="189">K249*K250</f>
        <v>3411106.9066827665</v>
      </c>
      <c r="L251" s="500">
        <f t="shared" ref="L251" ca="1" si="190">L249*L250</f>
        <v>3757695.9406193355</v>
      </c>
    </row>
    <row r="252" spans="1:12" ht="15.5">
      <c r="A252" s="514" t="s">
        <v>413</v>
      </c>
      <c r="B252" s="501"/>
      <c r="C252" s="53"/>
      <c r="D252" s="53"/>
      <c r="E252" s="53"/>
      <c r="F252" s="53"/>
      <c r="G252" s="53"/>
      <c r="H252" s="53"/>
      <c r="I252" s="53"/>
      <c r="J252" s="53"/>
      <c r="K252" s="53"/>
      <c r="L252" s="53"/>
    </row>
    <row r="253" spans="1:12">
      <c r="A253" s="515" t="s">
        <v>409</v>
      </c>
      <c r="B253" s="501"/>
      <c r="C253" s="138">
        <f>Revenue!Q72</f>
        <v>0</v>
      </c>
      <c r="D253" s="138">
        <f>Revenue!R72</f>
        <v>0</v>
      </c>
      <c r="E253" s="138">
        <f>Revenue!S72</f>
        <v>318</v>
      </c>
      <c r="F253" s="138">
        <f ca="1">Revenue!T72</f>
        <v>333.08323568665759</v>
      </c>
      <c r="G253" s="138">
        <f ca="1">Revenue!U72</f>
        <v>350.20482432778499</v>
      </c>
      <c r="H253" s="138">
        <f ca="1">Revenue!V72</f>
        <v>369.50196972197983</v>
      </c>
      <c r="I253" s="138">
        <f ca="1">Revenue!W72</f>
        <v>391.12560110308357</v>
      </c>
      <c r="J253" s="138">
        <f ca="1">Revenue!X72</f>
        <v>415.40372781579254</v>
      </c>
      <c r="K253" s="138">
        <f ca="1">Revenue!Y72</f>
        <v>442.479545272363</v>
      </c>
      <c r="L253" s="138">
        <f ca="1">Revenue!Z72</f>
        <v>472.9631629279146</v>
      </c>
    </row>
    <row r="254" spans="1:12">
      <c r="A254" s="516" t="s">
        <v>410</v>
      </c>
      <c r="B254" s="501"/>
      <c r="C254" s="500">
        <f>Revenue!C72</f>
        <v>0</v>
      </c>
      <c r="D254" s="500">
        <f>Revenue!D72</f>
        <v>0</v>
      </c>
      <c r="E254" s="500">
        <f>Revenue!E72</f>
        <v>10000</v>
      </c>
      <c r="F254" s="500">
        <f>Revenue!F72</f>
        <v>10315</v>
      </c>
      <c r="G254" s="500">
        <f>Revenue!G72</f>
        <v>10639.922500000001</v>
      </c>
      <c r="H254" s="500">
        <f>Revenue!H72</f>
        <v>10975.080058750002</v>
      </c>
      <c r="I254" s="500">
        <f>Revenue!I72</f>
        <v>11320.795080600628</v>
      </c>
      <c r="J254" s="500">
        <f>Revenue!J72</f>
        <v>11677.40012563955</v>
      </c>
      <c r="K254" s="500">
        <f>Revenue!K72</f>
        <v>12045.238229597197</v>
      </c>
      <c r="L254" s="500">
        <f>Revenue!L72</f>
        <v>12424.663233829509</v>
      </c>
    </row>
    <row r="255" spans="1:12">
      <c r="A255" s="517" t="s">
        <v>418</v>
      </c>
      <c r="B255" s="501"/>
      <c r="C255" s="500">
        <f>C253*C254</f>
        <v>0</v>
      </c>
      <c r="D255" s="500">
        <f t="shared" ref="D255" si="191">D253*D254</f>
        <v>0</v>
      </c>
      <c r="E255" s="500">
        <f t="shared" ref="E255" si="192">E253*E254</f>
        <v>3180000</v>
      </c>
      <c r="F255" s="500">
        <f t="shared" ref="F255" ca="1" si="193">F253*F254</f>
        <v>3435753.5761078731</v>
      </c>
      <c r="G255" s="500">
        <f t="shared" ref="G255" ca="1" si="194">G253*G254</f>
        <v>3726152.1899737469</v>
      </c>
      <c r="H255" s="500">
        <f t="shared" ref="H255" ca="1" si="195">H253*H254</f>
        <v>4055313.6995645477</v>
      </c>
      <c r="I255" s="500">
        <f t="shared" ref="I255" ca="1" si="196">I253*I254</f>
        <v>4427852.7808647519</v>
      </c>
      <c r="J255" s="500">
        <f t="shared" ref="J255" ca="1" si="197">J253*J254</f>
        <v>4850835.5433872733</v>
      </c>
      <c r="K255" s="500">
        <f t="shared" ref="K255" ca="1" si="198">K253*K254</f>
        <v>5329771.5345294503</v>
      </c>
      <c r="L255" s="500">
        <f t="shared" ref="L255" ca="1" si="199">L253*L254</f>
        <v>5876408.0213861763</v>
      </c>
    </row>
    <row r="256" spans="1:12" ht="15.5">
      <c r="A256" s="514" t="s">
        <v>412</v>
      </c>
      <c r="B256" s="501"/>
      <c r="C256" s="53"/>
      <c r="D256" s="53"/>
      <c r="E256" s="53"/>
      <c r="F256" s="53"/>
      <c r="G256" s="53"/>
      <c r="H256" s="53"/>
      <c r="I256" s="53"/>
      <c r="J256" s="53"/>
      <c r="K256" s="53"/>
      <c r="L256" s="53"/>
    </row>
    <row r="257" spans="1:12">
      <c r="A257" s="515" t="s">
        <v>409</v>
      </c>
      <c r="B257" s="501"/>
      <c r="C257" s="138">
        <f>Revenue!Q73</f>
        <v>0</v>
      </c>
      <c r="D257" s="138">
        <f>Revenue!R73</f>
        <v>0</v>
      </c>
      <c r="E257" s="138">
        <f ca="1">Revenue!S73</f>
        <v>0</v>
      </c>
      <c r="F257" s="138">
        <f ca="1">Revenue!T73</f>
        <v>0</v>
      </c>
      <c r="G257" s="138">
        <f ca="1">Revenue!U73</f>
        <v>0</v>
      </c>
      <c r="H257" s="138">
        <f ca="1">Revenue!V73</f>
        <v>0</v>
      </c>
      <c r="I257" s="138">
        <f ca="1">Revenue!W73</f>
        <v>0</v>
      </c>
      <c r="J257" s="138">
        <f ca="1">Revenue!X73</f>
        <v>0</v>
      </c>
      <c r="K257" s="138">
        <f ca="1">Revenue!Y73</f>
        <v>0</v>
      </c>
      <c r="L257" s="138">
        <f ca="1">Revenue!Z73</f>
        <v>0</v>
      </c>
    </row>
    <row r="258" spans="1:12">
      <c r="A258" s="516" t="s">
        <v>410</v>
      </c>
      <c r="B258" s="501"/>
      <c r="C258" s="500">
        <f>Revenue!C73</f>
        <v>0</v>
      </c>
      <c r="D258" s="500">
        <f>Revenue!D73</f>
        <v>0</v>
      </c>
      <c r="E258" s="500">
        <f>Revenue!E73</f>
        <v>0</v>
      </c>
      <c r="F258" s="500">
        <f>Revenue!F73</f>
        <v>0</v>
      </c>
      <c r="G258" s="500">
        <f>Revenue!G73</f>
        <v>0</v>
      </c>
      <c r="H258" s="500">
        <f>Revenue!H73</f>
        <v>0</v>
      </c>
      <c r="I258" s="500">
        <f>Revenue!I73</f>
        <v>0</v>
      </c>
      <c r="J258" s="500">
        <f>Revenue!J73</f>
        <v>0</v>
      </c>
      <c r="K258" s="500">
        <f>Revenue!K73</f>
        <v>0</v>
      </c>
      <c r="L258" s="500">
        <f>Revenue!L73</f>
        <v>0</v>
      </c>
    </row>
    <row r="259" spans="1:12">
      <c r="A259" s="517" t="s">
        <v>418</v>
      </c>
      <c r="B259" s="501"/>
      <c r="C259" s="500">
        <f>C257*C258</f>
        <v>0</v>
      </c>
      <c r="D259" s="500">
        <f t="shared" ref="D259" si="200">D257*D258</f>
        <v>0</v>
      </c>
      <c r="E259" s="500">
        <f t="shared" ref="E259" ca="1" si="201">E257*E258</f>
        <v>0</v>
      </c>
      <c r="F259" s="500">
        <f t="shared" ref="F259" ca="1" si="202">F257*F258</f>
        <v>0</v>
      </c>
      <c r="G259" s="500">
        <f t="shared" ref="G259" ca="1" si="203">G257*G258</f>
        <v>0</v>
      </c>
      <c r="H259" s="500">
        <f t="shared" ref="H259" ca="1" si="204">H257*H258</f>
        <v>0</v>
      </c>
      <c r="I259" s="500">
        <f t="shared" ref="I259" ca="1" si="205">I257*I258</f>
        <v>0</v>
      </c>
      <c r="J259" s="500">
        <f t="shared" ref="J259" ca="1" si="206">J257*J258</f>
        <v>0</v>
      </c>
      <c r="K259" s="500">
        <f t="shared" ref="K259" ca="1" si="207">K257*K258</f>
        <v>0</v>
      </c>
      <c r="L259" s="500">
        <f t="shared" ref="L259" ca="1" si="208">L257*L258</f>
        <v>0</v>
      </c>
    </row>
    <row r="260" spans="1:12" ht="15.5">
      <c r="A260" s="514" t="s">
        <v>414</v>
      </c>
      <c r="B260" s="501"/>
      <c r="C260" s="53"/>
      <c r="D260" s="53"/>
      <c r="E260" s="53"/>
      <c r="F260" s="53"/>
      <c r="G260" s="53"/>
      <c r="H260" s="53"/>
      <c r="I260" s="53"/>
      <c r="J260" s="53"/>
      <c r="K260" s="53"/>
      <c r="L260" s="53"/>
    </row>
    <row r="261" spans="1:12">
      <c r="A261" s="515" t="s">
        <v>409</v>
      </c>
      <c r="B261" s="501"/>
      <c r="C261" s="138">
        <f>Revenue!Q74</f>
        <v>0</v>
      </c>
      <c r="D261" s="138">
        <f>Revenue!R74</f>
        <v>0</v>
      </c>
      <c r="E261" s="138">
        <f>Revenue!S74</f>
        <v>0</v>
      </c>
      <c r="F261" s="138">
        <f>Revenue!T74</f>
        <v>0</v>
      </c>
      <c r="G261" s="138">
        <f>Revenue!U74</f>
        <v>0</v>
      </c>
      <c r="H261" s="138">
        <f>Revenue!V74</f>
        <v>0</v>
      </c>
      <c r="I261" s="138">
        <f>Revenue!W74</f>
        <v>0</v>
      </c>
      <c r="J261" s="138">
        <f>Revenue!X74</f>
        <v>0</v>
      </c>
      <c r="K261" s="138">
        <f>Revenue!Y74</f>
        <v>0</v>
      </c>
      <c r="L261" s="138">
        <f>Revenue!Z74</f>
        <v>0</v>
      </c>
    </row>
    <row r="262" spans="1:12">
      <c r="A262" s="516" t="s">
        <v>410</v>
      </c>
      <c r="B262" s="501"/>
      <c r="C262" s="500">
        <f>Revenue!C74</f>
        <v>0</v>
      </c>
      <c r="D262" s="500">
        <f>Revenue!D74</f>
        <v>0</v>
      </c>
      <c r="E262" s="500">
        <f>Revenue!E74</f>
        <v>0</v>
      </c>
      <c r="F262" s="500">
        <f>Revenue!F74</f>
        <v>0</v>
      </c>
      <c r="G262" s="500">
        <f>Revenue!G74</f>
        <v>0</v>
      </c>
      <c r="H262" s="500">
        <f>Revenue!H74</f>
        <v>0</v>
      </c>
      <c r="I262" s="500">
        <f>Revenue!I74</f>
        <v>0</v>
      </c>
      <c r="J262" s="500">
        <f>Revenue!J74</f>
        <v>0</v>
      </c>
      <c r="K262" s="500">
        <f>Revenue!K74</f>
        <v>0</v>
      </c>
      <c r="L262" s="500">
        <f>Revenue!L74</f>
        <v>0</v>
      </c>
    </row>
    <row r="263" spans="1:12">
      <c r="A263" s="517" t="s">
        <v>418</v>
      </c>
      <c r="B263" s="501"/>
      <c r="C263" s="500">
        <f>C261*C262</f>
        <v>0</v>
      </c>
      <c r="D263" s="500">
        <f t="shared" ref="D263" si="209">D261*D262</f>
        <v>0</v>
      </c>
      <c r="E263" s="500">
        <f t="shared" ref="E263" si="210">E261*E262</f>
        <v>0</v>
      </c>
      <c r="F263" s="500">
        <f t="shared" ref="F263" si="211">F261*F262</f>
        <v>0</v>
      </c>
      <c r="G263" s="500">
        <f t="shared" ref="G263" si="212">G261*G262</f>
        <v>0</v>
      </c>
      <c r="H263" s="500">
        <f t="shared" ref="H263" si="213">H261*H262</f>
        <v>0</v>
      </c>
      <c r="I263" s="500">
        <f t="shared" ref="I263" si="214">I261*I262</f>
        <v>0</v>
      </c>
      <c r="J263" s="500">
        <f t="shared" ref="J263" si="215">J261*J262</f>
        <v>0</v>
      </c>
      <c r="K263" s="500">
        <f t="shared" ref="K263" si="216">K261*K262</f>
        <v>0</v>
      </c>
      <c r="L263" s="500">
        <f t="shared" ref="L263" si="217">L261*L262</f>
        <v>0</v>
      </c>
    </row>
    <row r="264" spans="1:12" ht="15.5">
      <c r="A264" s="514" t="s">
        <v>415</v>
      </c>
      <c r="B264" s="501"/>
      <c r="C264" s="53"/>
      <c r="D264" s="53"/>
      <c r="E264" s="53"/>
      <c r="F264" s="53"/>
      <c r="G264" s="53"/>
      <c r="H264" s="53"/>
      <c r="I264" s="53"/>
      <c r="J264" s="53"/>
      <c r="K264" s="53"/>
      <c r="L264" s="53"/>
    </row>
    <row r="265" spans="1:12">
      <c r="A265" s="515" t="s">
        <v>409</v>
      </c>
      <c r="B265" s="501"/>
      <c r="C265" s="138">
        <f>Revenue!Q75</f>
        <v>0</v>
      </c>
      <c r="D265" s="138">
        <f>Revenue!R75</f>
        <v>0</v>
      </c>
      <c r="E265" s="138">
        <f ca="1">Revenue!S75</f>
        <v>0</v>
      </c>
      <c r="F265" s="138">
        <f ca="1">Revenue!T75</f>
        <v>0</v>
      </c>
      <c r="G265" s="138">
        <f ca="1">Revenue!U75</f>
        <v>0</v>
      </c>
      <c r="H265" s="138">
        <f ca="1">Revenue!V75</f>
        <v>0</v>
      </c>
      <c r="I265" s="138">
        <f ca="1">Revenue!W75</f>
        <v>0</v>
      </c>
      <c r="J265" s="138">
        <f ca="1">Revenue!X75</f>
        <v>0</v>
      </c>
      <c r="K265" s="138">
        <f ca="1">Revenue!Y75</f>
        <v>0</v>
      </c>
      <c r="L265" s="138">
        <f ca="1">Revenue!Z75</f>
        <v>0</v>
      </c>
    </row>
    <row r="266" spans="1:12">
      <c r="A266" s="516" t="s">
        <v>410</v>
      </c>
      <c r="B266" s="501"/>
      <c r="C266" s="500">
        <f>Revenue!C75</f>
        <v>0</v>
      </c>
      <c r="D266" s="500">
        <f>Revenue!D75</f>
        <v>0</v>
      </c>
      <c r="E266" s="500">
        <f>Revenue!E75</f>
        <v>0</v>
      </c>
      <c r="F266" s="500">
        <f>Revenue!F75</f>
        <v>0</v>
      </c>
      <c r="G266" s="500">
        <f>Revenue!G75</f>
        <v>0</v>
      </c>
      <c r="H266" s="500">
        <f>Revenue!H75</f>
        <v>0</v>
      </c>
      <c r="I266" s="500">
        <f>Revenue!I75</f>
        <v>0</v>
      </c>
      <c r="J266" s="500">
        <f>Revenue!J75</f>
        <v>0</v>
      </c>
      <c r="K266" s="500">
        <f>Revenue!K75</f>
        <v>0</v>
      </c>
      <c r="L266" s="500">
        <f>Revenue!L75</f>
        <v>0</v>
      </c>
    </row>
    <row r="267" spans="1:12">
      <c r="A267" s="517" t="s">
        <v>418</v>
      </c>
      <c r="B267" s="501"/>
      <c r="C267" s="500">
        <f>C265*C266</f>
        <v>0</v>
      </c>
      <c r="D267" s="500">
        <f t="shared" ref="D267" si="218">D265*D266</f>
        <v>0</v>
      </c>
      <c r="E267" s="500">
        <f t="shared" ref="E267" ca="1" si="219">E265*E266</f>
        <v>0</v>
      </c>
      <c r="F267" s="500">
        <f t="shared" ref="F267" ca="1" si="220">F265*F266</f>
        <v>0</v>
      </c>
      <c r="G267" s="500">
        <f t="shared" ref="G267" ca="1" si="221">G265*G266</f>
        <v>0</v>
      </c>
      <c r="H267" s="500">
        <f t="shared" ref="H267" ca="1" si="222">H265*H266</f>
        <v>0</v>
      </c>
      <c r="I267" s="500">
        <f t="shared" ref="I267" ca="1" si="223">I265*I266</f>
        <v>0</v>
      </c>
      <c r="J267" s="500">
        <f t="shared" ref="J267" ca="1" si="224">J265*J266</f>
        <v>0</v>
      </c>
      <c r="K267" s="500">
        <f t="shared" ref="K267" ca="1" si="225">K265*K266</f>
        <v>0</v>
      </c>
      <c r="L267" s="500">
        <f t="shared" ref="L267" ca="1" si="226">L265*L266</f>
        <v>0</v>
      </c>
    </row>
    <row r="268" spans="1:12" ht="15.5">
      <c r="A268" s="514" t="s">
        <v>416</v>
      </c>
      <c r="B268" s="501"/>
      <c r="C268" s="53"/>
      <c r="D268" s="53"/>
      <c r="E268" s="53"/>
      <c r="F268" s="53"/>
      <c r="G268" s="53"/>
      <c r="H268" s="53"/>
      <c r="I268" s="53"/>
      <c r="J268" s="53"/>
      <c r="K268" s="53"/>
      <c r="L268" s="53"/>
    </row>
    <row r="269" spans="1:12">
      <c r="A269" s="515" t="s">
        <v>409</v>
      </c>
      <c r="B269" s="501"/>
      <c r="C269" s="138">
        <f>Revenue!Q76</f>
        <v>0</v>
      </c>
      <c r="D269" s="138">
        <f>Revenue!R76</f>
        <v>0</v>
      </c>
      <c r="E269" s="138">
        <f ca="1">Revenue!S76</f>
        <v>0</v>
      </c>
      <c r="F269" s="138">
        <f ca="1">Revenue!T76</f>
        <v>0</v>
      </c>
      <c r="G269" s="138">
        <f ca="1">Revenue!U76</f>
        <v>0</v>
      </c>
      <c r="H269" s="138">
        <f ca="1">Revenue!V76</f>
        <v>0</v>
      </c>
      <c r="I269" s="138">
        <f ca="1">Revenue!W76</f>
        <v>0</v>
      </c>
      <c r="J269" s="138">
        <f ca="1">Revenue!X76</f>
        <v>0</v>
      </c>
      <c r="K269" s="138">
        <f ca="1">Revenue!Y76</f>
        <v>0</v>
      </c>
      <c r="L269" s="138">
        <f ca="1">Revenue!Z76</f>
        <v>0</v>
      </c>
    </row>
    <row r="270" spans="1:12">
      <c r="A270" s="516" t="s">
        <v>410</v>
      </c>
      <c r="B270" s="501"/>
      <c r="C270" s="500">
        <f>Revenue!C76</f>
        <v>0</v>
      </c>
      <c r="D270" s="500">
        <f>Revenue!D76</f>
        <v>0</v>
      </c>
      <c r="E270" s="500">
        <f>Revenue!E76</f>
        <v>0</v>
      </c>
      <c r="F270" s="500">
        <f>Revenue!F76</f>
        <v>0</v>
      </c>
      <c r="G270" s="500">
        <f>Revenue!G76</f>
        <v>0</v>
      </c>
      <c r="H270" s="500">
        <f>Revenue!H76</f>
        <v>0</v>
      </c>
      <c r="I270" s="500">
        <f>Revenue!I76</f>
        <v>0</v>
      </c>
      <c r="J270" s="500">
        <f>Revenue!J76</f>
        <v>0</v>
      </c>
      <c r="K270" s="500">
        <f>Revenue!K76</f>
        <v>0</v>
      </c>
      <c r="L270" s="500">
        <f>Revenue!L76</f>
        <v>0</v>
      </c>
    </row>
    <row r="271" spans="1:12">
      <c r="A271" s="516" t="s">
        <v>418</v>
      </c>
      <c r="B271" s="501"/>
      <c r="C271" s="500">
        <f>C269*C270</f>
        <v>0</v>
      </c>
      <c r="D271" s="500">
        <f t="shared" ref="D271" si="227">D269*D270</f>
        <v>0</v>
      </c>
      <c r="E271" s="500">
        <f t="shared" ref="E271" ca="1" si="228">E269*E270</f>
        <v>0</v>
      </c>
      <c r="F271" s="500">
        <f t="shared" ref="F271" ca="1" si="229">F269*F270</f>
        <v>0</v>
      </c>
      <c r="G271" s="500">
        <f t="shared" ref="G271" ca="1" si="230">G269*G270</f>
        <v>0</v>
      </c>
      <c r="H271" s="500">
        <f t="shared" ref="H271" ca="1" si="231">H269*H270</f>
        <v>0</v>
      </c>
      <c r="I271" s="500">
        <f t="shared" ref="I271" ca="1" si="232">I269*I270</f>
        <v>0</v>
      </c>
      <c r="J271" s="500">
        <f t="shared" ref="J271" ca="1" si="233">J269*J270</f>
        <v>0</v>
      </c>
      <c r="K271" s="500">
        <f t="shared" ref="K271" ca="1" si="234">K269*K270</f>
        <v>0</v>
      </c>
      <c r="L271" s="500">
        <f t="shared" ref="L271" ca="1" si="235">L269*L270</f>
        <v>0</v>
      </c>
    </row>
    <row r="272" spans="1:12">
      <c r="A272" s="518"/>
      <c r="B272" s="501"/>
      <c r="C272" s="53"/>
      <c r="D272" s="53"/>
      <c r="E272" s="53"/>
      <c r="F272" s="53"/>
      <c r="G272" s="53"/>
      <c r="H272" s="53"/>
      <c r="I272" s="53"/>
      <c r="J272" s="53"/>
      <c r="K272" s="53"/>
      <c r="L272" s="143"/>
    </row>
    <row r="273" spans="1:12" ht="15.5">
      <c r="A273" s="506" t="s">
        <v>419</v>
      </c>
      <c r="B273" s="501"/>
      <c r="C273" s="500">
        <f>SUM(C271,C267,C263,C259,C255,C251,C247,C243,C239)</f>
        <v>4930000</v>
      </c>
      <c r="D273" s="500">
        <f t="shared" ref="D273:L273" si="236">SUM(D271,D267,D263,D259,D255,D251,D247,D243,D239)</f>
        <v>7201030.4500000002</v>
      </c>
      <c r="E273" s="500">
        <f t="shared" ca="1" si="236"/>
        <v>10943605.670903282</v>
      </c>
      <c r="F273" s="500">
        <f t="shared" ca="1" si="236"/>
        <v>11839045.576099586</v>
      </c>
      <c r="G273" s="500">
        <f t="shared" ca="1" si="236"/>
        <v>12853212.730137354</v>
      </c>
      <c r="H273" s="500">
        <f t="shared" ca="1" si="236"/>
        <v>14000808.720124815</v>
      </c>
      <c r="I273" s="500">
        <f t="shared" ca="1" si="236"/>
        <v>15308734.760594109</v>
      </c>
      <c r="J273" s="500">
        <f t="shared" ca="1" si="236"/>
        <v>16798038.970461588</v>
      </c>
      <c r="K273" s="500">
        <f t="shared" ca="1" si="236"/>
        <v>18497222.617550917</v>
      </c>
      <c r="L273" s="500">
        <f t="shared" ca="1" si="236"/>
        <v>20439066.962913871</v>
      </c>
    </row>
    <row r="274" spans="1:12">
      <c r="A274" s="504"/>
      <c r="B274" s="501"/>
      <c r="C274" s="53"/>
      <c r="D274" s="53"/>
      <c r="E274" s="53"/>
      <c r="F274" s="53"/>
      <c r="G274" s="53"/>
      <c r="H274" s="53"/>
      <c r="I274" s="53"/>
      <c r="J274" s="53"/>
      <c r="K274" s="53"/>
      <c r="L274" s="53"/>
    </row>
    <row r="275" spans="1:12" ht="18.5">
      <c r="A275" s="509" t="s">
        <v>155</v>
      </c>
      <c r="B275" s="501"/>
      <c r="C275" s="53"/>
      <c r="D275" s="53"/>
      <c r="E275" s="53"/>
      <c r="F275" s="53"/>
      <c r="G275" s="53"/>
      <c r="H275" s="53"/>
      <c r="I275" s="53"/>
      <c r="J275" s="53"/>
      <c r="K275" s="53"/>
      <c r="L275" s="53"/>
    </row>
    <row r="276" spans="1:12" ht="15.5">
      <c r="A276" s="506" t="s">
        <v>328</v>
      </c>
      <c r="B276" s="501"/>
      <c r="C276" s="140">
        <f>Assumptions!$H$45*(C239+C243)</f>
        <v>836500</v>
      </c>
      <c r="D276" s="140">
        <f>Assumptions!$H$45*(D239+D243)</f>
        <v>918267.08749999991</v>
      </c>
      <c r="E276" s="140">
        <f ca="1">Assumptions!$H$45*(E239+E243)</f>
        <v>1011721.1293355352</v>
      </c>
      <c r="F276" s="140">
        <f ca="1">Assumptions!$H$45*(F239+F243)</f>
        <v>1118769.6348318856</v>
      </c>
      <c r="G276" s="140">
        <f ca="1">Assumptions!$H$45*(G239+G243)</f>
        <v>1241727.332338535</v>
      </c>
      <c r="H276" s="140">
        <f ca="1">Assumptions!$H$45*(H239+H243)</f>
        <v>1382462.330315772</v>
      </c>
      <c r="I276" s="140">
        <f ca="1">Assumptions!$H$45*(I239+I243)</f>
        <v>1544938.4755081108</v>
      </c>
      <c r="J276" s="140">
        <f ca="1">Assumptions!$H$45*(J239+J243)</f>
        <v>1731426.5558047509</v>
      </c>
      <c r="K276" s="140">
        <f ca="1">Assumptions!$H$45*(K239+K243)</f>
        <v>1946805.0852236387</v>
      </c>
      <c r="L276" s="140">
        <f ca="1">Assumptions!$H$45*(L239+L243)</f>
        <v>2196022.4730715845</v>
      </c>
    </row>
    <row r="277" spans="1:12" ht="15.5">
      <c r="A277" s="506" t="s">
        <v>329</v>
      </c>
      <c r="B277" s="501"/>
      <c r="C277" s="140">
        <f>Assumptions!$H$46*C247</f>
        <v>889000</v>
      </c>
      <c r="D277" s="140">
        <f>Assumptions!$H$46*D247</f>
        <v>935343.57</v>
      </c>
      <c r="E277" s="140">
        <f ca="1">Assumptions!$H$46*E247</f>
        <v>987896.52334199811</v>
      </c>
      <c r="F277" s="140">
        <f ca="1">Assumptions!$H$46*F247</f>
        <v>1047398.9550135352</v>
      </c>
      <c r="G277" s="140">
        <f ca="1">Assumptions!$H$46*G247</f>
        <v>1113227.9679309989</v>
      </c>
      <c r="H277" s="140">
        <f ca="1">Assumptions!$H$46*H247</f>
        <v>1186380.7502019405</v>
      </c>
      <c r="I277" s="140">
        <f ca="1">Assumptions!$H$46*I247</f>
        <v>1269183.4798888017</v>
      </c>
      <c r="J277" s="140">
        <f ca="1">Assumptions!$H$46*J247</f>
        <v>1362470.0207921157</v>
      </c>
      <c r="K277" s="140">
        <f ca="1">Assumptions!$H$46*K247</f>
        <v>1467915.3764949054</v>
      </c>
      <c r="L277" s="140">
        <f ca="1">Assumptions!$H$46*L247</f>
        <v>1585714.5772463414</v>
      </c>
    </row>
    <row r="278" spans="1:12" ht="15.5">
      <c r="A278" s="506" t="s">
        <v>330</v>
      </c>
      <c r="B278" s="501"/>
      <c r="C278" s="140">
        <f>Assumptions!$H$47*C251</f>
        <v>0</v>
      </c>
      <c r="D278" s="140">
        <f>Assumptions!$H$47*D251</f>
        <v>762000</v>
      </c>
      <c r="E278" s="140">
        <f ca="1">Assumptions!$H$47*E251</f>
        <v>820164.95101555996</v>
      </c>
      <c r="F278" s="140">
        <f ca="1">Assumptions!$H$47*F251</f>
        <v>885695.55445906112</v>
      </c>
      <c r="G278" s="140">
        <f ca="1">Assumptions!$H$47*G251</f>
        <v>959446.73004311847</v>
      </c>
      <c r="H278" s="140">
        <f ca="1">Assumptions!$H$47*H251</f>
        <v>1042377.3447752923</v>
      </c>
      <c r="I278" s="140">
        <f ca="1">Assumptions!$H$47*I251</f>
        <v>1136213.4142952717</v>
      </c>
      <c r="J278" s="140">
        <f ca="1">Assumptions!$H$47*J251</f>
        <v>1242999.5690047352</v>
      </c>
      <c r="K278" s="140">
        <f ca="1">Assumptions!$H$47*K251</f>
        <v>1364442.7626731067</v>
      </c>
      <c r="L278" s="140">
        <f ca="1">Assumptions!$H$47*L251</f>
        <v>1503078.3762477343</v>
      </c>
    </row>
    <row r="279" spans="1:12" ht="15.5">
      <c r="A279" s="506" t="s">
        <v>331</v>
      </c>
      <c r="B279" s="501"/>
      <c r="C279" s="140">
        <f>Assumptions!$H$48*C255</f>
        <v>0</v>
      </c>
      <c r="D279" s="140">
        <f>Assumptions!$H$48*D255</f>
        <v>0</v>
      </c>
      <c r="E279" s="140">
        <f>Assumptions!$H$48*E255</f>
        <v>1272000</v>
      </c>
      <c r="F279" s="140">
        <f ca="1">Assumptions!$H$48*F255</f>
        <v>1374301.4304431493</v>
      </c>
      <c r="G279" s="140">
        <f ca="1">Assumptions!$H$48*G255</f>
        <v>1490460.8759894988</v>
      </c>
      <c r="H279" s="140">
        <f ca="1">Assumptions!$H$48*H255</f>
        <v>1622125.4798258191</v>
      </c>
      <c r="I279" s="140">
        <f ca="1">Assumptions!$H$48*I255</f>
        <v>1771141.1123459009</v>
      </c>
      <c r="J279" s="140">
        <f ca="1">Assumptions!$H$48*J255</f>
        <v>1940334.2173549095</v>
      </c>
      <c r="K279" s="140">
        <f ca="1">Assumptions!$H$48*K255</f>
        <v>2131908.6138117802</v>
      </c>
      <c r="L279" s="140">
        <f ca="1">Assumptions!$H$48*L255</f>
        <v>2350563.2085544704</v>
      </c>
    </row>
    <row r="280" spans="1:12" ht="15.5">
      <c r="A280" s="506" t="s">
        <v>420</v>
      </c>
      <c r="B280" s="501"/>
      <c r="C280" s="140">
        <f>Assumptions!$H$49*C259</f>
        <v>0</v>
      </c>
      <c r="D280" s="140">
        <f>Assumptions!$H$49*D259</f>
        <v>0</v>
      </c>
      <c r="E280" s="140">
        <f ca="1">Assumptions!$H$49*E259</f>
        <v>0</v>
      </c>
      <c r="F280" s="140">
        <f ca="1">Assumptions!$H$49*F259</f>
        <v>0</v>
      </c>
      <c r="G280" s="140">
        <f ca="1">Assumptions!$H$49*G259</f>
        <v>0</v>
      </c>
      <c r="H280" s="140">
        <f ca="1">Assumptions!$H$49*H259</f>
        <v>0</v>
      </c>
      <c r="I280" s="140">
        <f ca="1">Assumptions!$H$49*I259</f>
        <v>0</v>
      </c>
      <c r="J280" s="140">
        <f ca="1">Assumptions!$H$49*J259</f>
        <v>0</v>
      </c>
      <c r="K280" s="140">
        <f ca="1">Assumptions!$H$49*K259</f>
        <v>0</v>
      </c>
      <c r="L280" s="140">
        <f ca="1">Assumptions!$H$49*L259</f>
        <v>0</v>
      </c>
    </row>
    <row r="281" spans="1:12" ht="15.5">
      <c r="A281" s="506" t="s">
        <v>421</v>
      </c>
      <c r="B281" s="501"/>
      <c r="C281" s="140">
        <f>Assumptions!$H$50*C263</f>
        <v>0</v>
      </c>
      <c r="D281" s="140">
        <f>Assumptions!$H$50*D263</f>
        <v>0</v>
      </c>
      <c r="E281" s="140">
        <f>Assumptions!$H$50*E263</f>
        <v>0</v>
      </c>
      <c r="F281" s="140">
        <f>Assumptions!$H$50*F263</f>
        <v>0</v>
      </c>
      <c r="G281" s="140">
        <f>Assumptions!$H$50*G263</f>
        <v>0</v>
      </c>
      <c r="H281" s="140">
        <f>Assumptions!$H$50*H263</f>
        <v>0</v>
      </c>
      <c r="I281" s="140">
        <f>Assumptions!$H$50*I263</f>
        <v>0</v>
      </c>
      <c r="J281" s="140">
        <f>Assumptions!$H$50*J263</f>
        <v>0</v>
      </c>
      <c r="K281" s="140">
        <f>Assumptions!$H$50*K263</f>
        <v>0</v>
      </c>
      <c r="L281" s="140">
        <f>Assumptions!$H$50*L263</f>
        <v>0</v>
      </c>
    </row>
    <row r="282" spans="1:12" ht="15.5">
      <c r="A282" s="506" t="s">
        <v>422</v>
      </c>
      <c r="B282" s="501"/>
      <c r="C282" s="140">
        <f>Assumptions!$H$51*C267</f>
        <v>0</v>
      </c>
      <c r="D282" s="140">
        <f>Assumptions!$H$51*D267</f>
        <v>0</v>
      </c>
      <c r="E282" s="140">
        <f ca="1">Assumptions!$H$51*E267</f>
        <v>0</v>
      </c>
      <c r="F282" s="140">
        <f ca="1">Assumptions!$H$51*F267</f>
        <v>0</v>
      </c>
      <c r="G282" s="140">
        <f ca="1">Assumptions!$H$51*G267</f>
        <v>0</v>
      </c>
      <c r="H282" s="140">
        <f ca="1">Assumptions!$H$51*H267</f>
        <v>0</v>
      </c>
      <c r="I282" s="140">
        <f ca="1">Assumptions!$H$51*I267</f>
        <v>0</v>
      </c>
      <c r="J282" s="140">
        <f ca="1">Assumptions!$H$51*J267</f>
        <v>0</v>
      </c>
      <c r="K282" s="140">
        <f ca="1">Assumptions!$H$51*K267</f>
        <v>0</v>
      </c>
      <c r="L282" s="140">
        <f ca="1">Assumptions!$H$51*L267</f>
        <v>0</v>
      </c>
    </row>
    <row r="283" spans="1:12" ht="15.5">
      <c r="A283" s="506" t="s">
        <v>423</v>
      </c>
      <c r="B283" s="501"/>
      <c r="C283" s="140">
        <f>Assumptions!$H$52*C271</f>
        <v>0</v>
      </c>
      <c r="D283" s="140">
        <f>Assumptions!$H$52*D271</f>
        <v>0</v>
      </c>
      <c r="E283" s="140">
        <f ca="1">Assumptions!$H$52*E271</f>
        <v>0</v>
      </c>
      <c r="F283" s="140">
        <f ca="1">Assumptions!$H$52*F271</f>
        <v>0</v>
      </c>
      <c r="G283" s="140">
        <f ca="1">Assumptions!$H$52*G271</f>
        <v>0</v>
      </c>
      <c r="H283" s="140">
        <f ca="1">Assumptions!$H$52*H271</f>
        <v>0</v>
      </c>
      <c r="I283" s="140">
        <f ca="1">Assumptions!$H$52*I271</f>
        <v>0</v>
      </c>
      <c r="J283" s="140">
        <f ca="1">Assumptions!$H$52*J271</f>
        <v>0</v>
      </c>
      <c r="K283" s="140">
        <f ca="1">Assumptions!$H$52*K271</f>
        <v>0</v>
      </c>
      <c r="L283" s="140">
        <f ca="1">Assumptions!$H$52*L271</f>
        <v>0</v>
      </c>
    </row>
    <row r="284" spans="1:12" ht="15.5">
      <c r="A284" s="506" t="s">
        <v>405</v>
      </c>
      <c r="B284" s="501"/>
      <c r="C284" s="140">
        <f>SUM(C276:C283)</f>
        <v>1725500</v>
      </c>
      <c r="D284" s="140">
        <f t="shared" ref="D284" si="237">SUM(D276:D283)</f>
        <v>2615610.6574999997</v>
      </c>
      <c r="E284" s="140">
        <f t="shared" ref="E284" ca="1" si="238">SUM(E276:E283)</f>
        <v>4091782.6036930932</v>
      </c>
      <c r="F284" s="140">
        <f t="shared" ref="F284" ca="1" si="239">SUM(F276:F283)</f>
        <v>4426165.5747476313</v>
      </c>
      <c r="G284" s="140">
        <f t="shared" ref="G284" ca="1" si="240">SUM(G276:G283)</f>
        <v>4804862.9063021513</v>
      </c>
      <c r="H284" s="140">
        <f t="shared" ref="H284" ca="1" si="241">SUM(H276:H283)</f>
        <v>5233345.905118824</v>
      </c>
      <c r="I284" s="140">
        <f t="shared" ref="I284" ca="1" si="242">SUM(I276:I283)</f>
        <v>5721476.4820380844</v>
      </c>
      <c r="J284" s="140">
        <f t="shared" ref="J284" ca="1" si="243">SUM(J276:J283)</f>
        <v>6277230.3629565109</v>
      </c>
      <c r="K284" s="140">
        <f t="shared" ref="K284" ca="1" si="244">SUM(K276:K283)</f>
        <v>6911071.838203432</v>
      </c>
      <c r="L284" s="140">
        <f t="shared" ref="L284" ca="1" si="245">SUM(L276:L283)</f>
        <v>7635378.6351201311</v>
      </c>
    </row>
    <row r="285" spans="1:12">
      <c r="A285" s="504"/>
      <c r="B285" s="501"/>
      <c r="C285" s="53"/>
      <c r="D285" s="53"/>
      <c r="E285" s="53"/>
      <c r="F285" s="53"/>
      <c r="G285" s="53"/>
      <c r="H285" s="53"/>
      <c r="I285" s="53"/>
      <c r="J285" s="53"/>
      <c r="K285" s="53"/>
      <c r="L285" s="53"/>
    </row>
    <row r="286" spans="1:12" ht="15.5">
      <c r="A286" s="505" t="s">
        <v>157</v>
      </c>
      <c r="B286" s="501"/>
      <c r="C286" s="500">
        <f>C273-C284</f>
        <v>3204500</v>
      </c>
      <c r="D286" s="500">
        <f t="shared" ref="D286:L286" si="246">D273-D284</f>
        <v>4585419.7925000004</v>
      </c>
      <c r="E286" s="500">
        <f t="shared" ca="1" si="246"/>
        <v>6851823.0672101891</v>
      </c>
      <c r="F286" s="500">
        <f t="shared" ca="1" si="246"/>
        <v>7412880.0013519544</v>
      </c>
      <c r="G286" s="500">
        <f t="shared" ca="1" si="246"/>
        <v>8048349.8238352025</v>
      </c>
      <c r="H286" s="500">
        <f t="shared" ca="1" si="246"/>
        <v>8767462.8150059916</v>
      </c>
      <c r="I286" s="500">
        <f t="shared" ca="1" si="246"/>
        <v>9587258.2785560247</v>
      </c>
      <c r="J286" s="500">
        <f t="shared" ca="1" si="246"/>
        <v>10520808.607505077</v>
      </c>
      <c r="K286" s="500">
        <f t="shared" ca="1" si="246"/>
        <v>11586150.779347485</v>
      </c>
      <c r="L286" s="500">
        <f t="shared" ca="1" si="246"/>
        <v>12803688.32779374</v>
      </c>
    </row>
    <row r="287" spans="1:12">
      <c r="A287" s="504"/>
      <c r="B287" s="501"/>
      <c r="C287" s="53"/>
      <c r="D287" s="53"/>
      <c r="E287" s="53"/>
      <c r="F287" s="53"/>
      <c r="G287" s="53"/>
      <c r="H287" s="53"/>
      <c r="I287" s="53"/>
      <c r="J287" s="53"/>
      <c r="K287" s="53"/>
      <c r="L287" s="53"/>
    </row>
    <row r="288" spans="1:12" ht="18.5">
      <c r="A288" s="509" t="s">
        <v>96</v>
      </c>
      <c r="B288" s="501"/>
      <c r="C288" s="53"/>
      <c r="D288" s="53"/>
      <c r="E288" s="53"/>
      <c r="F288" s="53"/>
      <c r="G288" s="53"/>
      <c r="H288" s="53"/>
      <c r="I288" s="53"/>
      <c r="J288" s="53"/>
      <c r="K288" s="53"/>
      <c r="L288" s="53"/>
    </row>
    <row r="289" spans="1:12">
      <c r="A289" s="504"/>
      <c r="B289" s="501"/>
      <c r="C289" s="53"/>
      <c r="D289" s="53"/>
      <c r="E289" s="53"/>
      <c r="F289" s="53"/>
      <c r="G289" s="53"/>
      <c r="H289" s="53"/>
      <c r="I289" s="53"/>
      <c r="J289" s="53"/>
      <c r="K289" s="53"/>
      <c r="L289" s="53"/>
    </row>
    <row r="290" spans="1:12" ht="15.5">
      <c r="A290" s="506" t="s">
        <v>28</v>
      </c>
      <c r="B290" s="501"/>
      <c r="C290" s="53"/>
      <c r="D290" s="53"/>
      <c r="E290" s="53"/>
      <c r="F290" s="53"/>
      <c r="G290" s="53"/>
      <c r="H290" s="53"/>
      <c r="I290" s="53"/>
      <c r="J290" s="53"/>
      <c r="K290" s="53"/>
      <c r="L290" s="53"/>
    </row>
    <row r="291" spans="1:12" ht="15.5">
      <c r="A291" s="506"/>
      <c r="B291" s="501"/>
      <c r="C291" s="53"/>
      <c r="D291" s="53"/>
      <c r="E291" s="53"/>
      <c r="F291" s="53"/>
      <c r="G291" s="53"/>
      <c r="H291" s="53"/>
      <c r="I291" s="53"/>
      <c r="J291" s="53"/>
      <c r="K291" s="53"/>
      <c r="L291" s="53"/>
    </row>
    <row r="292" spans="1:12">
      <c r="A292" s="504" t="s">
        <v>37</v>
      </c>
      <c r="B292" s="501"/>
      <c r="C292" s="140">
        <f>Assumptions!D25</f>
        <v>5000</v>
      </c>
      <c r="D292" s="140">
        <v>0</v>
      </c>
      <c r="E292" s="140">
        <v>0</v>
      </c>
      <c r="F292" s="140">
        <v>0</v>
      </c>
      <c r="G292" s="140">
        <v>0</v>
      </c>
      <c r="H292" s="140">
        <v>0</v>
      </c>
      <c r="I292" s="140">
        <v>0</v>
      </c>
      <c r="J292" s="140">
        <v>0</v>
      </c>
      <c r="K292" s="140">
        <v>0</v>
      </c>
      <c r="L292" s="140">
        <v>0</v>
      </c>
    </row>
    <row r="293" spans="1:12">
      <c r="A293" s="504" t="s">
        <v>356</v>
      </c>
      <c r="B293" s="501"/>
      <c r="C293" s="140">
        <f>Assumptions!D26</f>
        <v>15000</v>
      </c>
      <c r="D293" s="140">
        <v>0</v>
      </c>
      <c r="E293" s="140">
        <v>0</v>
      </c>
      <c r="F293" s="140">
        <v>0</v>
      </c>
      <c r="G293" s="140">
        <v>0</v>
      </c>
      <c r="H293" s="140">
        <v>0</v>
      </c>
      <c r="I293" s="140">
        <v>0</v>
      </c>
      <c r="J293" s="140">
        <v>0</v>
      </c>
      <c r="K293" s="140">
        <v>0</v>
      </c>
      <c r="L293" s="140">
        <v>0</v>
      </c>
    </row>
    <row r="294" spans="1:12">
      <c r="A294" s="504" t="s">
        <v>40</v>
      </c>
      <c r="B294" s="501"/>
      <c r="C294" s="140">
        <f>Assumptions!D27</f>
        <v>1000</v>
      </c>
      <c r="D294" s="140">
        <v>0</v>
      </c>
      <c r="E294" s="140">
        <v>0</v>
      </c>
      <c r="F294" s="140">
        <v>0</v>
      </c>
      <c r="G294" s="140">
        <v>0</v>
      </c>
      <c r="H294" s="140">
        <v>0</v>
      </c>
      <c r="I294" s="140">
        <v>0</v>
      </c>
      <c r="J294" s="140">
        <v>0</v>
      </c>
      <c r="K294" s="140">
        <v>0</v>
      </c>
      <c r="L294" s="140">
        <v>0</v>
      </c>
    </row>
    <row r="295" spans="1:12">
      <c r="A295" s="504" t="s">
        <v>41</v>
      </c>
      <c r="B295" s="501"/>
      <c r="C295" s="140">
        <f>Assumptions!D28</f>
        <v>5000</v>
      </c>
      <c r="D295" s="140">
        <v>0</v>
      </c>
      <c r="E295" s="140">
        <v>0</v>
      </c>
      <c r="F295" s="140">
        <v>0</v>
      </c>
      <c r="G295" s="140">
        <v>0</v>
      </c>
      <c r="H295" s="140">
        <v>0</v>
      </c>
      <c r="I295" s="140">
        <v>0</v>
      </c>
      <c r="J295" s="140">
        <v>0</v>
      </c>
      <c r="K295" s="140">
        <v>0</v>
      </c>
      <c r="L295" s="140">
        <v>0</v>
      </c>
    </row>
    <row r="296" spans="1:12">
      <c r="A296" s="504" t="s">
        <v>43</v>
      </c>
      <c r="B296" s="501"/>
      <c r="C296" s="140">
        <f>Assumptions!D29</f>
        <v>1000</v>
      </c>
      <c r="D296" s="140">
        <v>0</v>
      </c>
      <c r="E296" s="140">
        <v>0</v>
      </c>
      <c r="F296" s="140">
        <v>0</v>
      </c>
      <c r="G296" s="140">
        <v>0</v>
      </c>
      <c r="H296" s="140">
        <v>0</v>
      </c>
      <c r="I296" s="140">
        <v>0</v>
      </c>
      <c r="J296" s="140">
        <v>0</v>
      </c>
      <c r="K296" s="140">
        <v>0</v>
      </c>
      <c r="L296" s="140">
        <v>0</v>
      </c>
    </row>
    <row r="297" spans="1:12">
      <c r="A297" s="504" t="s">
        <v>45</v>
      </c>
      <c r="B297" s="501"/>
      <c r="C297" s="140">
        <f>Assumptions!D30</f>
        <v>3000</v>
      </c>
      <c r="D297" s="140">
        <v>0</v>
      </c>
      <c r="E297" s="140">
        <v>0</v>
      </c>
      <c r="F297" s="140">
        <v>0</v>
      </c>
      <c r="G297" s="140">
        <v>0</v>
      </c>
      <c r="H297" s="140">
        <v>0</v>
      </c>
      <c r="I297" s="140">
        <v>0</v>
      </c>
      <c r="J297" s="140">
        <v>0</v>
      </c>
      <c r="K297" s="140">
        <v>0</v>
      </c>
      <c r="L297" s="140">
        <v>0</v>
      </c>
    </row>
    <row r="298" spans="1:12">
      <c r="A298" s="504" t="s">
        <v>35</v>
      </c>
      <c r="B298" s="501"/>
      <c r="C298" s="140">
        <f>Assumptions!D31</f>
        <v>5000</v>
      </c>
      <c r="D298" s="140">
        <v>0</v>
      </c>
      <c r="E298" s="140">
        <v>0</v>
      </c>
      <c r="F298" s="140">
        <v>0</v>
      </c>
      <c r="G298" s="140">
        <v>0</v>
      </c>
      <c r="H298" s="140">
        <v>0</v>
      </c>
      <c r="I298" s="140">
        <v>0</v>
      </c>
      <c r="J298" s="140">
        <v>0</v>
      </c>
      <c r="K298" s="140">
        <v>0</v>
      </c>
      <c r="L298" s="140">
        <v>0</v>
      </c>
    </row>
    <row r="299" spans="1:12">
      <c r="A299" s="504"/>
      <c r="B299" s="501"/>
      <c r="C299" s="53"/>
      <c r="D299" s="53"/>
      <c r="E299" s="53"/>
      <c r="F299" s="53"/>
      <c r="G299" s="53"/>
      <c r="H299" s="53"/>
      <c r="I299" s="53"/>
      <c r="J299" s="53"/>
      <c r="K299" s="53"/>
      <c r="L299" s="53"/>
    </row>
    <row r="300" spans="1:12" ht="15.5">
      <c r="A300" s="506" t="s">
        <v>158</v>
      </c>
      <c r="B300" s="501"/>
      <c r="C300" s="140">
        <f t="shared" ref="C300:L300" si="247">SUM(C292:C298)</f>
        <v>35000</v>
      </c>
      <c r="D300" s="140">
        <f t="shared" si="247"/>
        <v>0</v>
      </c>
      <c r="E300" s="140">
        <f t="shared" si="247"/>
        <v>0</v>
      </c>
      <c r="F300" s="140">
        <f t="shared" si="247"/>
        <v>0</v>
      </c>
      <c r="G300" s="140">
        <f t="shared" si="247"/>
        <v>0</v>
      </c>
      <c r="H300" s="140">
        <f t="shared" si="247"/>
        <v>0</v>
      </c>
      <c r="I300" s="140">
        <f t="shared" si="247"/>
        <v>0</v>
      </c>
      <c r="J300" s="140">
        <f t="shared" si="247"/>
        <v>0</v>
      </c>
      <c r="K300" s="140">
        <f t="shared" si="247"/>
        <v>0</v>
      </c>
      <c r="L300" s="140">
        <f t="shared" si="247"/>
        <v>0</v>
      </c>
    </row>
    <row r="301" spans="1:12">
      <c r="A301" s="504"/>
      <c r="B301" s="501"/>
      <c r="C301" s="53"/>
      <c r="D301" s="53"/>
      <c r="E301" s="53"/>
      <c r="F301" s="53"/>
      <c r="G301" s="53"/>
      <c r="H301" s="53"/>
      <c r="I301" s="53"/>
      <c r="J301" s="53"/>
      <c r="K301" s="53"/>
      <c r="L301" s="53"/>
    </row>
    <row r="302" spans="1:12" ht="15.5">
      <c r="A302" s="506" t="s">
        <v>13</v>
      </c>
      <c r="B302" s="501"/>
      <c r="C302" s="53"/>
      <c r="D302" s="53"/>
      <c r="E302" s="53"/>
      <c r="F302" s="53"/>
      <c r="G302" s="53"/>
      <c r="H302" s="53"/>
      <c r="I302" s="53"/>
      <c r="J302" s="53"/>
      <c r="K302" s="53"/>
      <c r="L302" s="53"/>
    </row>
    <row r="303" spans="1:12">
      <c r="A303" s="504"/>
      <c r="B303" s="501"/>
      <c r="C303" s="53"/>
      <c r="D303" s="53"/>
      <c r="E303" s="53"/>
      <c r="F303" s="53"/>
      <c r="G303" s="53"/>
      <c r="H303" s="53"/>
      <c r="I303" s="53"/>
      <c r="J303" s="53"/>
      <c r="K303" s="53"/>
      <c r="L303" s="53"/>
    </row>
    <row r="304" spans="1:12">
      <c r="A304" s="504" t="s">
        <v>14</v>
      </c>
      <c r="B304" s="501"/>
      <c r="C304" s="140">
        <f>Assumptions!G9</f>
        <v>60000</v>
      </c>
      <c r="D304" s="140">
        <f>C304*(1+Assumptions!$D$11)</f>
        <v>61800</v>
      </c>
      <c r="E304" s="140">
        <f>D304*(1+Assumptions!$D$11)</f>
        <v>63654</v>
      </c>
      <c r="F304" s="140">
        <f>E304*(1+Assumptions!$D$11)</f>
        <v>65563.62</v>
      </c>
      <c r="G304" s="140">
        <f>F304*(1+Assumptions!$D$11)</f>
        <v>67530.528599999991</v>
      </c>
      <c r="H304" s="140">
        <f>G304*(1+Assumptions!$D$11)</f>
        <v>69556.444457999998</v>
      </c>
      <c r="I304" s="140">
        <f>H304*(1+Assumptions!$D$11)</f>
        <v>71643.137791739995</v>
      </c>
      <c r="J304" s="140">
        <f>I304*(1+Assumptions!$D$11)</f>
        <v>73792.431925492201</v>
      </c>
      <c r="K304" s="140">
        <f>J304*(1+Assumptions!$D$11)</f>
        <v>76006.204883256971</v>
      </c>
      <c r="L304" s="140">
        <f>K304*(1+Assumptions!$D$11)</f>
        <v>78286.391029754683</v>
      </c>
    </row>
    <row r="305" spans="1:12">
      <c r="A305" s="504" t="s">
        <v>15</v>
      </c>
      <c r="B305" s="501"/>
      <c r="C305" s="140">
        <f>Assumptions!G10</f>
        <v>12000</v>
      </c>
      <c r="D305" s="140">
        <f>C305*(1+Assumptions!$D$11)</f>
        <v>12360</v>
      </c>
      <c r="E305" s="140">
        <f>D305*(1+Assumptions!$D$11)</f>
        <v>12730.800000000001</v>
      </c>
      <c r="F305" s="140">
        <f>E305*(1+Assumptions!$D$11)</f>
        <v>13112.724000000002</v>
      </c>
      <c r="G305" s="140">
        <f>F305*(1+Assumptions!$D$11)</f>
        <v>13506.105720000003</v>
      </c>
      <c r="H305" s="140">
        <f>G305*(1+Assumptions!$D$11)</f>
        <v>13911.288891600003</v>
      </c>
      <c r="I305" s="140">
        <f>H305*(1+Assumptions!$D$11)</f>
        <v>14328.627558348004</v>
      </c>
      <c r="J305" s="140">
        <f>I305*(1+Assumptions!$D$11)</f>
        <v>14758.486385098444</v>
      </c>
      <c r="K305" s="140">
        <f>J305*(1+Assumptions!$D$11)</f>
        <v>15201.240976651397</v>
      </c>
      <c r="L305" s="140">
        <f>K305*(1+Assumptions!$D$11)</f>
        <v>15657.278205950939</v>
      </c>
    </row>
    <row r="306" spans="1:12">
      <c r="A306" s="504" t="s">
        <v>17</v>
      </c>
      <c r="B306" s="501"/>
      <c r="C306" s="140">
        <f>Assumptions!G11</f>
        <v>1200</v>
      </c>
      <c r="D306" s="140">
        <f>C306*(1+Assumptions!$D$11)</f>
        <v>1236</v>
      </c>
      <c r="E306" s="140">
        <f>D306*(1+Assumptions!$D$11)</f>
        <v>1273.08</v>
      </c>
      <c r="F306" s="140">
        <f>E306*(1+Assumptions!$D$11)</f>
        <v>1311.2724000000001</v>
      </c>
      <c r="G306" s="140">
        <f>F306*(1+Assumptions!$D$11)</f>
        <v>1350.610572</v>
      </c>
      <c r="H306" s="140">
        <f>G306*(1+Assumptions!$D$11)</f>
        <v>1391.12888916</v>
      </c>
      <c r="I306" s="140">
        <f>H306*(1+Assumptions!$D$11)</f>
        <v>1432.8627558348001</v>
      </c>
      <c r="J306" s="140">
        <f>I306*(1+Assumptions!$D$11)</f>
        <v>1475.848638509844</v>
      </c>
      <c r="K306" s="140">
        <f>J306*(1+Assumptions!$D$11)</f>
        <v>1520.1240976651393</v>
      </c>
      <c r="L306" s="140">
        <f>K306*(1+Assumptions!$D$11)</f>
        <v>1565.7278205950936</v>
      </c>
    </row>
    <row r="307" spans="1:12">
      <c r="A307" s="504" t="s">
        <v>19</v>
      </c>
      <c r="B307" s="501"/>
      <c r="C307" s="140">
        <f>Assumptions!G12</f>
        <v>12000</v>
      </c>
      <c r="D307" s="140">
        <f>C307*(1+Assumptions!$D$11)</f>
        <v>12360</v>
      </c>
      <c r="E307" s="140">
        <f>D307*(1+Assumptions!$D$11)</f>
        <v>12730.800000000001</v>
      </c>
      <c r="F307" s="140">
        <f>E307*(1+Assumptions!$D$11)</f>
        <v>13112.724000000002</v>
      </c>
      <c r="G307" s="140">
        <f>F307*(1+Assumptions!$D$11)</f>
        <v>13506.105720000003</v>
      </c>
      <c r="H307" s="140">
        <f>G307*(1+Assumptions!$D$11)</f>
        <v>13911.288891600003</v>
      </c>
      <c r="I307" s="140">
        <f>H307*(1+Assumptions!$D$11)</f>
        <v>14328.627558348004</v>
      </c>
      <c r="J307" s="140">
        <f>I307*(1+Assumptions!$D$11)</f>
        <v>14758.486385098444</v>
      </c>
      <c r="K307" s="140">
        <f>J307*(1+Assumptions!$D$11)</f>
        <v>15201.240976651397</v>
      </c>
      <c r="L307" s="140">
        <f>K307*(1+Assumptions!$D$11)</f>
        <v>15657.278205950939</v>
      </c>
    </row>
    <row r="308" spans="1:12">
      <c r="A308" s="504" t="s">
        <v>20</v>
      </c>
      <c r="B308" s="501"/>
      <c r="C308" s="140">
        <f>Assumptions!G13</f>
        <v>6000</v>
      </c>
      <c r="D308" s="140">
        <f>C308*(1+Assumptions!$D$11)</f>
        <v>6180</v>
      </c>
      <c r="E308" s="140">
        <f>D308*(1+Assumptions!$D$11)</f>
        <v>6365.4000000000005</v>
      </c>
      <c r="F308" s="140">
        <f>E308*(1+Assumptions!$D$11)</f>
        <v>6556.362000000001</v>
      </c>
      <c r="G308" s="140">
        <f>F308*(1+Assumptions!$D$11)</f>
        <v>6753.0528600000016</v>
      </c>
      <c r="H308" s="140">
        <f>G308*(1+Assumptions!$D$11)</f>
        <v>6955.6444458000014</v>
      </c>
      <c r="I308" s="140">
        <f>H308*(1+Assumptions!$D$11)</f>
        <v>7164.3137791740019</v>
      </c>
      <c r="J308" s="140">
        <f>I308*(1+Assumptions!$D$11)</f>
        <v>7379.2431925492219</v>
      </c>
      <c r="K308" s="140">
        <f>J308*(1+Assumptions!$D$11)</f>
        <v>7600.6204883256987</v>
      </c>
      <c r="L308" s="140">
        <f>K308*(1+Assumptions!$D$11)</f>
        <v>7828.6391029754695</v>
      </c>
    </row>
    <row r="309" spans="1:12">
      <c r="A309" s="504" t="s">
        <v>22</v>
      </c>
      <c r="B309" s="501"/>
      <c r="C309" s="140">
        <f>Assumptions!G14</f>
        <v>6000</v>
      </c>
      <c r="D309" s="140">
        <f>C309*(1+Assumptions!$D$11)</f>
        <v>6180</v>
      </c>
      <c r="E309" s="140">
        <f>D309*(1+Assumptions!$D$11)</f>
        <v>6365.4000000000005</v>
      </c>
      <c r="F309" s="140">
        <f>E309*(1+Assumptions!$D$11)</f>
        <v>6556.362000000001</v>
      </c>
      <c r="G309" s="140">
        <f>F309*(1+Assumptions!$D$11)</f>
        <v>6753.0528600000016</v>
      </c>
      <c r="H309" s="140">
        <f>G309*(1+Assumptions!$D$11)</f>
        <v>6955.6444458000014</v>
      </c>
      <c r="I309" s="140">
        <f>H309*(1+Assumptions!$D$11)</f>
        <v>7164.3137791740019</v>
      </c>
      <c r="J309" s="140">
        <f>I309*(1+Assumptions!$D$11)</f>
        <v>7379.2431925492219</v>
      </c>
      <c r="K309" s="140">
        <f>J309*(1+Assumptions!$D$11)</f>
        <v>7600.6204883256987</v>
      </c>
      <c r="L309" s="140">
        <f>K309*(1+Assumptions!$D$11)</f>
        <v>7828.6391029754695</v>
      </c>
    </row>
    <row r="310" spans="1:12">
      <c r="A310" s="504" t="s">
        <v>25</v>
      </c>
      <c r="B310" s="501"/>
      <c r="C310" s="140">
        <f>Assumptions!G15</f>
        <v>1000</v>
      </c>
      <c r="D310" s="140">
        <f>C310*(1+Assumptions!$D$11)</f>
        <v>1030</v>
      </c>
      <c r="E310" s="140">
        <f>D310*(1+Assumptions!$D$11)</f>
        <v>1060.9000000000001</v>
      </c>
      <c r="F310" s="140">
        <f>E310*(1+Assumptions!$D$11)</f>
        <v>1092.7270000000001</v>
      </c>
      <c r="G310" s="140">
        <f>F310*(1+Assumptions!$D$11)</f>
        <v>1125.50881</v>
      </c>
      <c r="H310" s="140">
        <f>G310*(1+Assumptions!$D$11)</f>
        <v>1159.2740743000002</v>
      </c>
      <c r="I310" s="140">
        <f>H310*(1+Assumptions!$D$11)</f>
        <v>1194.0522965290002</v>
      </c>
      <c r="J310" s="140">
        <f>I310*(1+Assumptions!$D$11)</f>
        <v>1229.8738654248702</v>
      </c>
      <c r="K310" s="140">
        <f>J310*(1+Assumptions!$D$11)</f>
        <v>1266.7700813876163</v>
      </c>
      <c r="L310" s="140">
        <f>K310*(1+Assumptions!$D$11)</f>
        <v>1304.7731838292448</v>
      </c>
    </row>
    <row r="311" spans="1:12">
      <c r="A311" s="504" t="s">
        <v>27</v>
      </c>
      <c r="B311" s="501"/>
      <c r="C311" s="140">
        <f>Assumptions!G16</f>
        <v>1000</v>
      </c>
      <c r="D311" s="140">
        <f>C311*(1+Assumptions!$D$11)</f>
        <v>1030</v>
      </c>
      <c r="E311" s="140">
        <f>D311*(1+Assumptions!$D$11)</f>
        <v>1060.9000000000001</v>
      </c>
      <c r="F311" s="140">
        <f>E311*(1+Assumptions!$D$11)</f>
        <v>1092.7270000000001</v>
      </c>
      <c r="G311" s="140">
        <f>F311*(1+Assumptions!$D$11)</f>
        <v>1125.50881</v>
      </c>
      <c r="H311" s="140">
        <f>G311*(1+Assumptions!$D$11)</f>
        <v>1159.2740743000002</v>
      </c>
      <c r="I311" s="140">
        <f>H311*(1+Assumptions!$D$11)</f>
        <v>1194.0522965290002</v>
      </c>
      <c r="J311" s="140">
        <f>I311*(1+Assumptions!$D$11)</f>
        <v>1229.8738654248702</v>
      </c>
      <c r="K311" s="140">
        <f>J311*(1+Assumptions!$D$11)</f>
        <v>1266.7700813876163</v>
      </c>
      <c r="L311" s="140">
        <f>K311*(1+Assumptions!$D$11)</f>
        <v>1304.7731838292448</v>
      </c>
    </row>
    <row r="312" spans="1:12">
      <c r="A312" s="504" t="s">
        <v>290</v>
      </c>
      <c r="B312" s="501"/>
      <c r="C312" s="140">
        <f>Assumptions!G17</f>
        <v>6000</v>
      </c>
      <c r="D312" s="140">
        <f>C312*(1+Assumptions!$D$11)</f>
        <v>6180</v>
      </c>
      <c r="E312" s="140">
        <f>D312*(1+Assumptions!$D$11)</f>
        <v>6365.4000000000005</v>
      </c>
      <c r="F312" s="140">
        <f>E312*(1+Assumptions!$D$11)</f>
        <v>6556.362000000001</v>
      </c>
      <c r="G312" s="140">
        <f>F312*(1+Assumptions!$D$11)</f>
        <v>6753.0528600000016</v>
      </c>
      <c r="H312" s="140">
        <f>G312*(1+Assumptions!$D$11)</f>
        <v>6955.6444458000014</v>
      </c>
      <c r="I312" s="140">
        <f>H312*(1+Assumptions!$D$11)</f>
        <v>7164.3137791740019</v>
      </c>
      <c r="J312" s="140">
        <f>I312*(1+Assumptions!$D$11)</f>
        <v>7379.2431925492219</v>
      </c>
      <c r="K312" s="140">
        <f>J312*(1+Assumptions!$D$11)</f>
        <v>7600.6204883256987</v>
      </c>
      <c r="L312" s="140">
        <f>K312*(1+Assumptions!$D$11)</f>
        <v>7828.6391029754695</v>
      </c>
    </row>
    <row r="313" spans="1:12">
      <c r="A313" s="504" t="s">
        <v>29</v>
      </c>
      <c r="B313" s="501"/>
      <c r="C313" s="140">
        <f>Assumptions!G18</f>
        <v>31200</v>
      </c>
      <c r="D313" s="140">
        <f>C313*(1+Assumptions!$D$11)*(1+Assumptions!$J$10)</f>
        <v>35670.960000000006</v>
      </c>
      <c r="E313" s="140">
        <f>D313*(1+Assumptions!$D$11)*(1+Assumptions!$J$10)</f>
        <v>40782.608568000011</v>
      </c>
      <c r="F313" s="140">
        <f>E313*(1+Assumptions!$D$11)*(1+Assumptions!$J$10)</f>
        <v>46626.756375794415</v>
      </c>
      <c r="G313" s="140">
        <f>F313*(1+Assumptions!$D$11)*(1+Assumptions!$J$10)</f>
        <v>53308.370564445766</v>
      </c>
      <c r="H313" s="140">
        <f>G313*(1+Assumptions!$D$11)*(1+Assumptions!$J$10)</f>
        <v>60947.460066330852</v>
      </c>
      <c r="I313" s="140">
        <f>H313*(1+Assumptions!$D$11)*(1+Assumptions!$J$10)</f>
        <v>69681.231093836075</v>
      </c>
      <c r="J313" s="140">
        <f>I313*(1+Assumptions!$D$11)*(1+Assumptions!$J$10)</f>
        <v>79666.551509582787</v>
      </c>
      <c r="K313" s="140">
        <f>J313*(1+Assumptions!$D$11)*(1+Assumptions!$J$10)</f>
        <v>91082.768340906012</v>
      </c>
      <c r="L313" s="140">
        <f>K313*(1+Assumptions!$D$11)*(1+Assumptions!$J$10)</f>
        <v>104134.92904415785</v>
      </c>
    </row>
    <row r="314" spans="1:12">
      <c r="A314" s="504" t="s">
        <v>291</v>
      </c>
      <c r="B314" s="501"/>
      <c r="C314" s="140">
        <f>Assumptions!G19</f>
        <v>120000</v>
      </c>
      <c r="D314" s="140">
        <f>C314*(1+Assumptions!$D$11)*(1+Assumptions!$J$11)</f>
        <v>135960</v>
      </c>
      <c r="E314" s="140">
        <f>D314*(1+Assumptions!$D$11)*(1+Assumptions!$J$11)</f>
        <v>154042.68000000002</v>
      </c>
      <c r="F314" s="140">
        <f>E314*(1+Assumptions!$D$11)*(1+Assumptions!$J$11)</f>
        <v>174530.35644000006</v>
      </c>
      <c r="G314" s="140">
        <f>F314*(1+Assumptions!$D$11)*(1+Assumptions!$J$11)</f>
        <v>197742.89384652011</v>
      </c>
      <c r="H314" s="140">
        <f>G314*(1+Assumptions!$D$11)*(1+Assumptions!$J$11)</f>
        <v>224042.69872810729</v>
      </c>
      <c r="I314" s="140">
        <f>H314*(1+Assumptions!$D$11)*(1+Assumptions!$J$11)</f>
        <v>253840.3776589456</v>
      </c>
      <c r="J314" s="140">
        <f>I314*(1+Assumptions!$D$11)*(1+Assumptions!$J$11)</f>
        <v>287601.14788758539</v>
      </c>
      <c r="K314" s="140">
        <f>J314*(1+Assumptions!$D$11)*(1+Assumptions!$J$11)</f>
        <v>325852.10055663431</v>
      </c>
      <c r="L314" s="140">
        <f>K314*(1+Assumptions!$D$11)*(1+Assumptions!$J$11)</f>
        <v>369190.42993066669</v>
      </c>
    </row>
    <row r="315" spans="1:12">
      <c r="A315" s="504" t="s">
        <v>31</v>
      </c>
      <c r="B315" s="501"/>
      <c r="C315" s="140">
        <f>Assumptions!G20</f>
        <v>1200</v>
      </c>
      <c r="D315" s="140">
        <f>C315*(1+Assumptions!$D$11)</f>
        <v>1236</v>
      </c>
      <c r="E315" s="140">
        <f>D315*(1+Assumptions!$D$11)</f>
        <v>1273.08</v>
      </c>
      <c r="F315" s="140">
        <f>E315*(1+Assumptions!$D$11)</f>
        <v>1311.2724000000001</v>
      </c>
      <c r="G315" s="140">
        <f>F315*(1+Assumptions!$D$11)</f>
        <v>1350.610572</v>
      </c>
      <c r="H315" s="140">
        <f>G315*(1+Assumptions!$D$11)</f>
        <v>1391.12888916</v>
      </c>
      <c r="I315" s="140">
        <f>H315*(1+Assumptions!$D$11)</f>
        <v>1432.8627558348001</v>
      </c>
      <c r="J315" s="140">
        <f>I315*(1+Assumptions!$D$11)</f>
        <v>1475.848638509844</v>
      </c>
      <c r="K315" s="140">
        <f>J315*(1+Assumptions!$D$11)</f>
        <v>1520.1240976651393</v>
      </c>
      <c r="L315" s="140">
        <f>K315*(1+Assumptions!$D$11)</f>
        <v>1565.7278205950936</v>
      </c>
    </row>
    <row r="316" spans="1:12">
      <c r="A316" s="504" t="s">
        <v>33</v>
      </c>
      <c r="B316" s="501"/>
      <c r="C316" s="140">
        <f>Assumptions!G21</f>
        <v>1000</v>
      </c>
      <c r="D316" s="140">
        <f>C316*(1+Assumptions!$D$11)</f>
        <v>1030</v>
      </c>
      <c r="E316" s="140">
        <f>D316*(1+Assumptions!$D$11)</f>
        <v>1060.9000000000001</v>
      </c>
      <c r="F316" s="140">
        <f>E316*(1+Assumptions!$D$11)</f>
        <v>1092.7270000000001</v>
      </c>
      <c r="G316" s="140">
        <f>F316*(1+Assumptions!$D$11)</f>
        <v>1125.50881</v>
      </c>
      <c r="H316" s="140">
        <f>G316*(1+Assumptions!$D$11)</f>
        <v>1159.2740743000002</v>
      </c>
      <c r="I316" s="140">
        <f>H316*(1+Assumptions!$D$11)</f>
        <v>1194.0522965290002</v>
      </c>
      <c r="J316" s="140">
        <f>I316*(1+Assumptions!$D$11)</f>
        <v>1229.8738654248702</v>
      </c>
      <c r="K316" s="140">
        <f>J316*(1+Assumptions!$D$11)</f>
        <v>1266.7700813876163</v>
      </c>
      <c r="L316" s="140">
        <f>K316*(1+Assumptions!$D$11)</f>
        <v>1304.7731838292448</v>
      </c>
    </row>
    <row r="317" spans="1:12">
      <c r="A317" s="504" t="s">
        <v>35</v>
      </c>
      <c r="B317" s="501"/>
      <c r="C317" s="140">
        <f>Assumptions!G22</f>
        <v>5000</v>
      </c>
      <c r="D317" s="140">
        <f>C317*(1+Assumptions!$D$11)</f>
        <v>5150</v>
      </c>
      <c r="E317" s="140">
        <f>D317*(1+Assumptions!$D$11)</f>
        <v>5304.5</v>
      </c>
      <c r="F317" s="140">
        <f>E317*(1+Assumptions!$D$11)</f>
        <v>5463.6350000000002</v>
      </c>
      <c r="G317" s="140">
        <f>F317*(1+Assumptions!$D$11)</f>
        <v>5627.5440500000004</v>
      </c>
      <c r="H317" s="140">
        <f>G317*(1+Assumptions!$D$11)</f>
        <v>5796.3703715000001</v>
      </c>
      <c r="I317" s="140">
        <f>H317*(1+Assumptions!$D$11)</f>
        <v>5970.2614826449999</v>
      </c>
      <c r="J317" s="140">
        <f>I317*(1+Assumptions!$D$11)</f>
        <v>6149.3693271243501</v>
      </c>
      <c r="K317" s="140">
        <f>J317*(1+Assumptions!$D$11)</f>
        <v>6333.8504069380806</v>
      </c>
      <c r="L317" s="140">
        <f>K317*(1+Assumptions!$D$11)</f>
        <v>6523.865919146223</v>
      </c>
    </row>
    <row r="318" spans="1:12">
      <c r="A318" s="504"/>
      <c r="B318" s="501"/>
      <c r="C318" s="53"/>
      <c r="D318" s="53"/>
      <c r="E318" s="53"/>
      <c r="F318" s="53"/>
      <c r="G318" s="53"/>
      <c r="H318" s="53"/>
      <c r="I318" s="53"/>
      <c r="J318" s="53"/>
      <c r="K318" s="53"/>
      <c r="L318" s="53"/>
    </row>
    <row r="319" spans="1:12" ht="15.5">
      <c r="A319" s="506" t="s">
        <v>159</v>
      </c>
      <c r="B319" s="501"/>
      <c r="C319" s="140">
        <f t="shared" ref="C319:L319" si="248">SUM(C304:C317)</f>
        <v>263600</v>
      </c>
      <c r="D319" s="140">
        <f t="shared" si="248"/>
        <v>287402.96000000002</v>
      </c>
      <c r="E319" s="140">
        <f t="shared" si="248"/>
        <v>314070.44856800005</v>
      </c>
      <c r="F319" s="140">
        <f t="shared" si="248"/>
        <v>343979.62761579448</v>
      </c>
      <c r="G319" s="140">
        <f t="shared" si="248"/>
        <v>377558.4546549659</v>
      </c>
      <c r="H319" s="140">
        <f t="shared" si="248"/>
        <v>415292.56474575819</v>
      </c>
      <c r="I319" s="140">
        <f t="shared" si="248"/>
        <v>457733.08688264131</v>
      </c>
      <c r="J319" s="140">
        <f t="shared" si="248"/>
        <v>505505.52187092358</v>
      </c>
      <c r="K319" s="140">
        <f t="shared" si="248"/>
        <v>559319.8260455085</v>
      </c>
      <c r="L319" s="140">
        <f t="shared" si="248"/>
        <v>619981.8648372317</v>
      </c>
    </row>
    <row r="320" spans="1:12" ht="15.5">
      <c r="A320" s="506"/>
      <c r="B320" s="501"/>
      <c r="C320" s="53"/>
      <c r="D320" s="53"/>
      <c r="E320" s="53"/>
      <c r="F320" s="53"/>
      <c r="G320" s="53"/>
      <c r="H320" s="53"/>
      <c r="I320" s="53"/>
      <c r="J320" s="53"/>
      <c r="K320" s="53"/>
      <c r="L320" s="53"/>
    </row>
    <row r="321" spans="1:12" ht="15.5">
      <c r="A321" s="506" t="s">
        <v>36</v>
      </c>
      <c r="B321" s="501"/>
      <c r="C321" s="53"/>
      <c r="D321" s="53"/>
      <c r="E321" s="53"/>
      <c r="F321" s="53"/>
      <c r="G321" s="53"/>
      <c r="H321" s="53"/>
      <c r="I321" s="53"/>
      <c r="J321" s="53"/>
      <c r="K321" s="53"/>
      <c r="L321" s="53"/>
    </row>
    <row r="322" spans="1:12">
      <c r="A322" s="504" t="s">
        <v>38</v>
      </c>
      <c r="B322" s="501"/>
      <c r="C322" s="140">
        <f>Assumptions!G25</f>
        <v>5000</v>
      </c>
      <c r="D322" s="140">
        <f>C322*(1+Assumptions!$D$11)</f>
        <v>5150</v>
      </c>
      <c r="E322" s="140">
        <f>D322*(1+Assumptions!$D$11)</f>
        <v>5304.5</v>
      </c>
      <c r="F322" s="140">
        <f>E322*(1+Assumptions!$D$11)</f>
        <v>5463.6350000000002</v>
      </c>
      <c r="G322" s="140">
        <f>F322*(1+Assumptions!$D$11)</f>
        <v>5627.5440500000004</v>
      </c>
      <c r="H322" s="140">
        <f>G322*(1+Assumptions!$D$11)</f>
        <v>5796.3703715000001</v>
      </c>
      <c r="I322" s="140">
        <f>H322*(1+Assumptions!$D$11)</f>
        <v>5970.2614826449999</v>
      </c>
      <c r="J322" s="140">
        <f>I322*(1+Assumptions!$D$11)</f>
        <v>6149.3693271243501</v>
      </c>
      <c r="K322" s="140">
        <f>J322*(1+Assumptions!$D$11)</f>
        <v>6333.8504069380806</v>
      </c>
      <c r="L322" s="140">
        <f>K322*(1+Assumptions!$D$11)</f>
        <v>6523.865919146223</v>
      </c>
    </row>
    <row r="323" spans="1:12">
      <c r="A323" s="504" t="s">
        <v>39</v>
      </c>
      <c r="B323" s="501"/>
      <c r="C323" s="140">
        <f>Assumptions!G26</f>
        <v>500</v>
      </c>
      <c r="D323" s="140">
        <f t="shared" ref="D323" si="249">C323</f>
        <v>500</v>
      </c>
      <c r="E323" s="140">
        <f t="shared" ref="E323" si="250">D323</f>
        <v>500</v>
      </c>
      <c r="F323" s="140">
        <f t="shared" ref="F323" si="251">E323</f>
        <v>500</v>
      </c>
      <c r="G323" s="140">
        <f t="shared" ref="G323" si="252">F323</f>
        <v>500</v>
      </c>
      <c r="H323" s="140">
        <f t="shared" ref="H323" si="253">G323</f>
        <v>500</v>
      </c>
      <c r="I323" s="140">
        <f t="shared" ref="I323" si="254">H323</f>
        <v>500</v>
      </c>
      <c r="J323" s="140">
        <f t="shared" ref="J323" si="255">I323</f>
        <v>500</v>
      </c>
      <c r="K323" s="140">
        <f t="shared" ref="K323" si="256">J323</f>
        <v>500</v>
      </c>
      <c r="L323" s="140">
        <f t="shared" ref="L323" si="257">K323</f>
        <v>500</v>
      </c>
    </row>
    <row r="324" spans="1:12">
      <c r="A324" s="504"/>
      <c r="B324" s="501"/>
      <c r="C324" s="53"/>
      <c r="D324" s="53"/>
      <c r="E324" s="53"/>
      <c r="F324" s="53"/>
      <c r="G324" s="53"/>
      <c r="H324" s="53"/>
      <c r="I324" s="53"/>
      <c r="J324" s="53"/>
      <c r="K324" s="53"/>
      <c r="L324" s="53"/>
    </row>
    <row r="325" spans="1:12" ht="15.5">
      <c r="A325" s="506" t="s">
        <v>160</v>
      </c>
      <c r="B325" s="501"/>
      <c r="C325" s="140">
        <f t="shared" ref="C325:L325" si="258">SUM(C322:C323)</f>
        <v>5500</v>
      </c>
      <c r="D325" s="140">
        <f t="shared" si="258"/>
        <v>5650</v>
      </c>
      <c r="E325" s="140">
        <f t="shared" si="258"/>
        <v>5804.5</v>
      </c>
      <c r="F325" s="140">
        <f t="shared" si="258"/>
        <v>5963.6350000000002</v>
      </c>
      <c r="G325" s="140">
        <f t="shared" si="258"/>
        <v>6127.5440500000004</v>
      </c>
      <c r="H325" s="140">
        <f t="shared" si="258"/>
        <v>6296.3703715000001</v>
      </c>
      <c r="I325" s="140">
        <f t="shared" si="258"/>
        <v>6470.2614826449999</v>
      </c>
      <c r="J325" s="140">
        <f t="shared" si="258"/>
        <v>6649.3693271243501</v>
      </c>
      <c r="K325" s="140">
        <f t="shared" si="258"/>
        <v>6833.8504069380806</v>
      </c>
      <c r="L325" s="140">
        <f t="shared" si="258"/>
        <v>7023.865919146223</v>
      </c>
    </row>
    <row r="326" spans="1:12">
      <c r="A326" s="504"/>
      <c r="B326" s="501"/>
      <c r="C326" s="53"/>
      <c r="D326" s="53"/>
      <c r="E326" s="53"/>
      <c r="F326" s="53"/>
      <c r="G326" s="53"/>
      <c r="H326" s="53"/>
      <c r="I326" s="53"/>
      <c r="J326" s="53"/>
      <c r="K326" s="53"/>
      <c r="L326" s="53"/>
    </row>
    <row r="327" spans="1:12" ht="15.5">
      <c r="A327" s="506" t="s">
        <v>112</v>
      </c>
      <c r="B327" s="501"/>
      <c r="C327" s="140">
        <f t="shared" ref="C327:L327" si="259">C300+C319+C325</f>
        <v>304100</v>
      </c>
      <c r="D327" s="140">
        <f t="shared" si="259"/>
        <v>293052.96000000002</v>
      </c>
      <c r="E327" s="140">
        <f t="shared" si="259"/>
        <v>319874.94856800005</v>
      </c>
      <c r="F327" s="140">
        <f t="shared" si="259"/>
        <v>349943.26261579449</v>
      </c>
      <c r="G327" s="140">
        <f t="shared" si="259"/>
        <v>383685.99870496592</v>
      </c>
      <c r="H327" s="140">
        <f t="shared" si="259"/>
        <v>421588.93511725817</v>
      </c>
      <c r="I327" s="140">
        <f t="shared" si="259"/>
        <v>464203.34836528631</v>
      </c>
      <c r="J327" s="140">
        <f t="shared" si="259"/>
        <v>512154.8911980479</v>
      </c>
      <c r="K327" s="140">
        <f t="shared" si="259"/>
        <v>566153.67645244661</v>
      </c>
      <c r="L327" s="140">
        <f t="shared" si="259"/>
        <v>627005.73075637792</v>
      </c>
    </row>
    <row r="328" spans="1:12">
      <c r="A328" s="504"/>
      <c r="B328" s="501"/>
      <c r="C328" s="53"/>
      <c r="D328" s="53"/>
      <c r="E328" s="53"/>
      <c r="F328" s="53"/>
      <c r="G328" s="53"/>
      <c r="H328" s="53"/>
      <c r="I328" s="53"/>
      <c r="J328" s="53"/>
      <c r="K328" s="53"/>
      <c r="L328" s="53"/>
    </row>
    <row r="329" spans="1:12" ht="15.5">
      <c r="A329" s="506" t="s">
        <v>424</v>
      </c>
      <c r="B329" s="501"/>
      <c r="C329" s="500">
        <f>C286-C327</f>
        <v>2900400</v>
      </c>
      <c r="D329" s="500">
        <f t="shared" ref="D329:L329" si="260">D286-D327</f>
        <v>4292366.8325000005</v>
      </c>
      <c r="E329" s="500">
        <f t="shared" ca="1" si="260"/>
        <v>6531948.1186421886</v>
      </c>
      <c r="F329" s="500">
        <f t="shared" ca="1" si="260"/>
        <v>7062936.7387361601</v>
      </c>
      <c r="G329" s="500">
        <f t="shared" ca="1" si="260"/>
        <v>7664663.8251302363</v>
      </c>
      <c r="H329" s="500">
        <f t="shared" ca="1" si="260"/>
        <v>8345873.8798887338</v>
      </c>
      <c r="I329" s="500">
        <f t="shared" ca="1" si="260"/>
        <v>9123054.9301907383</v>
      </c>
      <c r="J329" s="500">
        <f t="shared" ca="1" si="260"/>
        <v>10008653.716307029</v>
      </c>
      <c r="K329" s="500">
        <f t="shared" ca="1" si="260"/>
        <v>11019997.102895038</v>
      </c>
      <c r="L329" s="500">
        <f t="shared" ca="1" si="260"/>
        <v>12176682.597037362</v>
      </c>
    </row>
    <row r="330" spans="1:12">
      <c r="A330" s="504"/>
      <c r="B330" s="501"/>
      <c r="C330" s="53"/>
      <c r="D330" s="53"/>
      <c r="E330" s="53"/>
      <c r="F330" s="53"/>
      <c r="G330" s="53"/>
      <c r="H330" s="53"/>
      <c r="I330" s="53"/>
      <c r="J330" s="53"/>
      <c r="K330" s="53"/>
      <c r="L330" s="53"/>
    </row>
    <row r="331" spans="1:12">
      <c r="A331" s="504" t="s">
        <v>162</v>
      </c>
      <c r="B331" s="501"/>
      <c r="C331" s="53">
        <f>'Depreciation Schedule'!G10</f>
        <v>20611.111111111113</v>
      </c>
      <c r="D331" s="53">
        <f>'Depreciation Schedule'!H10</f>
        <v>20611.111111111113</v>
      </c>
      <c r="E331" s="53">
        <f>'Depreciation Schedule'!I10</f>
        <v>20611.111111111113</v>
      </c>
      <c r="F331" s="53">
        <f>'Depreciation Schedule'!J10</f>
        <v>20611.111111111113</v>
      </c>
      <c r="G331" s="53">
        <f>'Depreciation Schedule'!K10</f>
        <v>20611.111111111113</v>
      </c>
      <c r="H331" s="53">
        <f>'Depreciation Schedule'!L10</f>
        <v>20611.111111111113</v>
      </c>
      <c r="I331" s="53">
        <f>'Depreciation Schedule'!M10</f>
        <v>20611.111111111113</v>
      </c>
      <c r="J331" s="53">
        <f>'Depreciation Schedule'!N10</f>
        <v>20611.111111111113</v>
      </c>
      <c r="K331" s="53">
        <f>'Depreciation Schedule'!O10</f>
        <v>20611.111111111113</v>
      </c>
      <c r="L331" s="53">
        <f>'Depreciation Schedule'!P10</f>
        <v>20611.111111111113</v>
      </c>
    </row>
    <row r="332" spans="1:12">
      <c r="A332" s="504" t="s">
        <v>163</v>
      </c>
      <c r="B332" s="501"/>
      <c r="C332" s="53">
        <v>0</v>
      </c>
      <c r="D332" s="53">
        <v>0</v>
      </c>
      <c r="E332" s="53">
        <v>0</v>
      </c>
      <c r="F332" s="53">
        <v>0</v>
      </c>
      <c r="G332" s="53">
        <v>0</v>
      </c>
      <c r="H332" s="53">
        <v>0</v>
      </c>
      <c r="I332" s="53">
        <v>0</v>
      </c>
      <c r="J332" s="53">
        <v>0</v>
      </c>
      <c r="K332" s="53">
        <v>0</v>
      </c>
      <c r="L332" s="53">
        <v>0</v>
      </c>
    </row>
    <row r="333" spans="1:12">
      <c r="A333" s="504"/>
      <c r="B333" s="501"/>
      <c r="C333" s="53"/>
      <c r="D333" s="53"/>
      <c r="E333" s="53"/>
      <c r="F333" s="53"/>
      <c r="G333" s="53"/>
      <c r="H333" s="53"/>
      <c r="I333" s="53"/>
      <c r="J333" s="53"/>
      <c r="K333" s="53"/>
      <c r="L333" s="53"/>
    </row>
    <row r="334" spans="1:12" ht="15.5">
      <c r="A334" s="506" t="s">
        <v>425</v>
      </c>
      <c r="B334" s="501"/>
      <c r="C334" s="500">
        <f>C329-C331-C332</f>
        <v>2879788.888888889</v>
      </c>
      <c r="D334" s="500">
        <f t="shared" ref="D334:L334" si="261">D329-D331-D332</f>
        <v>4271755.7213888895</v>
      </c>
      <c r="E334" s="500">
        <f t="shared" ca="1" si="261"/>
        <v>6511337.0075310776</v>
      </c>
      <c r="F334" s="500">
        <f t="shared" ca="1" si="261"/>
        <v>7042325.6276250491</v>
      </c>
      <c r="G334" s="500">
        <f t="shared" ca="1" si="261"/>
        <v>7644052.7140191253</v>
      </c>
      <c r="H334" s="500">
        <f t="shared" ca="1" si="261"/>
        <v>8325262.7687776228</v>
      </c>
      <c r="I334" s="500">
        <f t="shared" ca="1" si="261"/>
        <v>9102443.8190796264</v>
      </c>
      <c r="J334" s="500">
        <f t="shared" ca="1" si="261"/>
        <v>9988042.6051959172</v>
      </c>
      <c r="K334" s="500">
        <f t="shared" ca="1" si="261"/>
        <v>10999385.991783926</v>
      </c>
      <c r="L334" s="500">
        <f t="shared" ca="1" si="261"/>
        <v>12156071.48592625</v>
      </c>
    </row>
    <row r="335" spans="1:12">
      <c r="A335" s="504"/>
      <c r="B335" s="501"/>
      <c r="C335" s="53"/>
      <c r="D335" s="53"/>
      <c r="E335" s="53"/>
      <c r="F335" s="53"/>
      <c r="G335" s="53"/>
      <c r="H335" s="53"/>
      <c r="I335" s="53"/>
      <c r="J335" s="53"/>
      <c r="K335" s="53"/>
      <c r="L335" s="53"/>
    </row>
    <row r="336" spans="1:12">
      <c r="A336" s="504" t="s">
        <v>165</v>
      </c>
      <c r="B336" s="501"/>
      <c r="C336" s="140">
        <f>'Loan Repayment Schedule'!H24</f>
        <v>78887.593138586235</v>
      </c>
      <c r="D336" s="140">
        <f>'Loan Repayment Schedule'!I24</f>
        <v>74852.949804201286</v>
      </c>
      <c r="E336" s="140">
        <f>'Loan Repayment Schedule'!J24</f>
        <v>70169.719326413004</v>
      </c>
      <c r="F336" s="140">
        <f>'Loan Repayment Schedule'!K24</f>
        <v>64733.63839178221</v>
      </c>
      <c r="G336" s="140">
        <f>'Loan Repayment Schedule'!L24</f>
        <v>58423.682888201663</v>
      </c>
      <c r="H336" s="140">
        <f>'Loan Repayment Schedule'!M24</f>
        <v>51099.373530789453</v>
      </c>
      <c r="I336" s="140">
        <f>'Loan Repayment Schedule'!N24</f>
        <v>42597.648354972385</v>
      </c>
      <c r="J336" s="140">
        <f>'Loan Repayment Schedule'!O24</f>
        <v>32729.232448703373</v>
      </c>
      <c r="K336" s="140">
        <f>'Loan Repayment Schedule'!P24</f>
        <v>21274.424102732115</v>
      </c>
      <c r="L336" s="140">
        <f>'Loan Repayment Schedule'!Q24</f>
        <v>7978.2035654948695</v>
      </c>
    </row>
    <row r="337" spans="1:12">
      <c r="A337" s="504"/>
      <c r="B337" s="501"/>
      <c r="C337" s="53"/>
      <c r="D337" s="53"/>
      <c r="E337" s="53"/>
      <c r="F337" s="53"/>
      <c r="G337" s="53"/>
      <c r="H337" s="53"/>
      <c r="I337" s="53"/>
      <c r="J337" s="53"/>
      <c r="K337" s="53"/>
      <c r="L337" s="53"/>
    </row>
    <row r="338" spans="1:12" ht="15.5">
      <c r="A338" s="506" t="s">
        <v>426</v>
      </c>
      <c r="B338" s="501"/>
      <c r="C338" s="500">
        <f>C334-C336</f>
        <v>2800901.2957503027</v>
      </c>
      <c r="D338" s="500">
        <f t="shared" ref="D338:L338" si="262">D334-D336</f>
        <v>4196902.7715846878</v>
      </c>
      <c r="E338" s="500">
        <f t="shared" ca="1" si="262"/>
        <v>6441167.2882046644</v>
      </c>
      <c r="F338" s="500">
        <f t="shared" ca="1" si="262"/>
        <v>6977591.9892332666</v>
      </c>
      <c r="G338" s="500">
        <f t="shared" ca="1" si="262"/>
        <v>7585629.0311309239</v>
      </c>
      <c r="H338" s="500">
        <f t="shared" ca="1" si="262"/>
        <v>8274163.3952468336</v>
      </c>
      <c r="I338" s="500">
        <f t="shared" ca="1" si="262"/>
        <v>9059846.1707246546</v>
      </c>
      <c r="J338" s="500">
        <f t="shared" ca="1" si="262"/>
        <v>9955313.3727472145</v>
      </c>
      <c r="K338" s="500">
        <f t="shared" ca="1" si="262"/>
        <v>10978111.567681193</v>
      </c>
      <c r="L338" s="500">
        <f t="shared" ca="1" si="262"/>
        <v>12148093.282360755</v>
      </c>
    </row>
    <row r="339" spans="1:12">
      <c r="A339" s="504"/>
      <c r="B339" s="501"/>
      <c r="C339" s="53"/>
      <c r="D339" s="53"/>
      <c r="E339" s="53"/>
      <c r="F339" s="53"/>
      <c r="G339" s="53"/>
      <c r="H339" s="53"/>
      <c r="I339" s="53"/>
      <c r="J339" s="53"/>
      <c r="K339" s="53"/>
      <c r="L339" s="53"/>
    </row>
    <row r="340" spans="1:12">
      <c r="A340" s="504" t="s">
        <v>167</v>
      </c>
      <c r="B340" s="501"/>
      <c r="C340" s="140">
        <f>C338*Assumptions!$D$12</f>
        <v>980315.45351260586</v>
      </c>
      <c r="D340" s="140">
        <f>D338*Assumptions!$D$12</f>
        <v>1468915.9700546407</v>
      </c>
      <c r="E340" s="140">
        <f ca="1">E338*Assumptions!$D$12</f>
        <v>2254408.5508716325</v>
      </c>
      <c r="F340" s="140">
        <f ca="1">F338*Assumptions!$D$12</f>
        <v>2442157.1962316432</v>
      </c>
      <c r="G340" s="140">
        <f ca="1">G338*Assumptions!$D$12</f>
        <v>2654970.160895823</v>
      </c>
      <c r="H340" s="140">
        <f ca="1">H338*Assumptions!$D$12</f>
        <v>2895957.1883363915</v>
      </c>
      <c r="I340" s="140">
        <f ca="1">I338*Assumptions!$D$12</f>
        <v>3170946.159753629</v>
      </c>
      <c r="J340" s="140">
        <f ca="1">J338*Assumptions!$D$12</f>
        <v>3484359.680461525</v>
      </c>
      <c r="K340" s="140">
        <f ca="1">K338*Assumptions!$D$12</f>
        <v>3842339.0486884173</v>
      </c>
      <c r="L340" s="140">
        <f ca="1">L338*Assumptions!$D$12</f>
        <v>4251832.6488262638</v>
      </c>
    </row>
    <row r="341" spans="1:12">
      <c r="A341" s="504"/>
      <c r="B341" s="501"/>
      <c r="C341" s="53"/>
      <c r="D341" s="53"/>
      <c r="E341" s="53"/>
      <c r="F341" s="53"/>
      <c r="G341" s="53"/>
      <c r="H341" s="53"/>
      <c r="I341" s="53"/>
      <c r="J341" s="53"/>
      <c r="K341" s="53"/>
      <c r="L341" s="53"/>
    </row>
    <row r="342" spans="1:12" ht="15.5">
      <c r="A342" s="506" t="s">
        <v>97</v>
      </c>
      <c r="B342" s="501"/>
      <c r="C342" s="500">
        <f>C338-C340</f>
        <v>1820585.842237697</v>
      </c>
      <c r="D342" s="500">
        <f t="shared" ref="D342:L342" si="263">D338-D340</f>
        <v>2727986.8015300473</v>
      </c>
      <c r="E342" s="500">
        <f t="shared" ca="1" si="263"/>
        <v>4186758.7373330318</v>
      </c>
      <c r="F342" s="500">
        <f t="shared" ca="1" si="263"/>
        <v>4535434.7930016238</v>
      </c>
      <c r="G342" s="500">
        <f t="shared" ca="1" si="263"/>
        <v>4930658.8702351004</v>
      </c>
      <c r="H342" s="500">
        <f t="shared" ca="1" si="263"/>
        <v>5378206.2069104426</v>
      </c>
      <c r="I342" s="500">
        <f t="shared" ca="1" si="263"/>
        <v>5888900.0109710256</v>
      </c>
      <c r="J342" s="500">
        <f t="shared" ca="1" si="263"/>
        <v>6470953.6922856895</v>
      </c>
      <c r="K342" s="500">
        <f t="shared" ca="1" si="263"/>
        <v>7135772.5189927761</v>
      </c>
      <c r="L342" s="500">
        <f t="shared" ca="1" si="263"/>
        <v>7896260.6335344911</v>
      </c>
    </row>
    <row r="343" spans="1:12">
      <c r="A343" s="504"/>
      <c r="B343" s="501"/>
      <c r="C343" s="53"/>
      <c r="D343" s="53"/>
      <c r="E343" s="53"/>
      <c r="F343" s="53"/>
      <c r="G343" s="53"/>
      <c r="H343" s="53"/>
      <c r="I343" s="53"/>
      <c r="J343" s="53"/>
      <c r="K343" s="53"/>
      <c r="L343" s="53"/>
    </row>
    <row r="344" spans="1:12" ht="16" thickBot="1">
      <c r="A344" s="510" t="s">
        <v>168</v>
      </c>
      <c r="B344" s="502"/>
      <c r="C344" s="503">
        <f>C342</f>
        <v>1820585.842237697</v>
      </c>
      <c r="D344" s="503">
        <f>C344+D342</f>
        <v>4548572.6437677443</v>
      </c>
      <c r="E344" s="503">
        <f t="shared" ref="E344" ca="1" si="264">D344+E342</f>
        <v>8735331.3811007757</v>
      </c>
      <c r="F344" s="503">
        <f t="shared" ref="F344" ca="1" si="265">E344+F342</f>
        <v>13270766.174102399</v>
      </c>
      <c r="G344" s="503">
        <f t="shared" ref="G344" ca="1" si="266">F344+G342</f>
        <v>18201425.0443375</v>
      </c>
      <c r="H344" s="503">
        <f t="shared" ref="H344" ca="1" si="267">G344+H342</f>
        <v>23579631.251247942</v>
      </c>
      <c r="I344" s="503">
        <f t="shared" ref="I344" ca="1" si="268">H344+I342</f>
        <v>29468531.262218967</v>
      </c>
      <c r="J344" s="503">
        <f t="shared" ref="J344" ca="1" si="269">I344+J342</f>
        <v>35939484.954504654</v>
      </c>
      <c r="K344" s="503">
        <f t="shared" ref="K344" ca="1" si="270">J344+K342</f>
        <v>43075257.473497428</v>
      </c>
      <c r="L344" s="503">
        <f t="shared" ref="L344" ca="1" si="271">K344+L342</f>
        <v>50971518.107031919</v>
      </c>
    </row>
    <row r="345" spans="1:12" ht="15" thickTop="1">
      <c r="B345" s="519"/>
      <c r="C345" s="520"/>
      <c r="D345" s="520"/>
      <c r="E345" s="520"/>
      <c r="F345" s="520"/>
      <c r="G345" s="520"/>
      <c r="H345" s="520"/>
      <c r="I345" s="520"/>
      <c r="J345" s="520"/>
      <c r="K345" s="520"/>
      <c r="L345" s="520"/>
    </row>
    <row r="346" spans="1:12" ht="15.5">
      <c r="A346" s="511" t="s">
        <v>401</v>
      </c>
      <c r="B346" s="501"/>
      <c r="C346" s="140"/>
      <c r="D346" s="140"/>
      <c r="E346" s="140"/>
      <c r="F346" s="140"/>
      <c r="G346" s="140"/>
      <c r="H346" s="140"/>
      <c r="I346" s="140"/>
      <c r="J346" s="140"/>
      <c r="K346" s="140"/>
      <c r="L346" s="141"/>
    </row>
    <row r="347" spans="1:12" ht="15.5">
      <c r="A347" s="512" t="s">
        <v>406</v>
      </c>
      <c r="B347" s="501"/>
      <c r="C347" s="53"/>
      <c r="D347" s="53"/>
      <c r="E347" s="53"/>
      <c r="F347" s="53"/>
      <c r="G347" s="53"/>
      <c r="H347" s="53"/>
      <c r="I347" s="53"/>
      <c r="J347" s="53"/>
      <c r="K347" s="53"/>
      <c r="L347" s="53"/>
    </row>
    <row r="348" spans="1:12">
      <c r="A348" s="513" t="s">
        <v>311</v>
      </c>
      <c r="B348" s="501"/>
      <c r="C348" s="138">
        <f>Revenue!AQ8</f>
        <v>1540</v>
      </c>
      <c r="D348" s="138">
        <f>Revenue!AR8</f>
        <v>1570.8</v>
      </c>
      <c r="E348" s="138">
        <f ca="1">Revenue!AS8</f>
        <v>1606.4812028915997</v>
      </c>
      <c r="F348" s="138">
        <f ca="1">Revenue!AT8</f>
        <v>1647.4676043406857</v>
      </c>
      <c r="G348" s="138">
        <f ca="1">Revenue!AU8</f>
        <v>1695.3514916112051</v>
      </c>
      <c r="H348" s="138">
        <f ca="1">Revenue!AV8</f>
        <v>1749.9463249122666</v>
      </c>
      <c r="I348" s="138">
        <f ca="1">Revenue!AW8</f>
        <v>1813.2711457618377</v>
      </c>
      <c r="J348" s="138">
        <f ca="1">Revenue!AX8</f>
        <v>1885.5962003548098</v>
      </c>
      <c r="K348" s="138">
        <f ca="1">Revenue!AY8</f>
        <v>1967.0500044881994</v>
      </c>
      <c r="L348" s="138">
        <f ca="1">Revenue!AZ8</f>
        <v>2058.2619201421544</v>
      </c>
    </row>
    <row r="349" spans="1:12">
      <c r="A349" s="513" t="s">
        <v>60</v>
      </c>
      <c r="B349" s="501"/>
      <c r="C349" s="500">
        <f>Revenue!AC8</f>
        <v>1000</v>
      </c>
      <c r="D349" s="500">
        <f>Revenue!AD8</f>
        <v>1040</v>
      </c>
      <c r="E349" s="500">
        <f>Revenue!AE8</f>
        <v>1081.6000000000001</v>
      </c>
      <c r="F349" s="500">
        <f>Revenue!AF8</f>
        <v>1124.8640000000003</v>
      </c>
      <c r="G349" s="500">
        <f>Revenue!AG8</f>
        <v>1169.8585600000004</v>
      </c>
      <c r="H349" s="500">
        <f>Revenue!AH8</f>
        <v>1216.6529024000004</v>
      </c>
      <c r="I349" s="500">
        <f>Revenue!AI8</f>
        <v>1265.3190184960004</v>
      </c>
      <c r="J349" s="500">
        <f>Revenue!AJ8</f>
        <v>1315.9317792358404</v>
      </c>
      <c r="K349" s="500">
        <f>Revenue!AK8</f>
        <v>1368.5690504052741</v>
      </c>
      <c r="L349" s="500">
        <f>Revenue!AL8</f>
        <v>1423.311812421485</v>
      </c>
    </row>
    <row r="350" spans="1:12">
      <c r="A350" s="513" t="s">
        <v>417</v>
      </c>
      <c r="B350" s="501"/>
      <c r="C350" s="500">
        <f>C348*C349</f>
        <v>1540000</v>
      </c>
      <c r="D350" s="500">
        <f t="shared" ref="D350" si="272">D348*D349</f>
        <v>1633632</v>
      </c>
      <c r="E350" s="500">
        <f t="shared" ref="E350" ca="1" si="273">E348*E349</f>
        <v>1737570.0690475544</v>
      </c>
      <c r="F350" s="500">
        <f t="shared" ref="F350" ca="1" si="274">F348*F349</f>
        <v>1853176.9992890817</v>
      </c>
      <c r="G350" s="500">
        <f t="shared" ref="G350" ca="1" si="275">G348*G349</f>
        <v>1983321.454670137</v>
      </c>
      <c r="H350" s="500">
        <f t="shared" ref="H350" ca="1" si="276">H348*H349</f>
        <v>2129077.2752487231</v>
      </c>
      <c r="I350" s="500">
        <f t="shared" ref="I350" ca="1" si="277">I348*I349</f>
        <v>2294366.4664224866</v>
      </c>
      <c r="J350" s="500">
        <f t="shared" ref="J350" ca="1" si="278">J348*J349</f>
        <v>2481315.962853245</v>
      </c>
      <c r="K350" s="500">
        <f t="shared" ref="K350" ca="1" si="279">K348*K349</f>
        <v>2692043.7567421054</v>
      </c>
      <c r="L350" s="500">
        <f t="shared" ref="L350" ca="1" si="280">L348*L349</f>
        <v>2929548.5039956556</v>
      </c>
    </row>
    <row r="351" spans="1:12" ht="15.5">
      <c r="A351" s="514" t="s">
        <v>407</v>
      </c>
      <c r="B351" s="501"/>
      <c r="C351" s="53"/>
      <c r="D351" s="53"/>
      <c r="E351" s="53"/>
      <c r="F351" s="53"/>
      <c r="G351" s="53"/>
      <c r="H351" s="53"/>
      <c r="I351" s="53"/>
      <c r="J351" s="53"/>
      <c r="K351" s="53"/>
      <c r="L351" s="53"/>
    </row>
    <row r="352" spans="1:12">
      <c r="A352" s="515" t="s">
        <v>409</v>
      </c>
      <c r="B352" s="501"/>
      <c r="C352" s="138">
        <f>Revenue!AQ9</f>
        <v>1000</v>
      </c>
      <c r="D352" s="138">
        <f>Revenue!AR9</f>
        <v>1050</v>
      </c>
      <c r="E352" s="138">
        <f ca="1">Revenue!AS9</f>
        <v>1105.4760729602758</v>
      </c>
      <c r="F352" s="138">
        <f ca="1">Revenue!AT9</f>
        <v>1168.1444027360767</v>
      </c>
      <c r="G352" s="138">
        <f ca="1">Revenue!AU9</f>
        <v>1238.58761084104</v>
      </c>
      <c r="H352" s="138">
        <f ca="1">Revenue!AV9</f>
        <v>1317.8164152843672</v>
      </c>
      <c r="I352" s="138">
        <f ca="1">Revenue!AW9</f>
        <v>1406.4996395750538</v>
      </c>
      <c r="J352" s="138">
        <f ca="1">Revenue!AX9</f>
        <v>1504.6809108338757</v>
      </c>
      <c r="K352" s="138">
        <f ca="1">Revenue!AY9</f>
        <v>1613.7326313965523</v>
      </c>
      <c r="L352" s="138">
        <f ca="1">Revenue!AZ9</f>
        <v>1734.8079017371031</v>
      </c>
    </row>
    <row r="353" spans="1:12">
      <c r="A353" s="516" t="s">
        <v>410</v>
      </c>
      <c r="B353" s="501"/>
      <c r="C353" s="500">
        <f>Revenue!AC9</f>
        <v>850</v>
      </c>
      <c r="D353" s="500">
        <f>Revenue!AD9</f>
        <v>884</v>
      </c>
      <c r="E353" s="500">
        <f>Revenue!AE9</f>
        <v>919.36</v>
      </c>
      <c r="F353" s="500">
        <f>Revenue!AF9</f>
        <v>956.13440000000003</v>
      </c>
      <c r="G353" s="500">
        <f>Revenue!AG9</f>
        <v>994.37977600000011</v>
      </c>
      <c r="H353" s="500">
        <f>Revenue!AH9</f>
        <v>1034.1549670400002</v>
      </c>
      <c r="I353" s="500">
        <f>Revenue!AI9</f>
        <v>1075.5211657216003</v>
      </c>
      <c r="J353" s="500">
        <f>Revenue!AJ9</f>
        <v>1118.5420123504643</v>
      </c>
      <c r="K353" s="500">
        <f>Revenue!AK9</f>
        <v>1163.2836928444829</v>
      </c>
      <c r="L353" s="500">
        <f>Revenue!AL9</f>
        <v>1209.8150405582621</v>
      </c>
    </row>
    <row r="354" spans="1:12">
      <c r="A354" s="517" t="s">
        <v>418</v>
      </c>
      <c r="B354" s="501"/>
      <c r="C354" s="500">
        <f>C352*C353</f>
        <v>850000</v>
      </c>
      <c r="D354" s="500">
        <f t="shared" ref="D354" si="281">D352*D353</f>
        <v>928200</v>
      </c>
      <c r="E354" s="500">
        <f t="shared" ref="E354" ca="1" si="282">E352*E353</f>
        <v>1016330.4824367592</v>
      </c>
      <c r="F354" s="500">
        <f t="shared" ref="F354" ca="1" si="283">F352*F353</f>
        <v>1116903.0476234171</v>
      </c>
      <c r="G354" s="500">
        <f t="shared" ref="G354" ca="1" si="284">G352*G353</f>
        <v>1231626.4710244888</v>
      </c>
      <c r="H354" s="500">
        <f t="shared" ref="H354" ca="1" si="285">H352*H353</f>
        <v>1362826.391513176</v>
      </c>
      <c r="I354" s="500">
        <f t="shared" ref="I354" ca="1" si="286">I352*I353</f>
        <v>1512720.1319427725</v>
      </c>
      <c r="J354" s="500">
        <f t="shared" ref="J354" ca="1" si="287">J352*J353</f>
        <v>1683048.8139494529</v>
      </c>
      <c r="K354" s="500">
        <f t="shared" ref="K354" ca="1" si="288">K352*K353</f>
        <v>1877228.854714626</v>
      </c>
      <c r="L354" s="500">
        <f t="shared" ref="L354" ca="1" si="289">L352*L353</f>
        <v>2098796.6920008669</v>
      </c>
    </row>
    <row r="355" spans="1:12" ht="15.5">
      <c r="A355" s="514" t="s">
        <v>408</v>
      </c>
      <c r="B355" s="501"/>
      <c r="C355" s="53"/>
      <c r="D355" s="53"/>
      <c r="E355" s="53"/>
      <c r="F355" s="53"/>
      <c r="G355" s="53"/>
      <c r="H355" s="53"/>
      <c r="I355" s="53"/>
      <c r="J355" s="53"/>
      <c r="K355" s="53"/>
      <c r="L355" s="53"/>
    </row>
    <row r="356" spans="1:12">
      <c r="A356" s="515" t="s">
        <v>409</v>
      </c>
      <c r="B356" s="501"/>
      <c r="C356" s="138">
        <f>Revenue!AQ10</f>
        <v>1270</v>
      </c>
      <c r="D356" s="138">
        <f>Revenue!AR10</f>
        <v>1308.1000000000001</v>
      </c>
      <c r="E356" s="138">
        <f ca="1">Revenue!AS10</f>
        <v>1351.7171881902859</v>
      </c>
      <c r="F356" s="138">
        <f ca="1">Revenue!AT10</f>
        <v>1400.0826884526214</v>
      </c>
      <c r="G356" s="138">
        <f ca="1">Revenue!AU10</f>
        <v>1455.6282243769865</v>
      </c>
      <c r="H356" s="138">
        <f ca="1">Revenue!AV10</f>
        <v>1517.5156192470959</v>
      </c>
      <c r="I356" s="138">
        <f ca="1">Revenue!AW10</f>
        <v>1586.5114405391375</v>
      </c>
      <c r="J356" s="138">
        <f ca="1">Revenue!AX10</f>
        <v>1664.7029660766277</v>
      </c>
      <c r="K356" s="138">
        <f ca="1">Revenue!AY10</f>
        <v>1753.1064367546785</v>
      </c>
      <c r="L356" s="138">
        <f ca="1">Revenue!AZ10</f>
        <v>1852.2363604048662</v>
      </c>
    </row>
    <row r="357" spans="1:12">
      <c r="A357" s="516" t="s">
        <v>410</v>
      </c>
      <c r="B357" s="501"/>
      <c r="C357" s="500">
        <f>Revenue!AC10</f>
        <v>2000</v>
      </c>
      <c r="D357" s="500">
        <f>Revenue!AD10</f>
        <v>2080</v>
      </c>
      <c r="E357" s="500">
        <f>Revenue!AE10</f>
        <v>2163.2000000000003</v>
      </c>
      <c r="F357" s="500">
        <f>Revenue!AF10</f>
        <v>2249.7280000000005</v>
      </c>
      <c r="G357" s="500">
        <f>Revenue!AG10</f>
        <v>2339.7171200000007</v>
      </c>
      <c r="H357" s="500">
        <f>Revenue!AH10</f>
        <v>2433.3058048000007</v>
      </c>
      <c r="I357" s="500">
        <f>Revenue!AI10</f>
        <v>2530.6380369920007</v>
      </c>
      <c r="J357" s="500">
        <f>Revenue!AJ10</f>
        <v>2631.8635584716808</v>
      </c>
      <c r="K357" s="500">
        <f>Revenue!AK10</f>
        <v>2737.1381008105482</v>
      </c>
      <c r="L357" s="500">
        <f>Revenue!AL10</f>
        <v>2846.62362484297</v>
      </c>
    </row>
    <row r="358" spans="1:12">
      <c r="A358" s="517" t="s">
        <v>418</v>
      </c>
      <c r="B358" s="501"/>
      <c r="C358" s="500">
        <f>C356*C357</f>
        <v>2540000</v>
      </c>
      <c r="D358" s="500">
        <f t="shared" ref="D358" si="290">D356*D357</f>
        <v>2720848.0000000005</v>
      </c>
      <c r="E358" s="500">
        <f t="shared" ref="E358" ca="1" si="291">E356*E357</f>
        <v>2924034.6214932268</v>
      </c>
      <c r="F358" s="500">
        <f t="shared" ref="F358" ca="1" si="292">F356*F357</f>
        <v>3149805.2265271395</v>
      </c>
      <c r="G358" s="500">
        <f t="shared" ref="G358" ca="1" si="293">G356*G357</f>
        <v>3405758.2769300379</v>
      </c>
      <c r="H358" s="500">
        <f t="shared" ref="H358" ca="1" si="294">H356*H357</f>
        <v>3692579.5651886258</v>
      </c>
      <c r="I358" s="500">
        <f t="shared" ref="I358" ca="1" si="295">I356*I357</f>
        <v>4014886.1975513143</v>
      </c>
      <c r="J358" s="500">
        <f t="shared" ref="J358" ca="1" si="296">J356*J357</f>
        <v>4381271.0720967948</v>
      </c>
      <c r="K358" s="500">
        <f t="shared" ref="K358" ca="1" si="297">K356*K357</f>
        <v>4798494.4228174482</v>
      </c>
      <c r="L358" s="500">
        <f t="shared" ref="L358" ca="1" si="298">L356*L357</f>
        <v>5272619.7823216505</v>
      </c>
    </row>
    <row r="359" spans="1:12" ht="15.5">
      <c r="A359" s="514" t="s">
        <v>411</v>
      </c>
      <c r="B359" s="501"/>
      <c r="C359" s="53"/>
      <c r="D359" s="53"/>
      <c r="E359" s="53"/>
      <c r="F359" s="53"/>
      <c r="G359" s="53"/>
      <c r="H359" s="53"/>
      <c r="I359" s="53"/>
      <c r="J359" s="53"/>
      <c r="K359" s="53"/>
      <c r="L359" s="53"/>
    </row>
    <row r="360" spans="1:12">
      <c r="A360" s="515" t="s">
        <v>409</v>
      </c>
      <c r="B360" s="501"/>
      <c r="C360" s="138">
        <f>Revenue!AQ11</f>
        <v>0</v>
      </c>
      <c r="D360" s="138">
        <f>Revenue!AR11</f>
        <v>635</v>
      </c>
      <c r="E360" s="138">
        <f ca="1">Revenue!AS11</f>
        <v>662.09444170022573</v>
      </c>
      <c r="F360" s="138">
        <f ca="1">Revenue!AT11</f>
        <v>692.0662255546722</v>
      </c>
      <c r="G360" s="138">
        <f ca="1">Revenue!AU11</f>
        <v>725.55900589944065</v>
      </c>
      <c r="H360" s="138">
        <f ca="1">Revenue!AV11</f>
        <v>763.2036615877804</v>
      </c>
      <c r="I360" s="138">
        <f ca="1">Revenue!AW11</f>
        <v>805.78053602921386</v>
      </c>
      <c r="J360" s="138">
        <f ca="1">Revenue!AX11</f>
        <v>853.33955390643519</v>
      </c>
      <c r="K360" s="138">
        <f ca="1">Revenue!AY11</f>
        <v>906.95643245964209</v>
      </c>
      <c r="L360" s="138">
        <f ca="1">Revenue!AZ11</f>
        <v>967.04956015610492</v>
      </c>
    </row>
    <row r="361" spans="1:12">
      <c r="A361" s="516" t="s">
        <v>410</v>
      </c>
      <c r="B361" s="501"/>
      <c r="C361" s="500">
        <f>Revenue!AC11</f>
        <v>0</v>
      </c>
      <c r="D361" s="500">
        <f>Revenue!AD11</f>
        <v>3000</v>
      </c>
      <c r="E361" s="500">
        <f>Revenue!AE11</f>
        <v>3120</v>
      </c>
      <c r="F361" s="500">
        <f>Revenue!AF11</f>
        <v>3244.8</v>
      </c>
      <c r="G361" s="500">
        <f>Revenue!AG11</f>
        <v>3374.5920000000001</v>
      </c>
      <c r="H361" s="500">
        <f>Revenue!AH11</f>
        <v>3509.5756800000004</v>
      </c>
      <c r="I361" s="500">
        <f>Revenue!AI11</f>
        <v>3649.9587072000004</v>
      </c>
      <c r="J361" s="500">
        <f>Revenue!AJ11</f>
        <v>3795.9570554880006</v>
      </c>
      <c r="K361" s="500">
        <f>Revenue!AK11</f>
        <v>3947.795337707521</v>
      </c>
      <c r="L361" s="500">
        <f>Revenue!AL11</f>
        <v>4105.7071512158218</v>
      </c>
    </row>
    <row r="362" spans="1:12">
      <c r="A362" s="517" t="s">
        <v>418</v>
      </c>
      <c r="B362" s="501"/>
      <c r="C362" s="500">
        <f>C360*C361</f>
        <v>0</v>
      </c>
      <c r="D362" s="500">
        <f t="shared" ref="D362" si="299">D360*D361</f>
        <v>1905000</v>
      </c>
      <c r="E362" s="500">
        <f t="shared" ref="E362" ca="1" si="300">E360*E361</f>
        <v>2065734.6581047042</v>
      </c>
      <c r="F362" s="500">
        <f t="shared" ref="F362" ca="1" si="301">F360*F361</f>
        <v>2245616.4886798006</v>
      </c>
      <c r="G362" s="500">
        <f t="shared" ref="G362" ca="1" si="302">G360*G361</f>
        <v>2448465.6168362051</v>
      </c>
      <c r="H362" s="500">
        <f t="shared" ref="H362" ca="1" si="303">H360*H361</f>
        <v>2678521.0095954244</v>
      </c>
      <c r="I362" s="500">
        <f t="shared" ref="I362" ca="1" si="304">I360*I361</f>
        <v>2941065.6835721126</v>
      </c>
      <c r="J362" s="500">
        <f t="shared" ref="J362" ca="1" si="305">J360*J361</f>
        <v>3239240.3003781158</v>
      </c>
      <c r="K362" s="500">
        <f t="shared" ref="K362" ca="1" si="306">K360*K361</f>
        <v>3580478.3755680211</v>
      </c>
      <c r="L362" s="500">
        <f t="shared" ref="L362" ca="1" si="307">L360*L361</f>
        <v>3970422.2947130352</v>
      </c>
    </row>
    <row r="363" spans="1:12" ht="15.5">
      <c r="A363" s="514" t="s">
        <v>413</v>
      </c>
      <c r="B363" s="501"/>
      <c r="C363" s="53"/>
      <c r="D363" s="53"/>
      <c r="E363" s="53"/>
      <c r="F363" s="53"/>
      <c r="G363" s="53"/>
      <c r="H363" s="53"/>
      <c r="I363" s="53"/>
      <c r="J363" s="53"/>
      <c r="K363" s="53"/>
      <c r="L363" s="53"/>
    </row>
    <row r="364" spans="1:12">
      <c r="A364" s="515" t="s">
        <v>409</v>
      </c>
      <c r="B364" s="501"/>
      <c r="C364" s="138">
        <f>Revenue!AQ12</f>
        <v>0</v>
      </c>
      <c r="D364" s="138">
        <f>Revenue!AR12</f>
        <v>0</v>
      </c>
      <c r="E364" s="138">
        <f>Revenue!AS12</f>
        <v>318</v>
      </c>
      <c r="F364" s="138">
        <f ca="1">Revenue!AT12</f>
        <v>342.65541896415601</v>
      </c>
      <c r="G364" s="138">
        <f ca="1">Revenue!AU12</f>
        <v>370.57991864888561</v>
      </c>
      <c r="H364" s="138">
        <f ca="1">Revenue!AV12</f>
        <v>402.00896740721538</v>
      </c>
      <c r="I364" s="138">
        <f ca="1">Revenue!AW12</f>
        <v>437.14498619660287</v>
      </c>
      <c r="J364" s="138">
        <f ca="1">Revenue!AX12</f>
        <v>477.06749069888491</v>
      </c>
      <c r="K364" s="138">
        <f ca="1">Revenue!AY12</f>
        <v>522.11526185162938</v>
      </c>
      <c r="L364" s="138">
        <f ca="1">Revenue!AZ12</f>
        <v>573.44957004660455</v>
      </c>
    </row>
    <row r="365" spans="1:12">
      <c r="A365" s="516" t="s">
        <v>410</v>
      </c>
      <c r="B365" s="501"/>
      <c r="C365" s="500">
        <f>Revenue!AC12</f>
        <v>0</v>
      </c>
      <c r="D365" s="500">
        <f>Revenue!AD12</f>
        <v>0</v>
      </c>
      <c r="E365" s="500">
        <f>Revenue!AE12</f>
        <v>10000</v>
      </c>
      <c r="F365" s="500">
        <f>Revenue!AF12</f>
        <v>10400</v>
      </c>
      <c r="G365" s="500">
        <f>Revenue!AG12</f>
        <v>10816</v>
      </c>
      <c r="H365" s="500">
        <f>Revenue!AH12</f>
        <v>11248.640000000001</v>
      </c>
      <c r="I365" s="500">
        <f>Revenue!AI12</f>
        <v>11698.585600000002</v>
      </c>
      <c r="J365" s="500">
        <f>Revenue!AJ12</f>
        <v>12166.529024000003</v>
      </c>
      <c r="K365" s="500">
        <f>Revenue!AK12</f>
        <v>12653.190184960004</v>
      </c>
      <c r="L365" s="500">
        <f>Revenue!AL12</f>
        <v>13159.317792358404</v>
      </c>
    </row>
    <row r="366" spans="1:12">
      <c r="A366" s="517" t="s">
        <v>418</v>
      </c>
      <c r="B366" s="501"/>
      <c r="C366" s="500">
        <f>C364*C365</f>
        <v>0</v>
      </c>
      <c r="D366" s="500">
        <f t="shared" ref="D366" si="308">D364*D365</f>
        <v>0</v>
      </c>
      <c r="E366" s="500">
        <f t="shared" ref="E366" si="309">E364*E365</f>
        <v>3180000</v>
      </c>
      <c r="F366" s="500">
        <f t="shared" ref="F366" ca="1" si="310">F364*F365</f>
        <v>3563616.3572272225</v>
      </c>
      <c r="G366" s="500">
        <f t="shared" ref="G366" ca="1" si="311">G364*G365</f>
        <v>4008192.4001063467</v>
      </c>
      <c r="H366" s="500">
        <f t="shared" ref="H366" ca="1" si="312">H364*H365</f>
        <v>4522054.1511354996</v>
      </c>
      <c r="I366" s="500">
        <f t="shared" ref="I366" ca="1" si="313">I364*I365</f>
        <v>5113978.0406317776</v>
      </c>
      <c r="J366" s="500">
        <f t="shared" ref="J366" ca="1" si="314">J364*J365</f>
        <v>5804255.471994835</v>
      </c>
      <c r="K366" s="500">
        <f t="shared" ref="K366" ca="1" si="315">K364*K365</f>
        <v>6606423.706678859</v>
      </c>
      <c r="L366" s="500">
        <f t="shared" ref="L366" ca="1" si="316">L364*L365</f>
        <v>7546205.1301345602</v>
      </c>
    </row>
    <row r="367" spans="1:12" ht="15.5">
      <c r="A367" s="514" t="s">
        <v>412</v>
      </c>
      <c r="B367" s="501"/>
      <c r="C367" s="53"/>
      <c r="D367" s="53"/>
      <c r="E367" s="53"/>
      <c r="F367" s="53"/>
      <c r="G367" s="53"/>
      <c r="H367" s="53"/>
      <c r="I367" s="53"/>
      <c r="J367" s="53"/>
      <c r="K367" s="53"/>
      <c r="L367" s="53"/>
    </row>
    <row r="368" spans="1:12">
      <c r="A368" s="515" t="s">
        <v>409</v>
      </c>
      <c r="B368" s="501"/>
      <c r="C368" s="138">
        <f>Revenue!AQ13</f>
        <v>0</v>
      </c>
      <c r="D368" s="138">
        <f>Revenue!AR13</f>
        <v>0</v>
      </c>
      <c r="E368" s="138">
        <f ca="1">Revenue!AS13</f>
        <v>0</v>
      </c>
      <c r="F368" s="138">
        <f ca="1">Revenue!AT13</f>
        <v>0</v>
      </c>
      <c r="G368" s="138">
        <f ca="1">Revenue!AU13</f>
        <v>0</v>
      </c>
      <c r="H368" s="138">
        <f ca="1">Revenue!AV13</f>
        <v>0</v>
      </c>
      <c r="I368" s="138">
        <f ca="1">Revenue!AW13</f>
        <v>0</v>
      </c>
      <c r="J368" s="138">
        <f ca="1">Revenue!AX13</f>
        <v>0</v>
      </c>
      <c r="K368" s="138">
        <f ca="1">Revenue!AY13</f>
        <v>0</v>
      </c>
      <c r="L368" s="138">
        <f ca="1">Revenue!AZ13</f>
        <v>0</v>
      </c>
    </row>
    <row r="369" spans="1:12">
      <c r="A369" s="516" t="s">
        <v>410</v>
      </c>
      <c r="B369" s="501"/>
      <c r="C369" s="500">
        <f>Revenue!AC13</f>
        <v>0</v>
      </c>
      <c r="D369" s="500">
        <f>Revenue!AD13</f>
        <v>0</v>
      </c>
      <c r="E369" s="500">
        <f>Revenue!AE13</f>
        <v>0</v>
      </c>
      <c r="F369" s="500">
        <f>Revenue!AF13</f>
        <v>0</v>
      </c>
      <c r="G369" s="500">
        <f>Revenue!AG13</f>
        <v>0</v>
      </c>
      <c r="H369" s="500">
        <f>Revenue!AH13</f>
        <v>0</v>
      </c>
      <c r="I369" s="500">
        <f>Revenue!AI13</f>
        <v>0</v>
      </c>
      <c r="J369" s="500">
        <f>Revenue!AJ13</f>
        <v>0</v>
      </c>
      <c r="K369" s="500">
        <f>Revenue!AK13</f>
        <v>0</v>
      </c>
      <c r="L369" s="500">
        <f>Revenue!AL13</f>
        <v>0</v>
      </c>
    </row>
    <row r="370" spans="1:12">
      <c r="A370" s="517" t="s">
        <v>418</v>
      </c>
      <c r="B370" s="501"/>
      <c r="C370" s="500">
        <f>C368*C369</f>
        <v>0</v>
      </c>
      <c r="D370" s="500">
        <f t="shared" ref="D370" si="317">D368*D369</f>
        <v>0</v>
      </c>
      <c r="E370" s="500">
        <f t="shared" ref="E370" ca="1" si="318">E368*E369</f>
        <v>0</v>
      </c>
      <c r="F370" s="500">
        <f t="shared" ref="F370" ca="1" si="319">F368*F369</f>
        <v>0</v>
      </c>
      <c r="G370" s="500">
        <f t="shared" ref="G370" ca="1" si="320">G368*G369</f>
        <v>0</v>
      </c>
      <c r="H370" s="500">
        <f t="shared" ref="H370" ca="1" si="321">H368*H369</f>
        <v>0</v>
      </c>
      <c r="I370" s="500">
        <f t="shared" ref="I370" ca="1" si="322">I368*I369</f>
        <v>0</v>
      </c>
      <c r="J370" s="500">
        <f t="shared" ref="J370" ca="1" si="323">J368*J369</f>
        <v>0</v>
      </c>
      <c r="K370" s="500">
        <f t="shared" ref="K370" ca="1" si="324">K368*K369</f>
        <v>0</v>
      </c>
      <c r="L370" s="500">
        <f t="shared" ref="L370" ca="1" si="325">L368*L369</f>
        <v>0</v>
      </c>
    </row>
    <row r="371" spans="1:12" ht="15.5">
      <c r="A371" s="514" t="s">
        <v>414</v>
      </c>
      <c r="B371" s="501"/>
      <c r="C371" s="53"/>
      <c r="D371" s="53"/>
      <c r="E371" s="53"/>
      <c r="F371" s="53"/>
      <c r="G371" s="53"/>
      <c r="H371" s="53"/>
      <c r="I371" s="53"/>
      <c r="J371" s="53"/>
      <c r="K371" s="53"/>
      <c r="L371" s="53"/>
    </row>
    <row r="372" spans="1:12">
      <c r="A372" s="515" t="s">
        <v>409</v>
      </c>
      <c r="B372" s="501"/>
      <c r="C372" s="138">
        <f>Revenue!AQ14</f>
        <v>0</v>
      </c>
      <c r="D372" s="138">
        <f>Revenue!AR14</f>
        <v>0</v>
      </c>
      <c r="E372" s="138">
        <f>Revenue!AS14</f>
        <v>0</v>
      </c>
      <c r="F372" s="138">
        <f>Revenue!AT14</f>
        <v>0</v>
      </c>
      <c r="G372" s="138">
        <f>Revenue!AU14</f>
        <v>0</v>
      </c>
      <c r="H372" s="138">
        <f>Revenue!AV14</f>
        <v>0</v>
      </c>
      <c r="I372" s="138">
        <f>Revenue!AW14</f>
        <v>0</v>
      </c>
      <c r="J372" s="138">
        <f>Revenue!AX14</f>
        <v>0</v>
      </c>
      <c r="K372" s="138">
        <f>Revenue!AY14</f>
        <v>0</v>
      </c>
      <c r="L372" s="138">
        <f>Revenue!AZ14</f>
        <v>0</v>
      </c>
    </row>
    <row r="373" spans="1:12">
      <c r="A373" s="516" t="s">
        <v>410</v>
      </c>
      <c r="B373" s="501"/>
      <c r="C373" s="500">
        <f>Revenue!AC14</f>
        <v>0</v>
      </c>
      <c r="D373" s="500">
        <f>Revenue!AD14</f>
        <v>0</v>
      </c>
      <c r="E373" s="500">
        <f>Revenue!AE14</f>
        <v>0</v>
      </c>
      <c r="F373" s="500">
        <f>Revenue!AF14</f>
        <v>0</v>
      </c>
      <c r="G373" s="500">
        <f>Revenue!AG14</f>
        <v>0</v>
      </c>
      <c r="H373" s="500">
        <f>Revenue!AH14</f>
        <v>0</v>
      </c>
      <c r="I373" s="500">
        <f>Revenue!AI14</f>
        <v>0</v>
      </c>
      <c r="J373" s="500">
        <f>Revenue!AJ14</f>
        <v>0</v>
      </c>
      <c r="K373" s="500">
        <f>Revenue!AK14</f>
        <v>0</v>
      </c>
      <c r="L373" s="500">
        <f>Revenue!AL14</f>
        <v>0</v>
      </c>
    </row>
    <row r="374" spans="1:12">
      <c r="A374" s="517" t="s">
        <v>418</v>
      </c>
      <c r="B374" s="501"/>
      <c r="C374" s="500">
        <f>C372*C373</f>
        <v>0</v>
      </c>
      <c r="D374" s="500">
        <f t="shared" ref="D374" si="326">D372*D373</f>
        <v>0</v>
      </c>
      <c r="E374" s="500">
        <f t="shared" ref="E374" si="327">E372*E373</f>
        <v>0</v>
      </c>
      <c r="F374" s="500">
        <f t="shared" ref="F374" si="328">F372*F373</f>
        <v>0</v>
      </c>
      <c r="G374" s="500">
        <f t="shared" ref="G374" si="329">G372*G373</f>
        <v>0</v>
      </c>
      <c r="H374" s="500">
        <f t="shared" ref="H374" si="330">H372*H373</f>
        <v>0</v>
      </c>
      <c r="I374" s="500">
        <f t="shared" ref="I374" si="331">I372*I373</f>
        <v>0</v>
      </c>
      <c r="J374" s="500">
        <f t="shared" ref="J374" si="332">J372*J373</f>
        <v>0</v>
      </c>
      <c r="K374" s="500">
        <f t="shared" ref="K374" si="333">K372*K373</f>
        <v>0</v>
      </c>
      <c r="L374" s="500">
        <f t="shared" ref="L374" si="334">L372*L373</f>
        <v>0</v>
      </c>
    </row>
    <row r="375" spans="1:12" ht="15.5">
      <c r="A375" s="514" t="s">
        <v>415</v>
      </c>
      <c r="B375" s="501"/>
      <c r="C375" s="53"/>
      <c r="D375" s="53"/>
      <c r="E375" s="53"/>
      <c r="F375" s="53"/>
      <c r="G375" s="53"/>
      <c r="H375" s="53"/>
      <c r="I375" s="53"/>
      <c r="J375" s="53"/>
      <c r="K375" s="53"/>
      <c r="L375" s="53"/>
    </row>
    <row r="376" spans="1:12">
      <c r="A376" s="515" t="s">
        <v>409</v>
      </c>
      <c r="B376" s="501"/>
      <c r="C376" s="138">
        <f>Revenue!AQ15</f>
        <v>0</v>
      </c>
      <c r="D376" s="138">
        <f>Revenue!AR15</f>
        <v>0</v>
      </c>
      <c r="E376" s="138">
        <f ca="1">Revenue!AS15</f>
        <v>0</v>
      </c>
      <c r="F376" s="138">
        <f ca="1">Revenue!AT15</f>
        <v>0</v>
      </c>
      <c r="G376" s="138">
        <f ca="1">Revenue!AU15</f>
        <v>0</v>
      </c>
      <c r="H376" s="138">
        <f ca="1">Revenue!AV15</f>
        <v>0</v>
      </c>
      <c r="I376" s="138">
        <f ca="1">Revenue!AW15</f>
        <v>0</v>
      </c>
      <c r="J376" s="138">
        <f ca="1">Revenue!AX15</f>
        <v>0</v>
      </c>
      <c r="K376" s="138">
        <f ca="1">Revenue!AY15</f>
        <v>0</v>
      </c>
      <c r="L376" s="138">
        <f ca="1">Revenue!AZ15</f>
        <v>0</v>
      </c>
    </row>
    <row r="377" spans="1:12">
      <c r="A377" s="516" t="s">
        <v>410</v>
      </c>
      <c r="B377" s="501"/>
      <c r="C377" s="500">
        <f>Revenue!AC15</f>
        <v>0</v>
      </c>
      <c r="D377" s="500">
        <f>Revenue!AD15</f>
        <v>0</v>
      </c>
      <c r="E377" s="500">
        <f>Revenue!AE15</f>
        <v>0</v>
      </c>
      <c r="F377" s="500">
        <f>Revenue!AF15</f>
        <v>0</v>
      </c>
      <c r="G377" s="500">
        <f>Revenue!AG15</f>
        <v>0</v>
      </c>
      <c r="H377" s="500">
        <f>Revenue!AH15</f>
        <v>0</v>
      </c>
      <c r="I377" s="500">
        <f>Revenue!AI15</f>
        <v>0</v>
      </c>
      <c r="J377" s="500">
        <f>Revenue!AJ15</f>
        <v>0</v>
      </c>
      <c r="K377" s="500">
        <f>Revenue!AK15</f>
        <v>0</v>
      </c>
      <c r="L377" s="500">
        <f>Revenue!AL15</f>
        <v>0</v>
      </c>
    </row>
    <row r="378" spans="1:12">
      <c r="A378" s="517" t="s">
        <v>418</v>
      </c>
      <c r="B378" s="501"/>
      <c r="C378" s="500">
        <f>C376*C377</f>
        <v>0</v>
      </c>
      <c r="D378" s="500">
        <f t="shared" ref="D378" si="335">D376*D377</f>
        <v>0</v>
      </c>
      <c r="E378" s="500">
        <f t="shared" ref="E378" ca="1" si="336">E376*E377</f>
        <v>0</v>
      </c>
      <c r="F378" s="500">
        <f t="shared" ref="F378" ca="1" si="337">F376*F377</f>
        <v>0</v>
      </c>
      <c r="G378" s="500">
        <f t="shared" ref="G378" ca="1" si="338">G376*G377</f>
        <v>0</v>
      </c>
      <c r="H378" s="500">
        <f t="shared" ref="H378" ca="1" si="339">H376*H377</f>
        <v>0</v>
      </c>
      <c r="I378" s="500">
        <f t="shared" ref="I378" ca="1" si="340">I376*I377</f>
        <v>0</v>
      </c>
      <c r="J378" s="500">
        <f t="shared" ref="J378" ca="1" si="341">J376*J377</f>
        <v>0</v>
      </c>
      <c r="K378" s="500">
        <f t="shared" ref="K378" ca="1" si="342">K376*K377</f>
        <v>0</v>
      </c>
      <c r="L378" s="500">
        <f t="shared" ref="L378" ca="1" si="343">L376*L377</f>
        <v>0</v>
      </c>
    </row>
    <row r="379" spans="1:12" ht="15.5">
      <c r="A379" s="514" t="s">
        <v>416</v>
      </c>
      <c r="B379" s="501"/>
      <c r="C379" s="53"/>
      <c r="D379" s="53"/>
      <c r="E379" s="53"/>
      <c r="F379" s="53"/>
      <c r="G379" s="53"/>
      <c r="H379" s="53"/>
      <c r="I379" s="53"/>
      <c r="J379" s="53"/>
      <c r="K379" s="53"/>
      <c r="L379" s="53"/>
    </row>
    <row r="380" spans="1:12">
      <c r="A380" s="515" t="s">
        <v>409</v>
      </c>
      <c r="B380" s="501"/>
      <c r="C380" s="138">
        <f>Revenue!AQ16</f>
        <v>0</v>
      </c>
      <c r="D380" s="138">
        <f>Revenue!AR16</f>
        <v>0</v>
      </c>
      <c r="E380" s="138">
        <f ca="1">Revenue!AS16</f>
        <v>0</v>
      </c>
      <c r="F380" s="138">
        <f ca="1">Revenue!AT16</f>
        <v>0</v>
      </c>
      <c r="G380" s="138">
        <f ca="1">Revenue!AU16</f>
        <v>0</v>
      </c>
      <c r="H380" s="138">
        <f ca="1">Revenue!AV16</f>
        <v>0</v>
      </c>
      <c r="I380" s="138">
        <f ca="1">Revenue!AW16</f>
        <v>0</v>
      </c>
      <c r="J380" s="138">
        <f ca="1">Revenue!AX16</f>
        <v>0</v>
      </c>
      <c r="K380" s="138">
        <f ca="1">Revenue!AY16</f>
        <v>0</v>
      </c>
      <c r="L380" s="138">
        <f ca="1">Revenue!AZ16</f>
        <v>0</v>
      </c>
    </row>
    <row r="381" spans="1:12">
      <c r="A381" s="516" t="s">
        <v>410</v>
      </c>
      <c r="B381" s="501"/>
      <c r="C381" s="500">
        <f>Revenue!AC16</f>
        <v>0</v>
      </c>
      <c r="D381" s="500">
        <f>Revenue!AD16</f>
        <v>0</v>
      </c>
      <c r="E381" s="500">
        <f>Revenue!AE16</f>
        <v>0</v>
      </c>
      <c r="F381" s="500">
        <f>Revenue!AF16</f>
        <v>0</v>
      </c>
      <c r="G381" s="500">
        <f>Revenue!AG16</f>
        <v>0</v>
      </c>
      <c r="H381" s="500">
        <f>Revenue!AH16</f>
        <v>0</v>
      </c>
      <c r="I381" s="500">
        <f>Revenue!AI16</f>
        <v>0</v>
      </c>
      <c r="J381" s="500">
        <f>Revenue!AJ16</f>
        <v>0</v>
      </c>
      <c r="K381" s="500">
        <f>Revenue!AK16</f>
        <v>0</v>
      </c>
      <c r="L381" s="500">
        <f>Revenue!AL16</f>
        <v>0</v>
      </c>
    </row>
    <row r="382" spans="1:12">
      <c r="A382" s="516" t="s">
        <v>418</v>
      </c>
      <c r="B382" s="501"/>
      <c r="C382" s="500">
        <f>C380*C381</f>
        <v>0</v>
      </c>
      <c r="D382" s="500">
        <f t="shared" ref="D382" si="344">D380*D381</f>
        <v>0</v>
      </c>
      <c r="E382" s="500">
        <f t="shared" ref="E382" ca="1" si="345">E380*E381</f>
        <v>0</v>
      </c>
      <c r="F382" s="500">
        <f t="shared" ref="F382" ca="1" si="346">F380*F381</f>
        <v>0</v>
      </c>
      <c r="G382" s="500">
        <f t="shared" ref="G382" ca="1" si="347">G380*G381</f>
        <v>0</v>
      </c>
      <c r="H382" s="500">
        <f t="shared" ref="H382" ca="1" si="348">H380*H381</f>
        <v>0</v>
      </c>
      <c r="I382" s="500">
        <f t="shared" ref="I382" ca="1" si="349">I380*I381</f>
        <v>0</v>
      </c>
      <c r="J382" s="500">
        <f t="shared" ref="J382" ca="1" si="350">J380*J381</f>
        <v>0</v>
      </c>
      <c r="K382" s="500">
        <f t="shared" ref="K382" ca="1" si="351">K380*K381</f>
        <v>0</v>
      </c>
      <c r="L382" s="500">
        <f t="shared" ref="L382" ca="1" si="352">L380*L381</f>
        <v>0</v>
      </c>
    </row>
    <row r="383" spans="1:12">
      <c r="A383" s="518"/>
      <c r="B383" s="501"/>
      <c r="C383" s="53"/>
      <c r="D383" s="53"/>
      <c r="E383" s="53"/>
      <c r="F383" s="53"/>
      <c r="G383" s="53"/>
      <c r="H383" s="53"/>
      <c r="I383" s="53"/>
      <c r="J383" s="53"/>
      <c r="K383" s="53"/>
      <c r="L383" s="143"/>
    </row>
    <row r="384" spans="1:12" ht="15.5">
      <c r="A384" s="506" t="s">
        <v>419</v>
      </c>
      <c r="B384" s="501"/>
      <c r="C384" s="500">
        <f>SUM(C382,C378,C374,C370,C366,C362,C358,C354,C350)</f>
        <v>4930000</v>
      </c>
      <c r="D384" s="500">
        <f t="shared" ref="D384:L384" si="353">SUM(D382,D378,D374,D370,D366,D362,D358,D354,D350)</f>
        <v>7187680</v>
      </c>
      <c r="E384" s="500">
        <f t="shared" ca="1" si="353"/>
        <v>10923669.831082243</v>
      </c>
      <c r="F384" s="500">
        <f t="shared" ca="1" si="353"/>
        <v>11929118.119346661</v>
      </c>
      <c r="G384" s="500">
        <f t="shared" ca="1" si="353"/>
        <v>13077364.219567215</v>
      </c>
      <c r="H384" s="500">
        <f t="shared" ca="1" si="353"/>
        <v>14385058.39268145</v>
      </c>
      <c r="I384" s="500">
        <f t="shared" ca="1" si="353"/>
        <v>15877016.520120464</v>
      </c>
      <c r="J384" s="500">
        <f t="shared" ca="1" si="353"/>
        <v>17589131.621272441</v>
      </c>
      <c r="K384" s="500">
        <f t="shared" ca="1" si="353"/>
        <v>19554669.11652106</v>
      </c>
      <c r="L384" s="500">
        <f t="shared" ca="1" si="353"/>
        <v>21817592.403165769</v>
      </c>
    </row>
    <row r="385" spans="1:12">
      <c r="A385" s="504"/>
      <c r="B385" s="501"/>
      <c r="C385" s="53"/>
      <c r="D385" s="53"/>
      <c r="E385" s="53"/>
      <c r="F385" s="53"/>
      <c r="G385" s="53"/>
      <c r="H385" s="53"/>
      <c r="I385" s="53"/>
      <c r="J385" s="53"/>
      <c r="K385" s="53"/>
      <c r="L385" s="53"/>
    </row>
    <row r="386" spans="1:12" ht="18.5">
      <c r="A386" s="509" t="s">
        <v>155</v>
      </c>
      <c r="B386" s="501"/>
      <c r="C386" s="53"/>
      <c r="D386" s="53"/>
      <c r="E386" s="53"/>
      <c r="F386" s="53"/>
      <c r="G386" s="53"/>
      <c r="H386" s="53"/>
      <c r="I386" s="53"/>
      <c r="J386" s="53"/>
      <c r="K386" s="53"/>
      <c r="L386" s="53"/>
    </row>
    <row r="387" spans="1:12" ht="15.5">
      <c r="A387" s="506" t="s">
        <v>328</v>
      </c>
      <c r="B387" s="501"/>
      <c r="C387" s="140">
        <f>Assumptions!$H$45*(C350+C354)</f>
        <v>836500</v>
      </c>
      <c r="D387" s="140">
        <f>Assumptions!$H$45*(D350+D354)</f>
        <v>896641.2</v>
      </c>
      <c r="E387" s="140">
        <f ca="1">Assumptions!$H$45*(E350+E354)</f>
        <v>963865.19301950978</v>
      </c>
      <c r="F387" s="140">
        <f ca="1">Assumptions!$H$45*(F350+F354)</f>
        <v>1039528.0164193745</v>
      </c>
      <c r="G387" s="140">
        <f ca="1">Assumptions!$H$45*(G350+G354)</f>
        <v>1125231.7739931189</v>
      </c>
      <c r="H387" s="140">
        <f ca="1">Assumptions!$H$45*(H350+H354)</f>
        <v>1222166.2833666648</v>
      </c>
      <c r="I387" s="140">
        <f ca="1">Assumptions!$H$45*(I350+I354)</f>
        <v>1332480.3094278406</v>
      </c>
      <c r="J387" s="140">
        <f ca="1">Assumptions!$H$45*(J350+J354)</f>
        <v>1457527.6718809442</v>
      </c>
      <c r="K387" s="140">
        <f ca="1">Assumptions!$H$45*(K350+K354)</f>
        <v>1599245.4140098558</v>
      </c>
      <c r="L387" s="140">
        <f ca="1">Assumptions!$H$45*(L350+L354)</f>
        <v>1759920.8185987829</v>
      </c>
    </row>
    <row r="388" spans="1:12" ht="15.5">
      <c r="A388" s="506" t="s">
        <v>329</v>
      </c>
      <c r="B388" s="501"/>
      <c r="C388" s="140">
        <f>Assumptions!$H$46*C358</f>
        <v>889000</v>
      </c>
      <c r="D388" s="140">
        <f>Assumptions!$H$46*D358</f>
        <v>952296.8</v>
      </c>
      <c r="E388" s="140">
        <f ca="1">Assumptions!$H$46*E358</f>
        <v>1023412.1175226293</v>
      </c>
      <c r="F388" s="140">
        <f ca="1">Assumptions!$H$46*F358</f>
        <v>1102431.8292844987</v>
      </c>
      <c r="G388" s="140">
        <f ca="1">Assumptions!$H$46*G358</f>
        <v>1192015.3969255132</v>
      </c>
      <c r="H388" s="140">
        <f ca="1">Assumptions!$H$46*H358</f>
        <v>1292402.8478160189</v>
      </c>
      <c r="I388" s="140">
        <f ca="1">Assumptions!$H$46*I358</f>
        <v>1405210.1691429599</v>
      </c>
      <c r="J388" s="140">
        <f ca="1">Assumptions!$H$46*J358</f>
        <v>1533444.8752338781</v>
      </c>
      <c r="K388" s="140">
        <f ca="1">Assumptions!$H$46*K358</f>
        <v>1679473.0479861067</v>
      </c>
      <c r="L388" s="140">
        <f ca="1">Assumptions!$H$46*L358</f>
        <v>1845416.9238125775</v>
      </c>
    </row>
    <row r="389" spans="1:12" ht="15.5">
      <c r="A389" s="506" t="s">
        <v>330</v>
      </c>
      <c r="B389" s="501"/>
      <c r="C389" s="140">
        <f>Assumptions!$H$47*C362</f>
        <v>0</v>
      </c>
      <c r="D389" s="140">
        <f>Assumptions!$H$47*D362</f>
        <v>762000</v>
      </c>
      <c r="E389" s="140">
        <f ca="1">Assumptions!$H$47*E362</f>
        <v>826293.86324188171</v>
      </c>
      <c r="F389" s="140">
        <f ca="1">Assumptions!$H$47*F362</f>
        <v>898246.59547192033</v>
      </c>
      <c r="G389" s="140">
        <f ca="1">Assumptions!$H$47*G362</f>
        <v>979386.24673448212</v>
      </c>
      <c r="H389" s="140">
        <f ca="1">Assumptions!$H$47*H362</f>
        <v>1071408.4038381698</v>
      </c>
      <c r="I389" s="140">
        <f ca="1">Assumptions!$H$47*I362</f>
        <v>1176426.273428845</v>
      </c>
      <c r="J389" s="140">
        <f ca="1">Assumptions!$H$47*J362</f>
        <v>1295696.1201512464</v>
      </c>
      <c r="K389" s="140">
        <f ca="1">Assumptions!$H$47*K362</f>
        <v>1432191.3502272086</v>
      </c>
      <c r="L389" s="140">
        <f ca="1">Assumptions!$H$47*L362</f>
        <v>1588168.9178852141</v>
      </c>
    </row>
    <row r="390" spans="1:12" ht="15.5">
      <c r="A390" s="506" t="s">
        <v>331</v>
      </c>
      <c r="B390" s="501"/>
      <c r="C390" s="140">
        <f>Assumptions!$H$48*C366</f>
        <v>0</v>
      </c>
      <c r="D390" s="140">
        <f>Assumptions!$H$48*D366</f>
        <v>0</v>
      </c>
      <c r="E390" s="140">
        <f>Assumptions!$H$48*E366</f>
        <v>1272000</v>
      </c>
      <c r="F390" s="140">
        <f ca="1">Assumptions!$H$48*F366</f>
        <v>1425446.5428908891</v>
      </c>
      <c r="G390" s="140">
        <f ca="1">Assumptions!$H$48*G366</f>
        <v>1603276.9600425388</v>
      </c>
      <c r="H390" s="140">
        <f ca="1">Assumptions!$H$48*H366</f>
        <v>1808821.6604541999</v>
      </c>
      <c r="I390" s="140">
        <f ca="1">Assumptions!$H$48*I366</f>
        <v>2045591.2162527111</v>
      </c>
      <c r="J390" s="140">
        <f ca="1">Assumptions!$H$48*J366</f>
        <v>2321702.188797934</v>
      </c>
      <c r="K390" s="140">
        <f ca="1">Assumptions!$H$48*K366</f>
        <v>2642569.482671544</v>
      </c>
      <c r="L390" s="140">
        <f ca="1">Assumptions!$H$48*L366</f>
        <v>3018482.0520538241</v>
      </c>
    </row>
    <row r="391" spans="1:12" ht="15.5">
      <c r="A391" s="506" t="s">
        <v>420</v>
      </c>
      <c r="B391" s="501"/>
      <c r="C391" s="140">
        <f>Assumptions!$H$49*C370</f>
        <v>0</v>
      </c>
      <c r="D391" s="140">
        <f>Assumptions!$H$49*D370</f>
        <v>0</v>
      </c>
      <c r="E391" s="140">
        <f ca="1">Assumptions!$H$49*E370</f>
        <v>0</v>
      </c>
      <c r="F391" s="140">
        <f ca="1">Assumptions!$H$49*F370</f>
        <v>0</v>
      </c>
      <c r="G391" s="140">
        <f ca="1">Assumptions!$H$49*G370</f>
        <v>0</v>
      </c>
      <c r="H391" s="140">
        <f ca="1">Assumptions!$H$49*H370</f>
        <v>0</v>
      </c>
      <c r="I391" s="140">
        <f ca="1">Assumptions!$H$49*I370</f>
        <v>0</v>
      </c>
      <c r="J391" s="140">
        <f ca="1">Assumptions!$H$49*J370</f>
        <v>0</v>
      </c>
      <c r="K391" s="140">
        <f ca="1">Assumptions!$H$49*K370</f>
        <v>0</v>
      </c>
      <c r="L391" s="140">
        <f ca="1">Assumptions!$H$49*L370</f>
        <v>0</v>
      </c>
    </row>
    <row r="392" spans="1:12" ht="15.5">
      <c r="A392" s="506" t="s">
        <v>421</v>
      </c>
      <c r="B392" s="501"/>
      <c r="C392" s="140">
        <f>Assumptions!$H$50*C374</f>
        <v>0</v>
      </c>
      <c r="D392" s="140">
        <f>Assumptions!$H$50*D374</f>
        <v>0</v>
      </c>
      <c r="E392" s="140">
        <f>Assumptions!$H$50*E374</f>
        <v>0</v>
      </c>
      <c r="F392" s="140">
        <f>Assumptions!$H$50*F374</f>
        <v>0</v>
      </c>
      <c r="G392" s="140">
        <f>Assumptions!$H$50*G374</f>
        <v>0</v>
      </c>
      <c r="H392" s="140">
        <f>Assumptions!$H$50*H374</f>
        <v>0</v>
      </c>
      <c r="I392" s="140">
        <f>Assumptions!$H$50*I374</f>
        <v>0</v>
      </c>
      <c r="J392" s="140">
        <f>Assumptions!$H$50*J374</f>
        <v>0</v>
      </c>
      <c r="K392" s="140">
        <f>Assumptions!$H$50*K374</f>
        <v>0</v>
      </c>
      <c r="L392" s="140">
        <f>Assumptions!$H$50*L374</f>
        <v>0</v>
      </c>
    </row>
    <row r="393" spans="1:12" ht="15.5">
      <c r="A393" s="506" t="s">
        <v>422</v>
      </c>
      <c r="B393" s="501"/>
      <c r="C393" s="140">
        <f>Assumptions!$H$51*C378</f>
        <v>0</v>
      </c>
      <c r="D393" s="140">
        <f>Assumptions!$H$51*D378</f>
        <v>0</v>
      </c>
      <c r="E393" s="140">
        <f ca="1">Assumptions!$H$51*E378</f>
        <v>0</v>
      </c>
      <c r="F393" s="140">
        <f ca="1">Assumptions!$H$51*F378</f>
        <v>0</v>
      </c>
      <c r="G393" s="140">
        <f ca="1">Assumptions!$H$51*G378</f>
        <v>0</v>
      </c>
      <c r="H393" s="140">
        <f ca="1">Assumptions!$H$51*H378</f>
        <v>0</v>
      </c>
      <c r="I393" s="140">
        <f ca="1">Assumptions!$H$51*I378</f>
        <v>0</v>
      </c>
      <c r="J393" s="140">
        <f ca="1">Assumptions!$H$51*J378</f>
        <v>0</v>
      </c>
      <c r="K393" s="140">
        <f ca="1">Assumptions!$H$51*K378</f>
        <v>0</v>
      </c>
      <c r="L393" s="140">
        <f ca="1">Assumptions!$H$51*L378</f>
        <v>0</v>
      </c>
    </row>
    <row r="394" spans="1:12" ht="15.5">
      <c r="A394" s="506" t="s">
        <v>423</v>
      </c>
      <c r="B394" s="501"/>
      <c r="C394" s="140">
        <f>Assumptions!$H$52*C382</f>
        <v>0</v>
      </c>
      <c r="D394" s="140">
        <f>Assumptions!$H$52*D382</f>
        <v>0</v>
      </c>
      <c r="E394" s="140">
        <f ca="1">Assumptions!$H$52*E382</f>
        <v>0</v>
      </c>
      <c r="F394" s="140">
        <f ca="1">Assumptions!$H$52*F382</f>
        <v>0</v>
      </c>
      <c r="G394" s="140">
        <f ca="1">Assumptions!$H$52*G382</f>
        <v>0</v>
      </c>
      <c r="H394" s="140">
        <f ca="1">Assumptions!$H$52*H382</f>
        <v>0</v>
      </c>
      <c r="I394" s="140">
        <f ca="1">Assumptions!$H$52*I382</f>
        <v>0</v>
      </c>
      <c r="J394" s="140">
        <f ca="1">Assumptions!$H$52*J382</f>
        <v>0</v>
      </c>
      <c r="K394" s="140">
        <f ca="1">Assumptions!$H$52*K382</f>
        <v>0</v>
      </c>
      <c r="L394" s="140">
        <f ca="1">Assumptions!$H$52*L382</f>
        <v>0</v>
      </c>
    </row>
    <row r="395" spans="1:12" ht="15.5">
      <c r="A395" s="506" t="s">
        <v>405</v>
      </c>
      <c r="B395" s="501"/>
      <c r="C395" s="140">
        <f>SUM(C387:C394)</f>
        <v>1725500</v>
      </c>
      <c r="D395" s="140">
        <f t="shared" ref="D395" si="354">SUM(D387:D394)</f>
        <v>2610938</v>
      </c>
      <c r="E395" s="140">
        <f t="shared" ref="E395" ca="1" si="355">SUM(E387:E394)</f>
        <v>4085571.1737840208</v>
      </c>
      <c r="F395" s="140">
        <f t="shared" ref="F395" ca="1" si="356">SUM(F387:F394)</f>
        <v>4465652.9840666829</v>
      </c>
      <c r="G395" s="140">
        <f t="shared" ref="G395" ca="1" si="357">SUM(G387:G394)</f>
        <v>4899910.3776956536</v>
      </c>
      <c r="H395" s="140">
        <f t="shared" ref="H395" ca="1" si="358">SUM(H387:H394)</f>
        <v>5394799.195475053</v>
      </c>
      <c r="I395" s="140">
        <f t="shared" ref="I395" ca="1" si="359">SUM(I387:I394)</f>
        <v>5959707.9682523571</v>
      </c>
      <c r="J395" s="140">
        <f t="shared" ref="J395" ca="1" si="360">SUM(J387:J394)</f>
        <v>6608370.856064003</v>
      </c>
      <c r="K395" s="140">
        <f t="shared" ref="K395" ca="1" si="361">SUM(K387:K394)</f>
        <v>7353479.2948947148</v>
      </c>
      <c r="L395" s="140">
        <f t="shared" ref="L395" ca="1" si="362">SUM(L387:L394)</f>
        <v>8211988.7123503983</v>
      </c>
    </row>
    <row r="396" spans="1:12">
      <c r="A396" s="504"/>
      <c r="B396" s="501"/>
      <c r="C396" s="53"/>
      <c r="D396" s="53"/>
      <c r="E396" s="53"/>
      <c r="F396" s="53"/>
      <c r="G396" s="53"/>
      <c r="H396" s="53"/>
      <c r="I396" s="53"/>
      <c r="J396" s="53"/>
      <c r="K396" s="53"/>
      <c r="L396" s="53"/>
    </row>
    <row r="397" spans="1:12" ht="15.5">
      <c r="A397" s="505" t="s">
        <v>157</v>
      </c>
      <c r="B397" s="501"/>
      <c r="C397" s="500">
        <f>C384-C395</f>
        <v>3204500</v>
      </c>
      <c r="D397" s="500">
        <f t="shared" ref="D397:L397" si="363">D384-D395</f>
        <v>4576742</v>
      </c>
      <c r="E397" s="500">
        <f t="shared" ca="1" si="363"/>
        <v>6838098.6572982222</v>
      </c>
      <c r="F397" s="500">
        <f t="shared" ca="1" si="363"/>
        <v>7463465.1352799786</v>
      </c>
      <c r="G397" s="500">
        <f t="shared" ca="1" si="363"/>
        <v>8177453.8418715615</v>
      </c>
      <c r="H397" s="500">
        <f t="shared" ca="1" si="363"/>
        <v>8990259.1972063966</v>
      </c>
      <c r="I397" s="500">
        <f t="shared" ca="1" si="363"/>
        <v>9917308.5518681072</v>
      </c>
      <c r="J397" s="500">
        <f t="shared" ca="1" si="363"/>
        <v>10980760.765208438</v>
      </c>
      <c r="K397" s="500">
        <f t="shared" ca="1" si="363"/>
        <v>12201189.821626347</v>
      </c>
      <c r="L397" s="500">
        <f t="shared" ca="1" si="363"/>
        <v>13605603.690815371</v>
      </c>
    </row>
    <row r="398" spans="1:12">
      <c r="A398" s="504"/>
      <c r="B398" s="501"/>
      <c r="C398" s="53"/>
      <c r="D398" s="53"/>
      <c r="E398" s="53"/>
      <c r="F398" s="53"/>
      <c r="G398" s="53"/>
      <c r="H398" s="53"/>
      <c r="I398" s="53"/>
      <c r="J398" s="53"/>
      <c r="K398" s="53"/>
      <c r="L398" s="53"/>
    </row>
    <row r="399" spans="1:12" ht="18.5">
      <c r="A399" s="509" t="s">
        <v>96</v>
      </c>
      <c r="B399" s="501"/>
      <c r="C399" s="53"/>
      <c r="D399" s="53"/>
      <c r="E399" s="53"/>
      <c r="F399" s="53"/>
      <c r="G399" s="53"/>
      <c r="H399" s="53"/>
      <c r="I399" s="53"/>
      <c r="J399" s="53"/>
      <c r="K399" s="53"/>
      <c r="L399" s="53"/>
    </row>
    <row r="400" spans="1:12">
      <c r="A400" s="504"/>
      <c r="B400" s="501"/>
      <c r="C400" s="53"/>
      <c r="D400" s="53"/>
      <c r="E400" s="53"/>
      <c r="F400" s="53"/>
      <c r="G400" s="53"/>
      <c r="H400" s="53"/>
      <c r="I400" s="53"/>
      <c r="J400" s="53"/>
      <c r="K400" s="53"/>
      <c r="L400" s="53"/>
    </row>
    <row r="401" spans="1:12" ht="15.5">
      <c r="A401" s="506" t="s">
        <v>28</v>
      </c>
      <c r="B401" s="501"/>
      <c r="C401" s="53"/>
      <c r="D401" s="53"/>
      <c r="E401" s="53"/>
      <c r="F401" s="53"/>
      <c r="G401" s="53"/>
      <c r="H401" s="53"/>
      <c r="I401" s="53"/>
      <c r="J401" s="53"/>
      <c r="K401" s="53"/>
      <c r="L401" s="53"/>
    </row>
    <row r="402" spans="1:12" ht="15.5">
      <c r="A402" s="506"/>
      <c r="B402" s="501"/>
      <c r="C402" s="53"/>
      <c r="D402" s="53"/>
      <c r="E402" s="53"/>
      <c r="F402" s="53"/>
      <c r="G402" s="53"/>
      <c r="H402" s="53"/>
      <c r="I402" s="53"/>
      <c r="J402" s="53"/>
      <c r="K402" s="53"/>
      <c r="L402" s="53"/>
    </row>
    <row r="403" spans="1:12">
      <c r="A403" s="504" t="s">
        <v>37</v>
      </c>
      <c r="B403" s="501"/>
      <c r="C403" s="140">
        <f>Assumptions!D25</f>
        <v>5000</v>
      </c>
      <c r="D403" s="140">
        <v>0</v>
      </c>
      <c r="E403" s="140">
        <v>0</v>
      </c>
      <c r="F403" s="140">
        <v>0</v>
      </c>
      <c r="G403" s="140">
        <v>0</v>
      </c>
      <c r="H403" s="140">
        <v>0</v>
      </c>
      <c r="I403" s="140">
        <v>0</v>
      </c>
      <c r="J403" s="140">
        <v>0</v>
      </c>
      <c r="K403" s="140">
        <v>0</v>
      </c>
      <c r="L403" s="140">
        <v>0</v>
      </c>
    </row>
    <row r="404" spans="1:12">
      <c r="A404" s="504" t="s">
        <v>356</v>
      </c>
      <c r="B404" s="501"/>
      <c r="C404" s="140">
        <f>Assumptions!D26</f>
        <v>15000</v>
      </c>
      <c r="D404" s="140">
        <v>0</v>
      </c>
      <c r="E404" s="140">
        <v>0</v>
      </c>
      <c r="F404" s="140">
        <v>0</v>
      </c>
      <c r="G404" s="140">
        <v>0</v>
      </c>
      <c r="H404" s="140">
        <v>0</v>
      </c>
      <c r="I404" s="140">
        <v>0</v>
      </c>
      <c r="J404" s="140">
        <v>0</v>
      </c>
      <c r="K404" s="140">
        <v>0</v>
      </c>
      <c r="L404" s="140">
        <v>0</v>
      </c>
    </row>
    <row r="405" spans="1:12">
      <c r="A405" s="504" t="s">
        <v>40</v>
      </c>
      <c r="B405" s="501"/>
      <c r="C405" s="140">
        <f>Assumptions!D27</f>
        <v>1000</v>
      </c>
      <c r="D405" s="140">
        <v>0</v>
      </c>
      <c r="E405" s="140">
        <v>0</v>
      </c>
      <c r="F405" s="140">
        <v>0</v>
      </c>
      <c r="G405" s="140">
        <v>0</v>
      </c>
      <c r="H405" s="140">
        <v>0</v>
      </c>
      <c r="I405" s="140">
        <v>0</v>
      </c>
      <c r="J405" s="140">
        <v>0</v>
      </c>
      <c r="K405" s="140">
        <v>0</v>
      </c>
      <c r="L405" s="140">
        <v>0</v>
      </c>
    </row>
    <row r="406" spans="1:12">
      <c r="A406" s="504" t="s">
        <v>41</v>
      </c>
      <c r="B406" s="501"/>
      <c r="C406" s="140">
        <f>Assumptions!D28</f>
        <v>5000</v>
      </c>
      <c r="D406" s="140">
        <v>0</v>
      </c>
      <c r="E406" s="140">
        <v>0</v>
      </c>
      <c r="F406" s="140">
        <v>0</v>
      </c>
      <c r="G406" s="140">
        <v>0</v>
      </c>
      <c r="H406" s="140">
        <v>0</v>
      </c>
      <c r="I406" s="140">
        <v>0</v>
      </c>
      <c r="J406" s="140">
        <v>0</v>
      </c>
      <c r="K406" s="140">
        <v>0</v>
      </c>
      <c r="L406" s="140">
        <v>0</v>
      </c>
    </row>
    <row r="407" spans="1:12">
      <c r="A407" s="504" t="s">
        <v>43</v>
      </c>
      <c r="B407" s="501"/>
      <c r="C407" s="140">
        <f>Assumptions!D29</f>
        <v>1000</v>
      </c>
      <c r="D407" s="140">
        <v>0</v>
      </c>
      <c r="E407" s="140">
        <v>0</v>
      </c>
      <c r="F407" s="140">
        <v>0</v>
      </c>
      <c r="G407" s="140">
        <v>0</v>
      </c>
      <c r="H407" s="140">
        <v>0</v>
      </c>
      <c r="I407" s="140">
        <v>0</v>
      </c>
      <c r="J407" s="140">
        <v>0</v>
      </c>
      <c r="K407" s="140">
        <v>0</v>
      </c>
      <c r="L407" s="140">
        <v>0</v>
      </c>
    </row>
    <row r="408" spans="1:12">
      <c r="A408" s="504" t="s">
        <v>45</v>
      </c>
      <c r="B408" s="501"/>
      <c r="C408" s="140">
        <f>Assumptions!D30</f>
        <v>3000</v>
      </c>
      <c r="D408" s="140">
        <v>0</v>
      </c>
      <c r="E408" s="140">
        <v>0</v>
      </c>
      <c r="F408" s="140">
        <v>0</v>
      </c>
      <c r="G408" s="140">
        <v>0</v>
      </c>
      <c r="H408" s="140">
        <v>0</v>
      </c>
      <c r="I408" s="140">
        <v>0</v>
      </c>
      <c r="J408" s="140">
        <v>0</v>
      </c>
      <c r="K408" s="140">
        <v>0</v>
      </c>
      <c r="L408" s="140">
        <v>0</v>
      </c>
    </row>
    <row r="409" spans="1:12">
      <c r="A409" s="504" t="s">
        <v>35</v>
      </c>
      <c r="B409" s="501"/>
      <c r="C409" s="140">
        <f>Assumptions!D31</f>
        <v>5000</v>
      </c>
      <c r="D409" s="140">
        <v>0</v>
      </c>
      <c r="E409" s="140">
        <v>0</v>
      </c>
      <c r="F409" s="140">
        <v>0</v>
      </c>
      <c r="G409" s="140">
        <v>0</v>
      </c>
      <c r="H409" s="140">
        <v>0</v>
      </c>
      <c r="I409" s="140">
        <v>0</v>
      </c>
      <c r="J409" s="140">
        <v>0</v>
      </c>
      <c r="K409" s="140">
        <v>0</v>
      </c>
      <c r="L409" s="140">
        <v>0</v>
      </c>
    </row>
    <row r="410" spans="1:12">
      <c r="A410" s="504"/>
      <c r="B410" s="501"/>
      <c r="C410" s="53"/>
      <c r="D410" s="53"/>
      <c r="E410" s="53"/>
      <c r="F410" s="53"/>
      <c r="G410" s="53"/>
      <c r="H410" s="53"/>
      <c r="I410" s="53"/>
      <c r="J410" s="53"/>
      <c r="K410" s="53"/>
      <c r="L410" s="53"/>
    </row>
    <row r="411" spans="1:12" ht="15.5">
      <c r="A411" s="506" t="s">
        <v>158</v>
      </c>
      <c r="B411" s="501"/>
      <c r="C411" s="140">
        <f t="shared" ref="C411:L411" si="364">SUM(C403:C409)</f>
        <v>35000</v>
      </c>
      <c r="D411" s="140">
        <f t="shared" si="364"/>
        <v>0</v>
      </c>
      <c r="E411" s="140">
        <f t="shared" si="364"/>
        <v>0</v>
      </c>
      <c r="F411" s="140">
        <f t="shared" si="364"/>
        <v>0</v>
      </c>
      <c r="G411" s="140">
        <f t="shared" si="364"/>
        <v>0</v>
      </c>
      <c r="H411" s="140">
        <f t="shared" si="364"/>
        <v>0</v>
      </c>
      <c r="I411" s="140">
        <f t="shared" si="364"/>
        <v>0</v>
      </c>
      <c r="J411" s="140">
        <f t="shared" si="364"/>
        <v>0</v>
      </c>
      <c r="K411" s="140">
        <f t="shared" si="364"/>
        <v>0</v>
      </c>
      <c r="L411" s="140">
        <f t="shared" si="364"/>
        <v>0</v>
      </c>
    </row>
    <row r="412" spans="1:12">
      <c r="A412" s="504"/>
      <c r="B412" s="501"/>
      <c r="C412" s="53"/>
      <c r="D412" s="53"/>
      <c r="E412" s="53"/>
      <c r="F412" s="53"/>
      <c r="G412" s="53"/>
      <c r="H412" s="53"/>
      <c r="I412" s="53"/>
      <c r="J412" s="53"/>
      <c r="K412" s="53"/>
      <c r="L412" s="53"/>
    </row>
    <row r="413" spans="1:12" ht="15.5">
      <c r="A413" s="506" t="s">
        <v>13</v>
      </c>
      <c r="B413" s="501"/>
      <c r="C413" s="53"/>
      <c r="D413" s="53"/>
      <c r="E413" s="53"/>
      <c r="F413" s="53"/>
      <c r="G413" s="53"/>
      <c r="H413" s="53"/>
      <c r="I413" s="53"/>
      <c r="J413" s="53"/>
      <c r="K413" s="53"/>
      <c r="L413" s="53"/>
    </row>
    <row r="414" spans="1:12">
      <c r="A414" s="504"/>
      <c r="B414" s="501"/>
      <c r="C414" s="53"/>
      <c r="D414" s="53"/>
      <c r="E414" s="53"/>
      <c r="F414" s="53"/>
      <c r="G414" s="53"/>
      <c r="H414" s="53"/>
      <c r="I414" s="53"/>
      <c r="J414" s="53"/>
      <c r="K414" s="53"/>
      <c r="L414" s="53"/>
    </row>
    <row r="415" spans="1:12">
      <c r="A415" s="504" t="s">
        <v>14</v>
      </c>
      <c r="B415" s="501"/>
      <c r="C415" s="140">
        <f>Assumptions!G9</f>
        <v>60000</v>
      </c>
      <c r="D415" s="140">
        <f>C415*(1+Assumptions!$D$11)</f>
        <v>61800</v>
      </c>
      <c r="E415" s="140">
        <f>D415*(1+Assumptions!$D$11)</f>
        <v>63654</v>
      </c>
      <c r="F415" s="140">
        <f>E415*(1+Assumptions!$D$11)</f>
        <v>65563.62</v>
      </c>
      <c r="G415" s="140">
        <f>F415*(1+Assumptions!$D$11)</f>
        <v>67530.528599999991</v>
      </c>
      <c r="H415" s="140">
        <f>G415*(1+Assumptions!$D$11)</f>
        <v>69556.444457999998</v>
      </c>
      <c r="I415" s="140">
        <f>H415*(1+Assumptions!$D$11)</f>
        <v>71643.137791739995</v>
      </c>
      <c r="J415" s="140">
        <f>I415*(1+Assumptions!$D$11)</f>
        <v>73792.431925492201</v>
      </c>
      <c r="K415" s="140">
        <f>J415*(1+Assumptions!$D$11)</f>
        <v>76006.204883256971</v>
      </c>
      <c r="L415" s="140">
        <f>K415*(1+Assumptions!$D$11)</f>
        <v>78286.391029754683</v>
      </c>
    </row>
    <row r="416" spans="1:12">
      <c r="A416" s="504" t="s">
        <v>15</v>
      </c>
      <c r="B416" s="501"/>
      <c r="C416" s="140">
        <f>Assumptions!G10</f>
        <v>12000</v>
      </c>
      <c r="D416" s="140">
        <f>C416*(1+Assumptions!$D$11)</f>
        <v>12360</v>
      </c>
      <c r="E416" s="140">
        <f>D416*(1+Assumptions!$D$11)</f>
        <v>12730.800000000001</v>
      </c>
      <c r="F416" s="140">
        <f>E416*(1+Assumptions!$D$11)</f>
        <v>13112.724000000002</v>
      </c>
      <c r="G416" s="140">
        <f>F416*(1+Assumptions!$D$11)</f>
        <v>13506.105720000003</v>
      </c>
      <c r="H416" s="140">
        <f>G416*(1+Assumptions!$D$11)</f>
        <v>13911.288891600003</v>
      </c>
      <c r="I416" s="140">
        <f>H416*(1+Assumptions!$D$11)</f>
        <v>14328.627558348004</v>
      </c>
      <c r="J416" s="140">
        <f>I416*(1+Assumptions!$D$11)</f>
        <v>14758.486385098444</v>
      </c>
      <c r="K416" s="140">
        <f>J416*(1+Assumptions!$D$11)</f>
        <v>15201.240976651397</v>
      </c>
      <c r="L416" s="140">
        <f>K416*(1+Assumptions!$D$11)</f>
        <v>15657.278205950939</v>
      </c>
    </row>
    <row r="417" spans="1:12">
      <c r="A417" s="504" t="s">
        <v>17</v>
      </c>
      <c r="B417" s="501"/>
      <c r="C417" s="140">
        <f>Assumptions!G11</f>
        <v>1200</v>
      </c>
      <c r="D417" s="140">
        <f>C417*(1+Assumptions!$D$11)</f>
        <v>1236</v>
      </c>
      <c r="E417" s="140">
        <f>D417*(1+Assumptions!$D$11)</f>
        <v>1273.08</v>
      </c>
      <c r="F417" s="140">
        <f>E417*(1+Assumptions!$D$11)</f>
        <v>1311.2724000000001</v>
      </c>
      <c r="G417" s="140">
        <f>F417*(1+Assumptions!$D$11)</f>
        <v>1350.610572</v>
      </c>
      <c r="H417" s="140">
        <f>G417*(1+Assumptions!$D$11)</f>
        <v>1391.12888916</v>
      </c>
      <c r="I417" s="140">
        <f>H417*(1+Assumptions!$D$11)</f>
        <v>1432.8627558348001</v>
      </c>
      <c r="J417" s="140">
        <f>I417*(1+Assumptions!$D$11)</f>
        <v>1475.848638509844</v>
      </c>
      <c r="K417" s="140">
        <f>J417*(1+Assumptions!$D$11)</f>
        <v>1520.1240976651393</v>
      </c>
      <c r="L417" s="140">
        <f>K417*(1+Assumptions!$D$11)</f>
        <v>1565.7278205950936</v>
      </c>
    </row>
    <row r="418" spans="1:12">
      <c r="A418" s="504" t="s">
        <v>19</v>
      </c>
      <c r="B418" s="501"/>
      <c r="C418" s="140">
        <f>Assumptions!G12</f>
        <v>12000</v>
      </c>
      <c r="D418" s="140">
        <f>C418*(1+Assumptions!$D$11)</f>
        <v>12360</v>
      </c>
      <c r="E418" s="140">
        <f>D418*(1+Assumptions!$D$11)</f>
        <v>12730.800000000001</v>
      </c>
      <c r="F418" s="140">
        <f>E418*(1+Assumptions!$D$11)</f>
        <v>13112.724000000002</v>
      </c>
      <c r="G418" s="140">
        <f>F418*(1+Assumptions!$D$11)</f>
        <v>13506.105720000003</v>
      </c>
      <c r="H418" s="140">
        <f>G418*(1+Assumptions!$D$11)</f>
        <v>13911.288891600003</v>
      </c>
      <c r="I418" s="140">
        <f>H418*(1+Assumptions!$D$11)</f>
        <v>14328.627558348004</v>
      </c>
      <c r="J418" s="140">
        <f>I418*(1+Assumptions!$D$11)</f>
        <v>14758.486385098444</v>
      </c>
      <c r="K418" s="140">
        <f>J418*(1+Assumptions!$D$11)</f>
        <v>15201.240976651397</v>
      </c>
      <c r="L418" s="140">
        <f>K418*(1+Assumptions!$D$11)</f>
        <v>15657.278205950939</v>
      </c>
    </row>
    <row r="419" spans="1:12">
      <c r="A419" s="504" t="s">
        <v>20</v>
      </c>
      <c r="B419" s="501"/>
      <c r="C419" s="140">
        <f>Assumptions!G13</f>
        <v>6000</v>
      </c>
      <c r="D419" s="140">
        <f>C419*(1+Assumptions!$D$11)</f>
        <v>6180</v>
      </c>
      <c r="E419" s="140">
        <f>D419*(1+Assumptions!$D$11)</f>
        <v>6365.4000000000005</v>
      </c>
      <c r="F419" s="140">
        <f>E419*(1+Assumptions!$D$11)</f>
        <v>6556.362000000001</v>
      </c>
      <c r="G419" s="140">
        <f>F419*(1+Assumptions!$D$11)</f>
        <v>6753.0528600000016</v>
      </c>
      <c r="H419" s="140">
        <f>G419*(1+Assumptions!$D$11)</f>
        <v>6955.6444458000014</v>
      </c>
      <c r="I419" s="140">
        <f>H419*(1+Assumptions!$D$11)</f>
        <v>7164.3137791740019</v>
      </c>
      <c r="J419" s="140">
        <f>I419*(1+Assumptions!$D$11)</f>
        <v>7379.2431925492219</v>
      </c>
      <c r="K419" s="140">
        <f>J419*(1+Assumptions!$D$11)</f>
        <v>7600.6204883256987</v>
      </c>
      <c r="L419" s="140">
        <f>K419*(1+Assumptions!$D$11)</f>
        <v>7828.6391029754695</v>
      </c>
    </row>
    <row r="420" spans="1:12">
      <c r="A420" s="504" t="s">
        <v>22</v>
      </c>
      <c r="B420" s="501"/>
      <c r="C420" s="140">
        <f>Assumptions!G14</f>
        <v>6000</v>
      </c>
      <c r="D420" s="140">
        <f>C420*(1+Assumptions!$D$11)</f>
        <v>6180</v>
      </c>
      <c r="E420" s="140">
        <f>D420*(1+Assumptions!$D$11)</f>
        <v>6365.4000000000005</v>
      </c>
      <c r="F420" s="140">
        <f>E420*(1+Assumptions!$D$11)</f>
        <v>6556.362000000001</v>
      </c>
      <c r="G420" s="140">
        <f>F420*(1+Assumptions!$D$11)</f>
        <v>6753.0528600000016</v>
      </c>
      <c r="H420" s="140">
        <f>G420*(1+Assumptions!$D$11)</f>
        <v>6955.6444458000014</v>
      </c>
      <c r="I420" s="140">
        <f>H420*(1+Assumptions!$D$11)</f>
        <v>7164.3137791740019</v>
      </c>
      <c r="J420" s="140">
        <f>I420*(1+Assumptions!$D$11)</f>
        <v>7379.2431925492219</v>
      </c>
      <c r="K420" s="140">
        <f>J420*(1+Assumptions!$D$11)</f>
        <v>7600.6204883256987</v>
      </c>
      <c r="L420" s="140">
        <f>K420*(1+Assumptions!$D$11)</f>
        <v>7828.6391029754695</v>
      </c>
    </row>
    <row r="421" spans="1:12">
      <c r="A421" s="504" t="s">
        <v>25</v>
      </c>
      <c r="B421" s="501"/>
      <c r="C421" s="140">
        <f>Assumptions!G15</f>
        <v>1000</v>
      </c>
      <c r="D421" s="140">
        <f>C421*(1+Assumptions!$D$11)</f>
        <v>1030</v>
      </c>
      <c r="E421" s="140">
        <f>D421*(1+Assumptions!$D$11)</f>
        <v>1060.9000000000001</v>
      </c>
      <c r="F421" s="140">
        <f>E421*(1+Assumptions!$D$11)</f>
        <v>1092.7270000000001</v>
      </c>
      <c r="G421" s="140">
        <f>F421*(1+Assumptions!$D$11)</f>
        <v>1125.50881</v>
      </c>
      <c r="H421" s="140">
        <f>G421*(1+Assumptions!$D$11)</f>
        <v>1159.2740743000002</v>
      </c>
      <c r="I421" s="140">
        <f>H421*(1+Assumptions!$D$11)</f>
        <v>1194.0522965290002</v>
      </c>
      <c r="J421" s="140">
        <f>I421*(1+Assumptions!$D$11)</f>
        <v>1229.8738654248702</v>
      </c>
      <c r="K421" s="140">
        <f>J421*(1+Assumptions!$D$11)</f>
        <v>1266.7700813876163</v>
      </c>
      <c r="L421" s="140">
        <f>K421*(1+Assumptions!$D$11)</f>
        <v>1304.7731838292448</v>
      </c>
    </row>
    <row r="422" spans="1:12">
      <c r="A422" s="504" t="s">
        <v>27</v>
      </c>
      <c r="B422" s="501"/>
      <c r="C422" s="140">
        <f>Assumptions!G16</f>
        <v>1000</v>
      </c>
      <c r="D422" s="140">
        <f>C422*(1+Assumptions!$D$11)</f>
        <v>1030</v>
      </c>
      <c r="E422" s="140">
        <f>D422*(1+Assumptions!$D$11)</f>
        <v>1060.9000000000001</v>
      </c>
      <c r="F422" s="140">
        <f>E422*(1+Assumptions!$D$11)</f>
        <v>1092.7270000000001</v>
      </c>
      <c r="G422" s="140">
        <f>F422*(1+Assumptions!$D$11)</f>
        <v>1125.50881</v>
      </c>
      <c r="H422" s="140">
        <f>G422*(1+Assumptions!$D$11)</f>
        <v>1159.2740743000002</v>
      </c>
      <c r="I422" s="140">
        <f>H422*(1+Assumptions!$D$11)</f>
        <v>1194.0522965290002</v>
      </c>
      <c r="J422" s="140">
        <f>I422*(1+Assumptions!$D$11)</f>
        <v>1229.8738654248702</v>
      </c>
      <c r="K422" s="140">
        <f>J422*(1+Assumptions!$D$11)</f>
        <v>1266.7700813876163</v>
      </c>
      <c r="L422" s="140">
        <f>K422*(1+Assumptions!$D$11)</f>
        <v>1304.7731838292448</v>
      </c>
    </row>
    <row r="423" spans="1:12">
      <c r="A423" s="504" t="s">
        <v>290</v>
      </c>
      <c r="B423" s="501"/>
      <c r="C423" s="140">
        <f>Assumptions!G17</f>
        <v>6000</v>
      </c>
      <c r="D423" s="140">
        <f>C423*(1+Assumptions!$D$11)</f>
        <v>6180</v>
      </c>
      <c r="E423" s="140">
        <f>D423*(1+Assumptions!$D$11)</f>
        <v>6365.4000000000005</v>
      </c>
      <c r="F423" s="140">
        <f>E423*(1+Assumptions!$D$11)</f>
        <v>6556.362000000001</v>
      </c>
      <c r="G423" s="140">
        <f>F423*(1+Assumptions!$D$11)</f>
        <v>6753.0528600000016</v>
      </c>
      <c r="H423" s="140">
        <f>G423*(1+Assumptions!$D$11)</f>
        <v>6955.6444458000014</v>
      </c>
      <c r="I423" s="140">
        <f>H423*(1+Assumptions!$D$11)</f>
        <v>7164.3137791740019</v>
      </c>
      <c r="J423" s="140">
        <f>I423*(1+Assumptions!$D$11)</f>
        <v>7379.2431925492219</v>
      </c>
      <c r="K423" s="140">
        <f>J423*(1+Assumptions!$D$11)</f>
        <v>7600.6204883256987</v>
      </c>
      <c r="L423" s="140">
        <f>K423*(1+Assumptions!$D$11)</f>
        <v>7828.6391029754695</v>
      </c>
    </row>
    <row r="424" spans="1:12">
      <c r="A424" s="504" t="s">
        <v>29</v>
      </c>
      <c r="B424" s="501"/>
      <c r="C424" s="140">
        <f>Assumptions!G18</f>
        <v>31200</v>
      </c>
      <c r="D424" s="140">
        <f>C424*(1+Assumptions!$D$11)*(1+Assumptions!$J$10)</f>
        <v>35670.960000000006</v>
      </c>
      <c r="E424" s="140">
        <f>D424*(1+Assumptions!$D$11)*(1+Assumptions!$J$10)</f>
        <v>40782.608568000011</v>
      </c>
      <c r="F424" s="140">
        <f>E424*(1+Assumptions!$D$11)*(1+Assumptions!$J$10)</f>
        <v>46626.756375794415</v>
      </c>
      <c r="G424" s="140">
        <f>F424*(1+Assumptions!$D$11)*(1+Assumptions!$J$10)</f>
        <v>53308.370564445766</v>
      </c>
      <c r="H424" s="140">
        <f>G424*(1+Assumptions!$D$11)*(1+Assumptions!$J$10)</f>
        <v>60947.460066330852</v>
      </c>
      <c r="I424" s="140">
        <f>H424*(1+Assumptions!$D$11)*(1+Assumptions!$J$10)</f>
        <v>69681.231093836075</v>
      </c>
      <c r="J424" s="140">
        <f>I424*(1+Assumptions!$D$11)*(1+Assumptions!$J$10)</f>
        <v>79666.551509582787</v>
      </c>
      <c r="K424" s="140">
        <f>J424*(1+Assumptions!$D$11)*(1+Assumptions!$J$10)</f>
        <v>91082.768340906012</v>
      </c>
      <c r="L424" s="140">
        <f>K424*(1+Assumptions!$D$11)*(1+Assumptions!$J$10)</f>
        <v>104134.92904415785</v>
      </c>
    </row>
    <row r="425" spans="1:12">
      <c r="A425" s="504" t="s">
        <v>291</v>
      </c>
      <c r="B425" s="501"/>
      <c r="C425" s="140">
        <f>Assumptions!G19</f>
        <v>120000</v>
      </c>
      <c r="D425" s="140">
        <f>C425*(1+Assumptions!$D$11)*(1+Assumptions!$J$11)</f>
        <v>135960</v>
      </c>
      <c r="E425" s="140">
        <f>D425*(1+Assumptions!$D$11)*(1+Assumptions!$J$11)</f>
        <v>154042.68000000002</v>
      </c>
      <c r="F425" s="140">
        <f>E425*(1+Assumptions!$D$11)*(1+Assumptions!$J$11)</f>
        <v>174530.35644000006</v>
      </c>
      <c r="G425" s="140">
        <f>F425*(1+Assumptions!$D$11)*(1+Assumptions!$J$11)</f>
        <v>197742.89384652011</v>
      </c>
      <c r="H425" s="140">
        <f>G425*(1+Assumptions!$D$11)*(1+Assumptions!$J$11)</f>
        <v>224042.69872810729</v>
      </c>
      <c r="I425" s="140">
        <f>H425*(1+Assumptions!$D$11)*(1+Assumptions!$J$11)</f>
        <v>253840.3776589456</v>
      </c>
      <c r="J425" s="140">
        <f>I425*(1+Assumptions!$D$11)*(1+Assumptions!$J$11)</f>
        <v>287601.14788758539</v>
      </c>
      <c r="K425" s="140">
        <f>J425*(1+Assumptions!$D$11)*(1+Assumptions!$J$11)</f>
        <v>325852.10055663431</v>
      </c>
      <c r="L425" s="140">
        <f>K425*(1+Assumptions!$D$11)*(1+Assumptions!$J$11)</f>
        <v>369190.42993066669</v>
      </c>
    </row>
    <row r="426" spans="1:12">
      <c r="A426" s="504" t="s">
        <v>31</v>
      </c>
      <c r="B426" s="501"/>
      <c r="C426" s="140">
        <f>Assumptions!G20</f>
        <v>1200</v>
      </c>
      <c r="D426" s="140">
        <f>C426*(1+Assumptions!$D$11)</f>
        <v>1236</v>
      </c>
      <c r="E426" s="140">
        <f>D426*(1+Assumptions!$D$11)</f>
        <v>1273.08</v>
      </c>
      <c r="F426" s="140">
        <f>E426*(1+Assumptions!$D$11)</f>
        <v>1311.2724000000001</v>
      </c>
      <c r="G426" s="140">
        <f>F426*(1+Assumptions!$D$11)</f>
        <v>1350.610572</v>
      </c>
      <c r="H426" s="140">
        <f>G426*(1+Assumptions!$D$11)</f>
        <v>1391.12888916</v>
      </c>
      <c r="I426" s="140">
        <f>H426*(1+Assumptions!$D$11)</f>
        <v>1432.8627558348001</v>
      </c>
      <c r="J426" s="140">
        <f>I426*(1+Assumptions!$D$11)</f>
        <v>1475.848638509844</v>
      </c>
      <c r="K426" s="140">
        <f>J426*(1+Assumptions!$D$11)</f>
        <v>1520.1240976651393</v>
      </c>
      <c r="L426" s="140">
        <f>K426*(1+Assumptions!$D$11)</f>
        <v>1565.7278205950936</v>
      </c>
    </row>
    <row r="427" spans="1:12">
      <c r="A427" s="504" t="s">
        <v>33</v>
      </c>
      <c r="B427" s="501"/>
      <c r="C427" s="140">
        <f>Assumptions!G21</f>
        <v>1000</v>
      </c>
      <c r="D427" s="140">
        <f>C427*(1+Assumptions!$D$11)</f>
        <v>1030</v>
      </c>
      <c r="E427" s="140">
        <f>D427*(1+Assumptions!$D$11)</f>
        <v>1060.9000000000001</v>
      </c>
      <c r="F427" s="140">
        <f>E427*(1+Assumptions!$D$11)</f>
        <v>1092.7270000000001</v>
      </c>
      <c r="G427" s="140">
        <f>F427*(1+Assumptions!$D$11)</f>
        <v>1125.50881</v>
      </c>
      <c r="H427" s="140">
        <f>G427*(1+Assumptions!$D$11)</f>
        <v>1159.2740743000002</v>
      </c>
      <c r="I427" s="140">
        <f>H427*(1+Assumptions!$D$11)</f>
        <v>1194.0522965290002</v>
      </c>
      <c r="J427" s="140">
        <f>I427*(1+Assumptions!$D$11)</f>
        <v>1229.8738654248702</v>
      </c>
      <c r="K427" s="140">
        <f>J427*(1+Assumptions!$D$11)</f>
        <v>1266.7700813876163</v>
      </c>
      <c r="L427" s="140">
        <f>K427*(1+Assumptions!$D$11)</f>
        <v>1304.7731838292448</v>
      </c>
    </row>
    <row r="428" spans="1:12">
      <c r="A428" s="504" t="s">
        <v>35</v>
      </c>
      <c r="B428" s="501"/>
      <c r="C428" s="140">
        <f>Assumptions!G22</f>
        <v>5000</v>
      </c>
      <c r="D428" s="140">
        <f>C428*(1+Assumptions!$D$11)</f>
        <v>5150</v>
      </c>
      <c r="E428" s="140">
        <f>D428*(1+Assumptions!$D$11)</f>
        <v>5304.5</v>
      </c>
      <c r="F428" s="140">
        <f>E428*(1+Assumptions!$D$11)</f>
        <v>5463.6350000000002</v>
      </c>
      <c r="G428" s="140">
        <f>F428*(1+Assumptions!$D$11)</f>
        <v>5627.5440500000004</v>
      </c>
      <c r="H428" s="140">
        <f>G428*(1+Assumptions!$D$11)</f>
        <v>5796.3703715000001</v>
      </c>
      <c r="I428" s="140">
        <f>H428*(1+Assumptions!$D$11)</f>
        <v>5970.2614826449999</v>
      </c>
      <c r="J428" s="140">
        <f>I428*(1+Assumptions!$D$11)</f>
        <v>6149.3693271243501</v>
      </c>
      <c r="K428" s="140">
        <f>J428*(1+Assumptions!$D$11)</f>
        <v>6333.8504069380806</v>
      </c>
      <c r="L428" s="140">
        <f>K428*(1+Assumptions!$D$11)</f>
        <v>6523.865919146223</v>
      </c>
    </row>
    <row r="429" spans="1:12">
      <c r="A429" s="504"/>
      <c r="B429" s="501"/>
      <c r="C429" s="53"/>
      <c r="D429" s="53"/>
      <c r="E429" s="53"/>
      <c r="F429" s="53"/>
      <c r="G429" s="53"/>
      <c r="H429" s="53"/>
      <c r="I429" s="53"/>
      <c r="J429" s="53"/>
      <c r="K429" s="53"/>
      <c r="L429" s="53"/>
    </row>
    <row r="430" spans="1:12" ht="15.5">
      <c r="A430" s="506" t="s">
        <v>159</v>
      </c>
      <c r="B430" s="501"/>
      <c r="C430" s="140">
        <f t="shared" ref="C430:L430" si="365">SUM(C415:C428)</f>
        <v>263600</v>
      </c>
      <c r="D430" s="140">
        <f t="shared" si="365"/>
        <v>287402.96000000002</v>
      </c>
      <c r="E430" s="140">
        <f t="shared" si="365"/>
        <v>314070.44856800005</v>
      </c>
      <c r="F430" s="140">
        <f t="shared" si="365"/>
        <v>343979.62761579448</v>
      </c>
      <c r="G430" s="140">
        <f t="shared" si="365"/>
        <v>377558.4546549659</v>
      </c>
      <c r="H430" s="140">
        <f t="shared" si="365"/>
        <v>415292.56474575819</v>
      </c>
      <c r="I430" s="140">
        <f t="shared" si="365"/>
        <v>457733.08688264131</v>
      </c>
      <c r="J430" s="140">
        <f t="shared" si="365"/>
        <v>505505.52187092358</v>
      </c>
      <c r="K430" s="140">
        <f t="shared" si="365"/>
        <v>559319.8260455085</v>
      </c>
      <c r="L430" s="140">
        <f t="shared" si="365"/>
        <v>619981.8648372317</v>
      </c>
    </row>
    <row r="431" spans="1:12" ht="15.5">
      <c r="A431" s="506"/>
      <c r="B431" s="501"/>
      <c r="C431" s="53"/>
      <c r="D431" s="53"/>
      <c r="E431" s="53"/>
      <c r="F431" s="53"/>
      <c r="G431" s="53"/>
      <c r="H431" s="53"/>
      <c r="I431" s="53"/>
      <c r="J431" s="53"/>
      <c r="K431" s="53"/>
      <c r="L431" s="53"/>
    </row>
    <row r="432" spans="1:12" ht="15.5">
      <c r="A432" s="506" t="s">
        <v>36</v>
      </c>
      <c r="B432" s="501"/>
      <c r="C432" s="53"/>
      <c r="D432" s="53"/>
      <c r="E432" s="53"/>
      <c r="F432" s="53"/>
      <c r="G432" s="53"/>
      <c r="H432" s="53"/>
      <c r="I432" s="53"/>
      <c r="J432" s="53"/>
      <c r="K432" s="53"/>
      <c r="L432" s="53"/>
    </row>
    <row r="433" spans="1:12">
      <c r="A433" s="504" t="s">
        <v>38</v>
      </c>
      <c r="B433" s="501"/>
      <c r="C433" s="140">
        <f>Assumptions!G25</f>
        <v>5000</v>
      </c>
      <c r="D433" s="140">
        <f>C433*(1+Assumptions!$D$11)</f>
        <v>5150</v>
      </c>
      <c r="E433" s="140">
        <f>D433*(1+Assumptions!$D$11)</f>
        <v>5304.5</v>
      </c>
      <c r="F433" s="140">
        <f>E433*(1+Assumptions!$D$11)</f>
        <v>5463.6350000000002</v>
      </c>
      <c r="G433" s="140">
        <f>F433*(1+Assumptions!$D$11)</f>
        <v>5627.5440500000004</v>
      </c>
      <c r="H433" s="140">
        <f>G433*(1+Assumptions!$D$11)</f>
        <v>5796.3703715000001</v>
      </c>
      <c r="I433" s="140">
        <f>H433*(1+Assumptions!$D$11)</f>
        <v>5970.2614826449999</v>
      </c>
      <c r="J433" s="140">
        <f>I433*(1+Assumptions!$D$11)</f>
        <v>6149.3693271243501</v>
      </c>
      <c r="K433" s="140">
        <f>J433*(1+Assumptions!$D$11)</f>
        <v>6333.8504069380806</v>
      </c>
      <c r="L433" s="140">
        <f>K433*(1+Assumptions!$D$11)</f>
        <v>6523.865919146223</v>
      </c>
    </row>
    <row r="434" spans="1:12">
      <c r="A434" s="504" t="s">
        <v>39</v>
      </c>
      <c r="B434" s="501"/>
      <c r="C434" s="140">
        <f>Assumptions!G26</f>
        <v>500</v>
      </c>
      <c r="D434" s="140">
        <f t="shared" ref="D434" si="366">C434</f>
        <v>500</v>
      </c>
      <c r="E434" s="140">
        <f t="shared" ref="E434" si="367">D434</f>
        <v>500</v>
      </c>
      <c r="F434" s="140">
        <f t="shared" ref="F434" si="368">E434</f>
        <v>500</v>
      </c>
      <c r="G434" s="140">
        <f t="shared" ref="G434" si="369">F434</f>
        <v>500</v>
      </c>
      <c r="H434" s="140">
        <f t="shared" ref="H434" si="370">G434</f>
        <v>500</v>
      </c>
      <c r="I434" s="140">
        <f t="shared" ref="I434" si="371">H434</f>
        <v>500</v>
      </c>
      <c r="J434" s="140">
        <f t="shared" ref="J434" si="372">I434</f>
        <v>500</v>
      </c>
      <c r="K434" s="140">
        <f t="shared" ref="K434" si="373">J434</f>
        <v>500</v>
      </c>
      <c r="L434" s="140">
        <f t="shared" ref="L434" si="374">K434</f>
        <v>500</v>
      </c>
    </row>
    <row r="435" spans="1:12">
      <c r="A435" s="504"/>
      <c r="B435" s="501"/>
      <c r="C435" s="53"/>
      <c r="D435" s="53"/>
      <c r="E435" s="53"/>
      <c r="F435" s="53"/>
      <c r="G435" s="53"/>
      <c r="H435" s="53"/>
      <c r="I435" s="53"/>
      <c r="J435" s="53"/>
      <c r="K435" s="53"/>
      <c r="L435" s="53"/>
    </row>
    <row r="436" spans="1:12" ht="15.5">
      <c r="A436" s="506" t="s">
        <v>160</v>
      </c>
      <c r="B436" s="501"/>
      <c r="C436" s="140">
        <f t="shared" ref="C436:L436" si="375">SUM(C433:C434)</f>
        <v>5500</v>
      </c>
      <c r="D436" s="140">
        <f t="shared" si="375"/>
        <v>5650</v>
      </c>
      <c r="E436" s="140">
        <f t="shared" si="375"/>
        <v>5804.5</v>
      </c>
      <c r="F436" s="140">
        <f t="shared" si="375"/>
        <v>5963.6350000000002</v>
      </c>
      <c r="G436" s="140">
        <f t="shared" si="375"/>
        <v>6127.5440500000004</v>
      </c>
      <c r="H436" s="140">
        <f t="shared" si="375"/>
        <v>6296.3703715000001</v>
      </c>
      <c r="I436" s="140">
        <f t="shared" si="375"/>
        <v>6470.2614826449999</v>
      </c>
      <c r="J436" s="140">
        <f t="shared" si="375"/>
        <v>6649.3693271243501</v>
      </c>
      <c r="K436" s="140">
        <f t="shared" si="375"/>
        <v>6833.8504069380806</v>
      </c>
      <c r="L436" s="140">
        <f t="shared" si="375"/>
        <v>7023.865919146223</v>
      </c>
    </row>
    <row r="437" spans="1:12">
      <c r="A437" s="504"/>
      <c r="B437" s="501"/>
      <c r="C437" s="53"/>
      <c r="D437" s="53"/>
      <c r="E437" s="53"/>
      <c r="F437" s="53"/>
      <c r="G437" s="53"/>
      <c r="H437" s="53"/>
      <c r="I437" s="53"/>
      <c r="J437" s="53"/>
      <c r="K437" s="53"/>
      <c r="L437" s="53"/>
    </row>
    <row r="438" spans="1:12" ht="15.5">
      <c r="A438" s="506" t="s">
        <v>112</v>
      </c>
      <c r="B438" s="501"/>
      <c r="C438" s="140">
        <f t="shared" ref="C438:L438" si="376">C411+C430+C436</f>
        <v>304100</v>
      </c>
      <c r="D438" s="140">
        <f t="shared" si="376"/>
        <v>293052.96000000002</v>
      </c>
      <c r="E438" s="140">
        <f t="shared" si="376"/>
        <v>319874.94856800005</v>
      </c>
      <c r="F438" s="140">
        <f t="shared" si="376"/>
        <v>349943.26261579449</v>
      </c>
      <c r="G438" s="140">
        <f t="shared" si="376"/>
        <v>383685.99870496592</v>
      </c>
      <c r="H438" s="140">
        <f t="shared" si="376"/>
        <v>421588.93511725817</v>
      </c>
      <c r="I438" s="140">
        <f t="shared" si="376"/>
        <v>464203.34836528631</v>
      </c>
      <c r="J438" s="140">
        <f t="shared" si="376"/>
        <v>512154.8911980479</v>
      </c>
      <c r="K438" s="140">
        <f t="shared" si="376"/>
        <v>566153.67645244661</v>
      </c>
      <c r="L438" s="140">
        <f t="shared" si="376"/>
        <v>627005.73075637792</v>
      </c>
    </row>
    <row r="439" spans="1:12">
      <c r="A439" s="504"/>
      <c r="B439" s="501"/>
      <c r="C439" s="53"/>
      <c r="D439" s="53"/>
      <c r="E439" s="53"/>
      <c r="F439" s="53"/>
      <c r="G439" s="53"/>
      <c r="H439" s="53"/>
      <c r="I439" s="53"/>
      <c r="J439" s="53"/>
      <c r="K439" s="53"/>
      <c r="L439" s="53"/>
    </row>
    <row r="440" spans="1:12" ht="15.5">
      <c r="A440" s="506" t="s">
        <v>424</v>
      </c>
      <c r="B440" s="501"/>
      <c r="C440" s="500">
        <f>C397-C438</f>
        <v>2900400</v>
      </c>
      <c r="D440" s="500">
        <f t="shared" ref="D440:L440" si="377">D397-D438</f>
        <v>4283689.04</v>
      </c>
      <c r="E440" s="500">
        <f t="shared" ca="1" si="377"/>
        <v>6518223.7087302217</v>
      </c>
      <c r="F440" s="500">
        <f t="shared" ca="1" si="377"/>
        <v>7113521.8726641843</v>
      </c>
      <c r="G440" s="500">
        <f t="shared" ca="1" si="377"/>
        <v>7793767.8431665953</v>
      </c>
      <c r="H440" s="500">
        <f t="shared" ca="1" si="377"/>
        <v>8568670.2620891389</v>
      </c>
      <c r="I440" s="500">
        <f t="shared" ca="1" si="377"/>
        <v>9453105.2035028208</v>
      </c>
      <c r="J440" s="500">
        <f t="shared" ca="1" si="377"/>
        <v>10468605.87401039</v>
      </c>
      <c r="K440" s="500">
        <f t="shared" ca="1" si="377"/>
        <v>11635036.1451739</v>
      </c>
      <c r="L440" s="500">
        <f t="shared" ca="1" si="377"/>
        <v>12978597.960058993</v>
      </c>
    </row>
    <row r="441" spans="1:12">
      <c r="A441" s="504"/>
      <c r="B441" s="501"/>
      <c r="C441" s="53"/>
      <c r="D441" s="53"/>
      <c r="E441" s="53"/>
      <c r="F441" s="53"/>
      <c r="G441" s="53"/>
      <c r="H441" s="53"/>
      <c r="I441" s="53"/>
      <c r="J441" s="53"/>
      <c r="K441" s="53"/>
      <c r="L441" s="53"/>
    </row>
    <row r="442" spans="1:12">
      <c r="A442" s="504" t="s">
        <v>162</v>
      </c>
      <c r="B442" s="501"/>
      <c r="C442" s="53">
        <f>'Depreciation Schedule'!G10</f>
        <v>20611.111111111113</v>
      </c>
      <c r="D442" s="53">
        <f>'Depreciation Schedule'!H10</f>
        <v>20611.111111111113</v>
      </c>
      <c r="E442" s="53">
        <f>'Depreciation Schedule'!I10</f>
        <v>20611.111111111113</v>
      </c>
      <c r="F442" s="53">
        <f>'Depreciation Schedule'!J10</f>
        <v>20611.111111111113</v>
      </c>
      <c r="G442" s="53">
        <f>'Depreciation Schedule'!K10</f>
        <v>20611.111111111113</v>
      </c>
      <c r="H442" s="53">
        <f>'Depreciation Schedule'!L10</f>
        <v>20611.111111111113</v>
      </c>
      <c r="I442" s="53">
        <f>'Depreciation Schedule'!M10</f>
        <v>20611.111111111113</v>
      </c>
      <c r="J442" s="53">
        <f>'Depreciation Schedule'!N10</f>
        <v>20611.111111111113</v>
      </c>
      <c r="K442" s="53">
        <f>'Depreciation Schedule'!O10</f>
        <v>20611.111111111113</v>
      </c>
      <c r="L442" s="53">
        <f>'Depreciation Schedule'!P10</f>
        <v>20611.111111111113</v>
      </c>
    </row>
    <row r="443" spans="1:12">
      <c r="A443" s="504" t="s">
        <v>163</v>
      </c>
      <c r="B443" s="501"/>
      <c r="C443" s="53">
        <v>0</v>
      </c>
      <c r="D443" s="53">
        <v>0</v>
      </c>
      <c r="E443" s="53">
        <v>0</v>
      </c>
      <c r="F443" s="53">
        <v>0</v>
      </c>
      <c r="G443" s="53">
        <v>0</v>
      </c>
      <c r="H443" s="53">
        <v>0</v>
      </c>
      <c r="I443" s="53">
        <v>0</v>
      </c>
      <c r="J443" s="53">
        <v>0</v>
      </c>
      <c r="K443" s="53">
        <v>0</v>
      </c>
      <c r="L443" s="53">
        <v>0</v>
      </c>
    </row>
    <row r="444" spans="1:12">
      <c r="A444" s="504"/>
      <c r="B444" s="501"/>
      <c r="C444" s="53"/>
      <c r="D444" s="53"/>
      <c r="E444" s="53"/>
      <c r="F444" s="53"/>
      <c r="G444" s="53"/>
      <c r="H444" s="53"/>
      <c r="I444" s="53"/>
      <c r="J444" s="53"/>
      <c r="K444" s="53"/>
      <c r="L444" s="53"/>
    </row>
    <row r="445" spans="1:12" ht="15.5">
      <c r="A445" s="506" t="s">
        <v>425</v>
      </c>
      <c r="B445" s="501"/>
      <c r="C445" s="500">
        <f>C440-C442-C443</f>
        <v>2879788.888888889</v>
      </c>
      <c r="D445" s="500">
        <f t="shared" ref="D445:L445" si="378">D440-D442-D443</f>
        <v>4263077.928888889</v>
      </c>
      <c r="E445" s="500">
        <f t="shared" ca="1" si="378"/>
        <v>6497612.5976191107</v>
      </c>
      <c r="F445" s="500">
        <f t="shared" ca="1" si="378"/>
        <v>7092910.7615530733</v>
      </c>
      <c r="G445" s="500">
        <f t="shared" ca="1" si="378"/>
        <v>7773156.7320554843</v>
      </c>
      <c r="H445" s="500">
        <f t="shared" ca="1" si="378"/>
        <v>8548059.1509780269</v>
      </c>
      <c r="I445" s="500">
        <f t="shared" ca="1" si="378"/>
        <v>9432494.0923917089</v>
      </c>
      <c r="J445" s="500">
        <f t="shared" ca="1" si="378"/>
        <v>10447994.762899278</v>
      </c>
      <c r="K445" s="500">
        <f t="shared" ca="1" si="378"/>
        <v>11614425.034062788</v>
      </c>
      <c r="L445" s="500">
        <f t="shared" ca="1" si="378"/>
        <v>12957986.848947881</v>
      </c>
    </row>
    <row r="446" spans="1:12">
      <c r="A446" s="504"/>
      <c r="B446" s="501"/>
      <c r="C446" s="53"/>
      <c r="D446" s="53"/>
      <c r="E446" s="53"/>
      <c r="F446" s="53"/>
      <c r="G446" s="53"/>
      <c r="H446" s="53"/>
      <c r="I446" s="53"/>
      <c r="J446" s="53"/>
      <c r="K446" s="53"/>
      <c r="L446" s="53"/>
    </row>
    <row r="447" spans="1:12">
      <c r="A447" s="504" t="s">
        <v>165</v>
      </c>
      <c r="B447" s="501"/>
      <c r="C447" s="140">
        <f>'Loan Repayment Schedule'!H24</f>
        <v>78887.593138586235</v>
      </c>
      <c r="D447" s="140">
        <f>'Loan Repayment Schedule'!I24</f>
        <v>74852.949804201286</v>
      </c>
      <c r="E447" s="140">
        <f>'Loan Repayment Schedule'!J24</f>
        <v>70169.719326413004</v>
      </c>
      <c r="F447" s="140">
        <f>'Loan Repayment Schedule'!K24</f>
        <v>64733.63839178221</v>
      </c>
      <c r="G447" s="140">
        <f>'Loan Repayment Schedule'!L24</f>
        <v>58423.682888201663</v>
      </c>
      <c r="H447" s="140">
        <f>'Loan Repayment Schedule'!M24</f>
        <v>51099.373530789453</v>
      </c>
      <c r="I447" s="140">
        <f>'Loan Repayment Schedule'!N24</f>
        <v>42597.648354972385</v>
      </c>
      <c r="J447" s="140">
        <f>'Loan Repayment Schedule'!O24</f>
        <v>32729.232448703373</v>
      </c>
      <c r="K447" s="140">
        <f>'Loan Repayment Schedule'!P24</f>
        <v>21274.424102732115</v>
      </c>
      <c r="L447" s="140">
        <f>'Loan Repayment Schedule'!Q24</f>
        <v>7978.2035654948695</v>
      </c>
    </row>
    <row r="448" spans="1:12">
      <c r="A448" s="504"/>
      <c r="B448" s="501"/>
      <c r="C448" s="53"/>
      <c r="D448" s="53"/>
      <c r="E448" s="53"/>
      <c r="F448" s="53"/>
      <c r="G448" s="53"/>
      <c r="H448" s="53"/>
      <c r="I448" s="53"/>
      <c r="J448" s="53"/>
      <c r="K448" s="53"/>
      <c r="L448" s="53"/>
    </row>
    <row r="449" spans="1:12" ht="15.5">
      <c r="A449" s="506" t="s">
        <v>426</v>
      </c>
      <c r="B449" s="501"/>
      <c r="C449" s="500">
        <f>C445-C447</f>
        <v>2800901.2957503027</v>
      </c>
      <c r="D449" s="500">
        <f t="shared" ref="D449:L449" si="379">D445-D447</f>
        <v>4188224.9790846878</v>
      </c>
      <c r="E449" s="500">
        <f t="shared" ca="1" si="379"/>
        <v>6427442.8782926975</v>
      </c>
      <c r="F449" s="500">
        <f t="shared" ca="1" si="379"/>
        <v>7028177.1231612908</v>
      </c>
      <c r="G449" s="500">
        <f t="shared" ca="1" si="379"/>
        <v>7714733.0491672829</v>
      </c>
      <c r="H449" s="500">
        <f t="shared" ca="1" si="379"/>
        <v>8496959.7774472367</v>
      </c>
      <c r="I449" s="500">
        <f t="shared" ca="1" si="379"/>
        <v>9389896.4440367371</v>
      </c>
      <c r="J449" s="500">
        <f t="shared" ca="1" si="379"/>
        <v>10415265.530450575</v>
      </c>
      <c r="K449" s="500">
        <f t="shared" ca="1" si="379"/>
        <v>11593150.609960055</v>
      </c>
      <c r="L449" s="500">
        <f t="shared" ca="1" si="379"/>
        <v>12950008.645382386</v>
      </c>
    </row>
    <row r="450" spans="1:12">
      <c r="A450" s="504"/>
      <c r="B450" s="501"/>
      <c r="C450" s="53"/>
      <c r="D450" s="53"/>
      <c r="E450" s="53"/>
      <c r="F450" s="53"/>
      <c r="G450" s="53"/>
      <c r="H450" s="53"/>
      <c r="I450" s="53"/>
      <c r="J450" s="53"/>
      <c r="K450" s="53"/>
      <c r="L450" s="53"/>
    </row>
    <row r="451" spans="1:12">
      <c r="A451" s="504" t="s">
        <v>167</v>
      </c>
      <c r="B451" s="501"/>
      <c r="C451" s="140">
        <f>C449*Assumptions!$D$12</f>
        <v>980315.45351260586</v>
      </c>
      <c r="D451" s="140">
        <f>D449*Assumptions!$D$12</f>
        <v>1465878.7426796407</v>
      </c>
      <c r="E451" s="140">
        <f ca="1">E449*Assumptions!$D$12</f>
        <v>2249605.0074024438</v>
      </c>
      <c r="F451" s="140">
        <f ca="1">F449*Assumptions!$D$12</f>
        <v>2459861.9931064518</v>
      </c>
      <c r="G451" s="140">
        <f ca="1">G449*Assumptions!$D$12</f>
        <v>2700156.567208549</v>
      </c>
      <c r="H451" s="140">
        <f ca="1">H449*Assumptions!$D$12</f>
        <v>2973935.9221065328</v>
      </c>
      <c r="I451" s="140">
        <f ca="1">I449*Assumptions!$D$12</f>
        <v>3286463.755412858</v>
      </c>
      <c r="J451" s="140">
        <f ca="1">J449*Assumptions!$D$12</f>
        <v>3645342.935657701</v>
      </c>
      <c r="K451" s="140">
        <f ca="1">K449*Assumptions!$D$12</f>
        <v>4057602.7134860191</v>
      </c>
      <c r="L451" s="140">
        <f ca="1">L449*Assumptions!$D$12</f>
        <v>4532503.0258838348</v>
      </c>
    </row>
    <row r="452" spans="1:12">
      <c r="A452" s="504"/>
      <c r="B452" s="501"/>
      <c r="C452" s="53"/>
      <c r="D452" s="53"/>
      <c r="E452" s="53"/>
      <c r="F452" s="53"/>
      <c r="G452" s="53"/>
      <c r="H452" s="53"/>
      <c r="I452" s="53"/>
      <c r="J452" s="53"/>
      <c r="K452" s="53"/>
      <c r="L452" s="53"/>
    </row>
    <row r="453" spans="1:12" ht="15.5">
      <c r="A453" s="506" t="s">
        <v>97</v>
      </c>
      <c r="B453" s="501"/>
      <c r="C453" s="500">
        <f>C449-C451</f>
        <v>1820585.842237697</v>
      </c>
      <c r="D453" s="500">
        <f t="shared" ref="D453:L453" si="380">D449-D451</f>
        <v>2722346.2364050471</v>
      </c>
      <c r="E453" s="500">
        <f t="shared" ca="1" si="380"/>
        <v>4177837.8708902537</v>
      </c>
      <c r="F453" s="500">
        <f t="shared" ca="1" si="380"/>
        <v>4568315.130054839</v>
      </c>
      <c r="G453" s="500">
        <f t="shared" ca="1" si="380"/>
        <v>5014576.4819587339</v>
      </c>
      <c r="H453" s="500">
        <f t="shared" ca="1" si="380"/>
        <v>5523023.8553407043</v>
      </c>
      <c r="I453" s="500">
        <f t="shared" ca="1" si="380"/>
        <v>6103432.6886238791</v>
      </c>
      <c r="J453" s="500">
        <f t="shared" ca="1" si="380"/>
        <v>6769922.5947928745</v>
      </c>
      <c r="K453" s="500">
        <f t="shared" ca="1" si="380"/>
        <v>7535547.8964740355</v>
      </c>
      <c r="L453" s="500">
        <f t="shared" ca="1" si="380"/>
        <v>8417505.6194985509</v>
      </c>
    </row>
    <row r="454" spans="1:12">
      <c r="A454" s="504"/>
      <c r="B454" s="501"/>
      <c r="C454" s="53"/>
      <c r="D454" s="53"/>
      <c r="E454" s="53"/>
      <c r="F454" s="53"/>
      <c r="G454" s="53"/>
      <c r="H454" s="53"/>
      <c r="I454" s="53"/>
      <c r="J454" s="53"/>
      <c r="K454" s="53"/>
      <c r="L454" s="53"/>
    </row>
    <row r="455" spans="1:12" ht="16" thickBot="1">
      <c r="A455" s="510" t="s">
        <v>168</v>
      </c>
      <c r="B455" s="502"/>
      <c r="C455" s="503">
        <f>C453</f>
        <v>1820585.842237697</v>
      </c>
      <c r="D455" s="503">
        <f>C455+D453</f>
        <v>4542932.0786427446</v>
      </c>
      <c r="E455" s="503">
        <f t="shared" ref="E455" ca="1" si="381">D455+E453</f>
        <v>8720769.9495329987</v>
      </c>
      <c r="F455" s="503">
        <f t="shared" ref="F455" ca="1" si="382">E455+F453</f>
        <v>13289085.079587838</v>
      </c>
      <c r="G455" s="503">
        <f t="shared" ref="G455" ca="1" si="383">F455+G453</f>
        <v>18303661.561546572</v>
      </c>
      <c r="H455" s="503">
        <f t="shared" ref="H455" ca="1" si="384">G455+H453</f>
        <v>23826685.416887276</v>
      </c>
      <c r="I455" s="503">
        <f t="shared" ref="I455" ca="1" si="385">H455+I453</f>
        <v>29930118.105511155</v>
      </c>
      <c r="J455" s="503">
        <f t="shared" ref="J455" ca="1" si="386">I455+J453</f>
        <v>36700040.700304031</v>
      </c>
      <c r="K455" s="503">
        <f t="shared" ref="K455" ca="1" si="387">J455+K453</f>
        <v>44235588.596778065</v>
      </c>
      <c r="L455" s="503">
        <f t="shared" ref="L455" ca="1" si="388">K455+L453</f>
        <v>52653094.216276616</v>
      </c>
    </row>
    <row r="456" spans="1:12" ht="15" thickTop="1">
      <c r="B456" s="519"/>
      <c r="C456" s="520"/>
      <c r="D456" s="520"/>
      <c r="E456" s="520"/>
      <c r="F456" s="520"/>
      <c r="G456" s="520"/>
      <c r="H456" s="520"/>
      <c r="I456" s="520"/>
      <c r="J456" s="520"/>
      <c r="K456" s="520"/>
      <c r="L456" s="520"/>
    </row>
    <row r="457" spans="1:12" ht="15.5">
      <c r="A457" s="511" t="s">
        <v>402</v>
      </c>
      <c r="B457" s="501"/>
      <c r="C457" s="140"/>
      <c r="D457" s="140"/>
      <c r="E457" s="140"/>
      <c r="F457" s="140"/>
      <c r="G457" s="140"/>
      <c r="H457" s="140"/>
      <c r="I457" s="140"/>
      <c r="J457" s="140"/>
      <c r="K457" s="140"/>
      <c r="L457" s="141"/>
    </row>
    <row r="458" spans="1:12" ht="15.5">
      <c r="A458" s="512" t="s">
        <v>406</v>
      </c>
      <c r="B458" s="501"/>
      <c r="C458" s="53"/>
      <c r="D458" s="53"/>
      <c r="E458" s="53"/>
      <c r="F458" s="53"/>
      <c r="G458" s="53"/>
      <c r="H458" s="53"/>
      <c r="I458" s="53"/>
      <c r="J458" s="53"/>
      <c r="K458" s="53"/>
      <c r="L458" s="53"/>
    </row>
    <row r="459" spans="1:12">
      <c r="A459" s="513" t="s">
        <v>311</v>
      </c>
      <c r="B459" s="501"/>
      <c r="C459" s="138">
        <f>Revenue!AQ38</f>
        <v>1540</v>
      </c>
      <c r="D459" s="138">
        <f>Revenue!AR38</f>
        <v>1586.2</v>
      </c>
      <c r="E459" s="138">
        <f ca="1">Revenue!AS38</f>
        <v>1638.3327031102322</v>
      </c>
      <c r="F459" s="138">
        <f ca="1">Revenue!AT38</f>
        <v>1697.3410605384879</v>
      </c>
      <c r="G459" s="138">
        <f ca="1">Revenue!AU38</f>
        <v>1764.2266373262028</v>
      </c>
      <c r="H459" s="138">
        <f ca="1">Revenue!AV38</f>
        <v>1839.7434070337783</v>
      </c>
      <c r="I459" s="138">
        <f ca="1">Revenue!AW38</f>
        <v>1924.8244102650217</v>
      </c>
      <c r="J459" s="138">
        <f ca="1">Revenue!AX38</f>
        <v>2018.9504695470671</v>
      </c>
      <c r="K459" s="138">
        <f ca="1">Revenue!AY38</f>
        <v>2125.2340016917638</v>
      </c>
      <c r="L459" s="138">
        <f ca="1">Revenue!AZ38</f>
        <v>2242.7307751028602</v>
      </c>
    </row>
    <row r="460" spans="1:12">
      <c r="A460" s="513" t="s">
        <v>60</v>
      </c>
      <c r="B460" s="501"/>
      <c r="C460" s="500">
        <f>Revenue!AC38</f>
        <v>1000</v>
      </c>
      <c r="D460" s="500">
        <f>Revenue!AD38</f>
        <v>1032</v>
      </c>
      <c r="E460" s="500">
        <f>Revenue!AE38</f>
        <v>1065.0240000000001</v>
      </c>
      <c r="F460" s="500">
        <f>Revenue!AF38</f>
        <v>1099.1047680000001</v>
      </c>
      <c r="G460" s="500">
        <f>Revenue!AG38</f>
        <v>1134.2761205760003</v>
      </c>
      <c r="H460" s="500">
        <f>Revenue!AH38</f>
        <v>1170.5729564344324</v>
      </c>
      <c r="I460" s="500">
        <f>Revenue!AI38</f>
        <v>1208.0312910403343</v>
      </c>
      <c r="J460" s="500">
        <f>Revenue!AJ38</f>
        <v>1246.688292353625</v>
      </c>
      <c r="K460" s="500">
        <f>Revenue!AK38</f>
        <v>1286.582317708941</v>
      </c>
      <c r="L460" s="500">
        <f>Revenue!AL38</f>
        <v>1327.7529518756271</v>
      </c>
    </row>
    <row r="461" spans="1:12">
      <c r="A461" s="513" t="s">
        <v>417</v>
      </c>
      <c r="B461" s="501"/>
      <c r="C461" s="500">
        <f>C459*C460</f>
        <v>1540000</v>
      </c>
      <c r="D461" s="500">
        <f t="shared" ref="D461" si="389">D459*D460</f>
        <v>1636958.4000000001</v>
      </c>
      <c r="E461" s="500">
        <f t="shared" ref="E461" ca="1" si="390">E459*E460</f>
        <v>1744863.648797272</v>
      </c>
      <c r="F461" s="500">
        <f t="shared" ref="F461" ca="1" si="391">F459*F460</f>
        <v>1865555.6525600289</v>
      </c>
      <c r="G461" s="500">
        <f t="shared" ref="G461" ca="1" si="392">G459*G460</f>
        <v>2001120.1460032074</v>
      </c>
      <c r="H461" s="500">
        <f t="shared" ref="H461" ca="1" si="393">H459*H460</f>
        <v>2153553.8790522851</v>
      </c>
      <c r="I461" s="500">
        <f t="shared" ref="I461" ca="1" si="394">I459*I460</f>
        <v>2325248.1173584042</v>
      </c>
      <c r="J461" s="500">
        <f t="shared" ref="J461" ca="1" si="395">J459*J460</f>
        <v>2517001.9132261826</v>
      </c>
      <c r="K461" s="500">
        <f t="shared" ref="K461" ca="1" si="396">K459*K460</f>
        <v>2734288.4875704367</v>
      </c>
      <c r="L461" s="500">
        <f t="shared" ref="L461" ca="1" si="397">L459*L460</f>
        <v>2977792.4069051356</v>
      </c>
    </row>
    <row r="462" spans="1:12" ht="15.5">
      <c r="A462" s="514" t="s">
        <v>407</v>
      </c>
      <c r="B462" s="501"/>
      <c r="C462" s="53"/>
      <c r="D462" s="53"/>
      <c r="E462" s="53"/>
      <c r="F462" s="53"/>
      <c r="G462" s="53"/>
      <c r="H462" s="53"/>
      <c r="I462" s="53"/>
      <c r="J462" s="53"/>
      <c r="K462" s="53"/>
      <c r="L462" s="53"/>
    </row>
    <row r="463" spans="1:12">
      <c r="A463" s="515" t="s">
        <v>409</v>
      </c>
      <c r="B463" s="501"/>
      <c r="C463" s="138">
        <f>Revenue!AQ39</f>
        <v>1000</v>
      </c>
      <c r="D463" s="138">
        <f>Revenue!AR39</f>
        <v>1050</v>
      </c>
      <c r="E463" s="138">
        <f ca="1">Revenue!AS39</f>
        <v>1106.3986015302389</v>
      </c>
      <c r="F463" s="138">
        <f ca="1">Revenue!AT39</f>
        <v>1169.9993575787942</v>
      </c>
      <c r="G463" s="138">
        <f ca="1">Revenue!AU39</f>
        <v>1240.8660448834698</v>
      </c>
      <c r="H463" s="138">
        <f ca="1">Revenue!AV39</f>
        <v>1319.8481163485515</v>
      </c>
      <c r="I463" s="138">
        <f ca="1">Revenue!AW39</f>
        <v>1408.49951997982</v>
      </c>
      <c r="J463" s="138">
        <f ca="1">Revenue!AX39</f>
        <v>1508.3606709539977</v>
      </c>
      <c r="K463" s="138">
        <f ca="1">Revenue!AY39</f>
        <v>1620.4452204774093</v>
      </c>
      <c r="L463" s="138">
        <f ca="1">Revenue!AZ39</f>
        <v>1747.1029527748155</v>
      </c>
    </row>
    <row r="464" spans="1:12">
      <c r="A464" s="516" t="s">
        <v>410</v>
      </c>
      <c r="B464" s="501"/>
      <c r="C464" s="500">
        <f>Revenue!AC39</f>
        <v>850</v>
      </c>
      <c r="D464" s="500">
        <f>Revenue!AD39</f>
        <v>877.2</v>
      </c>
      <c r="E464" s="500">
        <f>Revenue!AE39</f>
        <v>905.27040000000011</v>
      </c>
      <c r="F464" s="500">
        <f>Revenue!AF39</f>
        <v>934.23905280000008</v>
      </c>
      <c r="G464" s="500">
        <f>Revenue!AG39</f>
        <v>964.13470248960016</v>
      </c>
      <c r="H464" s="500">
        <f>Revenue!AH39</f>
        <v>994.98701296926743</v>
      </c>
      <c r="I464" s="500">
        <f>Revenue!AI39</f>
        <v>1026.826597384284</v>
      </c>
      <c r="J464" s="500">
        <f>Revenue!AJ39</f>
        <v>1059.6850485005812</v>
      </c>
      <c r="K464" s="500">
        <f>Revenue!AK39</f>
        <v>1093.5949700525998</v>
      </c>
      <c r="L464" s="500">
        <f>Revenue!AL39</f>
        <v>1128.590009094283</v>
      </c>
    </row>
    <row r="465" spans="1:12">
      <c r="A465" s="517" t="s">
        <v>418</v>
      </c>
      <c r="B465" s="501"/>
      <c r="C465" s="500">
        <f>C463*C464</f>
        <v>850000</v>
      </c>
      <c r="D465" s="500">
        <f t="shared" ref="D465" si="398">D463*D464</f>
        <v>921060</v>
      </c>
      <c r="E465" s="500">
        <f t="shared" ref="E465" ca="1" si="399">E463*E464</f>
        <v>1001589.9045667201</v>
      </c>
      <c r="F465" s="500">
        <f t="shared" ref="F465" ca="1" si="400">F463*F464</f>
        <v>1093059.0916010214</v>
      </c>
      <c r="G465" s="500">
        <f t="shared" ref="G465" ca="1" si="401">G463*G464</f>
        <v>1196362.0150131711</v>
      </c>
      <c r="H465" s="500">
        <f t="shared" ref="H465" ca="1" si="402">H463*H464</f>
        <v>1313231.7348587594</v>
      </c>
      <c r="I465" s="500">
        <f t="shared" ref="I465" ca="1" si="403">I463*I464</f>
        <v>1446284.769518276</v>
      </c>
      <c r="J465" s="500">
        <f t="shared" ref="J465" ca="1" si="404">J463*J464</f>
        <v>1598387.250756256</v>
      </c>
      <c r="K465" s="500">
        <f t="shared" ref="K465" ca="1" si="405">K463*K464</f>
        <v>1772110.7423598708</v>
      </c>
      <c r="L465" s="500">
        <f t="shared" ref="L465" ca="1" si="406">L463*L464</f>
        <v>1971762.9373607778</v>
      </c>
    </row>
    <row r="466" spans="1:12" ht="15.5">
      <c r="A466" s="514" t="s">
        <v>408</v>
      </c>
      <c r="B466" s="501"/>
      <c r="C466" s="53"/>
      <c r="D466" s="53"/>
      <c r="E466" s="53"/>
      <c r="F466" s="53"/>
      <c r="G466" s="53"/>
      <c r="H466" s="53"/>
      <c r="I466" s="53"/>
      <c r="J466" s="53"/>
      <c r="K466" s="53"/>
      <c r="L466" s="53"/>
    </row>
    <row r="467" spans="1:12">
      <c r="A467" s="515" t="s">
        <v>409</v>
      </c>
      <c r="B467" s="501"/>
      <c r="C467" s="138">
        <f>Revenue!AQ40</f>
        <v>1270</v>
      </c>
      <c r="D467" s="138">
        <f>Revenue!AR40</f>
        <v>1308.1000000000001</v>
      </c>
      <c r="E467" s="138">
        <f ca="1">Revenue!AS40</f>
        <v>1352.0820328183877</v>
      </c>
      <c r="F467" s="138">
        <f ca="1">Revenue!AT40</f>
        <v>1402.7787571454103</v>
      </c>
      <c r="G467" s="138">
        <f ca="1">Revenue!AU40</f>
        <v>1459.4968771190249</v>
      </c>
      <c r="H467" s="138">
        <f ca="1">Revenue!AV40</f>
        <v>1523.5066816316362</v>
      </c>
      <c r="I467" s="138">
        <f ca="1">Revenue!AW40</f>
        <v>1596.4015825802819</v>
      </c>
      <c r="J467" s="138">
        <f ca="1">Revenue!AX40</f>
        <v>1676.7896472347895</v>
      </c>
      <c r="K467" s="138">
        <f ca="1">Revenue!AY40</f>
        <v>1767.883134308878</v>
      </c>
      <c r="L467" s="138">
        <f ca="1">Revenue!AZ40</f>
        <v>1869.9934131902332</v>
      </c>
    </row>
    <row r="468" spans="1:12">
      <c r="A468" s="516" t="s">
        <v>410</v>
      </c>
      <c r="B468" s="501"/>
      <c r="C468" s="500">
        <f>Revenue!AC40</f>
        <v>2000</v>
      </c>
      <c r="D468" s="500">
        <f>Revenue!AD40</f>
        <v>2064</v>
      </c>
      <c r="E468" s="500">
        <f>Revenue!AE40</f>
        <v>2130.0480000000002</v>
      </c>
      <c r="F468" s="500">
        <f>Revenue!AF40</f>
        <v>2198.2095360000003</v>
      </c>
      <c r="G468" s="500">
        <f>Revenue!AG40</f>
        <v>2268.5522411520005</v>
      </c>
      <c r="H468" s="500">
        <f>Revenue!AH40</f>
        <v>2341.1459128688648</v>
      </c>
      <c r="I468" s="500">
        <f>Revenue!AI40</f>
        <v>2416.0625820806686</v>
      </c>
      <c r="J468" s="500">
        <f>Revenue!AJ40</f>
        <v>2493.37658470725</v>
      </c>
      <c r="K468" s="500">
        <f>Revenue!AK40</f>
        <v>2573.164635417882</v>
      </c>
      <c r="L468" s="500">
        <f>Revenue!AL40</f>
        <v>2655.5059037512542</v>
      </c>
    </row>
    <row r="469" spans="1:12">
      <c r="A469" s="517" t="s">
        <v>418</v>
      </c>
      <c r="B469" s="501"/>
      <c r="C469" s="500">
        <f>C467*C468</f>
        <v>2540000</v>
      </c>
      <c r="D469" s="500">
        <f t="shared" ref="D469" si="407">D467*D468</f>
        <v>2699918.4000000004</v>
      </c>
      <c r="E469" s="500">
        <f t="shared" ref="E469" ca="1" si="408">E467*E468</f>
        <v>2879999.6298407414</v>
      </c>
      <c r="F469" s="500">
        <f t="shared" ref="F469" ca="1" si="409">F467*F468</f>
        <v>3083601.6408552695</v>
      </c>
      <c r="G469" s="500">
        <f t="shared" ref="G469" ca="1" si="410">G467*G468</f>
        <v>3310944.9115427099</v>
      </c>
      <c r="H469" s="500">
        <f t="shared" ref="H469" ca="1" si="411">H467*H468</f>
        <v>3566751.440930312</v>
      </c>
      <c r="I469" s="500">
        <f t="shared" ref="I469" ca="1" si="412">I467*I468</f>
        <v>3857006.1296465816</v>
      </c>
      <c r="J469" s="500">
        <f t="shared" ref="J469" ca="1" si="413">J467*J468</f>
        <v>4180868.0438947543</v>
      </c>
      <c r="K469" s="500">
        <f t="shared" ref="K469" ca="1" si="414">K467*K468</f>
        <v>4549054.3607553262</v>
      </c>
      <c r="L469" s="500">
        <f t="shared" ref="L469" ca="1" si="415">L467*L468</f>
        <v>4965778.5487026228</v>
      </c>
    </row>
    <row r="470" spans="1:12" ht="15.5">
      <c r="A470" s="514" t="s">
        <v>411</v>
      </c>
      <c r="B470" s="501"/>
      <c r="C470" s="53"/>
      <c r="D470" s="53"/>
      <c r="E470" s="53"/>
      <c r="F470" s="53"/>
      <c r="G470" s="53"/>
      <c r="H470" s="53"/>
      <c r="I470" s="53"/>
      <c r="J470" s="53"/>
      <c r="K470" s="53"/>
      <c r="L470" s="53"/>
    </row>
    <row r="471" spans="1:12">
      <c r="A471" s="515" t="s">
        <v>409</v>
      </c>
      <c r="B471" s="501"/>
      <c r="C471" s="138">
        <f>Revenue!AQ41</f>
        <v>0</v>
      </c>
      <c r="D471" s="138">
        <f>Revenue!AR41</f>
        <v>635</v>
      </c>
      <c r="E471" s="138">
        <f ca="1">Revenue!AS41</f>
        <v>662.81577862514155</v>
      </c>
      <c r="F471" s="138">
        <f ca="1">Revenue!AT41</f>
        <v>693.68685254972786</v>
      </c>
      <c r="G471" s="138">
        <f ca="1">Revenue!AU41</f>
        <v>728.52574547663687</v>
      </c>
      <c r="H471" s="138">
        <f ca="1">Revenue!AV41</f>
        <v>767.6551033208043</v>
      </c>
      <c r="I471" s="138">
        <f ca="1">Revenue!AW41</f>
        <v>810.89517683760312</v>
      </c>
      <c r="J471" s="138">
        <f ca="1">Revenue!AX41</f>
        <v>859.16028923389479</v>
      </c>
      <c r="K471" s="138">
        <f ca="1">Revenue!AY41</f>
        <v>912.58106436314586</v>
      </c>
      <c r="L471" s="138">
        <f ca="1">Revenue!AZ41</f>
        <v>972.65011473640789</v>
      </c>
    </row>
    <row r="472" spans="1:12">
      <c r="A472" s="516" t="s">
        <v>410</v>
      </c>
      <c r="B472" s="501"/>
      <c r="C472" s="500">
        <f>Revenue!AC41</f>
        <v>0</v>
      </c>
      <c r="D472" s="500">
        <f>Revenue!AD41</f>
        <v>3000</v>
      </c>
      <c r="E472" s="500">
        <f>Revenue!AE41</f>
        <v>3096</v>
      </c>
      <c r="F472" s="500">
        <f>Revenue!AF41</f>
        <v>3195.0720000000001</v>
      </c>
      <c r="G472" s="500">
        <f>Revenue!AG41</f>
        <v>3297.314304</v>
      </c>
      <c r="H472" s="500">
        <f>Revenue!AH41</f>
        <v>3402.8283617279999</v>
      </c>
      <c r="I472" s="500">
        <f>Revenue!AI41</f>
        <v>3511.7188693032958</v>
      </c>
      <c r="J472" s="500">
        <f>Revenue!AJ41</f>
        <v>3624.0938731210013</v>
      </c>
      <c r="K472" s="500">
        <f>Revenue!AK41</f>
        <v>3740.0648770608732</v>
      </c>
      <c r="L472" s="500">
        <f>Revenue!AL41</f>
        <v>3859.7469531268212</v>
      </c>
    </row>
    <row r="473" spans="1:12">
      <c r="A473" s="517" t="s">
        <v>418</v>
      </c>
      <c r="B473" s="501"/>
      <c r="C473" s="500">
        <f>C471*C472</f>
        <v>0</v>
      </c>
      <c r="D473" s="500">
        <f t="shared" ref="D473" si="416">D471*D472</f>
        <v>1905000</v>
      </c>
      <c r="E473" s="500">
        <f t="shared" ref="E473" ca="1" si="417">E471*E472</f>
        <v>2052077.6506234382</v>
      </c>
      <c r="F473" s="500">
        <f t="shared" ref="F473" ca="1" si="418">F471*F472</f>
        <v>2216379.439349764</v>
      </c>
      <c r="G473" s="500">
        <f t="shared" ref="G473" ca="1" si="419">G471*G472</f>
        <v>2402178.3613923779</v>
      </c>
      <c r="H473" s="500">
        <f t="shared" ref="H473" ca="1" si="420">H471*H472</f>
        <v>2612198.5576052708</v>
      </c>
      <c r="I473" s="500">
        <f t="shared" ref="I473" ca="1" si="421">I471*I472</f>
        <v>2847635.8935276438</v>
      </c>
      <c r="J473" s="500">
        <f t="shared" ref="J473" ca="1" si="422">J471*J472</f>
        <v>3113677.5402414254</v>
      </c>
      <c r="K473" s="500">
        <f t="shared" ref="K473" ca="1" si="423">K471*K472</f>
        <v>3413112.3862954299</v>
      </c>
      <c r="L473" s="500">
        <f t="shared" ref="L473" ca="1" si="424">L471*L472</f>
        <v>3754183.3168123034</v>
      </c>
    </row>
    <row r="474" spans="1:12" ht="15.5">
      <c r="A474" s="514" t="s">
        <v>413</v>
      </c>
      <c r="B474" s="501"/>
      <c r="C474" s="53"/>
      <c r="D474" s="53"/>
      <c r="E474" s="53"/>
      <c r="F474" s="53"/>
      <c r="G474" s="53"/>
      <c r="H474" s="53"/>
      <c r="I474" s="53"/>
      <c r="J474" s="53"/>
      <c r="K474" s="53"/>
      <c r="L474" s="53"/>
    </row>
    <row r="475" spans="1:12">
      <c r="A475" s="515" t="s">
        <v>409</v>
      </c>
      <c r="B475" s="501"/>
      <c r="C475" s="138">
        <f>Revenue!AQ42</f>
        <v>0</v>
      </c>
      <c r="D475" s="138">
        <f>Revenue!AR42</f>
        <v>0</v>
      </c>
      <c r="E475" s="138">
        <f>Revenue!AS42</f>
        <v>318</v>
      </c>
      <c r="F475" s="138">
        <f ca="1">Revenue!AT42</f>
        <v>342.64532321898764</v>
      </c>
      <c r="G475" s="138">
        <f ca="1">Revenue!AU42</f>
        <v>370.56719787809726</v>
      </c>
      <c r="H475" s="138">
        <f ca="1">Revenue!AV42</f>
        <v>402.24273629243777</v>
      </c>
      <c r="I475" s="138">
        <f ca="1">Revenue!AW42</f>
        <v>437.76099554548409</v>
      </c>
      <c r="J475" s="138">
        <f ca="1">Revenue!AX42</f>
        <v>478.15416715788155</v>
      </c>
      <c r="K475" s="138">
        <f ca="1">Revenue!AY42</f>
        <v>524.1820610539595</v>
      </c>
      <c r="L475" s="138">
        <f ca="1">Revenue!AZ42</f>
        <v>576.55894411102622</v>
      </c>
    </row>
    <row r="476" spans="1:12">
      <c r="A476" s="516" t="s">
        <v>410</v>
      </c>
      <c r="B476" s="501"/>
      <c r="C476" s="500">
        <f>Revenue!AC42</f>
        <v>0</v>
      </c>
      <c r="D476" s="500">
        <f>Revenue!AD42</f>
        <v>0</v>
      </c>
      <c r="E476" s="500">
        <f>Revenue!AE42</f>
        <v>10000</v>
      </c>
      <c r="F476" s="500">
        <f>Revenue!AF42</f>
        <v>10320</v>
      </c>
      <c r="G476" s="500">
        <f>Revenue!AG42</f>
        <v>10650.24</v>
      </c>
      <c r="H476" s="500">
        <f>Revenue!AH42</f>
        <v>10991.04768</v>
      </c>
      <c r="I476" s="500">
        <f>Revenue!AI42</f>
        <v>11342.76120576</v>
      </c>
      <c r="J476" s="500">
        <f>Revenue!AJ42</f>
        <v>11705.729564344319</v>
      </c>
      <c r="K476" s="500">
        <f>Revenue!AK42</f>
        <v>12080.312910403338</v>
      </c>
      <c r="L476" s="500">
        <f>Revenue!AL42</f>
        <v>12466.882923536245</v>
      </c>
    </row>
    <row r="477" spans="1:12">
      <c r="A477" s="517" t="s">
        <v>418</v>
      </c>
      <c r="B477" s="501"/>
      <c r="C477" s="500">
        <f>C475*C476</f>
        <v>0</v>
      </c>
      <c r="D477" s="500">
        <f t="shared" ref="D477" si="425">D475*D476</f>
        <v>0</v>
      </c>
      <c r="E477" s="500">
        <f t="shared" ref="E477" si="426">E475*E476</f>
        <v>3180000</v>
      </c>
      <c r="F477" s="500">
        <f t="shared" ref="F477" ca="1" si="427">F475*F476</f>
        <v>3536099.7356199524</v>
      </c>
      <c r="G477" s="500">
        <f t="shared" ref="G477" ca="1" si="428">G475*G476</f>
        <v>3946629.5935292263</v>
      </c>
      <c r="H477" s="500">
        <f t="shared" ref="H477" ca="1" si="429">H475*H476</f>
        <v>4421069.0935238497</v>
      </c>
      <c r="I477" s="500">
        <f t="shared" ref="I477" ca="1" si="430">I475*I476</f>
        <v>4965418.4376681931</v>
      </c>
      <c r="J477" s="500">
        <f t="shared" ref="J477" ca="1" si="431">J475*J476</f>
        <v>5597143.3708144501</v>
      </c>
      <c r="K477" s="500">
        <f t="shared" ref="K477" ca="1" si="432">K475*K476</f>
        <v>6332283.3195519773</v>
      </c>
      <c r="L477" s="500">
        <f t="shared" ref="L477" ca="1" si="433">L475*L476</f>
        <v>7187892.8547498407</v>
      </c>
    </row>
    <row r="478" spans="1:12" ht="15.5">
      <c r="A478" s="514" t="s">
        <v>412</v>
      </c>
      <c r="B478" s="501"/>
      <c r="C478" s="53"/>
      <c r="D478" s="53"/>
      <c r="E478" s="53"/>
      <c r="F478" s="53"/>
      <c r="G478" s="53"/>
      <c r="H478" s="53"/>
      <c r="I478" s="53"/>
      <c r="J478" s="53"/>
      <c r="K478" s="53"/>
      <c r="L478" s="53"/>
    </row>
    <row r="479" spans="1:12">
      <c r="A479" s="515" t="s">
        <v>409</v>
      </c>
      <c r="B479" s="501"/>
      <c r="C479" s="138">
        <f>Revenue!AQ43</f>
        <v>0</v>
      </c>
      <c r="D479" s="138">
        <f>Revenue!AR43</f>
        <v>0</v>
      </c>
      <c r="E479" s="138">
        <f ca="1">Revenue!AS43</f>
        <v>0</v>
      </c>
      <c r="F479" s="138">
        <f ca="1">Revenue!AT43</f>
        <v>0</v>
      </c>
      <c r="G479" s="138">
        <f ca="1">Revenue!AU43</f>
        <v>0</v>
      </c>
      <c r="H479" s="138">
        <f ca="1">Revenue!AV43</f>
        <v>0</v>
      </c>
      <c r="I479" s="138">
        <f ca="1">Revenue!AW43</f>
        <v>0</v>
      </c>
      <c r="J479" s="138">
        <f ca="1">Revenue!AX43</f>
        <v>0</v>
      </c>
      <c r="K479" s="138">
        <f ca="1">Revenue!AY43</f>
        <v>0</v>
      </c>
      <c r="L479" s="138">
        <f ca="1">Revenue!AZ43</f>
        <v>0</v>
      </c>
    </row>
    <row r="480" spans="1:12">
      <c r="A480" s="516" t="s">
        <v>410</v>
      </c>
      <c r="B480" s="501"/>
      <c r="C480" s="500">
        <f>Revenue!AC43</f>
        <v>0</v>
      </c>
      <c r="D480" s="500">
        <f>Revenue!AD43</f>
        <v>0</v>
      </c>
      <c r="E480" s="500">
        <f>Revenue!AE43</f>
        <v>0</v>
      </c>
      <c r="F480" s="500">
        <f>Revenue!AF43</f>
        <v>0</v>
      </c>
      <c r="G480" s="500">
        <f>Revenue!AG43</f>
        <v>0</v>
      </c>
      <c r="H480" s="500">
        <f>Revenue!AH43</f>
        <v>0</v>
      </c>
      <c r="I480" s="500">
        <f>Revenue!AI43</f>
        <v>0</v>
      </c>
      <c r="J480" s="500">
        <f>Revenue!AJ43</f>
        <v>0</v>
      </c>
      <c r="K480" s="500">
        <f>Revenue!AK43</f>
        <v>0</v>
      </c>
      <c r="L480" s="500">
        <f>Revenue!AL43</f>
        <v>0</v>
      </c>
    </row>
    <row r="481" spans="1:12">
      <c r="A481" s="517" t="s">
        <v>418</v>
      </c>
      <c r="B481" s="501"/>
      <c r="C481" s="500">
        <f>C479*C480</f>
        <v>0</v>
      </c>
      <c r="D481" s="500">
        <f t="shared" ref="D481" si="434">D479*D480</f>
        <v>0</v>
      </c>
      <c r="E481" s="500">
        <f t="shared" ref="E481" ca="1" si="435">E479*E480</f>
        <v>0</v>
      </c>
      <c r="F481" s="500">
        <f t="shared" ref="F481" ca="1" si="436">F479*F480</f>
        <v>0</v>
      </c>
      <c r="G481" s="500">
        <f t="shared" ref="G481" ca="1" si="437">G479*G480</f>
        <v>0</v>
      </c>
      <c r="H481" s="500">
        <f t="shared" ref="H481" ca="1" si="438">H479*H480</f>
        <v>0</v>
      </c>
      <c r="I481" s="500">
        <f t="shared" ref="I481" ca="1" si="439">I479*I480</f>
        <v>0</v>
      </c>
      <c r="J481" s="500">
        <f t="shared" ref="J481" ca="1" si="440">J479*J480</f>
        <v>0</v>
      </c>
      <c r="K481" s="500">
        <f t="shared" ref="K481" ca="1" si="441">K479*K480</f>
        <v>0</v>
      </c>
      <c r="L481" s="500">
        <f t="shared" ref="L481" ca="1" si="442">L479*L480</f>
        <v>0</v>
      </c>
    </row>
    <row r="482" spans="1:12" ht="15.5">
      <c r="A482" s="514" t="s">
        <v>414</v>
      </c>
      <c r="B482" s="501"/>
      <c r="C482" s="53"/>
      <c r="D482" s="53"/>
      <c r="E482" s="53"/>
      <c r="F482" s="53"/>
      <c r="G482" s="53"/>
      <c r="H482" s="53"/>
      <c r="I482" s="53"/>
      <c r="J482" s="53"/>
      <c r="K482" s="53"/>
      <c r="L482" s="53"/>
    </row>
    <row r="483" spans="1:12">
      <c r="A483" s="515" t="s">
        <v>409</v>
      </c>
      <c r="B483" s="501"/>
      <c r="C483" s="138">
        <f>Revenue!AQ44</f>
        <v>0</v>
      </c>
      <c r="D483" s="138">
        <f>Revenue!AR44</f>
        <v>0</v>
      </c>
      <c r="E483" s="138">
        <f>Revenue!AS44</f>
        <v>0</v>
      </c>
      <c r="F483" s="138">
        <f>Revenue!AT44</f>
        <v>0</v>
      </c>
      <c r="G483" s="138">
        <f>Revenue!AU44</f>
        <v>0</v>
      </c>
      <c r="H483" s="138">
        <f>Revenue!AV44</f>
        <v>0</v>
      </c>
      <c r="I483" s="138">
        <f>Revenue!AW44</f>
        <v>0</v>
      </c>
      <c r="J483" s="138">
        <f>Revenue!AX44</f>
        <v>0</v>
      </c>
      <c r="K483" s="138">
        <f>Revenue!AY44</f>
        <v>0</v>
      </c>
      <c r="L483" s="138">
        <f>Revenue!AZ44</f>
        <v>0</v>
      </c>
    </row>
    <row r="484" spans="1:12">
      <c r="A484" s="516" t="s">
        <v>410</v>
      </c>
      <c r="B484" s="501"/>
      <c r="C484" s="500">
        <f>Revenue!AC44</f>
        <v>0</v>
      </c>
      <c r="D484" s="500">
        <f>Revenue!AD44</f>
        <v>0</v>
      </c>
      <c r="E484" s="500">
        <f>Revenue!AE44</f>
        <v>0</v>
      </c>
      <c r="F484" s="500">
        <f>Revenue!AF44</f>
        <v>0</v>
      </c>
      <c r="G484" s="500">
        <f>Revenue!AG44</f>
        <v>0</v>
      </c>
      <c r="H484" s="500">
        <f>Revenue!AH44</f>
        <v>0</v>
      </c>
      <c r="I484" s="500">
        <f>Revenue!AI44</f>
        <v>0</v>
      </c>
      <c r="J484" s="500">
        <f>Revenue!AJ44</f>
        <v>0</v>
      </c>
      <c r="K484" s="500">
        <f>Revenue!AK44</f>
        <v>0</v>
      </c>
      <c r="L484" s="500">
        <f>Revenue!AL44</f>
        <v>0</v>
      </c>
    </row>
    <row r="485" spans="1:12">
      <c r="A485" s="517" t="s">
        <v>418</v>
      </c>
      <c r="B485" s="501"/>
      <c r="C485" s="500">
        <f>C483*C484</f>
        <v>0</v>
      </c>
      <c r="D485" s="500">
        <f t="shared" ref="D485" si="443">D483*D484</f>
        <v>0</v>
      </c>
      <c r="E485" s="500">
        <f t="shared" ref="E485" si="444">E483*E484</f>
        <v>0</v>
      </c>
      <c r="F485" s="500">
        <f t="shared" ref="F485" si="445">F483*F484</f>
        <v>0</v>
      </c>
      <c r="G485" s="500">
        <f t="shared" ref="G485" si="446">G483*G484</f>
        <v>0</v>
      </c>
      <c r="H485" s="500">
        <f t="shared" ref="H485" si="447">H483*H484</f>
        <v>0</v>
      </c>
      <c r="I485" s="500">
        <f t="shared" ref="I485" si="448">I483*I484</f>
        <v>0</v>
      </c>
      <c r="J485" s="500">
        <f t="shared" ref="J485" si="449">J483*J484</f>
        <v>0</v>
      </c>
      <c r="K485" s="500">
        <f t="shared" ref="K485" si="450">K483*K484</f>
        <v>0</v>
      </c>
      <c r="L485" s="500">
        <f t="shared" ref="L485" si="451">L483*L484</f>
        <v>0</v>
      </c>
    </row>
    <row r="486" spans="1:12" ht="15.5">
      <c r="A486" s="514" t="s">
        <v>415</v>
      </c>
      <c r="B486" s="501"/>
      <c r="C486" s="53"/>
      <c r="D486" s="53"/>
      <c r="E486" s="53"/>
      <c r="F486" s="53"/>
      <c r="G486" s="53"/>
      <c r="H486" s="53"/>
      <c r="I486" s="53"/>
      <c r="J486" s="53"/>
      <c r="K486" s="53"/>
      <c r="L486" s="53"/>
    </row>
    <row r="487" spans="1:12">
      <c r="A487" s="515" t="s">
        <v>409</v>
      </c>
      <c r="B487" s="501"/>
      <c r="C487" s="138">
        <f>Revenue!AQ45</f>
        <v>0</v>
      </c>
      <c r="D487" s="138">
        <f>Revenue!AR45</f>
        <v>0</v>
      </c>
      <c r="E487" s="138">
        <f ca="1">Revenue!AS45</f>
        <v>0</v>
      </c>
      <c r="F487" s="138">
        <f ca="1">Revenue!AT45</f>
        <v>0</v>
      </c>
      <c r="G487" s="138">
        <f ca="1">Revenue!AU45</f>
        <v>0</v>
      </c>
      <c r="H487" s="138">
        <f ca="1">Revenue!AV45</f>
        <v>0</v>
      </c>
      <c r="I487" s="138">
        <f ca="1">Revenue!AW45</f>
        <v>0</v>
      </c>
      <c r="J487" s="138">
        <f ca="1">Revenue!AX45</f>
        <v>0</v>
      </c>
      <c r="K487" s="138">
        <f ca="1">Revenue!AY45</f>
        <v>0</v>
      </c>
      <c r="L487" s="138">
        <f ca="1">Revenue!AZ45</f>
        <v>0</v>
      </c>
    </row>
    <row r="488" spans="1:12">
      <c r="A488" s="516" t="s">
        <v>410</v>
      </c>
      <c r="B488" s="501"/>
      <c r="C488" s="500">
        <f>Revenue!AC45</f>
        <v>0</v>
      </c>
      <c r="D488" s="500">
        <f>Revenue!AD45</f>
        <v>0</v>
      </c>
      <c r="E488" s="500">
        <f>Revenue!AE45</f>
        <v>0</v>
      </c>
      <c r="F488" s="500">
        <f>Revenue!AF45</f>
        <v>0</v>
      </c>
      <c r="G488" s="500">
        <f>Revenue!AG45</f>
        <v>0</v>
      </c>
      <c r="H488" s="500">
        <f>Revenue!AH45</f>
        <v>0</v>
      </c>
      <c r="I488" s="500">
        <f>Revenue!AI45</f>
        <v>0</v>
      </c>
      <c r="J488" s="500">
        <f>Revenue!AJ45</f>
        <v>0</v>
      </c>
      <c r="K488" s="500">
        <f>Revenue!AK45</f>
        <v>0</v>
      </c>
      <c r="L488" s="500">
        <f>Revenue!AL45</f>
        <v>0</v>
      </c>
    </row>
    <row r="489" spans="1:12">
      <c r="A489" s="517" t="s">
        <v>418</v>
      </c>
      <c r="B489" s="501"/>
      <c r="C489" s="500">
        <f>C487*C488</f>
        <v>0</v>
      </c>
      <c r="D489" s="500">
        <f t="shared" ref="D489" si="452">D487*D488</f>
        <v>0</v>
      </c>
      <c r="E489" s="500">
        <f t="shared" ref="E489" ca="1" si="453">E487*E488</f>
        <v>0</v>
      </c>
      <c r="F489" s="500">
        <f t="shared" ref="F489" ca="1" si="454">F487*F488</f>
        <v>0</v>
      </c>
      <c r="G489" s="500">
        <f t="shared" ref="G489" ca="1" si="455">G487*G488</f>
        <v>0</v>
      </c>
      <c r="H489" s="500">
        <f t="shared" ref="H489" ca="1" si="456">H487*H488</f>
        <v>0</v>
      </c>
      <c r="I489" s="500">
        <f t="shared" ref="I489" ca="1" si="457">I487*I488</f>
        <v>0</v>
      </c>
      <c r="J489" s="500">
        <f t="shared" ref="J489" ca="1" si="458">J487*J488</f>
        <v>0</v>
      </c>
      <c r="K489" s="500">
        <f t="shared" ref="K489" ca="1" si="459">K487*K488</f>
        <v>0</v>
      </c>
      <c r="L489" s="500">
        <f t="shared" ref="L489" ca="1" si="460">L487*L488</f>
        <v>0</v>
      </c>
    </row>
    <row r="490" spans="1:12" ht="15.5">
      <c r="A490" s="514" t="s">
        <v>416</v>
      </c>
      <c r="B490" s="501"/>
      <c r="C490" s="53"/>
      <c r="D490" s="53"/>
      <c r="E490" s="53"/>
      <c r="F490" s="53"/>
      <c r="G490" s="53"/>
      <c r="H490" s="53"/>
      <c r="I490" s="53"/>
      <c r="J490" s="53"/>
      <c r="K490" s="53"/>
      <c r="L490" s="53"/>
    </row>
    <row r="491" spans="1:12">
      <c r="A491" s="515" t="s">
        <v>409</v>
      </c>
      <c r="B491" s="501"/>
      <c r="C491" s="138">
        <f>Revenue!AQ46</f>
        <v>0</v>
      </c>
      <c r="D491" s="138">
        <f>Revenue!AR46</f>
        <v>0</v>
      </c>
      <c r="E491" s="138">
        <f ca="1">Revenue!AS46</f>
        <v>0</v>
      </c>
      <c r="F491" s="138">
        <f ca="1">Revenue!AT46</f>
        <v>0</v>
      </c>
      <c r="G491" s="138">
        <f ca="1">Revenue!AU46</f>
        <v>0</v>
      </c>
      <c r="H491" s="138">
        <f ca="1">Revenue!AV46</f>
        <v>0</v>
      </c>
      <c r="I491" s="138">
        <f ca="1">Revenue!AW46</f>
        <v>0</v>
      </c>
      <c r="J491" s="138">
        <f ca="1">Revenue!AX46</f>
        <v>0</v>
      </c>
      <c r="K491" s="138">
        <f ca="1">Revenue!AY46</f>
        <v>0</v>
      </c>
      <c r="L491" s="138">
        <f ca="1">Revenue!AZ46</f>
        <v>0</v>
      </c>
    </row>
    <row r="492" spans="1:12">
      <c r="A492" s="516" t="s">
        <v>410</v>
      </c>
      <c r="B492" s="501"/>
      <c r="C492" s="500">
        <f>Revenue!AC46</f>
        <v>0</v>
      </c>
      <c r="D492" s="500">
        <f>Revenue!AD46</f>
        <v>0</v>
      </c>
      <c r="E492" s="500">
        <f>Revenue!AE46</f>
        <v>0</v>
      </c>
      <c r="F492" s="500">
        <f>Revenue!AF46</f>
        <v>0</v>
      </c>
      <c r="G492" s="500">
        <f>Revenue!AG46</f>
        <v>0</v>
      </c>
      <c r="H492" s="500">
        <f>Revenue!AH46</f>
        <v>0</v>
      </c>
      <c r="I492" s="500">
        <f>Revenue!AI46</f>
        <v>0</v>
      </c>
      <c r="J492" s="500">
        <f>Revenue!AJ46</f>
        <v>0</v>
      </c>
      <c r="K492" s="500">
        <f>Revenue!AK46</f>
        <v>0</v>
      </c>
      <c r="L492" s="500">
        <f>Revenue!AL46</f>
        <v>0</v>
      </c>
    </row>
    <row r="493" spans="1:12">
      <c r="A493" s="516" t="s">
        <v>418</v>
      </c>
      <c r="B493" s="501"/>
      <c r="C493" s="500">
        <f>C491*C492</f>
        <v>0</v>
      </c>
      <c r="D493" s="500">
        <f t="shared" ref="D493" si="461">D491*D492</f>
        <v>0</v>
      </c>
      <c r="E493" s="500">
        <f t="shared" ref="E493" ca="1" si="462">E491*E492</f>
        <v>0</v>
      </c>
      <c r="F493" s="500">
        <f t="shared" ref="F493" ca="1" si="463">F491*F492</f>
        <v>0</v>
      </c>
      <c r="G493" s="500">
        <f t="shared" ref="G493" ca="1" si="464">G491*G492</f>
        <v>0</v>
      </c>
      <c r="H493" s="500">
        <f t="shared" ref="H493" ca="1" si="465">H491*H492</f>
        <v>0</v>
      </c>
      <c r="I493" s="500">
        <f t="shared" ref="I493" ca="1" si="466">I491*I492</f>
        <v>0</v>
      </c>
      <c r="J493" s="500">
        <f t="shared" ref="J493" ca="1" si="467">J491*J492</f>
        <v>0</v>
      </c>
      <c r="K493" s="500">
        <f t="shared" ref="K493" ca="1" si="468">K491*K492</f>
        <v>0</v>
      </c>
      <c r="L493" s="500">
        <f t="shared" ref="L493" ca="1" si="469">L491*L492</f>
        <v>0</v>
      </c>
    </row>
    <row r="494" spans="1:12">
      <c r="A494" s="518"/>
      <c r="B494" s="501"/>
      <c r="C494" s="53"/>
      <c r="D494" s="53"/>
      <c r="E494" s="53"/>
      <c r="F494" s="53"/>
      <c r="G494" s="53"/>
      <c r="H494" s="53"/>
      <c r="I494" s="53"/>
      <c r="J494" s="53"/>
      <c r="K494" s="53"/>
      <c r="L494" s="143"/>
    </row>
    <row r="495" spans="1:12" ht="15.5">
      <c r="A495" s="506" t="s">
        <v>419</v>
      </c>
      <c r="B495" s="501"/>
      <c r="C495" s="500">
        <f>SUM(C493,C489,C485,C481,C477,C473,C469,C465,C461)</f>
        <v>4930000</v>
      </c>
      <c r="D495" s="500">
        <f t="shared" ref="D495:L495" si="470">SUM(D493,D489,D485,D481,D477,D473,D469,D465,D461)</f>
        <v>7162936.8000000007</v>
      </c>
      <c r="E495" s="500">
        <f t="shared" ca="1" si="470"/>
        <v>10858530.833828172</v>
      </c>
      <c r="F495" s="500">
        <f t="shared" ca="1" si="470"/>
        <v>11794695.559986036</v>
      </c>
      <c r="G495" s="500">
        <f t="shared" ca="1" si="470"/>
        <v>12857235.027480692</v>
      </c>
      <c r="H495" s="500">
        <f t="shared" ca="1" si="470"/>
        <v>14066804.705970477</v>
      </c>
      <c r="I495" s="500">
        <f t="shared" ca="1" si="470"/>
        <v>15441593.347719099</v>
      </c>
      <c r="J495" s="500">
        <f t="shared" ca="1" si="470"/>
        <v>17007078.11893307</v>
      </c>
      <c r="K495" s="500">
        <f t="shared" ca="1" si="470"/>
        <v>18800849.296533041</v>
      </c>
      <c r="L495" s="500">
        <f t="shared" ca="1" si="470"/>
        <v>20857410.064530682</v>
      </c>
    </row>
    <row r="496" spans="1:12">
      <c r="A496" s="504"/>
      <c r="B496" s="501"/>
      <c r="C496" s="53"/>
      <c r="D496" s="53"/>
      <c r="E496" s="53"/>
      <c r="F496" s="53"/>
      <c r="G496" s="53"/>
      <c r="H496" s="53"/>
      <c r="I496" s="53"/>
      <c r="J496" s="53"/>
      <c r="K496" s="53"/>
      <c r="L496" s="53"/>
    </row>
    <row r="497" spans="1:12" ht="18.5">
      <c r="A497" s="509" t="s">
        <v>155</v>
      </c>
      <c r="B497" s="501"/>
      <c r="C497" s="53"/>
      <c r="D497" s="53"/>
      <c r="E497" s="53"/>
      <c r="F497" s="53"/>
      <c r="G497" s="53"/>
      <c r="H497" s="53"/>
      <c r="I497" s="53"/>
      <c r="J497" s="53"/>
      <c r="K497" s="53"/>
      <c r="L497" s="53"/>
    </row>
    <row r="498" spans="1:12" ht="15.5">
      <c r="A498" s="506" t="s">
        <v>328</v>
      </c>
      <c r="B498" s="501"/>
      <c r="C498" s="140">
        <f>Assumptions!$H$45*(C461+C465)</f>
        <v>836500</v>
      </c>
      <c r="D498" s="140">
        <f>Assumptions!$H$45*(D461+D465)</f>
        <v>895306.44000000006</v>
      </c>
      <c r="E498" s="140">
        <f ca="1">Assumptions!$H$45*(E461+E465)</f>
        <v>961258.74367739714</v>
      </c>
      <c r="F498" s="140">
        <f ca="1">Assumptions!$H$45*(F461+F465)</f>
        <v>1035515.1604563675</v>
      </c>
      <c r="G498" s="140">
        <f ca="1">Assumptions!$H$45*(G461+G465)</f>
        <v>1119118.7563557324</v>
      </c>
      <c r="H498" s="140">
        <f ca="1">Assumptions!$H$45*(H461+H465)</f>
        <v>1213374.9648688657</v>
      </c>
      <c r="I498" s="140">
        <f ca="1">Assumptions!$H$45*(I461+I465)</f>
        <v>1320036.5104068378</v>
      </c>
      <c r="J498" s="140">
        <f ca="1">Assumptions!$H$45*(J461+J465)</f>
        <v>1440386.2073938535</v>
      </c>
      <c r="K498" s="140">
        <f ca="1">Assumptions!$H$45*(K461+K465)</f>
        <v>1577239.7304756076</v>
      </c>
      <c r="L498" s="140">
        <f ca="1">Assumptions!$H$45*(L461+L465)</f>
        <v>1732344.3704930698</v>
      </c>
    </row>
    <row r="499" spans="1:12" ht="15.5">
      <c r="A499" s="506" t="s">
        <v>329</v>
      </c>
      <c r="B499" s="501"/>
      <c r="C499" s="140">
        <f>Assumptions!$H$46*C469</f>
        <v>889000</v>
      </c>
      <c r="D499" s="140">
        <f>Assumptions!$H$46*D469</f>
        <v>944971.44000000006</v>
      </c>
      <c r="E499" s="140">
        <f ca="1">Assumptions!$H$46*E469</f>
        <v>1007999.8704442594</v>
      </c>
      <c r="F499" s="140">
        <f ca="1">Assumptions!$H$46*F469</f>
        <v>1079260.5742993443</v>
      </c>
      <c r="G499" s="140">
        <f ca="1">Assumptions!$H$46*G469</f>
        <v>1158830.7190399484</v>
      </c>
      <c r="H499" s="140">
        <f ca="1">Assumptions!$H$46*H469</f>
        <v>1248363.0043256092</v>
      </c>
      <c r="I499" s="140">
        <f ca="1">Assumptions!$H$46*I469</f>
        <v>1349952.1453763035</v>
      </c>
      <c r="J499" s="140">
        <f ca="1">Assumptions!$H$46*J469</f>
        <v>1463303.8153631638</v>
      </c>
      <c r="K499" s="140">
        <f ca="1">Assumptions!$H$46*K469</f>
        <v>1592169.0262643641</v>
      </c>
      <c r="L499" s="140">
        <f ca="1">Assumptions!$H$46*L469</f>
        <v>1738022.4920459178</v>
      </c>
    </row>
    <row r="500" spans="1:12" ht="15.5">
      <c r="A500" s="506" t="s">
        <v>330</v>
      </c>
      <c r="B500" s="501"/>
      <c r="C500" s="140">
        <f>Assumptions!$H$47*C473</f>
        <v>0</v>
      </c>
      <c r="D500" s="140">
        <f>Assumptions!$H$47*D473</f>
        <v>762000</v>
      </c>
      <c r="E500" s="140">
        <f ca="1">Assumptions!$H$47*E473</f>
        <v>820831.0602493753</v>
      </c>
      <c r="F500" s="140">
        <f ca="1">Assumptions!$H$47*F473</f>
        <v>886551.77573990566</v>
      </c>
      <c r="G500" s="140">
        <f ca="1">Assumptions!$H$47*G473</f>
        <v>960871.3445569512</v>
      </c>
      <c r="H500" s="140">
        <f ca="1">Assumptions!$H$47*H473</f>
        <v>1044879.4230421083</v>
      </c>
      <c r="I500" s="140">
        <f ca="1">Assumptions!$H$47*I473</f>
        <v>1139054.3574110575</v>
      </c>
      <c r="J500" s="140">
        <f ca="1">Assumptions!$H$47*J473</f>
        <v>1245471.0160965703</v>
      </c>
      <c r="K500" s="140">
        <f ca="1">Assumptions!$H$47*K473</f>
        <v>1365244.954518172</v>
      </c>
      <c r="L500" s="140">
        <f ca="1">Assumptions!$H$47*L473</f>
        <v>1501673.3267249214</v>
      </c>
    </row>
    <row r="501" spans="1:12" ht="15.5">
      <c r="A501" s="506" t="s">
        <v>331</v>
      </c>
      <c r="B501" s="501"/>
      <c r="C501" s="140">
        <f>Assumptions!$H$48*C477</f>
        <v>0</v>
      </c>
      <c r="D501" s="140">
        <f>Assumptions!$H$48*D477</f>
        <v>0</v>
      </c>
      <c r="E501" s="140">
        <f>Assumptions!$H$48*E477</f>
        <v>1272000</v>
      </c>
      <c r="F501" s="140">
        <f ca="1">Assumptions!$H$48*F477</f>
        <v>1414439.894247981</v>
      </c>
      <c r="G501" s="140">
        <f ca="1">Assumptions!$H$48*G477</f>
        <v>1578651.8374116905</v>
      </c>
      <c r="H501" s="140">
        <f ca="1">Assumptions!$H$48*H477</f>
        <v>1768427.6374095399</v>
      </c>
      <c r="I501" s="140">
        <f ca="1">Assumptions!$H$48*I477</f>
        <v>1986167.3750672773</v>
      </c>
      <c r="J501" s="140">
        <f ca="1">Assumptions!$H$48*J477</f>
        <v>2238857.3483257801</v>
      </c>
      <c r="K501" s="140">
        <f ca="1">Assumptions!$H$48*K477</f>
        <v>2532913.3278207909</v>
      </c>
      <c r="L501" s="140">
        <f ca="1">Assumptions!$H$48*L477</f>
        <v>2875157.1418999364</v>
      </c>
    </row>
    <row r="502" spans="1:12" ht="15.5">
      <c r="A502" s="506" t="s">
        <v>420</v>
      </c>
      <c r="B502" s="501"/>
      <c r="C502" s="140">
        <f>Assumptions!$H$49*C481</f>
        <v>0</v>
      </c>
      <c r="D502" s="140">
        <f>Assumptions!$H$49*D481</f>
        <v>0</v>
      </c>
      <c r="E502" s="140">
        <f ca="1">Assumptions!$H$49*E481</f>
        <v>0</v>
      </c>
      <c r="F502" s="140">
        <f ca="1">Assumptions!$H$49*F481</f>
        <v>0</v>
      </c>
      <c r="G502" s="140">
        <f ca="1">Assumptions!$H$49*G481</f>
        <v>0</v>
      </c>
      <c r="H502" s="140">
        <f ca="1">Assumptions!$H$49*H481</f>
        <v>0</v>
      </c>
      <c r="I502" s="140">
        <f ca="1">Assumptions!$H$49*I481</f>
        <v>0</v>
      </c>
      <c r="J502" s="140">
        <f ca="1">Assumptions!$H$49*J481</f>
        <v>0</v>
      </c>
      <c r="K502" s="140">
        <f ca="1">Assumptions!$H$49*K481</f>
        <v>0</v>
      </c>
      <c r="L502" s="140">
        <f ca="1">Assumptions!$H$49*L481</f>
        <v>0</v>
      </c>
    </row>
    <row r="503" spans="1:12" ht="15.5">
      <c r="A503" s="506" t="s">
        <v>421</v>
      </c>
      <c r="B503" s="501"/>
      <c r="C503" s="140">
        <f>Assumptions!$H$50*C485</f>
        <v>0</v>
      </c>
      <c r="D503" s="140">
        <f>Assumptions!$H$50*D485</f>
        <v>0</v>
      </c>
      <c r="E503" s="140">
        <f>Assumptions!$H$50*E485</f>
        <v>0</v>
      </c>
      <c r="F503" s="140">
        <f>Assumptions!$H$50*F485</f>
        <v>0</v>
      </c>
      <c r="G503" s="140">
        <f>Assumptions!$H$50*G485</f>
        <v>0</v>
      </c>
      <c r="H503" s="140">
        <f>Assumptions!$H$50*H485</f>
        <v>0</v>
      </c>
      <c r="I503" s="140">
        <f>Assumptions!$H$50*I485</f>
        <v>0</v>
      </c>
      <c r="J503" s="140">
        <f>Assumptions!$H$50*J485</f>
        <v>0</v>
      </c>
      <c r="K503" s="140">
        <f>Assumptions!$H$50*K485</f>
        <v>0</v>
      </c>
      <c r="L503" s="140">
        <f>Assumptions!$H$50*L485</f>
        <v>0</v>
      </c>
    </row>
    <row r="504" spans="1:12" ht="15.5">
      <c r="A504" s="506" t="s">
        <v>422</v>
      </c>
      <c r="B504" s="501"/>
      <c r="C504" s="140">
        <f>Assumptions!$H$51*C489</f>
        <v>0</v>
      </c>
      <c r="D504" s="140">
        <f>Assumptions!$H$51*D489</f>
        <v>0</v>
      </c>
      <c r="E504" s="140">
        <f ca="1">Assumptions!$H$51*E489</f>
        <v>0</v>
      </c>
      <c r="F504" s="140">
        <f ca="1">Assumptions!$H$51*F489</f>
        <v>0</v>
      </c>
      <c r="G504" s="140">
        <f ca="1">Assumptions!$H$51*G489</f>
        <v>0</v>
      </c>
      <c r="H504" s="140">
        <f ca="1">Assumptions!$H$51*H489</f>
        <v>0</v>
      </c>
      <c r="I504" s="140">
        <f ca="1">Assumptions!$H$51*I489</f>
        <v>0</v>
      </c>
      <c r="J504" s="140">
        <f ca="1">Assumptions!$H$51*J489</f>
        <v>0</v>
      </c>
      <c r="K504" s="140">
        <f ca="1">Assumptions!$H$51*K489</f>
        <v>0</v>
      </c>
      <c r="L504" s="140">
        <f ca="1">Assumptions!$H$51*L489</f>
        <v>0</v>
      </c>
    </row>
    <row r="505" spans="1:12" ht="15.5">
      <c r="A505" s="506" t="s">
        <v>423</v>
      </c>
      <c r="B505" s="501"/>
      <c r="C505" s="140">
        <f>Assumptions!$H$52*C493</f>
        <v>0</v>
      </c>
      <c r="D505" s="140">
        <f>Assumptions!$H$52*D493</f>
        <v>0</v>
      </c>
      <c r="E505" s="140">
        <f ca="1">Assumptions!$H$52*E493</f>
        <v>0</v>
      </c>
      <c r="F505" s="140">
        <f ca="1">Assumptions!$H$52*F493</f>
        <v>0</v>
      </c>
      <c r="G505" s="140">
        <f ca="1">Assumptions!$H$52*G493</f>
        <v>0</v>
      </c>
      <c r="H505" s="140">
        <f ca="1">Assumptions!$H$52*H493</f>
        <v>0</v>
      </c>
      <c r="I505" s="140">
        <f ca="1">Assumptions!$H$52*I493</f>
        <v>0</v>
      </c>
      <c r="J505" s="140">
        <f ca="1">Assumptions!$H$52*J493</f>
        <v>0</v>
      </c>
      <c r="K505" s="140">
        <f ca="1">Assumptions!$H$52*K493</f>
        <v>0</v>
      </c>
      <c r="L505" s="140">
        <f ca="1">Assumptions!$H$52*L493</f>
        <v>0</v>
      </c>
    </row>
    <row r="506" spans="1:12" ht="15.5">
      <c r="A506" s="506" t="s">
        <v>405</v>
      </c>
      <c r="B506" s="501"/>
      <c r="C506" s="140">
        <f>SUM(C498:C505)</f>
        <v>1725500</v>
      </c>
      <c r="D506" s="140">
        <f t="shared" ref="D506" si="471">SUM(D498:D505)</f>
        <v>2602277.88</v>
      </c>
      <c r="E506" s="140">
        <f t="shared" ref="E506" ca="1" si="472">SUM(E498:E505)</f>
        <v>4062089.6743710316</v>
      </c>
      <c r="F506" s="140">
        <f t="shared" ref="F506" ca="1" si="473">SUM(F498:F505)</f>
        <v>4415767.4047435978</v>
      </c>
      <c r="G506" s="140">
        <f t="shared" ref="G506" ca="1" si="474">SUM(G498:G505)</f>
        <v>4817472.6573643228</v>
      </c>
      <c r="H506" s="140">
        <f t="shared" ref="H506" ca="1" si="475">SUM(H498:H505)</f>
        <v>5275045.0296461228</v>
      </c>
      <c r="I506" s="140">
        <f t="shared" ref="I506" ca="1" si="476">SUM(I498:I505)</f>
        <v>5795210.3882614765</v>
      </c>
      <c r="J506" s="140">
        <f t="shared" ref="J506" ca="1" si="477">SUM(J498:J505)</f>
        <v>6388018.3871793672</v>
      </c>
      <c r="K506" s="140">
        <f t="shared" ref="K506" ca="1" si="478">SUM(K498:K505)</f>
        <v>7067567.0390789341</v>
      </c>
      <c r="L506" s="140">
        <f t="shared" ref="L506" ca="1" si="479">SUM(L498:L505)</f>
        <v>7847197.331163846</v>
      </c>
    </row>
    <row r="507" spans="1:12">
      <c r="A507" s="504"/>
      <c r="B507" s="501"/>
      <c r="C507" s="53"/>
      <c r="D507" s="53"/>
      <c r="E507" s="53"/>
      <c r="F507" s="53"/>
      <c r="G507" s="53"/>
      <c r="H507" s="53"/>
      <c r="I507" s="53"/>
      <c r="J507" s="53"/>
      <c r="K507" s="53"/>
      <c r="L507" s="53"/>
    </row>
    <row r="508" spans="1:12" ht="15.5">
      <c r="A508" s="505" t="s">
        <v>157</v>
      </c>
      <c r="B508" s="501"/>
      <c r="C508" s="500">
        <f>C495-C506</f>
        <v>3204500</v>
      </c>
      <c r="D508" s="500">
        <f t="shared" ref="D508:L508" si="480">D495-D506</f>
        <v>4560658.9200000009</v>
      </c>
      <c r="E508" s="500">
        <f t="shared" ca="1" si="480"/>
        <v>6796441.1594571397</v>
      </c>
      <c r="F508" s="500">
        <f t="shared" ca="1" si="480"/>
        <v>7378928.1552424384</v>
      </c>
      <c r="G508" s="500">
        <f t="shared" ca="1" si="480"/>
        <v>8039762.3701163689</v>
      </c>
      <c r="H508" s="500">
        <f t="shared" ca="1" si="480"/>
        <v>8791759.6763243545</v>
      </c>
      <c r="I508" s="500">
        <f t="shared" ca="1" si="480"/>
        <v>9646382.9594576228</v>
      </c>
      <c r="J508" s="500">
        <f t="shared" ca="1" si="480"/>
        <v>10619059.731753703</v>
      </c>
      <c r="K508" s="500">
        <f t="shared" ca="1" si="480"/>
        <v>11733282.257454107</v>
      </c>
      <c r="L508" s="500">
        <f t="shared" ca="1" si="480"/>
        <v>13010212.733366836</v>
      </c>
    </row>
    <row r="509" spans="1:12">
      <c r="A509" s="504"/>
      <c r="B509" s="501"/>
      <c r="C509" s="53"/>
      <c r="D509" s="53"/>
      <c r="E509" s="53"/>
      <c r="F509" s="53"/>
      <c r="G509" s="53"/>
      <c r="H509" s="53"/>
      <c r="I509" s="53"/>
      <c r="J509" s="53"/>
      <c r="K509" s="53"/>
      <c r="L509" s="53"/>
    </row>
    <row r="510" spans="1:12" ht="18.5">
      <c r="A510" s="509" t="s">
        <v>96</v>
      </c>
      <c r="B510" s="501"/>
      <c r="C510" s="53"/>
      <c r="D510" s="53"/>
      <c r="E510" s="53"/>
      <c r="F510" s="53"/>
      <c r="G510" s="53"/>
      <c r="H510" s="53"/>
      <c r="I510" s="53"/>
      <c r="J510" s="53"/>
      <c r="K510" s="53"/>
      <c r="L510" s="53"/>
    </row>
    <row r="511" spans="1:12">
      <c r="A511" s="504"/>
      <c r="B511" s="501"/>
      <c r="C511" s="53"/>
      <c r="D511" s="53"/>
      <c r="E511" s="53"/>
      <c r="F511" s="53"/>
      <c r="G511" s="53"/>
      <c r="H511" s="53"/>
      <c r="I511" s="53"/>
      <c r="J511" s="53"/>
      <c r="K511" s="53"/>
      <c r="L511" s="53"/>
    </row>
    <row r="512" spans="1:12" ht="15.5">
      <c r="A512" s="506" t="s">
        <v>28</v>
      </c>
      <c r="B512" s="501"/>
      <c r="C512" s="53"/>
      <c r="D512" s="53"/>
      <c r="E512" s="53"/>
      <c r="F512" s="53"/>
      <c r="G512" s="53"/>
      <c r="H512" s="53"/>
      <c r="I512" s="53"/>
      <c r="J512" s="53"/>
      <c r="K512" s="53"/>
      <c r="L512" s="53"/>
    </row>
    <row r="513" spans="1:12" ht="15.5">
      <c r="A513" s="506"/>
      <c r="B513" s="501"/>
      <c r="C513" s="53"/>
      <c r="D513" s="53"/>
      <c r="E513" s="53"/>
      <c r="F513" s="53"/>
      <c r="G513" s="53"/>
      <c r="H513" s="53"/>
      <c r="I513" s="53"/>
      <c r="J513" s="53"/>
      <c r="K513" s="53"/>
      <c r="L513" s="53"/>
    </row>
    <row r="514" spans="1:12">
      <c r="A514" s="504" t="s">
        <v>37</v>
      </c>
      <c r="B514" s="501"/>
      <c r="C514" s="140">
        <f>Assumptions!D25</f>
        <v>5000</v>
      </c>
      <c r="D514" s="140">
        <v>0</v>
      </c>
      <c r="E514" s="140">
        <v>0</v>
      </c>
      <c r="F514" s="140">
        <v>0</v>
      </c>
      <c r="G514" s="140">
        <v>0</v>
      </c>
      <c r="H514" s="140">
        <v>0</v>
      </c>
      <c r="I514" s="140">
        <v>0</v>
      </c>
      <c r="J514" s="140">
        <v>0</v>
      </c>
      <c r="K514" s="140">
        <v>0</v>
      </c>
      <c r="L514" s="140">
        <v>0</v>
      </c>
    </row>
    <row r="515" spans="1:12">
      <c r="A515" s="504" t="s">
        <v>356</v>
      </c>
      <c r="B515" s="501"/>
      <c r="C515" s="140">
        <f>Assumptions!D26</f>
        <v>15000</v>
      </c>
      <c r="D515" s="140">
        <v>0</v>
      </c>
      <c r="E515" s="140">
        <v>0</v>
      </c>
      <c r="F515" s="140">
        <v>0</v>
      </c>
      <c r="G515" s="140">
        <v>0</v>
      </c>
      <c r="H515" s="140">
        <v>0</v>
      </c>
      <c r="I515" s="140">
        <v>0</v>
      </c>
      <c r="J515" s="140">
        <v>0</v>
      </c>
      <c r="K515" s="140">
        <v>0</v>
      </c>
      <c r="L515" s="140">
        <v>0</v>
      </c>
    </row>
    <row r="516" spans="1:12">
      <c r="A516" s="504" t="s">
        <v>40</v>
      </c>
      <c r="B516" s="501"/>
      <c r="C516" s="140">
        <f>Assumptions!D27</f>
        <v>1000</v>
      </c>
      <c r="D516" s="140">
        <v>0</v>
      </c>
      <c r="E516" s="140">
        <v>0</v>
      </c>
      <c r="F516" s="140">
        <v>0</v>
      </c>
      <c r="G516" s="140">
        <v>0</v>
      </c>
      <c r="H516" s="140">
        <v>0</v>
      </c>
      <c r="I516" s="140">
        <v>0</v>
      </c>
      <c r="J516" s="140">
        <v>0</v>
      </c>
      <c r="K516" s="140">
        <v>0</v>
      </c>
      <c r="L516" s="140">
        <v>0</v>
      </c>
    </row>
    <row r="517" spans="1:12">
      <c r="A517" s="504" t="s">
        <v>41</v>
      </c>
      <c r="B517" s="501"/>
      <c r="C517" s="140">
        <f>Assumptions!D28</f>
        <v>5000</v>
      </c>
      <c r="D517" s="140">
        <v>0</v>
      </c>
      <c r="E517" s="140">
        <v>0</v>
      </c>
      <c r="F517" s="140">
        <v>0</v>
      </c>
      <c r="G517" s="140">
        <v>0</v>
      </c>
      <c r="H517" s="140">
        <v>0</v>
      </c>
      <c r="I517" s="140">
        <v>0</v>
      </c>
      <c r="J517" s="140">
        <v>0</v>
      </c>
      <c r="K517" s="140">
        <v>0</v>
      </c>
      <c r="L517" s="140">
        <v>0</v>
      </c>
    </row>
    <row r="518" spans="1:12">
      <c r="A518" s="504" t="s">
        <v>43</v>
      </c>
      <c r="B518" s="501"/>
      <c r="C518" s="140">
        <f>Assumptions!D29</f>
        <v>1000</v>
      </c>
      <c r="D518" s="140">
        <v>0</v>
      </c>
      <c r="E518" s="140">
        <v>0</v>
      </c>
      <c r="F518" s="140">
        <v>0</v>
      </c>
      <c r="G518" s="140">
        <v>0</v>
      </c>
      <c r="H518" s="140">
        <v>0</v>
      </c>
      <c r="I518" s="140">
        <v>0</v>
      </c>
      <c r="J518" s="140">
        <v>0</v>
      </c>
      <c r="K518" s="140">
        <v>0</v>
      </c>
      <c r="L518" s="140">
        <v>0</v>
      </c>
    </row>
    <row r="519" spans="1:12">
      <c r="A519" s="504" t="s">
        <v>45</v>
      </c>
      <c r="B519" s="501"/>
      <c r="C519" s="140">
        <f>Assumptions!D30</f>
        <v>3000</v>
      </c>
      <c r="D519" s="140">
        <v>0</v>
      </c>
      <c r="E519" s="140">
        <v>0</v>
      </c>
      <c r="F519" s="140">
        <v>0</v>
      </c>
      <c r="G519" s="140">
        <v>0</v>
      </c>
      <c r="H519" s="140">
        <v>0</v>
      </c>
      <c r="I519" s="140">
        <v>0</v>
      </c>
      <c r="J519" s="140">
        <v>0</v>
      </c>
      <c r="K519" s="140">
        <v>0</v>
      </c>
      <c r="L519" s="140">
        <v>0</v>
      </c>
    </row>
    <row r="520" spans="1:12">
      <c r="A520" s="504" t="s">
        <v>35</v>
      </c>
      <c r="B520" s="501"/>
      <c r="C520" s="140">
        <f>Assumptions!D31</f>
        <v>5000</v>
      </c>
      <c r="D520" s="140">
        <v>0</v>
      </c>
      <c r="E520" s="140">
        <v>0</v>
      </c>
      <c r="F520" s="140">
        <v>0</v>
      </c>
      <c r="G520" s="140">
        <v>0</v>
      </c>
      <c r="H520" s="140">
        <v>0</v>
      </c>
      <c r="I520" s="140">
        <v>0</v>
      </c>
      <c r="J520" s="140">
        <v>0</v>
      </c>
      <c r="K520" s="140">
        <v>0</v>
      </c>
      <c r="L520" s="140">
        <v>0</v>
      </c>
    </row>
    <row r="521" spans="1:12">
      <c r="A521" s="504"/>
      <c r="B521" s="501"/>
      <c r="C521" s="53"/>
      <c r="D521" s="53"/>
      <c r="E521" s="53"/>
      <c r="F521" s="53"/>
      <c r="G521" s="53"/>
      <c r="H521" s="53"/>
      <c r="I521" s="53"/>
      <c r="J521" s="53"/>
      <c r="K521" s="53"/>
      <c r="L521" s="53"/>
    </row>
    <row r="522" spans="1:12" ht="15.5">
      <c r="A522" s="506" t="s">
        <v>158</v>
      </c>
      <c r="B522" s="501"/>
      <c r="C522" s="140">
        <f t="shared" ref="C522:L522" si="481">SUM(C514:C520)</f>
        <v>35000</v>
      </c>
      <c r="D522" s="140">
        <f t="shared" si="481"/>
        <v>0</v>
      </c>
      <c r="E522" s="140">
        <f t="shared" si="481"/>
        <v>0</v>
      </c>
      <c r="F522" s="140">
        <f t="shared" si="481"/>
        <v>0</v>
      </c>
      <c r="G522" s="140">
        <f t="shared" si="481"/>
        <v>0</v>
      </c>
      <c r="H522" s="140">
        <f t="shared" si="481"/>
        <v>0</v>
      </c>
      <c r="I522" s="140">
        <f t="shared" si="481"/>
        <v>0</v>
      </c>
      <c r="J522" s="140">
        <f t="shared" si="481"/>
        <v>0</v>
      </c>
      <c r="K522" s="140">
        <f t="shared" si="481"/>
        <v>0</v>
      </c>
      <c r="L522" s="140">
        <f t="shared" si="481"/>
        <v>0</v>
      </c>
    </row>
    <row r="523" spans="1:12">
      <c r="A523" s="504"/>
      <c r="B523" s="501"/>
      <c r="C523" s="53"/>
      <c r="D523" s="53"/>
      <c r="E523" s="53"/>
      <c r="F523" s="53"/>
      <c r="G523" s="53"/>
      <c r="H523" s="53"/>
      <c r="I523" s="53"/>
      <c r="J523" s="53"/>
      <c r="K523" s="53"/>
      <c r="L523" s="53"/>
    </row>
    <row r="524" spans="1:12" ht="15.5">
      <c r="A524" s="506" t="s">
        <v>13</v>
      </c>
      <c r="B524" s="501"/>
      <c r="C524" s="53"/>
      <c r="D524" s="53"/>
      <c r="E524" s="53"/>
      <c r="F524" s="53"/>
      <c r="G524" s="53"/>
      <c r="H524" s="53"/>
      <c r="I524" s="53"/>
      <c r="J524" s="53"/>
      <c r="K524" s="53"/>
      <c r="L524" s="53"/>
    </row>
    <row r="525" spans="1:12">
      <c r="A525" s="504"/>
      <c r="B525" s="501"/>
      <c r="C525" s="53"/>
      <c r="D525" s="53"/>
      <c r="E525" s="53"/>
      <c r="F525" s="53"/>
      <c r="G525" s="53"/>
      <c r="H525" s="53"/>
      <c r="I525" s="53"/>
      <c r="J525" s="53"/>
      <c r="K525" s="53"/>
      <c r="L525" s="53"/>
    </row>
    <row r="526" spans="1:12">
      <c r="A526" s="504" t="s">
        <v>14</v>
      </c>
      <c r="B526" s="501"/>
      <c r="C526" s="140">
        <f>Assumptions!G9</f>
        <v>60000</v>
      </c>
      <c r="D526" s="140">
        <f>C526*(1+Assumptions!$D$11)</f>
        <v>61800</v>
      </c>
      <c r="E526" s="140">
        <f>D526*(1+Assumptions!$D$11)</f>
        <v>63654</v>
      </c>
      <c r="F526" s="140">
        <f>E526*(1+Assumptions!$D$11)</f>
        <v>65563.62</v>
      </c>
      <c r="G526" s="140">
        <f>F526*(1+Assumptions!$D$11)</f>
        <v>67530.528599999991</v>
      </c>
      <c r="H526" s="140">
        <f>G526*(1+Assumptions!$D$11)</f>
        <v>69556.444457999998</v>
      </c>
      <c r="I526" s="140">
        <f>H526*(1+Assumptions!$D$11)</f>
        <v>71643.137791739995</v>
      </c>
      <c r="J526" s="140">
        <f>I526*(1+Assumptions!$D$11)</f>
        <v>73792.431925492201</v>
      </c>
      <c r="K526" s="140">
        <f>J526*(1+Assumptions!$D$11)</f>
        <v>76006.204883256971</v>
      </c>
      <c r="L526" s="140">
        <f>K526*(1+Assumptions!$D$11)</f>
        <v>78286.391029754683</v>
      </c>
    </row>
    <row r="527" spans="1:12">
      <c r="A527" s="504" t="s">
        <v>15</v>
      </c>
      <c r="B527" s="501"/>
      <c r="C527" s="140">
        <f>Assumptions!G10</f>
        <v>12000</v>
      </c>
      <c r="D527" s="140">
        <f>C527*(1+Assumptions!$D$11)</f>
        <v>12360</v>
      </c>
      <c r="E527" s="140">
        <f>D527*(1+Assumptions!$D$11)</f>
        <v>12730.800000000001</v>
      </c>
      <c r="F527" s="140">
        <f>E527*(1+Assumptions!$D$11)</f>
        <v>13112.724000000002</v>
      </c>
      <c r="G527" s="140">
        <f>F527*(1+Assumptions!$D$11)</f>
        <v>13506.105720000003</v>
      </c>
      <c r="H527" s="140">
        <f>G527*(1+Assumptions!$D$11)</f>
        <v>13911.288891600003</v>
      </c>
      <c r="I527" s="140">
        <f>H527*(1+Assumptions!$D$11)</f>
        <v>14328.627558348004</v>
      </c>
      <c r="J527" s="140">
        <f>I527*(1+Assumptions!$D$11)</f>
        <v>14758.486385098444</v>
      </c>
      <c r="K527" s="140">
        <f>J527*(1+Assumptions!$D$11)</f>
        <v>15201.240976651397</v>
      </c>
      <c r="L527" s="140">
        <f>K527*(1+Assumptions!$D$11)</f>
        <v>15657.278205950939</v>
      </c>
    </row>
    <row r="528" spans="1:12">
      <c r="A528" s="504" t="s">
        <v>17</v>
      </c>
      <c r="B528" s="501"/>
      <c r="C528" s="140">
        <f>Assumptions!G11</f>
        <v>1200</v>
      </c>
      <c r="D528" s="140">
        <f>C528*(1+Assumptions!$D$11)</f>
        <v>1236</v>
      </c>
      <c r="E528" s="140">
        <f>D528*(1+Assumptions!$D$11)</f>
        <v>1273.08</v>
      </c>
      <c r="F528" s="140">
        <f>E528*(1+Assumptions!$D$11)</f>
        <v>1311.2724000000001</v>
      </c>
      <c r="G528" s="140">
        <f>F528*(1+Assumptions!$D$11)</f>
        <v>1350.610572</v>
      </c>
      <c r="H528" s="140">
        <f>G528*(1+Assumptions!$D$11)</f>
        <v>1391.12888916</v>
      </c>
      <c r="I528" s="140">
        <f>H528*(1+Assumptions!$D$11)</f>
        <v>1432.8627558348001</v>
      </c>
      <c r="J528" s="140">
        <f>I528*(1+Assumptions!$D$11)</f>
        <v>1475.848638509844</v>
      </c>
      <c r="K528" s="140">
        <f>J528*(1+Assumptions!$D$11)</f>
        <v>1520.1240976651393</v>
      </c>
      <c r="L528" s="140">
        <f>K528*(1+Assumptions!$D$11)</f>
        <v>1565.7278205950936</v>
      </c>
    </row>
    <row r="529" spans="1:12">
      <c r="A529" s="504" t="s">
        <v>19</v>
      </c>
      <c r="B529" s="501"/>
      <c r="C529" s="140">
        <f>Assumptions!G12</f>
        <v>12000</v>
      </c>
      <c r="D529" s="140">
        <f>C529*(1+Assumptions!$D$11)</f>
        <v>12360</v>
      </c>
      <c r="E529" s="140">
        <f>D529*(1+Assumptions!$D$11)</f>
        <v>12730.800000000001</v>
      </c>
      <c r="F529" s="140">
        <f>E529*(1+Assumptions!$D$11)</f>
        <v>13112.724000000002</v>
      </c>
      <c r="G529" s="140">
        <f>F529*(1+Assumptions!$D$11)</f>
        <v>13506.105720000003</v>
      </c>
      <c r="H529" s="140">
        <f>G529*(1+Assumptions!$D$11)</f>
        <v>13911.288891600003</v>
      </c>
      <c r="I529" s="140">
        <f>H529*(1+Assumptions!$D$11)</f>
        <v>14328.627558348004</v>
      </c>
      <c r="J529" s="140">
        <f>I529*(1+Assumptions!$D$11)</f>
        <v>14758.486385098444</v>
      </c>
      <c r="K529" s="140">
        <f>J529*(1+Assumptions!$D$11)</f>
        <v>15201.240976651397</v>
      </c>
      <c r="L529" s="140">
        <f>K529*(1+Assumptions!$D$11)</f>
        <v>15657.278205950939</v>
      </c>
    </row>
    <row r="530" spans="1:12">
      <c r="A530" s="504" t="s">
        <v>20</v>
      </c>
      <c r="B530" s="501"/>
      <c r="C530" s="140">
        <f>Assumptions!G13</f>
        <v>6000</v>
      </c>
      <c r="D530" s="140">
        <f>C530*(1+Assumptions!$D$11)</f>
        <v>6180</v>
      </c>
      <c r="E530" s="140">
        <f>D530*(1+Assumptions!$D$11)</f>
        <v>6365.4000000000005</v>
      </c>
      <c r="F530" s="140">
        <f>E530*(1+Assumptions!$D$11)</f>
        <v>6556.362000000001</v>
      </c>
      <c r="G530" s="140">
        <f>F530*(1+Assumptions!$D$11)</f>
        <v>6753.0528600000016</v>
      </c>
      <c r="H530" s="140">
        <f>G530*(1+Assumptions!$D$11)</f>
        <v>6955.6444458000014</v>
      </c>
      <c r="I530" s="140">
        <f>H530*(1+Assumptions!$D$11)</f>
        <v>7164.3137791740019</v>
      </c>
      <c r="J530" s="140">
        <f>I530*(1+Assumptions!$D$11)</f>
        <v>7379.2431925492219</v>
      </c>
      <c r="K530" s="140">
        <f>J530*(1+Assumptions!$D$11)</f>
        <v>7600.6204883256987</v>
      </c>
      <c r="L530" s="140">
        <f>K530*(1+Assumptions!$D$11)</f>
        <v>7828.6391029754695</v>
      </c>
    </row>
    <row r="531" spans="1:12">
      <c r="A531" s="504" t="s">
        <v>22</v>
      </c>
      <c r="B531" s="501"/>
      <c r="C531" s="140">
        <f>Assumptions!G14</f>
        <v>6000</v>
      </c>
      <c r="D531" s="140">
        <f>C531*(1+Assumptions!$D$11)</f>
        <v>6180</v>
      </c>
      <c r="E531" s="140">
        <f>D531*(1+Assumptions!$D$11)</f>
        <v>6365.4000000000005</v>
      </c>
      <c r="F531" s="140">
        <f>E531*(1+Assumptions!$D$11)</f>
        <v>6556.362000000001</v>
      </c>
      <c r="G531" s="140">
        <f>F531*(1+Assumptions!$D$11)</f>
        <v>6753.0528600000016</v>
      </c>
      <c r="H531" s="140">
        <f>G531*(1+Assumptions!$D$11)</f>
        <v>6955.6444458000014</v>
      </c>
      <c r="I531" s="140">
        <f>H531*(1+Assumptions!$D$11)</f>
        <v>7164.3137791740019</v>
      </c>
      <c r="J531" s="140">
        <f>I531*(1+Assumptions!$D$11)</f>
        <v>7379.2431925492219</v>
      </c>
      <c r="K531" s="140">
        <f>J531*(1+Assumptions!$D$11)</f>
        <v>7600.6204883256987</v>
      </c>
      <c r="L531" s="140">
        <f>K531*(1+Assumptions!$D$11)</f>
        <v>7828.6391029754695</v>
      </c>
    </row>
    <row r="532" spans="1:12">
      <c r="A532" s="504" t="s">
        <v>25</v>
      </c>
      <c r="B532" s="501"/>
      <c r="C532" s="140">
        <f>Assumptions!G15</f>
        <v>1000</v>
      </c>
      <c r="D532" s="140">
        <f>C532*(1+Assumptions!$D$11)</f>
        <v>1030</v>
      </c>
      <c r="E532" s="140">
        <f>D532*(1+Assumptions!$D$11)</f>
        <v>1060.9000000000001</v>
      </c>
      <c r="F532" s="140">
        <f>E532*(1+Assumptions!$D$11)</f>
        <v>1092.7270000000001</v>
      </c>
      <c r="G532" s="140">
        <f>F532*(1+Assumptions!$D$11)</f>
        <v>1125.50881</v>
      </c>
      <c r="H532" s="140">
        <f>G532*(1+Assumptions!$D$11)</f>
        <v>1159.2740743000002</v>
      </c>
      <c r="I532" s="140">
        <f>H532*(1+Assumptions!$D$11)</f>
        <v>1194.0522965290002</v>
      </c>
      <c r="J532" s="140">
        <f>I532*(1+Assumptions!$D$11)</f>
        <v>1229.8738654248702</v>
      </c>
      <c r="K532" s="140">
        <f>J532*(1+Assumptions!$D$11)</f>
        <v>1266.7700813876163</v>
      </c>
      <c r="L532" s="140">
        <f>K532*(1+Assumptions!$D$11)</f>
        <v>1304.7731838292448</v>
      </c>
    </row>
    <row r="533" spans="1:12">
      <c r="A533" s="504" t="s">
        <v>27</v>
      </c>
      <c r="B533" s="501"/>
      <c r="C533" s="140">
        <f>Assumptions!G16</f>
        <v>1000</v>
      </c>
      <c r="D533" s="140">
        <f>C533*(1+Assumptions!$D$11)</f>
        <v>1030</v>
      </c>
      <c r="E533" s="140">
        <f>D533*(1+Assumptions!$D$11)</f>
        <v>1060.9000000000001</v>
      </c>
      <c r="F533" s="140">
        <f>E533*(1+Assumptions!$D$11)</f>
        <v>1092.7270000000001</v>
      </c>
      <c r="G533" s="140">
        <f>F533*(1+Assumptions!$D$11)</f>
        <v>1125.50881</v>
      </c>
      <c r="H533" s="140">
        <f>G533*(1+Assumptions!$D$11)</f>
        <v>1159.2740743000002</v>
      </c>
      <c r="I533" s="140">
        <f>H533*(1+Assumptions!$D$11)</f>
        <v>1194.0522965290002</v>
      </c>
      <c r="J533" s="140">
        <f>I533*(1+Assumptions!$D$11)</f>
        <v>1229.8738654248702</v>
      </c>
      <c r="K533" s="140">
        <f>J533*(1+Assumptions!$D$11)</f>
        <v>1266.7700813876163</v>
      </c>
      <c r="L533" s="140">
        <f>K533*(1+Assumptions!$D$11)</f>
        <v>1304.7731838292448</v>
      </c>
    </row>
    <row r="534" spans="1:12">
      <c r="A534" s="504" t="s">
        <v>290</v>
      </c>
      <c r="B534" s="501"/>
      <c r="C534" s="140">
        <f>Assumptions!G17</f>
        <v>6000</v>
      </c>
      <c r="D534" s="140">
        <f>C534*(1+Assumptions!$D$11)</f>
        <v>6180</v>
      </c>
      <c r="E534" s="140">
        <f>D534*(1+Assumptions!$D$11)</f>
        <v>6365.4000000000005</v>
      </c>
      <c r="F534" s="140">
        <f>E534*(1+Assumptions!$D$11)</f>
        <v>6556.362000000001</v>
      </c>
      <c r="G534" s="140">
        <f>F534*(1+Assumptions!$D$11)</f>
        <v>6753.0528600000016</v>
      </c>
      <c r="H534" s="140">
        <f>G534*(1+Assumptions!$D$11)</f>
        <v>6955.6444458000014</v>
      </c>
      <c r="I534" s="140">
        <f>H534*(1+Assumptions!$D$11)</f>
        <v>7164.3137791740019</v>
      </c>
      <c r="J534" s="140">
        <f>I534*(1+Assumptions!$D$11)</f>
        <v>7379.2431925492219</v>
      </c>
      <c r="K534" s="140">
        <f>J534*(1+Assumptions!$D$11)</f>
        <v>7600.6204883256987</v>
      </c>
      <c r="L534" s="140">
        <f>K534*(1+Assumptions!$D$11)</f>
        <v>7828.6391029754695</v>
      </c>
    </row>
    <row r="535" spans="1:12">
      <c r="A535" s="504" t="s">
        <v>29</v>
      </c>
      <c r="B535" s="501"/>
      <c r="C535" s="140">
        <f>Assumptions!G18</f>
        <v>31200</v>
      </c>
      <c r="D535" s="140">
        <f>C535*(1+Assumptions!$D$11)*(1+Assumptions!$J$10)</f>
        <v>35670.960000000006</v>
      </c>
      <c r="E535" s="140">
        <f>D535*(1+Assumptions!$D$11)*(1+Assumptions!$J$10)</f>
        <v>40782.608568000011</v>
      </c>
      <c r="F535" s="140">
        <f>E535*(1+Assumptions!$D$11)*(1+Assumptions!$J$10)</f>
        <v>46626.756375794415</v>
      </c>
      <c r="G535" s="140">
        <f>F535*(1+Assumptions!$D$11)*(1+Assumptions!$J$10)</f>
        <v>53308.370564445766</v>
      </c>
      <c r="H535" s="140">
        <f>G535*(1+Assumptions!$D$11)*(1+Assumptions!$J$10)</f>
        <v>60947.460066330852</v>
      </c>
      <c r="I535" s="140">
        <f>H535*(1+Assumptions!$D$11)*(1+Assumptions!$J$10)</f>
        <v>69681.231093836075</v>
      </c>
      <c r="J535" s="140">
        <f>I535*(1+Assumptions!$D$11)*(1+Assumptions!$J$10)</f>
        <v>79666.551509582787</v>
      </c>
      <c r="K535" s="140">
        <f>J535*(1+Assumptions!$D$11)*(1+Assumptions!$J$10)</f>
        <v>91082.768340906012</v>
      </c>
      <c r="L535" s="140">
        <f>K535*(1+Assumptions!$D$11)*(1+Assumptions!$J$10)</f>
        <v>104134.92904415785</v>
      </c>
    </row>
    <row r="536" spans="1:12">
      <c r="A536" s="504" t="s">
        <v>291</v>
      </c>
      <c r="B536" s="501"/>
      <c r="C536" s="140">
        <f>Assumptions!G19</f>
        <v>120000</v>
      </c>
      <c r="D536" s="140">
        <f>C536*(1+Assumptions!$D$11)*(1+Assumptions!$J$11)</f>
        <v>135960</v>
      </c>
      <c r="E536" s="140">
        <f>D536*(1+Assumptions!$D$11)*(1+Assumptions!$J$11)</f>
        <v>154042.68000000002</v>
      </c>
      <c r="F536" s="140">
        <f>E536*(1+Assumptions!$D$11)*(1+Assumptions!$J$11)</f>
        <v>174530.35644000006</v>
      </c>
      <c r="G536" s="140">
        <f>F536*(1+Assumptions!$D$11)*(1+Assumptions!$J$11)</f>
        <v>197742.89384652011</v>
      </c>
      <c r="H536" s="140">
        <f>G536*(1+Assumptions!$D$11)*(1+Assumptions!$J$11)</f>
        <v>224042.69872810729</v>
      </c>
      <c r="I536" s="140">
        <f>H536*(1+Assumptions!$D$11)*(1+Assumptions!$J$11)</f>
        <v>253840.3776589456</v>
      </c>
      <c r="J536" s="140">
        <f>I536*(1+Assumptions!$D$11)*(1+Assumptions!$J$11)</f>
        <v>287601.14788758539</v>
      </c>
      <c r="K536" s="140">
        <f>J536*(1+Assumptions!$D$11)*(1+Assumptions!$J$11)</f>
        <v>325852.10055663431</v>
      </c>
      <c r="L536" s="140">
        <f>K536*(1+Assumptions!$D$11)*(1+Assumptions!$J$11)</f>
        <v>369190.42993066669</v>
      </c>
    </row>
    <row r="537" spans="1:12">
      <c r="A537" s="504" t="s">
        <v>31</v>
      </c>
      <c r="B537" s="501"/>
      <c r="C537" s="140">
        <f>Assumptions!G20</f>
        <v>1200</v>
      </c>
      <c r="D537" s="140">
        <f>C537*(1+Assumptions!$D$11)</f>
        <v>1236</v>
      </c>
      <c r="E537" s="140">
        <f>D537*(1+Assumptions!$D$11)</f>
        <v>1273.08</v>
      </c>
      <c r="F537" s="140">
        <f>E537*(1+Assumptions!$D$11)</f>
        <v>1311.2724000000001</v>
      </c>
      <c r="G537" s="140">
        <f>F537*(1+Assumptions!$D$11)</f>
        <v>1350.610572</v>
      </c>
      <c r="H537" s="140">
        <f>G537*(1+Assumptions!$D$11)</f>
        <v>1391.12888916</v>
      </c>
      <c r="I537" s="140">
        <f>H537*(1+Assumptions!$D$11)</f>
        <v>1432.8627558348001</v>
      </c>
      <c r="J537" s="140">
        <f>I537*(1+Assumptions!$D$11)</f>
        <v>1475.848638509844</v>
      </c>
      <c r="K537" s="140">
        <f>J537*(1+Assumptions!$D$11)</f>
        <v>1520.1240976651393</v>
      </c>
      <c r="L537" s="140">
        <f>K537*(1+Assumptions!$D$11)</f>
        <v>1565.7278205950936</v>
      </c>
    </row>
    <row r="538" spans="1:12">
      <c r="A538" s="504" t="s">
        <v>33</v>
      </c>
      <c r="B538" s="501"/>
      <c r="C538" s="140">
        <f>Assumptions!G21</f>
        <v>1000</v>
      </c>
      <c r="D538" s="140">
        <f>C538*(1+Assumptions!$D$11)</f>
        <v>1030</v>
      </c>
      <c r="E538" s="140">
        <f>D538*(1+Assumptions!$D$11)</f>
        <v>1060.9000000000001</v>
      </c>
      <c r="F538" s="140">
        <f>E538*(1+Assumptions!$D$11)</f>
        <v>1092.7270000000001</v>
      </c>
      <c r="G538" s="140">
        <f>F538*(1+Assumptions!$D$11)</f>
        <v>1125.50881</v>
      </c>
      <c r="H538" s="140">
        <f>G538*(1+Assumptions!$D$11)</f>
        <v>1159.2740743000002</v>
      </c>
      <c r="I538" s="140">
        <f>H538*(1+Assumptions!$D$11)</f>
        <v>1194.0522965290002</v>
      </c>
      <c r="J538" s="140">
        <f>I538*(1+Assumptions!$D$11)</f>
        <v>1229.8738654248702</v>
      </c>
      <c r="K538" s="140">
        <f>J538*(1+Assumptions!$D$11)</f>
        <v>1266.7700813876163</v>
      </c>
      <c r="L538" s="140">
        <f>K538*(1+Assumptions!$D$11)</f>
        <v>1304.7731838292448</v>
      </c>
    </row>
    <row r="539" spans="1:12">
      <c r="A539" s="504" t="s">
        <v>35</v>
      </c>
      <c r="B539" s="501"/>
      <c r="C539" s="140">
        <f>Assumptions!G22</f>
        <v>5000</v>
      </c>
      <c r="D539" s="140">
        <f>C539*(1+Assumptions!$D$11)</f>
        <v>5150</v>
      </c>
      <c r="E539" s="140">
        <f>D539*(1+Assumptions!$D$11)</f>
        <v>5304.5</v>
      </c>
      <c r="F539" s="140">
        <f>E539*(1+Assumptions!$D$11)</f>
        <v>5463.6350000000002</v>
      </c>
      <c r="G539" s="140">
        <f>F539*(1+Assumptions!$D$11)</f>
        <v>5627.5440500000004</v>
      </c>
      <c r="H539" s="140">
        <f>G539*(1+Assumptions!$D$11)</f>
        <v>5796.3703715000001</v>
      </c>
      <c r="I539" s="140">
        <f>H539*(1+Assumptions!$D$11)</f>
        <v>5970.2614826449999</v>
      </c>
      <c r="J539" s="140">
        <f>I539*(1+Assumptions!$D$11)</f>
        <v>6149.3693271243501</v>
      </c>
      <c r="K539" s="140">
        <f>J539*(1+Assumptions!$D$11)</f>
        <v>6333.8504069380806</v>
      </c>
      <c r="L539" s="140">
        <f>K539*(1+Assumptions!$D$11)</f>
        <v>6523.865919146223</v>
      </c>
    </row>
    <row r="540" spans="1:12">
      <c r="A540" s="504"/>
      <c r="B540" s="501"/>
      <c r="C540" s="53"/>
      <c r="D540" s="53"/>
      <c r="E540" s="53"/>
      <c r="F540" s="53"/>
      <c r="G540" s="53"/>
      <c r="H540" s="53"/>
      <c r="I540" s="53"/>
      <c r="J540" s="53"/>
      <c r="K540" s="53"/>
      <c r="L540" s="53"/>
    </row>
    <row r="541" spans="1:12" ht="15.5">
      <c r="A541" s="506" t="s">
        <v>159</v>
      </c>
      <c r="B541" s="501"/>
      <c r="C541" s="140">
        <f t="shared" ref="C541:L541" si="482">SUM(C526:C539)</f>
        <v>263600</v>
      </c>
      <c r="D541" s="140">
        <f t="shared" si="482"/>
        <v>287402.96000000002</v>
      </c>
      <c r="E541" s="140">
        <f t="shared" si="482"/>
        <v>314070.44856800005</v>
      </c>
      <c r="F541" s="140">
        <f t="shared" si="482"/>
        <v>343979.62761579448</v>
      </c>
      <c r="G541" s="140">
        <f t="shared" si="482"/>
        <v>377558.4546549659</v>
      </c>
      <c r="H541" s="140">
        <f t="shared" si="482"/>
        <v>415292.56474575819</v>
      </c>
      <c r="I541" s="140">
        <f t="shared" si="482"/>
        <v>457733.08688264131</v>
      </c>
      <c r="J541" s="140">
        <f t="shared" si="482"/>
        <v>505505.52187092358</v>
      </c>
      <c r="K541" s="140">
        <f t="shared" si="482"/>
        <v>559319.8260455085</v>
      </c>
      <c r="L541" s="140">
        <f t="shared" si="482"/>
        <v>619981.8648372317</v>
      </c>
    </row>
    <row r="542" spans="1:12" ht="15.5">
      <c r="A542" s="506"/>
      <c r="B542" s="501"/>
      <c r="C542" s="53"/>
      <c r="D542" s="53"/>
      <c r="E542" s="53"/>
      <c r="F542" s="53"/>
      <c r="G542" s="53"/>
      <c r="H542" s="53"/>
      <c r="I542" s="53"/>
      <c r="J542" s="53"/>
      <c r="K542" s="53"/>
      <c r="L542" s="53"/>
    </row>
    <row r="543" spans="1:12" ht="15.5">
      <c r="A543" s="506" t="s">
        <v>36</v>
      </c>
      <c r="B543" s="501"/>
      <c r="C543" s="53"/>
      <c r="D543" s="53"/>
      <c r="E543" s="53"/>
      <c r="F543" s="53"/>
      <c r="G543" s="53"/>
      <c r="H543" s="53"/>
      <c r="I543" s="53"/>
      <c r="J543" s="53"/>
      <c r="K543" s="53"/>
      <c r="L543" s="53"/>
    </row>
    <row r="544" spans="1:12">
      <c r="A544" s="504" t="s">
        <v>38</v>
      </c>
      <c r="B544" s="501"/>
      <c r="C544" s="140">
        <f>Assumptions!G25</f>
        <v>5000</v>
      </c>
      <c r="D544" s="140">
        <f>C544*(1+Assumptions!$D$11)</f>
        <v>5150</v>
      </c>
      <c r="E544" s="140">
        <f>D544*(1+Assumptions!$D$11)</f>
        <v>5304.5</v>
      </c>
      <c r="F544" s="140">
        <f>E544*(1+Assumptions!$D$11)</f>
        <v>5463.6350000000002</v>
      </c>
      <c r="G544" s="140">
        <f>F544*(1+Assumptions!$D$11)</f>
        <v>5627.5440500000004</v>
      </c>
      <c r="H544" s="140">
        <f>G544*(1+Assumptions!$D$11)</f>
        <v>5796.3703715000001</v>
      </c>
      <c r="I544" s="140">
        <f>H544*(1+Assumptions!$D$11)</f>
        <v>5970.2614826449999</v>
      </c>
      <c r="J544" s="140">
        <f>I544*(1+Assumptions!$D$11)</f>
        <v>6149.3693271243501</v>
      </c>
      <c r="K544" s="140">
        <f>J544*(1+Assumptions!$D$11)</f>
        <v>6333.8504069380806</v>
      </c>
      <c r="L544" s="140">
        <f>K544*(1+Assumptions!$D$11)</f>
        <v>6523.865919146223</v>
      </c>
    </row>
    <row r="545" spans="1:12">
      <c r="A545" s="504" t="s">
        <v>39</v>
      </c>
      <c r="B545" s="501"/>
      <c r="C545" s="140">
        <f>Assumptions!G26</f>
        <v>500</v>
      </c>
      <c r="D545" s="140">
        <f t="shared" ref="D545" si="483">C545</f>
        <v>500</v>
      </c>
      <c r="E545" s="140">
        <f t="shared" ref="E545" si="484">D545</f>
        <v>500</v>
      </c>
      <c r="F545" s="140">
        <f t="shared" ref="F545" si="485">E545</f>
        <v>500</v>
      </c>
      <c r="G545" s="140">
        <f t="shared" ref="G545" si="486">F545</f>
        <v>500</v>
      </c>
      <c r="H545" s="140">
        <f t="shared" ref="H545" si="487">G545</f>
        <v>500</v>
      </c>
      <c r="I545" s="140">
        <f t="shared" ref="I545" si="488">H545</f>
        <v>500</v>
      </c>
      <c r="J545" s="140">
        <f t="shared" ref="J545" si="489">I545</f>
        <v>500</v>
      </c>
      <c r="K545" s="140">
        <f t="shared" ref="K545" si="490">J545</f>
        <v>500</v>
      </c>
      <c r="L545" s="140">
        <f t="shared" ref="L545" si="491">K545</f>
        <v>500</v>
      </c>
    </row>
    <row r="546" spans="1:12">
      <c r="A546" s="504"/>
      <c r="B546" s="501"/>
      <c r="C546" s="53"/>
      <c r="D546" s="53"/>
      <c r="E546" s="53"/>
      <c r="F546" s="53"/>
      <c r="G546" s="53"/>
      <c r="H546" s="53"/>
      <c r="I546" s="53"/>
      <c r="J546" s="53"/>
      <c r="K546" s="53"/>
      <c r="L546" s="53"/>
    </row>
    <row r="547" spans="1:12" ht="15.5">
      <c r="A547" s="506" t="s">
        <v>160</v>
      </c>
      <c r="B547" s="501"/>
      <c r="C547" s="140">
        <f t="shared" ref="C547:L547" si="492">SUM(C544:C545)</f>
        <v>5500</v>
      </c>
      <c r="D547" s="140">
        <f t="shared" si="492"/>
        <v>5650</v>
      </c>
      <c r="E547" s="140">
        <f t="shared" si="492"/>
        <v>5804.5</v>
      </c>
      <c r="F547" s="140">
        <f t="shared" si="492"/>
        <v>5963.6350000000002</v>
      </c>
      <c r="G547" s="140">
        <f t="shared" si="492"/>
        <v>6127.5440500000004</v>
      </c>
      <c r="H547" s="140">
        <f t="shared" si="492"/>
        <v>6296.3703715000001</v>
      </c>
      <c r="I547" s="140">
        <f t="shared" si="492"/>
        <v>6470.2614826449999</v>
      </c>
      <c r="J547" s="140">
        <f t="shared" si="492"/>
        <v>6649.3693271243501</v>
      </c>
      <c r="K547" s="140">
        <f t="shared" si="492"/>
        <v>6833.8504069380806</v>
      </c>
      <c r="L547" s="140">
        <f t="shared" si="492"/>
        <v>7023.865919146223</v>
      </c>
    </row>
    <row r="548" spans="1:12">
      <c r="A548" s="504"/>
      <c r="B548" s="501"/>
      <c r="C548" s="53"/>
      <c r="D548" s="53"/>
      <c r="E548" s="53"/>
      <c r="F548" s="53"/>
      <c r="G548" s="53"/>
      <c r="H548" s="53"/>
      <c r="I548" s="53"/>
      <c r="J548" s="53"/>
      <c r="K548" s="53"/>
      <c r="L548" s="53"/>
    </row>
    <row r="549" spans="1:12" ht="15.5">
      <c r="A549" s="506" t="s">
        <v>112</v>
      </c>
      <c r="B549" s="501"/>
      <c r="C549" s="140">
        <f t="shared" ref="C549:L549" si="493">C522+C541+C547</f>
        <v>304100</v>
      </c>
      <c r="D549" s="140">
        <f t="shared" si="493"/>
        <v>293052.96000000002</v>
      </c>
      <c r="E549" s="140">
        <f t="shared" si="493"/>
        <v>319874.94856800005</v>
      </c>
      <c r="F549" s="140">
        <f t="shared" si="493"/>
        <v>349943.26261579449</v>
      </c>
      <c r="G549" s="140">
        <f t="shared" si="493"/>
        <v>383685.99870496592</v>
      </c>
      <c r="H549" s="140">
        <f t="shared" si="493"/>
        <v>421588.93511725817</v>
      </c>
      <c r="I549" s="140">
        <f t="shared" si="493"/>
        <v>464203.34836528631</v>
      </c>
      <c r="J549" s="140">
        <f t="shared" si="493"/>
        <v>512154.8911980479</v>
      </c>
      <c r="K549" s="140">
        <f t="shared" si="493"/>
        <v>566153.67645244661</v>
      </c>
      <c r="L549" s="140">
        <f t="shared" si="493"/>
        <v>627005.73075637792</v>
      </c>
    </row>
    <row r="550" spans="1:12">
      <c r="A550" s="504"/>
      <c r="B550" s="501"/>
      <c r="C550" s="53"/>
      <c r="D550" s="53"/>
      <c r="E550" s="53"/>
      <c r="F550" s="53"/>
      <c r="G550" s="53"/>
      <c r="H550" s="53"/>
      <c r="I550" s="53"/>
      <c r="J550" s="53"/>
      <c r="K550" s="53"/>
      <c r="L550" s="53"/>
    </row>
    <row r="551" spans="1:12" ht="15.5">
      <c r="A551" s="506" t="s">
        <v>424</v>
      </c>
      <c r="B551" s="501"/>
      <c r="C551" s="500">
        <f>C508-C549</f>
        <v>2900400</v>
      </c>
      <c r="D551" s="500">
        <f t="shared" ref="D551:L551" si="494">D508-D549</f>
        <v>4267605.9600000009</v>
      </c>
      <c r="E551" s="500">
        <f t="shared" ca="1" si="494"/>
        <v>6476566.2108891392</v>
      </c>
      <c r="F551" s="500">
        <f t="shared" ca="1" si="494"/>
        <v>7028984.8926266441</v>
      </c>
      <c r="G551" s="500">
        <f t="shared" ca="1" si="494"/>
        <v>7656076.3714114027</v>
      </c>
      <c r="H551" s="500">
        <f t="shared" ca="1" si="494"/>
        <v>8370170.7412070967</v>
      </c>
      <c r="I551" s="500">
        <f t="shared" ca="1" si="494"/>
        <v>9182179.6110923365</v>
      </c>
      <c r="J551" s="500">
        <f t="shared" ca="1" si="494"/>
        <v>10106904.840555655</v>
      </c>
      <c r="K551" s="500">
        <f t="shared" ca="1" si="494"/>
        <v>11167128.58100166</v>
      </c>
      <c r="L551" s="500">
        <f t="shared" ca="1" si="494"/>
        <v>12383207.002610458</v>
      </c>
    </row>
    <row r="552" spans="1:12">
      <c r="A552" s="504"/>
      <c r="B552" s="501"/>
      <c r="C552" s="53"/>
      <c r="D552" s="53"/>
      <c r="E552" s="53"/>
      <c r="F552" s="53"/>
      <c r="G552" s="53"/>
      <c r="H552" s="53"/>
      <c r="I552" s="53"/>
      <c r="J552" s="53"/>
      <c r="K552" s="53"/>
      <c r="L552" s="53"/>
    </row>
    <row r="553" spans="1:12">
      <c r="A553" s="504" t="s">
        <v>162</v>
      </c>
      <c r="B553" s="501"/>
      <c r="C553" s="53">
        <f>'Depreciation Schedule'!G10</f>
        <v>20611.111111111113</v>
      </c>
      <c r="D553" s="53">
        <f>'Depreciation Schedule'!H10</f>
        <v>20611.111111111113</v>
      </c>
      <c r="E553" s="53">
        <f>'Depreciation Schedule'!I10</f>
        <v>20611.111111111113</v>
      </c>
      <c r="F553" s="53">
        <f>'Depreciation Schedule'!J10</f>
        <v>20611.111111111113</v>
      </c>
      <c r="G553" s="53">
        <f>'Depreciation Schedule'!K10</f>
        <v>20611.111111111113</v>
      </c>
      <c r="H553" s="53">
        <f>'Depreciation Schedule'!L10</f>
        <v>20611.111111111113</v>
      </c>
      <c r="I553" s="53">
        <f>'Depreciation Schedule'!M10</f>
        <v>20611.111111111113</v>
      </c>
      <c r="J553" s="53">
        <f>'Depreciation Schedule'!N10</f>
        <v>20611.111111111113</v>
      </c>
      <c r="K553" s="53">
        <f>'Depreciation Schedule'!O10</f>
        <v>20611.111111111113</v>
      </c>
      <c r="L553" s="53">
        <f>'Depreciation Schedule'!P10</f>
        <v>20611.111111111113</v>
      </c>
    </row>
    <row r="554" spans="1:12">
      <c r="A554" s="504" t="s">
        <v>163</v>
      </c>
      <c r="B554" s="501"/>
      <c r="C554" s="53">
        <v>0</v>
      </c>
      <c r="D554" s="53">
        <v>0</v>
      </c>
      <c r="E554" s="53">
        <v>0</v>
      </c>
      <c r="F554" s="53">
        <v>0</v>
      </c>
      <c r="G554" s="53">
        <v>0</v>
      </c>
      <c r="H554" s="53">
        <v>0</v>
      </c>
      <c r="I554" s="53">
        <v>0</v>
      </c>
      <c r="J554" s="53">
        <v>0</v>
      </c>
      <c r="K554" s="53">
        <v>0</v>
      </c>
      <c r="L554" s="53">
        <v>0</v>
      </c>
    </row>
    <row r="555" spans="1:12">
      <c r="A555" s="504"/>
      <c r="B555" s="501"/>
      <c r="C555" s="53"/>
      <c r="D555" s="53"/>
      <c r="E555" s="53"/>
      <c r="F555" s="53"/>
      <c r="G555" s="53"/>
      <c r="H555" s="53"/>
      <c r="I555" s="53"/>
      <c r="J555" s="53"/>
      <c r="K555" s="53"/>
      <c r="L555" s="53"/>
    </row>
    <row r="556" spans="1:12" ht="15.5">
      <c r="A556" s="506" t="s">
        <v>425</v>
      </c>
      <c r="B556" s="501"/>
      <c r="C556" s="500">
        <f>C551-C553-C554</f>
        <v>2879788.888888889</v>
      </c>
      <c r="D556" s="500">
        <f t="shared" ref="D556:L556" si="495">D551-D553-D554</f>
        <v>4246994.8488888899</v>
      </c>
      <c r="E556" s="500">
        <f t="shared" ca="1" si="495"/>
        <v>6455955.0997780282</v>
      </c>
      <c r="F556" s="500">
        <f t="shared" ca="1" si="495"/>
        <v>7008373.7815155331</v>
      </c>
      <c r="G556" s="500">
        <f t="shared" ca="1" si="495"/>
        <v>7635465.2603002917</v>
      </c>
      <c r="H556" s="500">
        <f t="shared" ca="1" si="495"/>
        <v>8349559.6300959857</v>
      </c>
      <c r="I556" s="500">
        <f t="shared" ca="1" si="495"/>
        <v>9161568.4999812245</v>
      </c>
      <c r="J556" s="500">
        <f t="shared" ca="1" si="495"/>
        <v>10086293.729444543</v>
      </c>
      <c r="K556" s="500">
        <f t="shared" ca="1" si="495"/>
        <v>11146517.469890548</v>
      </c>
      <c r="L556" s="500">
        <f t="shared" ca="1" si="495"/>
        <v>12362595.891499346</v>
      </c>
    </row>
    <row r="557" spans="1:12">
      <c r="A557" s="504"/>
      <c r="B557" s="501"/>
      <c r="C557" s="53"/>
      <c r="D557" s="53"/>
      <c r="E557" s="53"/>
      <c r="F557" s="53"/>
      <c r="G557" s="53"/>
      <c r="H557" s="53"/>
      <c r="I557" s="53"/>
      <c r="J557" s="53"/>
      <c r="K557" s="53"/>
      <c r="L557" s="53"/>
    </row>
    <row r="558" spans="1:12">
      <c r="A558" s="504" t="s">
        <v>165</v>
      </c>
      <c r="B558" s="501"/>
      <c r="C558" s="140">
        <f>'Loan Repayment Schedule'!H24</f>
        <v>78887.593138586235</v>
      </c>
      <c r="D558" s="140">
        <f>'Loan Repayment Schedule'!I24</f>
        <v>74852.949804201286</v>
      </c>
      <c r="E558" s="140">
        <f>'Loan Repayment Schedule'!J24</f>
        <v>70169.719326413004</v>
      </c>
      <c r="F558" s="140">
        <f>'Loan Repayment Schedule'!K24</f>
        <v>64733.63839178221</v>
      </c>
      <c r="G558" s="140">
        <f>'Loan Repayment Schedule'!L24</f>
        <v>58423.682888201663</v>
      </c>
      <c r="H558" s="140">
        <f>'Loan Repayment Schedule'!M24</f>
        <v>51099.373530789453</v>
      </c>
      <c r="I558" s="140">
        <f>'Loan Repayment Schedule'!N24</f>
        <v>42597.648354972385</v>
      </c>
      <c r="J558" s="140">
        <f>'Loan Repayment Schedule'!O24</f>
        <v>32729.232448703373</v>
      </c>
      <c r="K558" s="140">
        <f>'Loan Repayment Schedule'!P24</f>
        <v>21274.424102732115</v>
      </c>
      <c r="L558" s="140">
        <f>'Loan Repayment Schedule'!Q24</f>
        <v>7978.2035654948695</v>
      </c>
    </row>
    <row r="559" spans="1:12">
      <c r="A559" s="504"/>
      <c r="B559" s="501"/>
      <c r="C559" s="53"/>
      <c r="D559" s="53"/>
      <c r="E559" s="53"/>
      <c r="F559" s="53"/>
      <c r="G559" s="53"/>
      <c r="H559" s="53"/>
      <c r="I559" s="53"/>
      <c r="J559" s="53"/>
      <c r="K559" s="53"/>
      <c r="L559" s="53"/>
    </row>
    <row r="560" spans="1:12" ht="15.5">
      <c r="A560" s="506" t="s">
        <v>426</v>
      </c>
      <c r="B560" s="501"/>
      <c r="C560" s="500">
        <f>C556-C558</f>
        <v>2800901.2957503027</v>
      </c>
      <c r="D560" s="500">
        <f t="shared" ref="D560:L560" si="496">D556-D558</f>
        <v>4172141.8990846886</v>
      </c>
      <c r="E560" s="500">
        <f t="shared" ca="1" si="496"/>
        <v>6385785.380451615</v>
      </c>
      <c r="F560" s="500">
        <f t="shared" ca="1" si="496"/>
        <v>6943640.1431237506</v>
      </c>
      <c r="G560" s="500">
        <f t="shared" ca="1" si="496"/>
        <v>7577041.5774120903</v>
      </c>
      <c r="H560" s="500">
        <f t="shared" ca="1" si="496"/>
        <v>8298460.2565651964</v>
      </c>
      <c r="I560" s="500">
        <f t="shared" ca="1" si="496"/>
        <v>9118970.8516262528</v>
      </c>
      <c r="J560" s="500">
        <f t="shared" ca="1" si="496"/>
        <v>10053564.49699584</v>
      </c>
      <c r="K560" s="500">
        <f t="shared" ca="1" si="496"/>
        <v>11125243.045787815</v>
      </c>
      <c r="L560" s="500">
        <f t="shared" ca="1" si="496"/>
        <v>12354617.687933851</v>
      </c>
    </row>
    <row r="561" spans="1:12">
      <c r="A561" s="504"/>
      <c r="B561" s="501"/>
      <c r="C561" s="53"/>
      <c r="D561" s="53"/>
      <c r="E561" s="53"/>
      <c r="F561" s="53"/>
      <c r="G561" s="53"/>
      <c r="H561" s="53"/>
      <c r="I561" s="53"/>
      <c r="J561" s="53"/>
      <c r="K561" s="53"/>
      <c r="L561" s="53"/>
    </row>
    <row r="562" spans="1:12">
      <c r="A562" s="504" t="s">
        <v>167</v>
      </c>
      <c r="B562" s="501"/>
      <c r="C562" s="140">
        <f>C560*Assumptions!$D$12</f>
        <v>980315.45351260586</v>
      </c>
      <c r="D562" s="140">
        <f>D560*Assumptions!$D$12</f>
        <v>1460249.6646796409</v>
      </c>
      <c r="E562" s="140">
        <f ca="1">E560*Assumptions!$D$12</f>
        <v>2235024.8831580649</v>
      </c>
      <c r="F562" s="140">
        <f ca="1">F560*Assumptions!$D$12</f>
        <v>2430274.0500933127</v>
      </c>
      <c r="G562" s="140">
        <f ca="1">G560*Assumptions!$D$12</f>
        <v>2651964.5520942314</v>
      </c>
      <c r="H562" s="140">
        <f ca="1">H560*Assumptions!$D$12</f>
        <v>2904461.0897978186</v>
      </c>
      <c r="I562" s="140">
        <f ca="1">I560*Assumptions!$D$12</f>
        <v>3191639.7980691884</v>
      </c>
      <c r="J562" s="140">
        <f ca="1">J560*Assumptions!$D$12</f>
        <v>3518747.573948544</v>
      </c>
      <c r="K562" s="140">
        <f ca="1">K560*Assumptions!$D$12</f>
        <v>3893835.0660257349</v>
      </c>
      <c r="L562" s="140">
        <f ca="1">L560*Assumptions!$D$12</f>
        <v>4324116.1907768473</v>
      </c>
    </row>
    <row r="563" spans="1:12">
      <c r="A563" s="504"/>
      <c r="B563" s="501"/>
      <c r="C563" s="53"/>
      <c r="D563" s="53"/>
      <c r="E563" s="53"/>
      <c r="F563" s="53"/>
      <c r="G563" s="53"/>
      <c r="H563" s="53"/>
      <c r="I563" s="53"/>
      <c r="J563" s="53"/>
      <c r="K563" s="53"/>
      <c r="L563" s="53"/>
    </row>
    <row r="564" spans="1:12" ht="15.5">
      <c r="A564" s="506" t="s">
        <v>97</v>
      </c>
      <c r="B564" s="501"/>
      <c r="C564" s="500">
        <f>C560-C562</f>
        <v>1820585.842237697</v>
      </c>
      <c r="D564" s="500">
        <f t="shared" ref="D564:L564" si="497">D560-D562</f>
        <v>2711892.2344050477</v>
      </c>
      <c r="E564" s="500">
        <f t="shared" ca="1" si="497"/>
        <v>4150760.4972935501</v>
      </c>
      <c r="F564" s="500">
        <f t="shared" ca="1" si="497"/>
        <v>4513366.0930304378</v>
      </c>
      <c r="G564" s="500">
        <f t="shared" ca="1" si="497"/>
        <v>4925077.0253178589</v>
      </c>
      <c r="H564" s="500">
        <f t="shared" ca="1" si="497"/>
        <v>5393999.1667673774</v>
      </c>
      <c r="I564" s="500">
        <f t="shared" ca="1" si="497"/>
        <v>5927331.0535570644</v>
      </c>
      <c r="J564" s="500">
        <f t="shared" ca="1" si="497"/>
        <v>6534816.9230472967</v>
      </c>
      <c r="K564" s="500">
        <f t="shared" ca="1" si="497"/>
        <v>7231407.9797620801</v>
      </c>
      <c r="L564" s="500">
        <f t="shared" ca="1" si="497"/>
        <v>8030501.4971570037</v>
      </c>
    </row>
    <row r="565" spans="1:12">
      <c r="A565" s="504"/>
      <c r="B565" s="501"/>
      <c r="C565" s="53"/>
      <c r="D565" s="53"/>
      <c r="E565" s="53"/>
      <c r="F565" s="53"/>
      <c r="G565" s="53"/>
      <c r="H565" s="53"/>
      <c r="I565" s="53"/>
      <c r="J565" s="53"/>
      <c r="K565" s="53"/>
      <c r="L565" s="53"/>
    </row>
    <row r="566" spans="1:12" ht="16" thickBot="1">
      <c r="A566" s="510" t="s">
        <v>168</v>
      </c>
      <c r="B566" s="502"/>
      <c r="C566" s="503">
        <f>C564</f>
        <v>1820585.842237697</v>
      </c>
      <c r="D566" s="503">
        <f>C566+D564</f>
        <v>4532478.0766427442</v>
      </c>
      <c r="E566" s="503">
        <f t="shared" ref="E566" ca="1" si="498">D566+E564</f>
        <v>8683238.5739362948</v>
      </c>
      <c r="F566" s="503">
        <f t="shared" ref="F566" ca="1" si="499">E566+F564</f>
        <v>13196604.666966733</v>
      </c>
      <c r="G566" s="503">
        <f t="shared" ref="G566" ca="1" si="500">F566+G564</f>
        <v>18121681.692284591</v>
      </c>
      <c r="H566" s="503">
        <f t="shared" ref="H566" ca="1" si="501">G566+H564</f>
        <v>23515680.859051969</v>
      </c>
      <c r="I566" s="503">
        <f t="shared" ref="I566" ca="1" si="502">H566+I564</f>
        <v>29443011.912609033</v>
      </c>
      <c r="J566" s="503">
        <f t="shared" ref="J566" ca="1" si="503">I566+J564</f>
        <v>35977828.83565633</v>
      </c>
      <c r="K566" s="503">
        <f t="shared" ref="K566" ca="1" si="504">J566+K564</f>
        <v>43209236.815418407</v>
      </c>
      <c r="L566" s="503">
        <f t="shared" ref="L566" ca="1" si="505">K566+L564</f>
        <v>51239738.312575415</v>
      </c>
    </row>
    <row r="567" spans="1:12" ht="15" thickTop="1">
      <c r="B567" s="519"/>
      <c r="C567" s="520"/>
      <c r="D567" s="520"/>
      <c r="E567" s="520"/>
      <c r="F567" s="520"/>
      <c r="G567" s="520"/>
      <c r="H567" s="520"/>
      <c r="I567" s="520"/>
      <c r="J567" s="520"/>
      <c r="K567" s="520"/>
      <c r="L567" s="520"/>
    </row>
    <row r="568" spans="1:12" ht="15.5">
      <c r="A568" s="511" t="s">
        <v>404</v>
      </c>
      <c r="B568" s="501"/>
      <c r="C568" s="140"/>
      <c r="D568" s="140"/>
      <c r="E568" s="140"/>
      <c r="F568" s="140"/>
      <c r="G568" s="140"/>
      <c r="H568" s="140"/>
      <c r="I568" s="140"/>
      <c r="J568" s="140"/>
      <c r="K568" s="140"/>
      <c r="L568" s="141"/>
    </row>
    <row r="569" spans="1:12" ht="15.5">
      <c r="A569" s="512" t="s">
        <v>406</v>
      </c>
      <c r="B569" s="501"/>
      <c r="C569" s="53"/>
      <c r="D569" s="53"/>
      <c r="E569" s="53"/>
      <c r="F569" s="53"/>
      <c r="G569" s="53"/>
      <c r="H569" s="53"/>
      <c r="I569" s="53"/>
      <c r="J569" s="53"/>
      <c r="K569" s="53"/>
      <c r="L569" s="53"/>
    </row>
    <row r="570" spans="1:12">
      <c r="A570" s="513" t="s">
        <v>311</v>
      </c>
      <c r="B570" s="501"/>
      <c r="C570" s="138">
        <f>Revenue!AQ68</f>
        <v>1540</v>
      </c>
      <c r="D570" s="138">
        <f>Revenue!AR68</f>
        <v>1570.8</v>
      </c>
      <c r="E570" s="138">
        <f ca="1">Revenue!AS68</f>
        <v>1607.8823520411454</v>
      </c>
      <c r="F570" s="138">
        <f ca="1">Revenue!AT68</f>
        <v>1652.2391653685302</v>
      </c>
      <c r="G570" s="138">
        <f ca="1">Revenue!AU68</f>
        <v>1703.2257017121915</v>
      </c>
      <c r="H570" s="138">
        <f ca="1">Revenue!AV68</f>
        <v>1761.2311635535666</v>
      </c>
      <c r="I570" s="138">
        <f ca="1">Revenue!AW68</f>
        <v>1827.7553678237837</v>
      </c>
      <c r="J570" s="138">
        <f ca="1">Revenue!AX68</f>
        <v>1903.0354183187201</v>
      </c>
      <c r="K570" s="138">
        <f ca="1">Revenue!AY68</f>
        <v>1988.618290726261</v>
      </c>
      <c r="L570" s="138">
        <f ca="1">Revenue!AZ68</f>
        <v>2085.578140123715</v>
      </c>
    </row>
    <row r="571" spans="1:12">
      <c r="A571" s="513" t="s">
        <v>60</v>
      </c>
      <c r="B571" s="501"/>
      <c r="C571" s="500">
        <f>Revenue!AC68</f>
        <v>1000</v>
      </c>
      <c r="D571" s="500">
        <f>Revenue!AD68</f>
        <v>1100</v>
      </c>
      <c r="E571" s="500">
        <f>Revenue!AE68</f>
        <v>1210</v>
      </c>
      <c r="F571" s="500">
        <f>Revenue!AF68</f>
        <v>1331</v>
      </c>
      <c r="G571" s="500">
        <f>Revenue!AG68</f>
        <v>1464.1000000000001</v>
      </c>
      <c r="H571" s="500">
        <f>Revenue!AH68</f>
        <v>1610.5100000000002</v>
      </c>
      <c r="I571" s="500">
        <f>Revenue!AI68</f>
        <v>1771.5610000000004</v>
      </c>
      <c r="J571" s="500">
        <f>Revenue!AJ68</f>
        <v>1948.7171000000005</v>
      </c>
      <c r="K571" s="500">
        <f>Revenue!AK68</f>
        <v>2143.5888100000006</v>
      </c>
      <c r="L571" s="500">
        <f>Revenue!AL68</f>
        <v>2357.9476910000008</v>
      </c>
    </row>
    <row r="572" spans="1:12">
      <c r="A572" s="513" t="s">
        <v>417</v>
      </c>
      <c r="B572" s="501"/>
      <c r="C572" s="500">
        <f>C570*C571</f>
        <v>1540000</v>
      </c>
      <c r="D572" s="500">
        <f t="shared" ref="D572" si="506">D570*D571</f>
        <v>1727880</v>
      </c>
      <c r="E572" s="500">
        <f t="shared" ref="E572" ca="1" si="507">E570*E571</f>
        <v>1945537.645969786</v>
      </c>
      <c r="F572" s="500">
        <f t="shared" ref="F572" ca="1" si="508">F570*F571</f>
        <v>2199130.3291055136</v>
      </c>
      <c r="G572" s="500">
        <f t="shared" ref="G572" ca="1" si="509">G570*G571</f>
        <v>2493692.74987682</v>
      </c>
      <c r="H572" s="500">
        <f t="shared" ref="H572" ca="1" si="510">H570*H571</f>
        <v>2836480.401214655</v>
      </c>
      <c r="I572" s="500">
        <f t="shared" ref="I572" ca="1" si="511">I570*I571</f>
        <v>3237980.1271772706</v>
      </c>
      <c r="J572" s="500">
        <f t="shared" ref="J572" ca="1" si="512">J570*J571</f>
        <v>3708477.661583344</v>
      </c>
      <c r="K572" s="500">
        <f t="shared" ref="K572" ca="1" si="513">K570*K571</f>
        <v>4262779.9153621411</v>
      </c>
      <c r="L572" s="500">
        <f t="shared" ref="L572" ca="1" si="514">L570*L571</f>
        <v>4917684.1599047901</v>
      </c>
    </row>
    <row r="573" spans="1:12" ht="15.5">
      <c r="A573" s="514" t="s">
        <v>407</v>
      </c>
      <c r="B573" s="501"/>
      <c r="C573" s="53"/>
      <c r="D573" s="53"/>
      <c r="E573" s="53"/>
      <c r="F573" s="53"/>
      <c r="G573" s="53"/>
      <c r="H573" s="53"/>
      <c r="I573" s="53"/>
      <c r="J573" s="53"/>
      <c r="K573" s="53"/>
      <c r="L573" s="53"/>
    </row>
    <row r="574" spans="1:12">
      <c r="A574" s="515" t="s">
        <v>409</v>
      </c>
      <c r="B574" s="501"/>
      <c r="C574" s="138">
        <f>Revenue!AQ69</f>
        <v>1000</v>
      </c>
      <c r="D574" s="138">
        <f>Revenue!AR69</f>
        <v>1040</v>
      </c>
      <c r="E574" s="138">
        <f ca="1">Revenue!AS69</f>
        <v>1085.6936046138032</v>
      </c>
      <c r="F574" s="138">
        <f ca="1">Revenue!AT69</f>
        <v>1136.9052465167426</v>
      </c>
      <c r="G574" s="138">
        <f ca="1">Revenue!AU69</f>
        <v>1195.0667816133407</v>
      </c>
      <c r="H574" s="138">
        <f ca="1">Revenue!AV69</f>
        <v>1260.9454809395329</v>
      </c>
      <c r="I574" s="138">
        <f ca="1">Revenue!AW69</f>
        <v>1335.3681337947985</v>
      </c>
      <c r="J574" s="138">
        <f ca="1">Revenue!AX69</f>
        <v>1418.5563898502655</v>
      </c>
      <c r="K574" s="138">
        <f ca="1">Revenue!AY69</f>
        <v>1510.6515016404712</v>
      </c>
      <c r="L574" s="138">
        <f ca="1">Revenue!AZ69</f>
        <v>1614.596164767135</v>
      </c>
    </row>
    <row r="575" spans="1:12">
      <c r="A575" s="516" t="s">
        <v>410</v>
      </c>
      <c r="B575" s="501"/>
      <c r="C575" s="500">
        <f>Revenue!AC69</f>
        <v>850</v>
      </c>
      <c r="D575" s="500">
        <f>Revenue!AD69</f>
        <v>935.00000000000011</v>
      </c>
      <c r="E575" s="500">
        <f>Revenue!AE69</f>
        <v>1028.5000000000002</v>
      </c>
      <c r="F575" s="500">
        <f>Revenue!AF69</f>
        <v>1131.3500000000004</v>
      </c>
      <c r="G575" s="500">
        <f>Revenue!AG69</f>
        <v>1244.4850000000006</v>
      </c>
      <c r="H575" s="500">
        <f>Revenue!AH69</f>
        <v>1368.9335000000008</v>
      </c>
      <c r="I575" s="500">
        <f>Revenue!AI69</f>
        <v>1505.8268500000011</v>
      </c>
      <c r="J575" s="500">
        <f>Revenue!AJ69</f>
        <v>1656.4095350000014</v>
      </c>
      <c r="K575" s="500">
        <f>Revenue!AK69</f>
        <v>1822.0504885000016</v>
      </c>
      <c r="L575" s="500">
        <f>Revenue!AL69</f>
        <v>2004.255537350002</v>
      </c>
    </row>
    <row r="576" spans="1:12">
      <c r="A576" s="517" t="s">
        <v>418</v>
      </c>
      <c r="B576" s="501"/>
      <c r="C576" s="500">
        <f>C574*C575</f>
        <v>850000</v>
      </c>
      <c r="D576" s="500">
        <f t="shared" ref="D576" si="515">D574*D575</f>
        <v>972400.00000000012</v>
      </c>
      <c r="E576" s="500">
        <f t="shared" ref="E576" ca="1" si="516">E574*E575</f>
        <v>1116635.8723452969</v>
      </c>
      <c r="F576" s="500">
        <f t="shared" ref="F576" ca="1" si="517">F574*F575</f>
        <v>1286237.7506467171</v>
      </c>
      <c r="G576" s="500">
        <f t="shared" ref="G576" ca="1" si="518">G574*G575</f>
        <v>1487242.683716079</v>
      </c>
      <c r="H576" s="500">
        <f t="shared" ref="H576" ca="1" si="519">H574*H575</f>
        <v>1726150.5105317391</v>
      </c>
      <c r="I576" s="500">
        <f t="shared" ref="I576" ca="1" si="520">I574*I575</f>
        <v>2010833.1905026014</v>
      </c>
      <c r="J576" s="500">
        <f t="shared" ref="J576" ca="1" si="521">J574*J575</f>
        <v>2349710.3300831588</v>
      </c>
      <c r="K576" s="500">
        <f t="shared" ref="K576" ca="1" si="522">K574*K575</f>
        <v>2752483.3065172816</v>
      </c>
      <c r="L576" s="500">
        <f t="shared" ref="L576" ca="1" si="523">L574*L575</f>
        <v>3236063.3038186063</v>
      </c>
    </row>
    <row r="577" spans="1:12" ht="15.5">
      <c r="A577" s="514" t="s">
        <v>408</v>
      </c>
      <c r="B577" s="501"/>
      <c r="C577" s="53"/>
      <c r="D577" s="53"/>
      <c r="E577" s="53"/>
      <c r="F577" s="53"/>
      <c r="G577" s="53"/>
      <c r="H577" s="53"/>
      <c r="I577" s="53"/>
      <c r="J577" s="53"/>
      <c r="K577" s="53"/>
      <c r="L577" s="53"/>
    </row>
    <row r="578" spans="1:12">
      <c r="A578" s="515" t="s">
        <v>409</v>
      </c>
      <c r="B578" s="501"/>
      <c r="C578" s="138">
        <f>Revenue!AQ70</f>
        <v>1270</v>
      </c>
      <c r="D578" s="138">
        <f>Revenue!AR70</f>
        <v>1308.1000000000001</v>
      </c>
      <c r="E578" s="138">
        <f ca="1">Revenue!AS70</f>
        <v>1350.5211744891449</v>
      </c>
      <c r="F578" s="138">
        <f ca="1">Revenue!AT70</f>
        <v>1399.5847571807967</v>
      </c>
      <c r="G578" s="138">
        <f ca="1">Revenue!AU70</f>
        <v>1455.9893905015274</v>
      </c>
      <c r="H578" s="138">
        <f ca="1">Revenue!AV70</f>
        <v>1520.2770867770232</v>
      </c>
      <c r="I578" s="138">
        <f ca="1">Revenue!AW70</f>
        <v>1592.5530038524498</v>
      </c>
      <c r="J578" s="138">
        <f ca="1">Revenue!AX70</f>
        <v>1674.5251561670211</v>
      </c>
      <c r="K578" s="138">
        <f ca="1">Revenue!AY70</f>
        <v>1766.1796501180656</v>
      </c>
      <c r="L578" s="138">
        <f ca="1">Revenue!AZ70</f>
        <v>1869.8891127610887</v>
      </c>
    </row>
    <row r="579" spans="1:12">
      <c r="A579" s="516" t="s">
        <v>410</v>
      </c>
      <c r="B579" s="501"/>
      <c r="C579" s="500">
        <f>Revenue!AC70</f>
        <v>2000</v>
      </c>
      <c r="D579" s="500">
        <f>Revenue!AD70</f>
        <v>2200</v>
      </c>
      <c r="E579" s="500">
        <f>Revenue!AE70</f>
        <v>2420</v>
      </c>
      <c r="F579" s="500">
        <f>Revenue!AF70</f>
        <v>2662</v>
      </c>
      <c r="G579" s="500">
        <f>Revenue!AG70</f>
        <v>2928.2000000000003</v>
      </c>
      <c r="H579" s="500">
        <f>Revenue!AH70</f>
        <v>3221.0200000000004</v>
      </c>
      <c r="I579" s="500">
        <f>Revenue!AI70</f>
        <v>3543.1220000000008</v>
      </c>
      <c r="J579" s="500">
        <f>Revenue!AJ70</f>
        <v>3897.4342000000011</v>
      </c>
      <c r="K579" s="500">
        <f>Revenue!AK70</f>
        <v>4287.1776200000013</v>
      </c>
      <c r="L579" s="500">
        <f>Revenue!AL70</f>
        <v>4715.8953820000015</v>
      </c>
    </row>
    <row r="580" spans="1:12">
      <c r="A580" s="517" t="s">
        <v>418</v>
      </c>
      <c r="B580" s="501"/>
      <c r="C580" s="500">
        <f>C578*C579</f>
        <v>2540000</v>
      </c>
      <c r="D580" s="500">
        <f t="shared" ref="D580" si="524">D578*D579</f>
        <v>2877820.0000000005</v>
      </c>
      <c r="E580" s="500">
        <f t="shared" ref="E580" ca="1" si="525">E578*E579</f>
        <v>3268261.2422637306</v>
      </c>
      <c r="F580" s="500">
        <f t="shared" ref="F580" ca="1" si="526">F578*F579</f>
        <v>3725694.6236152807</v>
      </c>
      <c r="G580" s="500">
        <f t="shared" ref="G580" ca="1" si="527">G578*G579</f>
        <v>4263428.1332665728</v>
      </c>
      <c r="H580" s="500">
        <f t="shared" ref="H580" ca="1" si="528">H578*H579</f>
        <v>4896842.9020505277</v>
      </c>
      <c r="I580" s="500">
        <f t="shared" ref="I580" ca="1" si="529">I578*I579</f>
        <v>5642609.5841157008</v>
      </c>
      <c r="J580" s="500">
        <f t="shared" ref="J580" ca="1" si="530">J578*J579</f>
        <v>6526351.6124056904</v>
      </c>
      <c r="K580" s="500">
        <f t="shared" ref="K580" ca="1" si="531">K578*K579</f>
        <v>7571925.8688856037</v>
      </c>
      <c r="L580" s="500">
        <f t="shared" ref="L580" ca="1" si="532">L578*L579</f>
        <v>8818201.431722099</v>
      </c>
    </row>
    <row r="581" spans="1:12" ht="15.5">
      <c r="A581" s="514" t="s">
        <v>411</v>
      </c>
      <c r="B581" s="501"/>
      <c r="C581" s="53"/>
      <c r="D581" s="53"/>
      <c r="E581" s="53"/>
      <c r="F581" s="53"/>
      <c r="G581" s="53"/>
      <c r="H581" s="53"/>
      <c r="I581" s="53"/>
      <c r="J581" s="53"/>
      <c r="K581" s="53"/>
      <c r="L581" s="53"/>
    </row>
    <row r="582" spans="1:12">
      <c r="A582" s="515" t="s">
        <v>409</v>
      </c>
      <c r="B582" s="501"/>
      <c r="C582" s="138">
        <f>Revenue!AQ71</f>
        <v>0</v>
      </c>
      <c r="D582" s="138">
        <f>Revenue!AR71</f>
        <v>635</v>
      </c>
      <c r="E582" s="138">
        <f ca="1">Revenue!AS71</f>
        <v>662.75042199037432</v>
      </c>
      <c r="F582" s="138">
        <f ca="1">Revenue!AT71</f>
        <v>694.33549605249016</v>
      </c>
      <c r="G582" s="138">
        <f ca="1">Revenue!AU71</f>
        <v>730.11123056780843</v>
      </c>
      <c r="H582" s="138">
        <f ca="1">Revenue!AV71</f>
        <v>769.50324520783397</v>
      </c>
      <c r="I582" s="138">
        <f ca="1">Revenue!AW71</f>
        <v>813.40450144287388</v>
      </c>
      <c r="J582" s="138">
        <f ca="1">Revenue!AX71</f>
        <v>862.37635601239447</v>
      </c>
      <c r="K582" s="138">
        <f ca="1">Revenue!AY71</f>
        <v>917.33042292582263</v>
      </c>
      <c r="L582" s="138">
        <f ca="1">Revenue!AZ71</f>
        <v>978.70524091314314</v>
      </c>
    </row>
    <row r="583" spans="1:12">
      <c r="A583" s="516" t="s">
        <v>410</v>
      </c>
      <c r="B583" s="501"/>
      <c r="C583" s="500">
        <f>Revenue!AC71</f>
        <v>0</v>
      </c>
      <c r="D583" s="500">
        <f>Revenue!AD71</f>
        <v>3000</v>
      </c>
      <c r="E583" s="500">
        <f>Revenue!AE71</f>
        <v>3300.0000000000005</v>
      </c>
      <c r="F583" s="500">
        <f>Revenue!AF71</f>
        <v>3630.0000000000009</v>
      </c>
      <c r="G583" s="500">
        <f>Revenue!AG71</f>
        <v>3993.0000000000014</v>
      </c>
      <c r="H583" s="500">
        <f>Revenue!AH71</f>
        <v>4392.300000000002</v>
      </c>
      <c r="I583" s="500">
        <f>Revenue!AI71</f>
        <v>4831.5300000000025</v>
      </c>
      <c r="J583" s="500">
        <f>Revenue!AJ71</f>
        <v>5314.6830000000027</v>
      </c>
      <c r="K583" s="500">
        <f>Revenue!AK71</f>
        <v>5846.1513000000032</v>
      </c>
      <c r="L583" s="500">
        <f>Revenue!AL71</f>
        <v>6430.7664300000042</v>
      </c>
    </row>
    <row r="584" spans="1:12">
      <c r="A584" s="517" t="s">
        <v>418</v>
      </c>
      <c r="B584" s="501"/>
      <c r="C584" s="500">
        <f>C582*C583</f>
        <v>0</v>
      </c>
      <c r="D584" s="500">
        <f t="shared" ref="D584" si="533">D582*D583</f>
        <v>1905000</v>
      </c>
      <c r="E584" s="500">
        <f t="shared" ref="E584" ca="1" si="534">E582*E583</f>
        <v>2187076.3925682358</v>
      </c>
      <c r="F584" s="500">
        <f t="shared" ref="F584" ca="1" si="535">F582*F583</f>
        <v>2520437.8506705398</v>
      </c>
      <c r="G584" s="500">
        <f t="shared" ref="G584" ca="1" si="536">G582*G583</f>
        <v>2915334.1436572601</v>
      </c>
      <c r="H584" s="500">
        <f t="shared" ref="H584" ca="1" si="537">H582*H583</f>
        <v>3379889.1039263709</v>
      </c>
      <c r="I584" s="500">
        <f t="shared" ref="I584" ca="1" si="538">I582*I583</f>
        <v>3929988.2508562906</v>
      </c>
      <c r="J584" s="500">
        <f t="shared" ref="J584" ca="1" si="539">J582*J583</f>
        <v>4583256.9589010226</v>
      </c>
      <c r="K584" s="500">
        <f t="shared" ref="K584" ca="1" si="540">K582*K583</f>
        <v>5362852.4445173508</v>
      </c>
      <c r="L584" s="500">
        <f t="shared" ref="L584" ca="1" si="541">L582*L583</f>
        <v>6293824.8081293078</v>
      </c>
    </row>
    <row r="585" spans="1:12" ht="15.5">
      <c r="A585" s="514" t="s">
        <v>413</v>
      </c>
      <c r="B585" s="501"/>
      <c r="C585" s="53"/>
      <c r="D585" s="53"/>
      <c r="E585" s="53"/>
      <c r="F585" s="53"/>
      <c r="G585" s="53"/>
      <c r="H585" s="53"/>
      <c r="I585" s="53"/>
      <c r="J585" s="53"/>
      <c r="K585" s="53"/>
      <c r="L585" s="53"/>
    </row>
    <row r="586" spans="1:12">
      <c r="A586" s="515" t="s">
        <v>409</v>
      </c>
      <c r="B586" s="501"/>
      <c r="C586" s="138">
        <f>Revenue!AQ72</f>
        <v>0</v>
      </c>
      <c r="D586" s="138">
        <f>Revenue!AR72</f>
        <v>0</v>
      </c>
      <c r="E586" s="138">
        <f>Revenue!AS72</f>
        <v>318</v>
      </c>
      <c r="F586" s="138">
        <f ca="1">Revenue!AT72</f>
        <v>323.15704936344827</v>
      </c>
      <c r="G586" s="138">
        <f ca="1">Revenue!AU72</f>
        <v>329.41419190203175</v>
      </c>
      <c r="H586" s="138">
        <f ca="1">Revenue!AV72</f>
        <v>337.08652113357977</v>
      </c>
      <c r="I586" s="138">
        <f ca="1">Revenue!AW72</f>
        <v>346.14275642044504</v>
      </c>
      <c r="J586" s="138">
        <f ca="1">Revenue!AX72</f>
        <v>356.76612909852025</v>
      </c>
      <c r="K586" s="138">
        <f ca="1">Revenue!AY72</f>
        <v>369.13540029868216</v>
      </c>
      <c r="L586" s="138">
        <f ca="1">Revenue!AZ72</f>
        <v>383.40071056378514</v>
      </c>
    </row>
    <row r="587" spans="1:12">
      <c r="A587" s="516" t="s">
        <v>410</v>
      </c>
      <c r="B587" s="501"/>
      <c r="C587" s="500">
        <f>Revenue!AC72</f>
        <v>0</v>
      </c>
      <c r="D587" s="500">
        <f>Revenue!AD72</f>
        <v>0</v>
      </c>
      <c r="E587" s="500">
        <f>Revenue!AE72</f>
        <v>10000</v>
      </c>
      <c r="F587" s="500">
        <f>Revenue!AF72</f>
        <v>11000</v>
      </c>
      <c r="G587" s="500">
        <f>Revenue!AG72</f>
        <v>12100.000000000002</v>
      </c>
      <c r="H587" s="500">
        <f>Revenue!AH72</f>
        <v>13310.000000000004</v>
      </c>
      <c r="I587" s="500">
        <f>Revenue!AI72</f>
        <v>14641.000000000005</v>
      </c>
      <c r="J587" s="500">
        <f>Revenue!AJ72</f>
        <v>16105.100000000008</v>
      </c>
      <c r="K587" s="500">
        <f>Revenue!AK72</f>
        <v>17715.610000000011</v>
      </c>
      <c r="L587" s="500">
        <f>Revenue!AL72</f>
        <v>19487.171000000013</v>
      </c>
    </row>
    <row r="588" spans="1:12">
      <c r="A588" s="517" t="s">
        <v>418</v>
      </c>
      <c r="B588" s="501"/>
      <c r="C588" s="500">
        <f>C586*C587</f>
        <v>0</v>
      </c>
      <c r="D588" s="500">
        <f t="shared" ref="D588" si="542">D586*D587</f>
        <v>0</v>
      </c>
      <c r="E588" s="500">
        <f t="shared" ref="E588" si="543">E586*E587</f>
        <v>3180000</v>
      </c>
      <c r="F588" s="500">
        <f t="shared" ref="F588" ca="1" si="544">F586*F587</f>
        <v>3554727.5429979311</v>
      </c>
      <c r="G588" s="500">
        <f t="shared" ref="G588" ca="1" si="545">G586*G587</f>
        <v>3985911.7220145846</v>
      </c>
      <c r="H588" s="500">
        <f t="shared" ref="H588" ca="1" si="546">H586*H587</f>
        <v>4486621.5962879481</v>
      </c>
      <c r="I588" s="500">
        <f t="shared" ref="I588" ca="1" si="547">I586*I587</f>
        <v>5067876.0967517374</v>
      </c>
      <c r="J588" s="500">
        <f t="shared" ref="J588" ca="1" si="548">J586*J587</f>
        <v>5745754.1857445808</v>
      </c>
      <c r="K588" s="500">
        <f t="shared" ref="K588" ca="1" si="549">K586*K587</f>
        <v>6539458.788885341</v>
      </c>
      <c r="L588" s="500">
        <f t="shared" ref="L588" ca="1" si="550">L586*L587</f>
        <v>7471395.208277992</v>
      </c>
    </row>
    <row r="589" spans="1:12" ht="15.5">
      <c r="A589" s="514" t="s">
        <v>412</v>
      </c>
      <c r="B589" s="501"/>
      <c r="C589" s="53"/>
      <c r="D589" s="53"/>
      <c r="E589" s="53"/>
      <c r="F589" s="53"/>
      <c r="G589" s="53"/>
      <c r="H589" s="53"/>
      <c r="I589" s="53"/>
      <c r="J589" s="53"/>
      <c r="K589" s="53"/>
      <c r="L589" s="53"/>
    </row>
    <row r="590" spans="1:12">
      <c r="A590" s="515" t="s">
        <v>409</v>
      </c>
      <c r="B590" s="501"/>
      <c r="C590" s="138">
        <f>Revenue!AQ73</f>
        <v>0</v>
      </c>
      <c r="D590" s="138">
        <f>Revenue!AR73</f>
        <v>0</v>
      </c>
      <c r="E590" s="138">
        <f ca="1">Revenue!AS73</f>
        <v>0</v>
      </c>
      <c r="F590" s="138">
        <f ca="1">Revenue!AT73</f>
        <v>0</v>
      </c>
      <c r="G590" s="138">
        <f ca="1">Revenue!AU73</f>
        <v>0</v>
      </c>
      <c r="H590" s="138">
        <f ca="1">Revenue!AV73</f>
        <v>0</v>
      </c>
      <c r="I590" s="138">
        <f ca="1">Revenue!AW73</f>
        <v>0</v>
      </c>
      <c r="J590" s="138">
        <f ca="1">Revenue!AX73</f>
        <v>0</v>
      </c>
      <c r="K590" s="138">
        <f ca="1">Revenue!AY73</f>
        <v>0</v>
      </c>
      <c r="L590" s="138">
        <f ca="1">Revenue!AZ73</f>
        <v>0</v>
      </c>
    </row>
    <row r="591" spans="1:12">
      <c r="A591" s="516" t="s">
        <v>410</v>
      </c>
      <c r="B591" s="501"/>
      <c r="C591" s="500">
        <f>Revenue!AC73</f>
        <v>0</v>
      </c>
      <c r="D591" s="500">
        <f>Revenue!AD73</f>
        <v>0</v>
      </c>
      <c r="E591" s="500">
        <f>Revenue!AE73</f>
        <v>0</v>
      </c>
      <c r="F591" s="500">
        <f>Revenue!AF73</f>
        <v>0</v>
      </c>
      <c r="G591" s="500">
        <f>Revenue!AG73</f>
        <v>0</v>
      </c>
      <c r="H591" s="500">
        <f>Revenue!AH73</f>
        <v>0</v>
      </c>
      <c r="I591" s="500">
        <f>Revenue!AI73</f>
        <v>0</v>
      </c>
      <c r="J591" s="500">
        <f>Revenue!AJ73</f>
        <v>0</v>
      </c>
      <c r="K591" s="500">
        <f>Revenue!AK73</f>
        <v>0</v>
      </c>
      <c r="L591" s="500">
        <f>Revenue!AL73</f>
        <v>0</v>
      </c>
    </row>
    <row r="592" spans="1:12">
      <c r="A592" s="517" t="s">
        <v>418</v>
      </c>
      <c r="B592" s="501"/>
      <c r="C592" s="500">
        <f>C590*C591</f>
        <v>0</v>
      </c>
      <c r="D592" s="500">
        <f t="shared" ref="D592" si="551">D590*D591</f>
        <v>0</v>
      </c>
      <c r="E592" s="500">
        <f t="shared" ref="E592" ca="1" si="552">E590*E591</f>
        <v>0</v>
      </c>
      <c r="F592" s="500">
        <f t="shared" ref="F592" ca="1" si="553">F590*F591</f>
        <v>0</v>
      </c>
      <c r="G592" s="500">
        <f t="shared" ref="G592" ca="1" si="554">G590*G591</f>
        <v>0</v>
      </c>
      <c r="H592" s="500">
        <f t="shared" ref="H592" ca="1" si="555">H590*H591</f>
        <v>0</v>
      </c>
      <c r="I592" s="500">
        <f t="shared" ref="I592" ca="1" si="556">I590*I591</f>
        <v>0</v>
      </c>
      <c r="J592" s="500">
        <f t="shared" ref="J592" ca="1" si="557">J590*J591</f>
        <v>0</v>
      </c>
      <c r="K592" s="500">
        <f t="shared" ref="K592" ca="1" si="558">K590*K591</f>
        <v>0</v>
      </c>
      <c r="L592" s="500">
        <f t="shared" ref="L592" ca="1" si="559">L590*L591</f>
        <v>0</v>
      </c>
    </row>
    <row r="593" spans="1:12" ht="15.5">
      <c r="A593" s="514" t="s">
        <v>414</v>
      </c>
      <c r="B593" s="501"/>
      <c r="C593" s="53"/>
      <c r="D593" s="53"/>
      <c r="E593" s="53"/>
      <c r="F593" s="53"/>
      <c r="G593" s="53"/>
      <c r="H593" s="53"/>
      <c r="I593" s="53"/>
      <c r="J593" s="53"/>
      <c r="K593" s="53"/>
      <c r="L593" s="53"/>
    </row>
    <row r="594" spans="1:12">
      <c r="A594" s="515" t="s">
        <v>409</v>
      </c>
      <c r="B594" s="501"/>
      <c r="C594" s="138">
        <f>Revenue!AQ74</f>
        <v>0</v>
      </c>
      <c r="D594" s="138">
        <f>Revenue!AR74</f>
        <v>0</v>
      </c>
      <c r="E594" s="138">
        <f>Revenue!AS74</f>
        <v>0</v>
      </c>
      <c r="F594" s="138">
        <f>Revenue!AT74</f>
        <v>0</v>
      </c>
      <c r="G594" s="138">
        <f>Revenue!AU74</f>
        <v>0</v>
      </c>
      <c r="H594" s="138">
        <f>Revenue!AV74</f>
        <v>0</v>
      </c>
      <c r="I594" s="138">
        <f>Revenue!AW74</f>
        <v>0</v>
      </c>
      <c r="J594" s="138">
        <f>Revenue!AX74</f>
        <v>0</v>
      </c>
      <c r="K594" s="138">
        <f>Revenue!AY74</f>
        <v>0</v>
      </c>
      <c r="L594" s="138">
        <f>Revenue!AZ74</f>
        <v>0</v>
      </c>
    </row>
    <row r="595" spans="1:12">
      <c r="A595" s="516" t="s">
        <v>410</v>
      </c>
      <c r="B595" s="501"/>
      <c r="C595" s="500">
        <f>Revenue!AC74</f>
        <v>0</v>
      </c>
      <c r="D595" s="500">
        <f>Revenue!AD74</f>
        <v>0</v>
      </c>
      <c r="E595" s="500">
        <f>Revenue!AE74</f>
        <v>0</v>
      </c>
      <c r="F595" s="500">
        <f>Revenue!AF74</f>
        <v>0</v>
      </c>
      <c r="G595" s="500">
        <f>Revenue!AG74</f>
        <v>0</v>
      </c>
      <c r="H595" s="500">
        <f>Revenue!AH74</f>
        <v>0</v>
      </c>
      <c r="I595" s="500">
        <f>Revenue!AI74</f>
        <v>0</v>
      </c>
      <c r="J595" s="500">
        <f>Revenue!AJ74</f>
        <v>0</v>
      </c>
      <c r="K595" s="500">
        <f>Revenue!AK74</f>
        <v>0</v>
      </c>
      <c r="L595" s="500">
        <f>Revenue!AL74</f>
        <v>0</v>
      </c>
    </row>
    <row r="596" spans="1:12">
      <c r="A596" s="517" t="s">
        <v>418</v>
      </c>
      <c r="B596" s="501"/>
      <c r="C596" s="500">
        <f>C594*C595</f>
        <v>0</v>
      </c>
      <c r="D596" s="500">
        <f t="shared" ref="D596" si="560">D594*D595</f>
        <v>0</v>
      </c>
      <c r="E596" s="500">
        <f t="shared" ref="E596" si="561">E594*E595</f>
        <v>0</v>
      </c>
      <c r="F596" s="500">
        <f t="shared" ref="F596" si="562">F594*F595</f>
        <v>0</v>
      </c>
      <c r="G596" s="500">
        <f t="shared" ref="G596" si="563">G594*G595</f>
        <v>0</v>
      </c>
      <c r="H596" s="500">
        <f t="shared" ref="H596" si="564">H594*H595</f>
        <v>0</v>
      </c>
      <c r="I596" s="500">
        <f t="shared" ref="I596" si="565">I594*I595</f>
        <v>0</v>
      </c>
      <c r="J596" s="500">
        <f t="shared" ref="J596" si="566">J594*J595</f>
        <v>0</v>
      </c>
      <c r="K596" s="500">
        <f t="shared" ref="K596" si="567">K594*K595</f>
        <v>0</v>
      </c>
      <c r="L596" s="500">
        <f t="shared" ref="L596" si="568">L594*L595</f>
        <v>0</v>
      </c>
    </row>
    <row r="597" spans="1:12" ht="15.5">
      <c r="A597" s="514" t="s">
        <v>415</v>
      </c>
      <c r="B597" s="501"/>
      <c r="C597" s="53"/>
      <c r="D597" s="53"/>
      <c r="E597" s="53"/>
      <c r="F597" s="53"/>
      <c r="G597" s="53"/>
      <c r="H597" s="53"/>
      <c r="I597" s="53"/>
      <c r="J597" s="53"/>
      <c r="K597" s="53"/>
      <c r="L597" s="53"/>
    </row>
    <row r="598" spans="1:12">
      <c r="A598" s="515" t="s">
        <v>409</v>
      </c>
      <c r="B598" s="501"/>
      <c r="C598" s="138">
        <f>Revenue!AQ75</f>
        <v>0</v>
      </c>
      <c r="D598" s="138">
        <f>Revenue!AR75</f>
        <v>0</v>
      </c>
      <c r="E598" s="138">
        <f ca="1">Revenue!AS75</f>
        <v>0</v>
      </c>
      <c r="F598" s="138">
        <f ca="1">Revenue!AT75</f>
        <v>0</v>
      </c>
      <c r="G598" s="138">
        <f ca="1">Revenue!AU75</f>
        <v>0</v>
      </c>
      <c r="H598" s="138">
        <f ca="1">Revenue!AV75</f>
        <v>0</v>
      </c>
      <c r="I598" s="138">
        <f ca="1">Revenue!AW75</f>
        <v>0</v>
      </c>
      <c r="J598" s="138">
        <f ca="1">Revenue!AX75</f>
        <v>0</v>
      </c>
      <c r="K598" s="138">
        <f ca="1">Revenue!AY75</f>
        <v>0</v>
      </c>
      <c r="L598" s="138">
        <f ca="1">Revenue!AZ75</f>
        <v>0</v>
      </c>
    </row>
    <row r="599" spans="1:12">
      <c r="A599" s="516" t="s">
        <v>410</v>
      </c>
      <c r="B599" s="501"/>
      <c r="C599" s="500">
        <f>Revenue!AC75</f>
        <v>0</v>
      </c>
      <c r="D599" s="500">
        <f>Revenue!AD75</f>
        <v>0</v>
      </c>
      <c r="E599" s="500">
        <f>Revenue!AE75</f>
        <v>0</v>
      </c>
      <c r="F599" s="500">
        <f>Revenue!AF75</f>
        <v>0</v>
      </c>
      <c r="G599" s="500">
        <f>Revenue!AG75</f>
        <v>0</v>
      </c>
      <c r="H599" s="500">
        <f>Revenue!AH75</f>
        <v>0</v>
      </c>
      <c r="I599" s="500">
        <f>Revenue!AI75</f>
        <v>0</v>
      </c>
      <c r="J599" s="500">
        <f>Revenue!AJ75</f>
        <v>0</v>
      </c>
      <c r="K599" s="500">
        <f>Revenue!AK75</f>
        <v>0</v>
      </c>
      <c r="L599" s="500">
        <f>Revenue!AL75</f>
        <v>0</v>
      </c>
    </row>
    <row r="600" spans="1:12">
      <c r="A600" s="517" t="s">
        <v>418</v>
      </c>
      <c r="B600" s="501"/>
      <c r="C600" s="500">
        <f>C598*C599</f>
        <v>0</v>
      </c>
      <c r="D600" s="500">
        <f t="shared" ref="D600" si="569">D598*D599</f>
        <v>0</v>
      </c>
      <c r="E600" s="500">
        <f t="shared" ref="E600" ca="1" si="570">E598*E599</f>
        <v>0</v>
      </c>
      <c r="F600" s="500">
        <f t="shared" ref="F600" ca="1" si="571">F598*F599</f>
        <v>0</v>
      </c>
      <c r="G600" s="500">
        <f t="shared" ref="G600" ca="1" si="572">G598*G599</f>
        <v>0</v>
      </c>
      <c r="H600" s="500">
        <f t="shared" ref="H600" ca="1" si="573">H598*H599</f>
        <v>0</v>
      </c>
      <c r="I600" s="500">
        <f t="shared" ref="I600" ca="1" si="574">I598*I599</f>
        <v>0</v>
      </c>
      <c r="J600" s="500">
        <f t="shared" ref="J600" ca="1" si="575">J598*J599</f>
        <v>0</v>
      </c>
      <c r="K600" s="500">
        <f t="shared" ref="K600" ca="1" si="576">K598*K599</f>
        <v>0</v>
      </c>
      <c r="L600" s="500">
        <f t="shared" ref="L600" ca="1" si="577">L598*L599</f>
        <v>0</v>
      </c>
    </row>
    <row r="601" spans="1:12" ht="15.5">
      <c r="A601" s="514" t="s">
        <v>416</v>
      </c>
      <c r="B601" s="501"/>
      <c r="C601" s="53"/>
      <c r="D601" s="53"/>
      <c r="E601" s="53"/>
      <c r="F601" s="53"/>
      <c r="G601" s="53"/>
      <c r="H601" s="53"/>
      <c r="I601" s="53"/>
      <c r="J601" s="53"/>
      <c r="K601" s="53"/>
      <c r="L601" s="53"/>
    </row>
    <row r="602" spans="1:12">
      <c r="A602" s="515" t="s">
        <v>409</v>
      </c>
      <c r="B602" s="501"/>
      <c r="C602" s="138">
        <f>Revenue!AQ76</f>
        <v>0</v>
      </c>
      <c r="D602" s="138">
        <f>Revenue!AR76</f>
        <v>0</v>
      </c>
      <c r="E602" s="138">
        <f ca="1">Revenue!AS76</f>
        <v>0</v>
      </c>
      <c r="F602" s="138">
        <f ca="1">Revenue!AT76</f>
        <v>0</v>
      </c>
      <c r="G602" s="138">
        <f ca="1">Revenue!AU76</f>
        <v>0</v>
      </c>
      <c r="H602" s="138">
        <f ca="1">Revenue!AV76</f>
        <v>0</v>
      </c>
      <c r="I602" s="138">
        <f ca="1">Revenue!AW76</f>
        <v>0</v>
      </c>
      <c r="J602" s="138">
        <f ca="1">Revenue!AX76</f>
        <v>0</v>
      </c>
      <c r="K602" s="138">
        <f ca="1">Revenue!AY76</f>
        <v>0</v>
      </c>
      <c r="L602" s="138">
        <f ca="1">Revenue!AZ76</f>
        <v>0</v>
      </c>
    </row>
    <row r="603" spans="1:12">
      <c r="A603" s="516" t="s">
        <v>410</v>
      </c>
      <c r="B603" s="501"/>
      <c r="C603" s="500">
        <f>Revenue!AC76</f>
        <v>0</v>
      </c>
      <c r="D603" s="500">
        <f>Revenue!AD76</f>
        <v>0</v>
      </c>
      <c r="E603" s="500">
        <f>Revenue!AE76</f>
        <v>0</v>
      </c>
      <c r="F603" s="500">
        <f>Revenue!AF76</f>
        <v>0</v>
      </c>
      <c r="G603" s="500">
        <f>Revenue!AG76</f>
        <v>0</v>
      </c>
      <c r="H603" s="500">
        <f>Revenue!AH76</f>
        <v>0</v>
      </c>
      <c r="I603" s="500">
        <f>Revenue!AI76</f>
        <v>0</v>
      </c>
      <c r="J603" s="500">
        <f>Revenue!AJ76</f>
        <v>0</v>
      </c>
      <c r="K603" s="500">
        <f>Revenue!AK76</f>
        <v>0</v>
      </c>
      <c r="L603" s="500">
        <f>Revenue!AL76</f>
        <v>0</v>
      </c>
    </row>
    <row r="604" spans="1:12">
      <c r="A604" s="516" t="s">
        <v>418</v>
      </c>
      <c r="B604" s="501"/>
      <c r="C604" s="500">
        <f>C602*C603</f>
        <v>0</v>
      </c>
      <c r="D604" s="500">
        <f t="shared" ref="D604" si="578">D602*D603</f>
        <v>0</v>
      </c>
      <c r="E604" s="500">
        <f t="shared" ref="E604" ca="1" si="579">E602*E603</f>
        <v>0</v>
      </c>
      <c r="F604" s="500">
        <f t="shared" ref="F604" ca="1" si="580">F602*F603</f>
        <v>0</v>
      </c>
      <c r="G604" s="500">
        <f t="shared" ref="G604" ca="1" si="581">G602*G603</f>
        <v>0</v>
      </c>
      <c r="H604" s="500">
        <f t="shared" ref="H604" ca="1" si="582">H602*H603</f>
        <v>0</v>
      </c>
      <c r="I604" s="500">
        <f t="shared" ref="I604" ca="1" si="583">I602*I603</f>
        <v>0</v>
      </c>
      <c r="J604" s="500">
        <f t="shared" ref="J604" ca="1" si="584">J602*J603</f>
        <v>0</v>
      </c>
      <c r="K604" s="500">
        <f t="shared" ref="K604" ca="1" si="585">K602*K603</f>
        <v>0</v>
      </c>
      <c r="L604" s="500">
        <f t="shared" ref="L604" ca="1" si="586">L602*L603</f>
        <v>0</v>
      </c>
    </row>
    <row r="605" spans="1:12">
      <c r="A605" s="518"/>
      <c r="B605" s="501"/>
      <c r="C605" s="53"/>
      <c r="D605" s="53"/>
      <c r="E605" s="53"/>
      <c r="F605" s="53"/>
      <c r="G605" s="53"/>
      <c r="H605" s="53"/>
      <c r="I605" s="53"/>
      <c r="J605" s="53"/>
      <c r="K605" s="53"/>
      <c r="L605" s="143"/>
    </row>
    <row r="606" spans="1:12" ht="15.5">
      <c r="A606" s="506" t="s">
        <v>419</v>
      </c>
      <c r="B606" s="501"/>
      <c r="C606" s="500">
        <f>SUM(C604,C600,C596,C592,C588,C584,C580,C576,C572)</f>
        <v>4930000</v>
      </c>
      <c r="D606" s="500">
        <f t="shared" ref="D606:L606" si="587">SUM(D604,D600,D596,D592,D588,D584,D580,D576,D572)</f>
        <v>7483100</v>
      </c>
      <c r="E606" s="500">
        <f t="shared" ca="1" si="587"/>
        <v>11697511.153147049</v>
      </c>
      <c r="F606" s="500">
        <f t="shared" ca="1" si="587"/>
        <v>13286228.097035984</v>
      </c>
      <c r="G606" s="500">
        <f t="shared" ca="1" si="587"/>
        <v>15145609.432531318</v>
      </c>
      <c r="H606" s="500">
        <f t="shared" ca="1" si="587"/>
        <v>17325984.514011241</v>
      </c>
      <c r="I606" s="500">
        <f t="shared" ca="1" si="587"/>
        <v>19889287.2494036</v>
      </c>
      <c r="J606" s="500">
        <f t="shared" ca="1" si="587"/>
        <v>22913550.748717796</v>
      </c>
      <c r="K606" s="500">
        <f t="shared" ca="1" si="587"/>
        <v>26489500.324167717</v>
      </c>
      <c r="L606" s="500">
        <f t="shared" ca="1" si="587"/>
        <v>30737168.911852796</v>
      </c>
    </row>
    <row r="607" spans="1:12">
      <c r="A607" s="504"/>
      <c r="B607" s="501"/>
      <c r="C607" s="53"/>
      <c r="D607" s="53"/>
      <c r="E607" s="53"/>
      <c r="F607" s="53"/>
      <c r="G607" s="53"/>
      <c r="H607" s="53"/>
      <c r="I607" s="53"/>
      <c r="J607" s="53"/>
      <c r="K607" s="53"/>
      <c r="L607" s="53"/>
    </row>
    <row r="608" spans="1:12" ht="18.5">
      <c r="A608" s="509" t="s">
        <v>155</v>
      </c>
      <c r="B608" s="501"/>
      <c r="C608" s="53"/>
      <c r="D608" s="53"/>
      <c r="E608" s="53"/>
      <c r="F608" s="53"/>
      <c r="G608" s="53"/>
      <c r="H608" s="53"/>
      <c r="I608" s="53"/>
      <c r="J608" s="53"/>
      <c r="K608" s="53"/>
      <c r="L608" s="53"/>
    </row>
    <row r="609" spans="1:12" ht="15.5">
      <c r="A609" s="506" t="s">
        <v>328</v>
      </c>
      <c r="B609" s="501"/>
      <c r="C609" s="140">
        <f>Assumptions!$H$45*(C572+C576)</f>
        <v>836500</v>
      </c>
      <c r="D609" s="140">
        <f>Assumptions!$H$45*(D572+D576)</f>
        <v>945097.99999999988</v>
      </c>
      <c r="E609" s="140">
        <f ca="1">Assumptions!$H$45*(E572+E576)</f>
        <v>1071760.7314102789</v>
      </c>
      <c r="F609" s="140">
        <f ca="1">Assumptions!$H$45*(F572+F576)</f>
        <v>1219878.8279132808</v>
      </c>
      <c r="G609" s="140">
        <f ca="1">Assumptions!$H$45*(G572+G576)</f>
        <v>1393327.4017575146</v>
      </c>
      <c r="H609" s="140">
        <f ca="1">Assumptions!$H$45*(H572+H576)</f>
        <v>1596920.8191112378</v>
      </c>
      <c r="I609" s="140">
        <f ca="1">Assumptions!$H$45*(I572+I576)</f>
        <v>1837084.6611879549</v>
      </c>
      <c r="J609" s="140">
        <f ca="1">Assumptions!$H$45*(J572+J576)</f>
        <v>2120365.7970832759</v>
      </c>
      <c r="K609" s="140">
        <f ca="1">Assumptions!$H$45*(K572+K576)</f>
        <v>2455342.1276577977</v>
      </c>
      <c r="L609" s="140">
        <f ca="1">Assumptions!$H$45*(L572+L576)</f>
        <v>2853811.6123031885</v>
      </c>
    </row>
    <row r="610" spans="1:12" ht="15.5">
      <c r="A610" s="506" t="s">
        <v>329</v>
      </c>
      <c r="B610" s="501"/>
      <c r="C610" s="140">
        <f>Assumptions!$H$46*C580</f>
        <v>889000</v>
      </c>
      <c r="D610" s="140">
        <f>Assumptions!$H$46*D580</f>
        <v>1007237.0000000001</v>
      </c>
      <c r="E610" s="140">
        <f ca="1">Assumptions!$H$46*E580</f>
        <v>1143891.4347923056</v>
      </c>
      <c r="F610" s="140">
        <f ca="1">Assumptions!$H$46*F580</f>
        <v>1303993.1182653483</v>
      </c>
      <c r="G610" s="140">
        <f ca="1">Assumptions!$H$46*G580</f>
        <v>1492199.8466433005</v>
      </c>
      <c r="H610" s="140">
        <f ca="1">Assumptions!$H$46*H580</f>
        <v>1713895.0157176845</v>
      </c>
      <c r="I610" s="140">
        <f ca="1">Assumptions!$H$46*I580</f>
        <v>1974913.3544404951</v>
      </c>
      <c r="J610" s="140">
        <f ca="1">Assumptions!$H$46*J580</f>
        <v>2284223.0643419917</v>
      </c>
      <c r="K610" s="140">
        <f ca="1">Assumptions!$H$46*K580</f>
        <v>2650174.0541099613</v>
      </c>
      <c r="L610" s="140">
        <f ca="1">Assumptions!$H$46*L580</f>
        <v>3086370.5011027344</v>
      </c>
    </row>
    <row r="611" spans="1:12" ht="15.5">
      <c r="A611" s="506" t="s">
        <v>330</v>
      </c>
      <c r="B611" s="501"/>
      <c r="C611" s="140">
        <f>Assumptions!$H$47*C584</f>
        <v>0</v>
      </c>
      <c r="D611" s="140">
        <f>Assumptions!$H$47*D584</f>
        <v>762000</v>
      </c>
      <c r="E611" s="140">
        <f ca="1">Assumptions!$H$47*E584</f>
        <v>874830.5570272943</v>
      </c>
      <c r="F611" s="140">
        <f ca="1">Assumptions!$H$47*F584</f>
        <v>1008175.1402682159</v>
      </c>
      <c r="G611" s="140">
        <f ca="1">Assumptions!$H$47*G584</f>
        <v>1166133.657462904</v>
      </c>
      <c r="H611" s="140">
        <f ca="1">Assumptions!$H$47*H584</f>
        <v>1351955.6415705485</v>
      </c>
      <c r="I611" s="140">
        <f ca="1">Assumptions!$H$47*I584</f>
        <v>1571995.3003425163</v>
      </c>
      <c r="J611" s="140">
        <f ca="1">Assumptions!$H$47*J584</f>
        <v>1833302.7835604092</v>
      </c>
      <c r="K611" s="140">
        <f ca="1">Assumptions!$H$47*K584</f>
        <v>2145140.9778069402</v>
      </c>
      <c r="L611" s="140">
        <f ca="1">Assumptions!$H$47*L584</f>
        <v>2517529.9232517234</v>
      </c>
    </row>
    <row r="612" spans="1:12" ht="15.5">
      <c r="A612" s="506" t="s">
        <v>331</v>
      </c>
      <c r="B612" s="501"/>
      <c r="C612" s="140">
        <f>Assumptions!$H$48*C588</f>
        <v>0</v>
      </c>
      <c r="D612" s="140">
        <f>Assumptions!$H$48*D588</f>
        <v>0</v>
      </c>
      <c r="E612" s="140">
        <f>Assumptions!$H$48*E588</f>
        <v>1272000</v>
      </c>
      <c r="F612" s="140">
        <f ca="1">Assumptions!$H$48*F588</f>
        <v>1421891.0171991726</v>
      </c>
      <c r="G612" s="140">
        <f ca="1">Assumptions!$H$48*G588</f>
        <v>1594364.6888058339</v>
      </c>
      <c r="H612" s="140">
        <f ca="1">Assumptions!$H$48*H588</f>
        <v>1794648.6385151793</v>
      </c>
      <c r="I612" s="140">
        <f ca="1">Assumptions!$H$48*I588</f>
        <v>2027150.4387006951</v>
      </c>
      <c r="J612" s="140">
        <f ca="1">Assumptions!$H$48*J588</f>
        <v>2298301.6742978324</v>
      </c>
      <c r="K612" s="140">
        <f ca="1">Assumptions!$H$48*K588</f>
        <v>2615783.5155541366</v>
      </c>
      <c r="L612" s="140">
        <f ca="1">Assumptions!$H$48*L588</f>
        <v>2988558.0833111969</v>
      </c>
    </row>
    <row r="613" spans="1:12" ht="15.5">
      <c r="A613" s="506" t="s">
        <v>420</v>
      </c>
      <c r="B613" s="501"/>
      <c r="C613" s="140">
        <f>Assumptions!$H$49*C592</f>
        <v>0</v>
      </c>
      <c r="D613" s="140">
        <f>Assumptions!$H$49*D592</f>
        <v>0</v>
      </c>
      <c r="E613" s="140">
        <f ca="1">Assumptions!$H$49*E592</f>
        <v>0</v>
      </c>
      <c r="F613" s="140">
        <f ca="1">Assumptions!$H$49*F592</f>
        <v>0</v>
      </c>
      <c r="G613" s="140">
        <f ca="1">Assumptions!$H$49*G592</f>
        <v>0</v>
      </c>
      <c r="H613" s="140">
        <f ca="1">Assumptions!$H$49*H592</f>
        <v>0</v>
      </c>
      <c r="I613" s="140">
        <f ca="1">Assumptions!$H$49*I592</f>
        <v>0</v>
      </c>
      <c r="J613" s="140">
        <f ca="1">Assumptions!$H$49*J592</f>
        <v>0</v>
      </c>
      <c r="K613" s="140">
        <f ca="1">Assumptions!$H$49*K592</f>
        <v>0</v>
      </c>
      <c r="L613" s="140">
        <f ca="1">Assumptions!$H$49*L592</f>
        <v>0</v>
      </c>
    </row>
    <row r="614" spans="1:12" ht="15.5">
      <c r="A614" s="506" t="s">
        <v>421</v>
      </c>
      <c r="B614" s="501"/>
      <c r="C614" s="140">
        <f>Assumptions!$H$50*C596</f>
        <v>0</v>
      </c>
      <c r="D614" s="140">
        <f>Assumptions!$H$50*D596</f>
        <v>0</v>
      </c>
      <c r="E614" s="140">
        <f>Assumptions!$H$50*E596</f>
        <v>0</v>
      </c>
      <c r="F614" s="140">
        <f>Assumptions!$H$50*F596</f>
        <v>0</v>
      </c>
      <c r="G614" s="140">
        <f>Assumptions!$H$50*G596</f>
        <v>0</v>
      </c>
      <c r="H614" s="140">
        <f>Assumptions!$H$50*H596</f>
        <v>0</v>
      </c>
      <c r="I614" s="140">
        <f>Assumptions!$H$50*I596</f>
        <v>0</v>
      </c>
      <c r="J614" s="140">
        <f>Assumptions!$H$50*J596</f>
        <v>0</v>
      </c>
      <c r="K614" s="140">
        <f>Assumptions!$H$50*K596</f>
        <v>0</v>
      </c>
      <c r="L614" s="140">
        <f>Assumptions!$H$50*L596</f>
        <v>0</v>
      </c>
    </row>
    <row r="615" spans="1:12" ht="15.5">
      <c r="A615" s="506" t="s">
        <v>422</v>
      </c>
      <c r="B615" s="501"/>
      <c r="C615" s="140">
        <f>Assumptions!$H$51*C600</f>
        <v>0</v>
      </c>
      <c r="D615" s="140">
        <f>Assumptions!$H$51*D600</f>
        <v>0</v>
      </c>
      <c r="E615" s="140">
        <f ca="1">Assumptions!$H$51*E600</f>
        <v>0</v>
      </c>
      <c r="F615" s="140">
        <f ca="1">Assumptions!$H$51*F600</f>
        <v>0</v>
      </c>
      <c r="G615" s="140">
        <f ca="1">Assumptions!$H$51*G600</f>
        <v>0</v>
      </c>
      <c r="H615" s="140">
        <f ca="1">Assumptions!$H$51*H600</f>
        <v>0</v>
      </c>
      <c r="I615" s="140">
        <f ca="1">Assumptions!$H$51*I600</f>
        <v>0</v>
      </c>
      <c r="J615" s="140">
        <f ca="1">Assumptions!$H$51*J600</f>
        <v>0</v>
      </c>
      <c r="K615" s="140">
        <f ca="1">Assumptions!$H$51*K600</f>
        <v>0</v>
      </c>
      <c r="L615" s="140">
        <f ca="1">Assumptions!$H$51*L600</f>
        <v>0</v>
      </c>
    </row>
    <row r="616" spans="1:12" ht="15.5">
      <c r="A616" s="506" t="s">
        <v>423</v>
      </c>
      <c r="B616" s="501"/>
      <c r="C616" s="140">
        <f>Assumptions!$H$52*C604</f>
        <v>0</v>
      </c>
      <c r="D616" s="140">
        <f>Assumptions!$H$52*D604</f>
        <v>0</v>
      </c>
      <c r="E616" s="140">
        <f ca="1">Assumptions!$H$52*E604</f>
        <v>0</v>
      </c>
      <c r="F616" s="140">
        <f ca="1">Assumptions!$H$52*F604</f>
        <v>0</v>
      </c>
      <c r="G616" s="140">
        <f ca="1">Assumptions!$H$52*G604</f>
        <v>0</v>
      </c>
      <c r="H616" s="140">
        <f ca="1">Assumptions!$H$52*H604</f>
        <v>0</v>
      </c>
      <c r="I616" s="140">
        <f ca="1">Assumptions!$H$52*I604</f>
        <v>0</v>
      </c>
      <c r="J616" s="140">
        <f ca="1">Assumptions!$H$52*J604</f>
        <v>0</v>
      </c>
      <c r="K616" s="140">
        <f ca="1">Assumptions!$H$52*K604</f>
        <v>0</v>
      </c>
      <c r="L616" s="140">
        <f ca="1">Assumptions!$H$52*L604</f>
        <v>0</v>
      </c>
    </row>
    <row r="617" spans="1:12" ht="15.5">
      <c r="A617" s="506" t="s">
        <v>405</v>
      </c>
      <c r="B617" s="501"/>
      <c r="C617" s="140">
        <f>SUM(C609:C616)</f>
        <v>1725500</v>
      </c>
      <c r="D617" s="140">
        <f t="shared" ref="D617" si="588">SUM(D609:D616)</f>
        <v>2714335</v>
      </c>
      <c r="E617" s="140">
        <f t="shared" ref="E617" ca="1" si="589">SUM(E609:E616)</f>
        <v>4362482.7232298786</v>
      </c>
      <c r="F617" s="140">
        <f t="shared" ref="F617" ca="1" si="590">SUM(F609:F616)</f>
        <v>4953938.1036460176</v>
      </c>
      <c r="G617" s="140">
        <f t="shared" ref="G617" ca="1" si="591">SUM(G609:G616)</f>
        <v>5646025.5946695525</v>
      </c>
      <c r="H617" s="140">
        <f t="shared" ref="H617" ca="1" si="592">SUM(H609:H616)</f>
        <v>6457420.1149146501</v>
      </c>
      <c r="I617" s="140">
        <f t="shared" ref="I617" ca="1" si="593">SUM(I609:I616)</f>
        <v>7411143.7546716612</v>
      </c>
      <c r="J617" s="140">
        <f t="shared" ref="J617" ca="1" si="594">SUM(J609:J616)</f>
        <v>8536193.3192835096</v>
      </c>
      <c r="K617" s="140">
        <f t="shared" ref="K617" ca="1" si="595">SUM(K609:K616)</f>
        <v>9866440.6751288362</v>
      </c>
      <c r="L617" s="140">
        <f t="shared" ref="L617" ca="1" si="596">SUM(L609:L616)</f>
        <v>11446270.119968843</v>
      </c>
    </row>
    <row r="618" spans="1:12">
      <c r="A618" s="504"/>
      <c r="B618" s="501"/>
      <c r="C618" s="53"/>
      <c r="D618" s="53"/>
      <c r="E618" s="53"/>
      <c r="F618" s="53"/>
      <c r="G618" s="53"/>
      <c r="H618" s="53"/>
      <c r="I618" s="53"/>
      <c r="J618" s="53"/>
      <c r="K618" s="53"/>
      <c r="L618" s="53"/>
    </row>
    <row r="619" spans="1:12" ht="15.5">
      <c r="A619" s="505" t="s">
        <v>157</v>
      </c>
      <c r="B619" s="501"/>
      <c r="C619" s="500">
        <f>C606-C617</f>
        <v>3204500</v>
      </c>
      <c r="D619" s="500">
        <f t="shared" ref="D619:L619" si="597">D606-D617</f>
        <v>4768765</v>
      </c>
      <c r="E619" s="500">
        <f t="shared" ca="1" si="597"/>
        <v>7335028.4299171707</v>
      </c>
      <c r="F619" s="500">
        <f t="shared" ca="1" si="597"/>
        <v>8332289.993389966</v>
      </c>
      <c r="G619" s="500">
        <f t="shared" ca="1" si="597"/>
        <v>9499583.8378617652</v>
      </c>
      <c r="H619" s="500">
        <f t="shared" ca="1" si="597"/>
        <v>10868564.399096591</v>
      </c>
      <c r="I619" s="500">
        <f t="shared" ca="1" si="597"/>
        <v>12478143.494731938</v>
      </c>
      <c r="J619" s="500">
        <f t="shared" ca="1" si="597"/>
        <v>14377357.429434286</v>
      </c>
      <c r="K619" s="500">
        <f t="shared" ca="1" si="597"/>
        <v>16623059.649038881</v>
      </c>
      <c r="L619" s="500">
        <f t="shared" ca="1" si="597"/>
        <v>19290898.791883953</v>
      </c>
    </row>
    <row r="620" spans="1:12">
      <c r="A620" s="504"/>
      <c r="B620" s="501"/>
      <c r="C620" s="53"/>
      <c r="D620" s="53"/>
      <c r="E620" s="53"/>
      <c r="F620" s="53"/>
      <c r="G620" s="53"/>
      <c r="H620" s="53"/>
      <c r="I620" s="53"/>
      <c r="J620" s="53"/>
      <c r="K620" s="53"/>
      <c r="L620" s="53"/>
    </row>
    <row r="621" spans="1:12" ht="18.5">
      <c r="A621" s="509" t="s">
        <v>96</v>
      </c>
      <c r="B621" s="501"/>
      <c r="C621" s="53"/>
      <c r="D621" s="53"/>
      <c r="E621" s="53"/>
      <c r="F621" s="53"/>
      <c r="G621" s="53"/>
      <c r="H621" s="53"/>
      <c r="I621" s="53"/>
      <c r="J621" s="53"/>
      <c r="K621" s="53"/>
      <c r="L621" s="53"/>
    </row>
    <row r="622" spans="1:12">
      <c r="A622" s="504"/>
      <c r="B622" s="501"/>
      <c r="C622" s="53"/>
      <c r="D622" s="53"/>
      <c r="E622" s="53"/>
      <c r="F622" s="53"/>
      <c r="G622" s="53"/>
      <c r="H622" s="53"/>
      <c r="I622" s="53"/>
      <c r="J622" s="53"/>
      <c r="K622" s="53"/>
      <c r="L622" s="53"/>
    </row>
    <row r="623" spans="1:12" ht="15.5">
      <c r="A623" s="506" t="s">
        <v>28</v>
      </c>
      <c r="B623" s="501"/>
      <c r="C623" s="53"/>
      <c r="D623" s="53"/>
      <c r="E623" s="53"/>
      <c r="F623" s="53"/>
      <c r="G623" s="53"/>
      <c r="H623" s="53"/>
      <c r="I623" s="53"/>
      <c r="J623" s="53"/>
      <c r="K623" s="53"/>
      <c r="L623" s="53"/>
    </row>
    <row r="624" spans="1:12" ht="15.5">
      <c r="A624" s="506"/>
      <c r="B624" s="501"/>
      <c r="C624" s="53"/>
      <c r="D624" s="53"/>
      <c r="E624" s="53"/>
      <c r="F624" s="53"/>
      <c r="G624" s="53"/>
      <c r="H624" s="53"/>
      <c r="I624" s="53"/>
      <c r="J624" s="53"/>
      <c r="K624" s="53"/>
      <c r="L624" s="53"/>
    </row>
    <row r="625" spans="1:12">
      <c r="A625" s="504" t="s">
        <v>37</v>
      </c>
      <c r="B625" s="501"/>
      <c r="C625" s="140">
        <f>Assumptions!D25</f>
        <v>5000</v>
      </c>
      <c r="D625" s="140">
        <v>0</v>
      </c>
      <c r="E625" s="140">
        <v>0</v>
      </c>
      <c r="F625" s="140">
        <v>0</v>
      </c>
      <c r="G625" s="140">
        <v>0</v>
      </c>
      <c r="H625" s="140">
        <v>0</v>
      </c>
      <c r="I625" s="140">
        <v>0</v>
      </c>
      <c r="J625" s="140">
        <v>0</v>
      </c>
      <c r="K625" s="140">
        <v>0</v>
      </c>
      <c r="L625" s="140">
        <v>0</v>
      </c>
    </row>
    <row r="626" spans="1:12">
      <c r="A626" s="504" t="s">
        <v>356</v>
      </c>
      <c r="B626" s="501"/>
      <c r="C626" s="140">
        <f>Assumptions!D26</f>
        <v>15000</v>
      </c>
      <c r="D626" s="140">
        <v>0</v>
      </c>
      <c r="E626" s="140">
        <v>0</v>
      </c>
      <c r="F626" s="140">
        <v>0</v>
      </c>
      <c r="G626" s="140">
        <v>0</v>
      </c>
      <c r="H626" s="140">
        <v>0</v>
      </c>
      <c r="I626" s="140">
        <v>0</v>
      </c>
      <c r="J626" s="140">
        <v>0</v>
      </c>
      <c r="K626" s="140">
        <v>0</v>
      </c>
      <c r="L626" s="140">
        <v>0</v>
      </c>
    </row>
    <row r="627" spans="1:12">
      <c r="A627" s="504" t="s">
        <v>40</v>
      </c>
      <c r="B627" s="501"/>
      <c r="C627" s="140">
        <f>Assumptions!D27</f>
        <v>1000</v>
      </c>
      <c r="D627" s="140">
        <v>0</v>
      </c>
      <c r="E627" s="140">
        <v>0</v>
      </c>
      <c r="F627" s="140">
        <v>0</v>
      </c>
      <c r="G627" s="140">
        <v>0</v>
      </c>
      <c r="H627" s="140">
        <v>0</v>
      </c>
      <c r="I627" s="140">
        <v>0</v>
      </c>
      <c r="J627" s="140">
        <v>0</v>
      </c>
      <c r="K627" s="140">
        <v>0</v>
      </c>
      <c r="L627" s="140">
        <v>0</v>
      </c>
    </row>
    <row r="628" spans="1:12">
      <c r="A628" s="504" t="s">
        <v>41</v>
      </c>
      <c r="B628" s="501"/>
      <c r="C628" s="140">
        <f>Assumptions!D28</f>
        <v>5000</v>
      </c>
      <c r="D628" s="140">
        <v>0</v>
      </c>
      <c r="E628" s="140">
        <v>0</v>
      </c>
      <c r="F628" s="140">
        <v>0</v>
      </c>
      <c r="G628" s="140">
        <v>0</v>
      </c>
      <c r="H628" s="140">
        <v>0</v>
      </c>
      <c r="I628" s="140">
        <v>0</v>
      </c>
      <c r="J628" s="140">
        <v>0</v>
      </c>
      <c r="K628" s="140">
        <v>0</v>
      </c>
      <c r="L628" s="140">
        <v>0</v>
      </c>
    </row>
    <row r="629" spans="1:12">
      <c r="A629" s="504" t="s">
        <v>43</v>
      </c>
      <c r="B629" s="501"/>
      <c r="C629" s="140">
        <f>Assumptions!D29</f>
        <v>1000</v>
      </c>
      <c r="D629" s="140">
        <v>0</v>
      </c>
      <c r="E629" s="140">
        <v>0</v>
      </c>
      <c r="F629" s="140">
        <v>0</v>
      </c>
      <c r="G629" s="140">
        <v>0</v>
      </c>
      <c r="H629" s="140">
        <v>0</v>
      </c>
      <c r="I629" s="140">
        <v>0</v>
      </c>
      <c r="J629" s="140">
        <v>0</v>
      </c>
      <c r="K629" s="140">
        <v>0</v>
      </c>
      <c r="L629" s="140">
        <v>0</v>
      </c>
    </row>
    <row r="630" spans="1:12">
      <c r="A630" s="504" t="s">
        <v>45</v>
      </c>
      <c r="B630" s="501"/>
      <c r="C630" s="140">
        <f>Assumptions!D30</f>
        <v>3000</v>
      </c>
      <c r="D630" s="140">
        <v>0</v>
      </c>
      <c r="E630" s="140">
        <v>0</v>
      </c>
      <c r="F630" s="140">
        <v>0</v>
      </c>
      <c r="G630" s="140">
        <v>0</v>
      </c>
      <c r="H630" s="140">
        <v>0</v>
      </c>
      <c r="I630" s="140">
        <v>0</v>
      </c>
      <c r="J630" s="140">
        <v>0</v>
      </c>
      <c r="K630" s="140">
        <v>0</v>
      </c>
      <c r="L630" s="140">
        <v>0</v>
      </c>
    </row>
    <row r="631" spans="1:12">
      <c r="A631" s="504" t="s">
        <v>35</v>
      </c>
      <c r="B631" s="501"/>
      <c r="C631" s="140">
        <f>Assumptions!D31</f>
        <v>5000</v>
      </c>
      <c r="D631" s="140">
        <v>0</v>
      </c>
      <c r="E631" s="140">
        <v>0</v>
      </c>
      <c r="F631" s="140">
        <v>0</v>
      </c>
      <c r="G631" s="140">
        <v>0</v>
      </c>
      <c r="H631" s="140">
        <v>0</v>
      </c>
      <c r="I631" s="140">
        <v>0</v>
      </c>
      <c r="J631" s="140">
        <v>0</v>
      </c>
      <c r="K631" s="140">
        <v>0</v>
      </c>
      <c r="L631" s="140">
        <v>0</v>
      </c>
    </row>
    <row r="632" spans="1:12">
      <c r="A632" s="504"/>
      <c r="B632" s="501"/>
      <c r="C632" s="53"/>
      <c r="D632" s="53"/>
      <c r="E632" s="53"/>
      <c r="F632" s="53"/>
      <c r="G632" s="53"/>
      <c r="H632" s="53"/>
      <c r="I632" s="53"/>
      <c r="J632" s="53"/>
      <c r="K632" s="53"/>
      <c r="L632" s="53"/>
    </row>
    <row r="633" spans="1:12" ht="15.5">
      <c r="A633" s="506" t="s">
        <v>158</v>
      </c>
      <c r="B633" s="501"/>
      <c r="C633" s="140">
        <f t="shared" ref="C633:L633" si="598">SUM(C625:C631)</f>
        <v>35000</v>
      </c>
      <c r="D633" s="140">
        <f t="shared" si="598"/>
        <v>0</v>
      </c>
      <c r="E633" s="140">
        <f t="shared" si="598"/>
        <v>0</v>
      </c>
      <c r="F633" s="140">
        <f t="shared" si="598"/>
        <v>0</v>
      </c>
      <c r="G633" s="140">
        <f t="shared" si="598"/>
        <v>0</v>
      </c>
      <c r="H633" s="140">
        <f t="shared" si="598"/>
        <v>0</v>
      </c>
      <c r="I633" s="140">
        <f t="shared" si="598"/>
        <v>0</v>
      </c>
      <c r="J633" s="140">
        <f t="shared" si="598"/>
        <v>0</v>
      </c>
      <c r="K633" s="140">
        <f t="shared" si="598"/>
        <v>0</v>
      </c>
      <c r="L633" s="140">
        <f t="shared" si="598"/>
        <v>0</v>
      </c>
    </row>
    <row r="634" spans="1:12">
      <c r="A634" s="504"/>
      <c r="B634" s="501"/>
      <c r="C634" s="53"/>
      <c r="D634" s="53"/>
      <c r="E634" s="53"/>
      <c r="F634" s="53"/>
      <c r="G634" s="53"/>
      <c r="H634" s="53"/>
      <c r="I634" s="53"/>
      <c r="J634" s="53"/>
      <c r="K634" s="53"/>
      <c r="L634" s="53"/>
    </row>
    <row r="635" spans="1:12" ht="15.5">
      <c r="A635" s="506" t="s">
        <v>13</v>
      </c>
      <c r="B635" s="501"/>
      <c r="C635" s="53"/>
      <c r="D635" s="53"/>
      <c r="E635" s="53"/>
      <c r="F635" s="53"/>
      <c r="G635" s="53"/>
      <c r="H635" s="53"/>
      <c r="I635" s="53"/>
      <c r="J635" s="53"/>
      <c r="K635" s="53"/>
      <c r="L635" s="53"/>
    </row>
    <row r="636" spans="1:12">
      <c r="A636" s="504"/>
      <c r="B636" s="501"/>
      <c r="C636" s="53"/>
      <c r="D636" s="53"/>
      <c r="E636" s="53"/>
      <c r="F636" s="53"/>
      <c r="G636" s="53"/>
      <c r="H636" s="53"/>
      <c r="I636" s="53"/>
      <c r="J636" s="53"/>
      <c r="K636" s="53"/>
      <c r="L636" s="53"/>
    </row>
    <row r="637" spans="1:12">
      <c r="A637" s="504" t="s">
        <v>14</v>
      </c>
      <c r="B637" s="501"/>
      <c r="C637" s="140">
        <f>Assumptions!G9</f>
        <v>60000</v>
      </c>
      <c r="D637" s="140">
        <f>C637*(1+Revenue!AC63)</f>
        <v>66000</v>
      </c>
      <c r="E637" s="140">
        <f>D637*(1+Revenue!AD63)</f>
        <v>72600</v>
      </c>
      <c r="F637" s="140">
        <f>E637*(1+Revenue!AE63)</f>
        <v>79860</v>
      </c>
      <c r="G637" s="140">
        <f>F637*(1+Revenue!AF63)</f>
        <v>87846</v>
      </c>
      <c r="H637" s="140">
        <f>G637*(1+Revenue!AG63)</f>
        <v>96630.6</v>
      </c>
      <c r="I637" s="140">
        <f>H637*(1+Revenue!AH63)</f>
        <v>106293.66000000002</v>
      </c>
      <c r="J637" s="140">
        <f>I637*(1+Revenue!AI63)</f>
        <v>116923.02600000003</v>
      </c>
      <c r="K637" s="140">
        <f>J637*(1+Revenue!AJ63)</f>
        <v>128615.32860000004</v>
      </c>
      <c r="L637" s="140">
        <f>K637*(1+Revenue!AK63)</f>
        <v>141476.86146000004</v>
      </c>
    </row>
    <row r="638" spans="1:12">
      <c r="A638" s="504" t="s">
        <v>15</v>
      </c>
      <c r="B638" s="501"/>
      <c r="C638" s="140">
        <f>Assumptions!G10</f>
        <v>12000</v>
      </c>
      <c r="D638" s="140">
        <f>C638*(1+Revenue!AC63)</f>
        <v>13200.000000000002</v>
      </c>
      <c r="E638" s="140">
        <f>D638*(1+Revenue!AD63)</f>
        <v>14520.000000000004</v>
      </c>
      <c r="F638" s="140">
        <f>E638*(1+Revenue!AE63)</f>
        <v>15972.000000000005</v>
      </c>
      <c r="G638" s="140">
        <f>F638*(1+Revenue!AF63)</f>
        <v>17569.200000000008</v>
      </c>
      <c r="H638" s="140">
        <f>G638*(1+Revenue!AG63)</f>
        <v>19326.12000000001</v>
      </c>
      <c r="I638" s="140">
        <f>H638*(1+Revenue!AH63)</f>
        <v>21258.732000000011</v>
      </c>
      <c r="J638" s="140">
        <f>I638*(1+Revenue!AI63)</f>
        <v>23384.605200000013</v>
      </c>
      <c r="K638" s="140">
        <f>J638*(1+Revenue!AJ63)</f>
        <v>25723.065720000017</v>
      </c>
      <c r="L638" s="140">
        <f>K638*(1+Revenue!AK63)</f>
        <v>28295.372292000022</v>
      </c>
    </row>
    <row r="639" spans="1:12">
      <c r="A639" s="504" t="s">
        <v>17</v>
      </c>
      <c r="B639" s="501"/>
      <c r="C639" s="140">
        <f>Assumptions!G11</f>
        <v>1200</v>
      </c>
      <c r="D639" s="140">
        <f>C639*(1+Revenue!AC63)</f>
        <v>1320</v>
      </c>
      <c r="E639" s="140">
        <f>D639*(1+Revenue!AD63)</f>
        <v>1452.0000000000002</v>
      </c>
      <c r="F639" s="140">
        <f>E639*(1+Revenue!AE63)</f>
        <v>1597.2000000000003</v>
      </c>
      <c r="G639" s="140">
        <f>F639*(1+Revenue!AF63)</f>
        <v>1756.9200000000005</v>
      </c>
      <c r="H639" s="140">
        <f>G639*(1+Revenue!AG63)</f>
        <v>1932.6120000000008</v>
      </c>
      <c r="I639" s="140">
        <f>H639*(1+Revenue!AH63)</f>
        <v>2125.8732000000009</v>
      </c>
      <c r="J639" s="140">
        <f>I639*(1+Revenue!AI63)</f>
        <v>2338.460520000001</v>
      </c>
      <c r="K639" s="140">
        <f>J639*(1+Revenue!AJ63)</f>
        <v>2572.3065720000013</v>
      </c>
      <c r="L639" s="140">
        <f>K639*(1+Revenue!AK63)</f>
        <v>2829.5372292000015</v>
      </c>
    </row>
    <row r="640" spans="1:12">
      <c r="A640" s="504" t="s">
        <v>19</v>
      </c>
      <c r="B640" s="501"/>
      <c r="C640" s="140">
        <f>Assumptions!G12</f>
        <v>12000</v>
      </c>
      <c r="D640" s="140">
        <f>C640*(1+Revenue!AC63)</f>
        <v>13200.000000000002</v>
      </c>
      <c r="E640" s="140">
        <f>D640*(1+Revenue!AD63)</f>
        <v>14520.000000000004</v>
      </c>
      <c r="F640" s="140">
        <f>E640*(1+Revenue!AE63)</f>
        <v>15972.000000000005</v>
      </c>
      <c r="G640" s="140">
        <f>F640*(1+Revenue!AF63)</f>
        <v>17569.200000000008</v>
      </c>
      <c r="H640" s="140">
        <f>G640*(1+Revenue!AG63)</f>
        <v>19326.12000000001</v>
      </c>
      <c r="I640" s="140">
        <f>H640*(1+Revenue!AH63)</f>
        <v>21258.732000000011</v>
      </c>
      <c r="J640" s="140">
        <f>I640*(1+Revenue!AI63)</f>
        <v>23384.605200000013</v>
      </c>
      <c r="K640" s="140">
        <f>J640*(1+Revenue!AJ63)</f>
        <v>25723.065720000017</v>
      </c>
      <c r="L640" s="140">
        <f>K640*(1+Revenue!AK63)</f>
        <v>28295.372292000022</v>
      </c>
    </row>
    <row r="641" spans="1:12">
      <c r="A641" s="504" t="s">
        <v>20</v>
      </c>
      <c r="B641" s="501"/>
      <c r="C641" s="140">
        <f>Assumptions!G13</f>
        <v>6000</v>
      </c>
      <c r="D641" s="140">
        <f>C641*(1+Revenue!AC63)</f>
        <v>6600.0000000000009</v>
      </c>
      <c r="E641" s="140">
        <f>D641*(1+Revenue!AD63)</f>
        <v>7260.0000000000018</v>
      </c>
      <c r="F641" s="140">
        <f>E641*(1+Revenue!AE63)</f>
        <v>7986.0000000000027</v>
      </c>
      <c r="G641" s="140">
        <f>F641*(1+Revenue!AF63)</f>
        <v>8784.600000000004</v>
      </c>
      <c r="H641" s="140">
        <f>G641*(1+Revenue!AG63)</f>
        <v>9663.0600000000049</v>
      </c>
      <c r="I641" s="140">
        <f>H641*(1+Revenue!AH63)</f>
        <v>10629.366000000005</v>
      </c>
      <c r="J641" s="140">
        <f>I641*(1+Revenue!AI63)</f>
        <v>11692.302600000006</v>
      </c>
      <c r="K641" s="140">
        <f>J641*(1+Revenue!AJ63)</f>
        <v>12861.532860000008</v>
      </c>
      <c r="L641" s="140">
        <f>K641*(1+Revenue!AK63)</f>
        <v>14147.686146000011</v>
      </c>
    </row>
    <row r="642" spans="1:12">
      <c r="A642" s="504" t="s">
        <v>22</v>
      </c>
      <c r="B642" s="501"/>
      <c r="C642" s="140">
        <f>Assumptions!G14</f>
        <v>6000</v>
      </c>
      <c r="D642" s="140">
        <f>C642*(1+Revenue!AC63)</f>
        <v>6600.0000000000009</v>
      </c>
      <c r="E642" s="140">
        <f>D642*(1+Revenue!AD63)</f>
        <v>7260.0000000000018</v>
      </c>
      <c r="F642" s="140">
        <f>E642*(1+Revenue!AE63)</f>
        <v>7986.0000000000027</v>
      </c>
      <c r="G642" s="140">
        <f>F642*(1+Revenue!AF63)</f>
        <v>8784.600000000004</v>
      </c>
      <c r="H642" s="140">
        <f>G642*(1+Revenue!AG63)</f>
        <v>9663.0600000000049</v>
      </c>
      <c r="I642" s="140">
        <f>H642*(1+Revenue!AH63)</f>
        <v>10629.366000000005</v>
      </c>
      <c r="J642" s="140">
        <f>I642*(1+Revenue!AI63)</f>
        <v>11692.302600000006</v>
      </c>
      <c r="K642" s="140">
        <f>J642*(1+Revenue!AJ63)</f>
        <v>12861.532860000008</v>
      </c>
      <c r="L642" s="140">
        <f>K642*(1+Revenue!AK63)</f>
        <v>14147.686146000011</v>
      </c>
    </row>
    <row r="643" spans="1:12">
      <c r="A643" s="504" t="s">
        <v>25</v>
      </c>
      <c r="B643" s="501"/>
      <c r="C643" s="140">
        <f>Assumptions!G15</f>
        <v>1000</v>
      </c>
      <c r="D643" s="140">
        <f>C643*(1+Revenue!AC63)</f>
        <v>1100</v>
      </c>
      <c r="E643" s="140">
        <f>D643*(1+Revenue!AD63)</f>
        <v>1210</v>
      </c>
      <c r="F643" s="140">
        <f>E643*(1+Revenue!AE63)</f>
        <v>1331</v>
      </c>
      <c r="G643" s="140">
        <f>F643*(1+Revenue!AF63)</f>
        <v>1464.1000000000001</v>
      </c>
      <c r="H643" s="140">
        <f>G643*(1+Revenue!AG63)</f>
        <v>1610.5100000000002</v>
      </c>
      <c r="I643" s="140">
        <f>H643*(1+Revenue!AH63)</f>
        <v>1771.5610000000004</v>
      </c>
      <c r="J643" s="140">
        <f>I643*(1+Revenue!AI63)</f>
        <v>1948.7171000000005</v>
      </c>
      <c r="K643" s="140">
        <f>J643*(1+Revenue!AJ63)</f>
        <v>2143.5888100000006</v>
      </c>
      <c r="L643" s="140">
        <f>K643*(1+Revenue!AK63)</f>
        <v>2357.9476910000008</v>
      </c>
    </row>
    <row r="644" spans="1:12">
      <c r="A644" s="504" t="s">
        <v>27</v>
      </c>
      <c r="B644" s="501"/>
      <c r="C644" s="140">
        <f>Assumptions!G16</f>
        <v>1000</v>
      </c>
      <c r="D644" s="140">
        <f>C644*(1+Revenue!AC63)</f>
        <v>1100</v>
      </c>
      <c r="E644" s="140">
        <f>D644*(1+Revenue!AD63)</f>
        <v>1210</v>
      </c>
      <c r="F644" s="140">
        <f>E644*(1+Revenue!AE63)</f>
        <v>1331</v>
      </c>
      <c r="G644" s="140">
        <f>F644*(1+Revenue!AF63)</f>
        <v>1464.1000000000001</v>
      </c>
      <c r="H644" s="140">
        <f>G644*(1+Revenue!AG63)</f>
        <v>1610.5100000000002</v>
      </c>
      <c r="I644" s="140">
        <f>H644*(1+Revenue!AH63)</f>
        <v>1771.5610000000004</v>
      </c>
      <c r="J644" s="140">
        <f>I644*(1+Revenue!AI63)</f>
        <v>1948.7171000000005</v>
      </c>
      <c r="K644" s="140">
        <f>J644*(1+Revenue!AJ63)</f>
        <v>2143.5888100000006</v>
      </c>
      <c r="L644" s="140">
        <f>K644*(1+Revenue!AK63)</f>
        <v>2357.9476910000008</v>
      </c>
    </row>
    <row r="645" spans="1:12">
      <c r="A645" s="504" t="s">
        <v>290</v>
      </c>
      <c r="B645" s="501"/>
      <c r="C645" s="140">
        <f>Assumptions!G17</f>
        <v>6000</v>
      </c>
      <c r="D645" s="140">
        <f>C645*(1+Revenue!AC63)</f>
        <v>6600.0000000000009</v>
      </c>
      <c r="E645" s="140">
        <f>D645*(1+Revenue!AD63)</f>
        <v>7260.0000000000018</v>
      </c>
      <c r="F645" s="140">
        <f>E645*(1+Revenue!AE63)</f>
        <v>7986.0000000000027</v>
      </c>
      <c r="G645" s="140">
        <f>F645*(1+Revenue!AF63)</f>
        <v>8784.600000000004</v>
      </c>
      <c r="H645" s="140">
        <f>G645*(1+Revenue!AG63)</f>
        <v>9663.0600000000049</v>
      </c>
      <c r="I645" s="140">
        <f>H645*(1+Revenue!AH63)</f>
        <v>10629.366000000005</v>
      </c>
      <c r="J645" s="140">
        <f>I645*(1+Revenue!AI63)</f>
        <v>11692.302600000006</v>
      </c>
      <c r="K645" s="140">
        <f>J645*(1+Revenue!AJ63)</f>
        <v>12861.532860000008</v>
      </c>
      <c r="L645" s="140">
        <f>K645*(1+Revenue!AK63)</f>
        <v>14147.686146000011</v>
      </c>
    </row>
    <row r="646" spans="1:12">
      <c r="A646" s="504" t="s">
        <v>29</v>
      </c>
      <c r="B646" s="501"/>
      <c r="C646" s="140">
        <f>Assumptions!G18</f>
        <v>31200</v>
      </c>
      <c r="D646" s="140">
        <f>C646*(1+Revenue!AC63)*(1+Assumptions!$J$10)</f>
        <v>38095.200000000004</v>
      </c>
      <c r="E646" s="140">
        <f>D646*(1+Revenue!AD63)*(1+Assumptions!$J$10)</f>
        <v>46514.239200000011</v>
      </c>
      <c r="F646" s="140">
        <f>E646*(1+Revenue!AE63)*(1+Assumptions!$J$10)</f>
        <v>56793.886063200029</v>
      </c>
      <c r="G646" s="140">
        <f>F646*(1+Revenue!AF63)*(1+Assumptions!$J$10)</f>
        <v>69345.334883167248</v>
      </c>
      <c r="H646" s="140">
        <f>G646*(1+Revenue!AG63)*(1+Assumptions!$J$10)</f>
        <v>84670.653892347225</v>
      </c>
      <c r="I646" s="140">
        <f>H646*(1+Revenue!AH63)*(1+Assumptions!$J$10)</f>
        <v>103382.86840255598</v>
      </c>
      <c r="J646" s="140">
        <f>I646*(1+Revenue!AI63)*(1+Assumptions!$J$10)</f>
        <v>126230.48231952087</v>
      </c>
      <c r="K646" s="140">
        <f>J646*(1+Revenue!AJ63)*(1+Assumptions!$J$10)</f>
        <v>154127.41891213501</v>
      </c>
      <c r="L646" s="140">
        <f>K646*(1+Revenue!AK63)*(1+Assumptions!$J$10)</f>
        <v>188189.57849171688</v>
      </c>
    </row>
    <row r="647" spans="1:12">
      <c r="A647" s="504" t="s">
        <v>291</v>
      </c>
      <c r="B647" s="501"/>
      <c r="C647" s="140">
        <f>Assumptions!G19</f>
        <v>120000</v>
      </c>
      <c r="D647" s="140">
        <f>C647*(1+Revenue!AC63)*(1+Assumptions!$J$11)</f>
        <v>145200</v>
      </c>
      <c r="E647" s="140">
        <f>D647*(1+Revenue!AD63)*(1+Assumptions!$J$11)</f>
        <v>175692</v>
      </c>
      <c r="F647" s="140">
        <f>E647*(1+Revenue!AE63)*(1+Assumptions!$J$11)</f>
        <v>212587.32000000004</v>
      </c>
      <c r="G647" s="140">
        <f>F647*(1+Revenue!AF63)*(1+Assumptions!$J$11)</f>
        <v>257230.65720000007</v>
      </c>
      <c r="H647" s="140">
        <f>G647*(1+Revenue!AG63)*(1+Assumptions!$J$11)</f>
        <v>311249.09521200013</v>
      </c>
      <c r="I647" s="140">
        <f>H647*(1+Revenue!AH63)*(1+Assumptions!$J$11)</f>
        <v>376611.40520652023</v>
      </c>
      <c r="J647" s="140">
        <f>I647*(1+Revenue!AI63)*(1+Assumptions!$J$11)</f>
        <v>455699.80029988952</v>
      </c>
      <c r="K647" s="140">
        <f>J647*(1+Revenue!AJ63)*(1+Assumptions!$J$11)</f>
        <v>551396.75836286636</v>
      </c>
      <c r="L647" s="140">
        <f>K647*(1+Revenue!AK63)*(1+Assumptions!$J$11)</f>
        <v>667190.07761906844</v>
      </c>
    </row>
    <row r="648" spans="1:12">
      <c r="A648" s="504" t="s">
        <v>31</v>
      </c>
      <c r="B648" s="501"/>
      <c r="C648" s="140">
        <f>Assumptions!G20</f>
        <v>1200</v>
      </c>
      <c r="D648" s="140">
        <f>C648*(1+Revenue!AC63)</f>
        <v>1320</v>
      </c>
      <c r="E648" s="140">
        <f>D648*(1+Revenue!AD63)</f>
        <v>1452.0000000000002</v>
      </c>
      <c r="F648" s="140">
        <f>E648*(1+Revenue!AE63)</f>
        <v>1597.2000000000003</v>
      </c>
      <c r="G648" s="140">
        <f>F648*(1+Revenue!AF63)</f>
        <v>1756.9200000000005</v>
      </c>
      <c r="H648" s="140">
        <f>G648*(1+Revenue!AG63)</f>
        <v>1932.6120000000008</v>
      </c>
      <c r="I648" s="140">
        <f>H648*(1+Revenue!AH63)</f>
        <v>2125.8732000000009</v>
      </c>
      <c r="J648" s="140">
        <f>I648*(1+Revenue!AI63)</f>
        <v>2338.460520000001</v>
      </c>
      <c r="K648" s="140">
        <f>J648*(1+Revenue!AJ63)</f>
        <v>2572.3065720000013</v>
      </c>
      <c r="L648" s="140">
        <f>K648*(1+Revenue!AK63)</f>
        <v>2829.5372292000015</v>
      </c>
    </row>
    <row r="649" spans="1:12">
      <c r="A649" s="504" t="s">
        <v>33</v>
      </c>
      <c r="B649" s="501"/>
      <c r="C649" s="140">
        <f>Assumptions!G21</f>
        <v>1000</v>
      </c>
      <c r="D649" s="140">
        <f>C649*(1+Revenue!AC63)</f>
        <v>1100</v>
      </c>
      <c r="E649" s="140">
        <f>D649*(1+Revenue!AD63)</f>
        <v>1210</v>
      </c>
      <c r="F649" s="140">
        <f>E649*(1+Revenue!AE63)</f>
        <v>1331</v>
      </c>
      <c r="G649" s="140">
        <f>F649*(1+Revenue!AF63)</f>
        <v>1464.1000000000001</v>
      </c>
      <c r="H649" s="140">
        <f>G649*(1+Revenue!AG63)</f>
        <v>1610.5100000000002</v>
      </c>
      <c r="I649" s="140">
        <f>H649*(1+Revenue!AH63)</f>
        <v>1771.5610000000004</v>
      </c>
      <c r="J649" s="140">
        <f>I649*(1+Revenue!AI63)</f>
        <v>1948.7171000000005</v>
      </c>
      <c r="K649" s="140">
        <f>J649*(1+Revenue!AJ63)</f>
        <v>2143.5888100000006</v>
      </c>
      <c r="L649" s="140">
        <f>K649*(1+Revenue!AK63)</f>
        <v>2357.9476910000008</v>
      </c>
    </row>
    <row r="650" spans="1:12">
      <c r="A650" s="504" t="s">
        <v>35</v>
      </c>
      <c r="B650" s="501"/>
      <c r="C650" s="140">
        <f>Assumptions!G22</f>
        <v>5000</v>
      </c>
      <c r="D650" s="140">
        <f>C650*(1+Revenue!AC63)</f>
        <v>5500</v>
      </c>
      <c r="E650" s="140">
        <f>D650*(1+Revenue!AD63)</f>
        <v>6050.0000000000009</v>
      </c>
      <c r="F650" s="140">
        <f>E650*(1+Revenue!AE63)</f>
        <v>6655.0000000000018</v>
      </c>
      <c r="G650" s="140">
        <f>F650*(1+Revenue!AF63)</f>
        <v>7320.5000000000027</v>
      </c>
      <c r="H650" s="140">
        <f>G650*(1+Revenue!AG63)</f>
        <v>8052.5500000000038</v>
      </c>
      <c r="I650" s="140">
        <f>H650*(1+Revenue!AH63)</f>
        <v>8857.8050000000057</v>
      </c>
      <c r="J650" s="140">
        <f>I650*(1+Revenue!AI63)</f>
        <v>9743.5855000000065</v>
      </c>
      <c r="K650" s="140">
        <f>J650*(1+Revenue!AJ63)</f>
        <v>10717.944050000007</v>
      </c>
      <c r="L650" s="140">
        <f>K650*(1+Revenue!AK63)</f>
        <v>11789.73845500001</v>
      </c>
    </row>
    <row r="651" spans="1:12">
      <c r="A651" s="504"/>
      <c r="B651" s="501"/>
      <c r="C651" s="53"/>
      <c r="D651" s="53"/>
      <c r="E651" s="53"/>
      <c r="F651" s="53"/>
      <c r="G651" s="53"/>
      <c r="H651" s="53"/>
      <c r="I651" s="53"/>
      <c r="J651" s="53"/>
      <c r="K651" s="53"/>
      <c r="L651" s="53"/>
    </row>
    <row r="652" spans="1:12" ht="15.5">
      <c r="A652" s="506" t="s">
        <v>159</v>
      </c>
      <c r="B652" s="501"/>
      <c r="C652" s="140">
        <f t="shared" ref="C652:L652" si="599">SUM(C637:C650)</f>
        <v>263600</v>
      </c>
      <c r="D652" s="140">
        <f t="shared" si="599"/>
        <v>306935.2</v>
      </c>
      <c r="E652" s="140">
        <f t="shared" si="599"/>
        <v>358210.23920000001</v>
      </c>
      <c r="F652" s="140">
        <f t="shared" si="599"/>
        <v>418985.6060632001</v>
      </c>
      <c r="G652" s="140">
        <f t="shared" si="599"/>
        <v>491140.83208316733</v>
      </c>
      <c r="H652" s="140">
        <f t="shared" si="599"/>
        <v>576941.07310434734</v>
      </c>
      <c r="I652" s="140">
        <f t="shared" si="599"/>
        <v>679117.7300090763</v>
      </c>
      <c r="J652" s="140">
        <f t="shared" si="599"/>
        <v>800966.08465941041</v>
      </c>
      <c r="K652" s="140">
        <f t="shared" si="599"/>
        <v>946463.55951900152</v>
      </c>
      <c r="L652" s="140">
        <f t="shared" si="599"/>
        <v>1120412.9765791856</v>
      </c>
    </row>
    <row r="653" spans="1:12" ht="15.5">
      <c r="A653" s="506"/>
      <c r="B653" s="501"/>
      <c r="C653" s="53"/>
      <c r="D653" s="53"/>
      <c r="E653" s="53"/>
      <c r="F653" s="53"/>
      <c r="G653" s="53"/>
      <c r="H653" s="53"/>
      <c r="I653" s="53"/>
      <c r="J653" s="53"/>
      <c r="K653" s="53"/>
      <c r="L653" s="53"/>
    </row>
    <row r="654" spans="1:12" ht="15.5">
      <c r="A654" s="506" t="s">
        <v>36</v>
      </c>
      <c r="B654" s="501"/>
      <c r="C654" s="53"/>
      <c r="D654" s="53"/>
      <c r="E654" s="53"/>
      <c r="F654" s="53"/>
      <c r="G654" s="53"/>
      <c r="H654" s="53"/>
      <c r="I654" s="53"/>
      <c r="J654" s="53"/>
      <c r="K654" s="53"/>
      <c r="L654" s="53"/>
    </row>
    <row r="655" spans="1:12">
      <c r="A655" s="504" t="s">
        <v>38</v>
      </c>
      <c r="B655" s="501"/>
      <c r="C655" s="140">
        <f>Assumptions!G25</f>
        <v>5000</v>
      </c>
      <c r="D655" s="140">
        <f>C655*(1+Revenue!AC63)</f>
        <v>5500</v>
      </c>
      <c r="E655" s="140">
        <f>D655*(1+Revenue!AD63)</f>
        <v>6050.0000000000009</v>
      </c>
      <c r="F655" s="140">
        <f>E655*(1+Revenue!AE63)</f>
        <v>6655.0000000000018</v>
      </c>
      <c r="G655" s="140">
        <f>F655*(1+Revenue!AF63)</f>
        <v>7320.5000000000027</v>
      </c>
      <c r="H655" s="140">
        <f>G655*(1+Revenue!AG63)</f>
        <v>8052.5500000000038</v>
      </c>
      <c r="I655" s="140">
        <f>H655*(1+Revenue!AH63)</f>
        <v>8857.8050000000057</v>
      </c>
      <c r="J655" s="140">
        <f>I655*(1+Revenue!AI63)</f>
        <v>9743.5855000000065</v>
      </c>
      <c r="K655" s="140">
        <f>J655*(1+Revenue!AJ63)</f>
        <v>10717.944050000007</v>
      </c>
      <c r="L655" s="140">
        <f>K655*(1+Revenue!AK63)</f>
        <v>11789.73845500001</v>
      </c>
    </row>
    <row r="656" spans="1:12">
      <c r="A656" s="504" t="s">
        <v>39</v>
      </c>
      <c r="B656" s="501"/>
      <c r="C656" s="140">
        <f>Assumptions!G26</f>
        <v>500</v>
      </c>
      <c r="D656" s="140">
        <f t="shared" ref="D656" si="600">C656</f>
        <v>500</v>
      </c>
      <c r="E656" s="140">
        <f t="shared" ref="E656" si="601">D656</f>
        <v>500</v>
      </c>
      <c r="F656" s="140">
        <f t="shared" ref="F656" si="602">E656</f>
        <v>500</v>
      </c>
      <c r="G656" s="140">
        <f t="shared" ref="G656" si="603">F656</f>
        <v>500</v>
      </c>
      <c r="H656" s="140">
        <f t="shared" ref="H656" si="604">G656</f>
        <v>500</v>
      </c>
      <c r="I656" s="140">
        <f t="shared" ref="I656" si="605">H656</f>
        <v>500</v>
      </c>
      <c r="J656" s="140">
        <f t="shared" ref="J656" si="606">I656</f>
        <v>500</v>
      </c>
      <c r="K656" s="140">
        <f t="shared" ref="K656" si="607">J656</f>
        <v>500</v>
      </c>
      <c r="L656" s="140">
        <f t="shared" ref="L656" si="608">K656</f>
        <v>500</v>
      </c>
    </row>
    <row r="657" spans="1:12">
      <c r="A657" s="504"/>
      <c r="B657" s="501"/>
      <c r="C657" s="53"/>
      <c r="D657" s="53"/>
      <c r="E657" s="53"/>
      <c r="F657" s="53"/>
      <c r="G657" s="53"/>
      <c r="H657" s="53"/>
      <c r="I657" s="53"/>
      <c r="J657" s="53"/>
      <c r="K657" s="53"/>
      <c r="L657" s="53"/>
    </row>
    <row r="658" spans="1:12" ht="15.5">
      <c r="A658" s="506" t="s">
        <v>160</v>
      </c>
      <c r="B658" s="501"/>
      <c r="C658" s="140">
        <f t="shared" ref="C658:L658" si="609">SUM(C655:C656)</f>
        <v>5500</v>
      </c>
      <c r="D658" s="140">
        <f t="shared" si="609"/>
        <v>6000</v>
      </c>
      <c r="E658" s="140">
        <f t="shared" si="609"/>
        <v>6550.0000000000009</v>
      </c>
      <c r="F658" s="140">
        <f t="shared" si="609"/>
        <v>7155.0000000000018</v>
      </c>
      <c r="G658" s="140">
        <f t="shared" si="609"/>
        <v>7820.5000000000027</v>
      </c>
      <c r="H658" s="140">
        <f t="shared" si="609"/>
        <v>8552.5500000000029</v>
      </c>
      <c r="I658" s="140">
        <f t="shared" si="609"/>
        <v>9357.8050000000057</v>
      </c>
      <c r="J658" s="140">
        <f t="shared" si="609"/>
        <v>10243.585500000007</v>
      </c>
      <c r="K658" s="140">
        <f t="shared" si="609"/>
        <v>11217.944050000007</v>
      </c>
      <c r="L658" s="140">
        <f t="shared" si="609"/>
        <v>12289.73845500001</v>
      </c>
    </row>
    <row r="659" spans="1:12">
      <c r="A659" s="504"/>
      <c r="B659" s="501"/>
      <c r="C659" s="53"/>
      <c r="D659" s="53"/>
      <c r="E659" s="53"/>
      <c r="F659" s="53"/>
      <c r="G659" s="53"/>
      <c r="H659" s="53"/>
      <c r="I659" s="53"/>
      <c r="J659" s="53"/>
      <c r="K659" s="53"/>
      <c r="L659" s="53"/>
    </row>
    <row r="660" spans="1:12" ht="15.5">
      <c r="A660" s="506" t="s">
        <v>112</v>
      </c>
      <c r="B660" s="501"/>
      <c r="C660" s="140">
        <f t="shared" ref="C660:L660" si="610">C633+C652+C658</f>
        <v>304100</v>
      </c>
      <c r="D660" s="140">
        <f t="shared" si="610"/>
        <v>312935.2</v>
      </c>
      <c r="E660" s="140">
        <f t="shared" si="610"/>
        <v>364760.23920000001</v>
      </c>
      <c r="F660" s="140">
        <f t="shared" si="610"/>
        <v>426140.6060632001</v>
      </c>
      <c r="G660" s="140">
        <f t="shared" si="610"/>
        <v>498961.33208316733</v>
      </c>
      <c r="H660" s="140">
        <f t="shared" si="610"/>
        <v>585493.62310434738</v>
      </c>
      <c r="I660" s="140">
        <f t="shared" si="610"/>
        <v>688475.53500907635</v>
      </c>
      <c r="J660" s="140">
        <f t="shared" si="610"/>
        <v>811209.67015941045</v>
      </c>
      <c r="K660" s="140">
        <f t="shared" si="610"/>
        <v>957681.50356900156</v>
      </c>
      <c r="L660" s="140">
        <f t="shared" si="610"/>
        <v>1132702.7150341857</v>
      </c>
    </row>
    <row r="661" spans="1:12">
      <c r="A661" s="504"/>
      <c r="B661" s="501"/>
      <c r="C661" s="53"/>
      <c r="D661" s="53"/>
      <c r="E661" s="53"/>
      <c r="F661" s="53"/>
      <c r="G661" s="53"/>
      <c r="H661" s="53"/>
      <c r="I661" s="53"/>
      <c r="J661" s="53"/>
      <c r="K661" s="53"/>
      <c r="L661" s="53"/>
    </row>
    <row r="662" spans="1:12" ht="15.5">
      <c r="A662" s="506" t="s">
        <v>424</v>
      </c>
      <c r="B662" s="501"/>
      <c r="C662" s="500">
        <f>C619-C660</f>
        <v>2900400</v>
      </c>
      <c r="D662" s="500">
        <f t="shared" ref="D662:L662" si="611">D619-D660</f>
        <v>4455829.8</v>
      </c>
      <c r="E662" s="500">
        <f t="shared" ca="1" si="611"/>
        <v>6970268.1907171709</v>
      </c>
      <c r="F662" s="500">
        <f t="shared" ca="1" si="611"/>
        <v>7906149.3873267658</v>
      </c>
      <c r="G662" s="500">
        <f t="shared" ca="1" si="611"/>
        <v>9000622.5057785977</v>
      </c>
      <c r="H662" s="500">
        <f t="shared" ca="1" si="611"/>
        <v>10283070.775992244</v>
      </c>
      <c r="I662" s="500">
        <f t="shared" ca="1" si="611"/>
        <v>11789667.959722862</v>
      </c>
      <c r="J662" s="500">
        <f t="shared" ca="1" si="611"/>
        <v>13566147.759274876</v>
      </c>
      <c r="K662" s="500">
        <f t="shared" ca="1" si="611"/>
        <v>15665378.14546988</v>
      </c>
      <c r="L662" s="500">
        <f t="shared" ca="1" si="611"/>
        <v>18158196.076849766</v>
      </c>
    </row>
    <row r="663" spans="1:12">
      <c r="A663" s="504"/>
      <c r="B663" s="501"/>
      <c r="C663" s="53"/>
      <c r="D663" s="53"/>
      <c r="E663" s="53"/>
      <c r="F663" s="53"/>
      <c r="G663" s="53"/>
      <c r="H663" s="53"/>
      <c r="I663" s="53"/>
      <c r="J663" s="53"/>
      <c r="K663" s="53"/>
      <c r="L663" s="53"/>
    </row>
    <row r="664" spans="1:12">
      <c r="A664" s="504" t="s">
        <v>162</v>
      </c>
      <c r="B664" s="501"/>
      <c r="C664" s="53">
        <f>'Depreciation Schedule'!G10</f>
        <v>20611.111111111113</v>
      </c>
      <c r="D664" s="53">
        <f>'Depreciation Schedule'!H10</f>
        <v>20611.111111111113</v>
      </c>
      <c r="E664" s="53">
        <f>'Depreciation Schedule'!I10</f>
        <v>20611.111111111113</v>
      </c>
      <c r="F664" s="53">
        <f>'Depreciation Schedule'!J10</f>
        <v>20611.111111111113</v>
      </c>
      <c r="G664" s="53">
        <f>'Depreciation Schedule'!K10</f>
        <v>20611.111111111113</v>
      </c>
      <c r="H664" s="53">
        <f>'Depreciation Schedule'!L10</f>
        <v>20611.111111111113</v>
      </c>
      <c r="I664" s="53">
        <f>'Depreciation Schedule'!M10</f>
        <v>20611.111111111113</v>
      </c>
      <c r="J664" s="53">
        <f>'Depreciation Schedule'!N10</f>
        <v>20611.111111111113</v>
      </c>
      <c r="K664" s="53">
        <f>'Depreciation Schedule'!O10</f>
        <v>20611.111111111113</v>
      </c>
      <c r="L664" s="53">
        <f>'Depreciation Schedule'!P10</f>
        <v>20611.111111111113</v>
      </c>
    </row>
    <row r="665" spans="1:12">
      <c r="A665" s="504" t="s">
        <v>163</v>
      </c>
      <c r="B665" s="501"/>
      <c r="C665" s="53">
        <v>0</v>
      </c>
      <c r="D665" s="53">
        <v>0</v>
      </c>
      <c r="E665" s="53">
        <v>0</v>
      </c>
      <c r="F665" s="53">
        <v>0</v>
      </c>
      <c r="G665" s="53">
        <v>0</v>
      </c>
      <c r="H665" s="53">
        <v>0</v>
      </c>
      <c r="I665" s="53">
        <v>0</v>
      </c>
      <c r="J665" s="53">
        <v>0</v>
      </c>
      <c r="K665" s="53">
        <v>0</v>
      </c>
      <c r="L665" s="53">
        <v>0</v>
      </c>
    </row>
    <row r="666" spans="1:12">
      <c r="A666" s="504"/>
      <c r="B666" s="501"/>
      <c r="C666" s="53"/>
      <c r="D666" s="53"/>
      <c r="E666" s="53"/>
      <c r="F666" s="53"/>
      <c r="G666" s="53"/>
      <c r="H666" s="53"/>
      <c r="I666" s="53"/>
      <c r="J666" s="53"/>
      <c r="K666" s="53"/>
      <c r="L666" s="53"/>
    </row>
    <row r="667" spans="1:12" ht="15.5">
      <c r="A667" s="506" t="s">
        <v>425</v>
      </c>
      <c r="B667" s="501"/>
      <c r="C667" s="500">
        <f>C662-C664-C665</f>
        <v>2879788.888888889</v>
      </c>
      <c r="D667" s="500">
        <f t="shared" ref="D667:L667" si="612">D662-D664-D665</f>
        <v>4435218.6888888888</v>
      </c>
      <c r="E667" s="500">
        <f t="shared" ca="1" si="612"/>
        <v>6949657.0796060599</v>
      </c>
      <c r="F667" s="500">
        <f t="shared" ca="1" si="612"/>
        <v>7885538.2762156548</v>
      </c>
      <c r="G667" s="500">
        <f t="shared" ca="1" si="612"/>
        <v>8980011.3946674857</v>
      </c>
      <c r="H667" s="500">
        <f t="shared" ca="1" si="612"/>
        <v>10262459.664881133</v>
      </c>
      <c r="I667" s="500">
        <f t="shared" ca="1" si="612"/>
        <v>11769056.84861175</v>
      </c>
      <c r="J667" s="500">
        <f t="shared" ca="1" si="612"/>
        <v>13545536.648163764</v>
      </c>
      <c r="K667" s="500">
        <f t="shared" ca="1" si="612"/>
        <v>15644767.034358768</v>
      </c>
      <c r="L667" s="500">
        <f t="shared" ca="1" si="612"/>
        <v>18137584.965738654</v>
      </c>
    </row>
    <row r="668" spans="1:12">
      <c r="A668" s="504"/>
      <c r="B668" s="501"/>
      <c r="C668" s="53"/>
      <c r="D668" s="53"/>
      <c r="E668" s="53"/>
      <c r="F668" s="53"/>
      <c r="G668" s="53"/>
      <c r="H668" s="53"/>
      <c r="I668" s="53"/>
      <c r="J668" s="53"/>
      <c r="K668" s="53"/>
      <c r="L668" s="53"/>
    </row>
    <row r="669" spans="1:12">
      <c r="A669" s="504" t="s">
        <v>165</v>
      </c>
      <c r="B669" s="501"/>
      <c r="C669" s="140">
        <f>'Loan Repayment Schedule'!H24</f>
        <v>78887.593138586235</v>
      </c>
      <c r="D669" s="140">
        <f>'Loan Repayment Schedule'!I24</f>
        <v>74852.949804201286</v>
      </c>
      <c r="E669" s="140">
        <f>'Loan Repayment Schedule'!J24</f>
        <v>70169.719326413004</v>
      </c>
      <c r="F669" s="140">
        <f>'Loan Repayment Schedule'!K24</f>
        <v>64733.63839178221</v>
      </c>
      <c r="G669" s="140">
        <f>'Loan Repayment Schedule'!L24</f>
        <v>58423.682888201663</v>
      </c>
      <c r="H669" s="140">
        <f>'Loan Repayment Schedule'!M24</f>
        <v>51099.373530789453</v>
      </c>
      <c r="I669" s="140">
        <f>'Loan Repayment Schedule'!N24</f>
        <v>42597.648354972385</v>
      </c>
      <c r="J669" s="140">
        <f>'Loan Repayment Schedule'!O24</f>
        <v>32729.232448703373</v>
      </c>
      <c r="K669" s="140">
        <f>'Loan Repayment Schedule'!P24</f>
        <v>21274.424102732115</v>
      </c>
      <c r="L669" s="140">
        <f>'Loan Repayment Schedule'!Q24</f>
        <v>7978.2035654948695</v>
      </c>
    </row>
    <row r="670" spans="1:12">
      <c r="A670" s="504"/>
      <c r="B670" s="501"/>
      <c r="C670" s="53"/>
      <c r="D670" s="53"/>
      <c r="E670" s="53"/>
      <c r="F670" s="53"/>
      <c r="G670" s="53"/>
      <c r="H670" s="53"/>
      <c r="I670" s="53"/>
      <c r="J670" s="53"/>
      <c r="K670" s="53"/>
      <c r="L670" s="53"/>
    </row>
    <row r="671" spans="1:12" ht="15.5">
      <c r="A671" s="506" t="s">
        <v>426</v>
      </c>
      <c r="B671" s="501"/>
      <c r="C671" s="500">
        <f>C667-C669</f>
        <v>2800901.2957503027</v>
      </c>
      <c r="D671" s="500">
        <f t="shared" ref="D671:L671" si="613">D667-D669</f>
        <v>4360365.7390846871</v>
      </c>
      <c r="E671" s="500">
        <f t="shared" ca="1" si="613"/>
        <v>6879487.3602796467</v>
      </c>
      <c r="F671" s="500">
        <f t="shared" ca="1" si="613"/>
        <v>7820804.6378238723</v>
      </c>
      <c r="G671" s="500">
        <f t="shared" ca="1" si="613"/>
        <v>8921587.7117792834</v>
      </c>
      <c r="H671" s="500">
        <f t="shared" ca="1" si="613"/>
        <v>10211360.291350342</v>
      </c>
      <c r="I671" s="500">
        <f t="shared" ca="1" si="613"/>
        <v>11726459.200256778</v>
      </c>
      <c r="J671" s="500">
        <f t="shared" ca="1" si="613"/>
        <v>13512807.415715061</v>
      </c>
      <c r="K671" s="500">
        <f t="shared" ca="1" si="613"/>
        <v>15623492.610256035</v>
      </c>
      <c r="L671" s="500">
        <f t="shared" ca="1" si="613"/>
        <v>18129606.762173161</v>
      </c>
    </row>
    <row r="672" spans="1:12">
      <c r="A672" s="504"/>
      <c r="B672" s="501"/>
      <c r="C672" s="53"/>
      <c r="D672" s="53"/>
      <c r="E672" s="53"/>
      <c r="F672" s="53"/>
      <c r="G672" s="53"/>
      <c r="H672" s="53"/>
      <c r="I672" s="53"/>
      <c r="J672" s="53"/>
      <c r="K672" s="53"/>
      <c r="L672" s="53"/>
    </row>
    <row r="673" spans="1:12">
      <c r="A673" s="504" t="s">
        <v>167</v>
      </c>
      <c r="B673" s="501"/>
      <c r="C673" s="140">
        <f>C671*Assumptions!$D$12</f>
        <v>980315.45351260586</v>
      </c>
      <c r="D673" s="140">
        <f>D671*Assumptions!$D$12</f>
        <v>1526128.0086796405</v>
      </c>
      <c r="E673" s="140">
        <f ca="1">E671*Assumptions!$D$12</f>
        <v>2407820.5760978763</v>
      </c>
      <c r="F673" s="140">
        <f ca="1">F671*Assumptions!$D$12</f>
        <v>2737281.6232383549</v>
      </c>
      <c r="G673" s="140">
        <f ca="1">G671*Assumptions!$D$12</f>
        <v>3122555.6991227488</v>
      </c>
      <c r="H673" s="140">
        <f ca="1">H671*Assumptions!$D$12</f>
        <v>3573976.1019726195</v>
      </c>
      <c r="I673" s="140">
        <f ca="1">I671*Assumptions!$D$12</f>
        <v>4104260.7200898719</v>
      </c>
      <c r="J673" s="140">
        <f ca="1">J671*Assumptions!$D$12</f>
        <v>4729482.5955002708</v>
      </c>
      <c r="K673" s="140">
        <f ca="1">K671*Assumptions!$D$12</f>
        <v>5468222.4135896116</v>
      </c>
      <c r="L673" s="140">
        <f ca="1">L671*Assumptions!$D$12</f>
        <v>6345362.3667606059</v>
      </c>
    </row>
    <row r="674" spans="1:12">
      <c r="A674" s="504"/>
      <c r="B674" s="501"/>
      <c r="C674" s="53"/>
      <c r="D674" s="53"/>
      <c r="E674" s="53"/>
      <c r="F674" s="53"/>
      <c r="G674" s="53"/>
      <c r="H674" s="53"/>
      <c r="I674" s="53"/>
      <c r="J674" s="53"/>
      <c r="K674" s="53"/>
      <c r="L674" s="53"/>
    </row>
    <row r="675" spans="1:12" ht="15.5">
      <c r="A675" s="506" t="s">
        <v>97</v>
      </c>
      <c r="B675" s="501"/>
      <c r="C675" s="500">
        <f>C671-C673</f>
        <v>1820585.842237697</v>
      </c>
      <c r="D675" s="500">
        <f t="shared" ref="D675:L675" si="614">D671-D673</f>
        <v>2834237.7304050466</v>
      </c>
      <c r="E675" s="500">
        <f t="shared" ca="1" si="614"/>
        <v>4471666.7841817699</v>
      </c>
      <c r="F675" s="500">
        <f t="shared" ca="1" si="614"/>
        <v>5083523.0145855173</v>
      </c>
      <c r="G675" s="500">
        <f t="shared" ca="1" si="614"/>
        <v>5799032.0126565341</v>
      </c>
      <c r="H675" s="500">
        <f t="shared" ca="1" si="614"/>
        <v>6637384.1893777233</v>
      </c>
      <c r="I675" s="500">
        <f t="shared" ca="1" si="614"/>
        <v>7622198.4801669065</v>
      </c>
      <c r="J675" s="500">
        <f t="shared" ca="1" si="614"/>
        <v>8783324.8202147894</v>
      </c>
      <c r="K675" s="500">
        <f t="shared" ca="1" si="614"/>
        <v>10155270.196666423</v>
      </c>
      <c r="L675" s="500">
        <f t="shared" ca="1" si="614"/>
        <v>11784244.395412555</v>
      </c>
    </row>
    <row r="676" spans="1:12">
      <c r="A676" s="504"/>
      <c r="B676" s="501"/>
      <c r="C676" s="53"/>
      <c r="D676" s="53"/>
      <c r="E676" s="53"/>
      <c r="F676" s="53"/>
      <c r="G676" s="53"/>
      <c r="H676" s="53"/>
      <c r="I676" s="53"/>
      <c r="J676" s="53"/>
      <c r="K676" s="53"/>
      <c r="L676" s="53"/>
    </row>
    <row r="677" spans="1:12" ht="16" thickBot="1">
      <c r="A677" s="510" t="s">
        <v>168</v>
      </c>
      <c r="B677" s="502"/>
      <c r="C677" s="503">
        <f>C675</f>
        <v>1820585.842237697</v>
      </c>
      <c r="D677" s="503">
        <f>C677+D675</f>
        <v>4654823.5726427436</v>
      </c>
      <c r="E677" s="503">
        <f t="shared" ref="E677" ca="1" si="615">D677+E675</f>
        <v>9126490.3568245135</v>
      </c>
      <c r="F677" s="503">
        <f t="shared" ref="F677" ca="1" si="616">E677+F675</f>
        <v>14210013.371410031</v>
      </c>
      <c r="G677" s="503">
        <f t="shared" ref="G677" ca="1" si="617">F677+G675</f>
        <v>20009045.384066567</v>
      </c>
      <c r="H677" s="503">
        <f t="shared" ref="H677" ca="1" si="618">G677+H675</f>
        <v>26646429.573444292</v>
      </c>
      <c r="I677" s="503">
        <f t="shared" ref="I677" ca="1" si="619">H677+I675</f>
        <v>34268628.053611197</v>
      </c>
      <c r="J677" s="503">
        <f t="shared" ref="J677" ca="1" si="620">I677+J675</f>
        <v>43051952.873825982</v>
      </c>
      <c r="K677" s="503">
        <f t="shared" ref="K677" ca="1" si="621">J677+K675</f>
        <v>53207223.070492402</v>
      </c>
      <c r="L677" s="503">
        <f t="shared" ref="L677" ca="1" si="622">K677+L675</f>
        <v>64991467.465904959</v>
      </c>
    </row>
    <row r="678" spans="1:12" ht="15" thickTop="1"/>
    <row r="679" spans="1:12" ht="15.5">
      <c r="A679" s="392" t="s">
        <v>427</v>
      </c>
      <c r="C679" s="453">
        <f>SUM(C675,C564,C453,C342,C231,C120)</f>
        <v>10923515.05342618</v>
      </c>
      <c r="D679" s="453">
        <f t="shared" ref="D679:L679" si="623">SUM(D675,D564,D453,D342,D231,D120)</f>
        <v>16503604.693555284</v>
      </c>
      <c r="E679" s="453">
        <f t="shared" ca="1" si="623"/>
        <v>25495759.914353974</v>
      </c>
      <c r="F679" s="453">
        <f t="shared" ca="1" si="623"/>
        <v>28030289.994387325</v>
      </c>
      <c r="G679" s="453">
        <f t="shared" ca="1" si="623"/>
        <v>30937233.952848382</v>
      </c>
      <c r="H679" s="453">
        <f t="shared" ca="1" si="623"/>
        <v>34275072.221784115</v>
      </c>
      <c r="I679" s="453">
        <f t="shared" ca="1" si="623"/>
        <v>38114269.279950649</v>
      </c>
      <c r="J679" s="453">
        <f t="shared" ca="1" si="623"/>
        <v>42548133.917981274</v>
      </c>
      <c r="K679" s="453">
        <f t="shared" ca="1" si="623"/>
        <v>47673179.724436231</v>
      </c>
      <c r="L679" s="453">
        <f t="shared" ca="1" si="623"/>
        <v>53624452.470553547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7E9AB-C17D-49DD-AE15-142874C354B9}">
  <dimension ref="C1:M31"/>
  <sheetViews>
    <sheetView topLeftCell="A14" workbookViewId="0">
      <selection activeCell="C14" sqref="C14:M19"/>
    </sheetView>
  </sheetViews>
  <sheetFormatPr defaultRowHeight="14.5"/>
  <cols>
    <col min="3" max="3" width="21.90625" bestFit="1" customWidth="1"/>
  </cols>
  <sheetData>
    <row r="1" spans="3:13" hidden="1"/>
    <row r="2" spans="3:13" hidden="1"/>
    <row r="3" spans="3:13" hidden="1">
      <c r="C3" t="s">
        <v>294</v>
      </c>
    </row>
    <row r="4" spans="3:13" hidden="1"/>
    <row r="5" spans="3:13" hidden="1"/>
    <row r="7" spans="3:13">
      <c r="C7" t="s">
        <v>295</v>
      </c>
    </row>
    <row r="8" spans="3:13">
      <c r="C8" t="s">
        <v>296</v>
      </c>
      <c r="D8" t="s">
        <v>378</v>
      </c>
      <c r="E8" t="s">
        <v>379</v>
      </c>
    </row>
    <row r="9" spans="3:13">
      <c r="C9" t="s">
        <v>297</v>
      </c>
      <c r="D9" t="s">
        <v>380</v>
      </c>
    </row>
    <row r="10" spans="3:13">
      <c r="C10" t="s">
        <v>298</v>
      </c>
      <c r="D10" t="s">
        <v>381</v>
      </c>
    </row>
    <row r="11" spans="3:13">
      <c r="C11" t="s">
        <v>299</v>
      </c>
      <c r="D11" t="s">
        <v>382</v>
      </c>
    </row>
    <row r="13" spans="3:13">
      <c r="C13" t="s">
        <v>340</v>
      </c>
    </row>
    <row r="14" spans="3:13">
      <c r="D14" t="s">
        <v>139</v>
      </c>
      <c r="E14" t="s">
        <v>140</v>
      </c>
      <c r="F14" t="s">
        <v>141</v>
      </c>
      <c r="G14" t="s">
        <v>142</v>
      </c>
      <c r="H14" t="s">
        <v>143</v>
      </c>
      <c r="I14" t="s">
        <v>144</v>
      </c>
      <c r="J14" t="s">
        <v>145</v>
      </c>
      <c r="K14" t="s">
        <v>146</v>
      </c>
      <c r="L14" t="s">
        <v>147</v>
      </c>
      <c r="M14" t="s">
        <v>148</v>
      </c>
    </row>
    <row r="15" spans="3:13">
      <c r="C15" t="s">
        <v>378</v>
      </c>
      <c r="D15" s="320">
        <v>0.06</v>
      </c>
      <c r="E15" s="320">
        <f>D15</f>
        <v>0.06</v>
      </c>
      <c r="F15" s="320">
        <f t="shared" ref="F15:M15" si="0">E15</f>
        <v>0.06</v>
      </c>
      <c r="G15" s="320">
        <f t="shared" si="0"/>
        <v>0.06</v>
      </c>
      <c r="H15" s="320">
        <f t="shared" si="0"/>
        <v>0.06</v>
      </c>
      <c r="I15" s="320">
        <f t="shared" si="0"/>
        <v>0.06</v>
      </c>
      <c r="J15" s="320">
        <f t="shared" si="0"/>
        <v>0.06</v>
      </c>
      <c r="K15" s="320">
        <f t="shared" si="0"/>
        <v>0.06</v>
      </c>
      <c r="L15" s="320">
        <f t="shared" si="0"/>
        <v>0.06</v>
      </c>
      <c r="M15" s="320">
        <f t="shared" si="0"/>
        <v>0.06</v>
      </c>
    </row>
    <row r="16" spans="3:13">
      <c r="C16" t="s">
        <v>379</v>
      </c>
      <c r="D16" s="320">
        <v>0.06</v>
      </c>
      <c r="E16" s="320">
        <f t="shared" ref="E16:M16" si="1">D16</f>
        <v>0.06</v>
      </c>
      <c r="F16" s="320">
        <f t="shared" si="1"/>
        <v>0.06</v>
      </c>
      <c r="G16" s="320">
        <f t="shared" si="1"/>
        <v>0.06</v>
      </c>
      <c r="H16" s="320">
        <f t="shared" si="1"/>
        <v>0.06</v>
      </c>
      <c r="I16" s="320">
        <f t="shared" si="1"/>
        <v>0.06</v>
      </c>
      <c r="J16" s="320">
        <f t="shared" si="1"/>
        <v>0.06</v>
      </c>
      <c r="K16" s="320">
        <f t="shared" si="1"/>
        <v>0.06</v>
      </c>
      <c r="L16" s="320">
        <f t="shared" si="1"/>
        <v>0.06</v>
      </c>
      <c r="M16" s="320">
        <f t="shared" si="1"/>
        <v>0.06</v>
      </c>
    </row>
    <row r="17" spans="3:13">
      <c r="C17" t="s">
        <v>297</v>
      </c>
      <c r="D17" s="320">
        <v>0.06</v>
      </c>
      <c r="E17" s="320">
        <f t="shared" ref="E17:M17" si="2">D17</f>
        <v>0.06</v>
      </c>
      <c r="F17" s="320">
        <f t="shared" si="2"/>
        <v>0.06</v>
      </c>
      <c r="G17" s="320">
        <f t="shared" si="2"/>
        <v>0.06</v>
      </c>
      <c r="H17" s="320">
        <f t="shared" si="2"/>
        <v>0.06</v>
      </c>
      <c r="I17" s="320">
        <f t="shared" si="2"/>
        <v>0.06</v>
      </c>
      <c r="J17" s="320">
        <f t="shared" si="2"/>
        <v>0.06</v>
      </c>
      <c r="K17" s="320">
        <f t="shared" si="2"/>
        <v>0.06</v>
      </c>
      <c r="L17" s="320">
        <f t="shared" si="2"/>
        <v>0.06</v>
      </c>
      <c r="M17" s="320">
        <f t="shared" si="2"/>
        <v>0.06</v>
      </c>
    </row>
    <row r="18" spans="3:13">
      <c r="C18" t="s">
        <v>383</v>
      </c>
      <c r="D18" s="320">
        <v>0.06</v>
      </c>
      <c r="E18" s="320">
        <f t="shared" ref="E18:M18" si="3">D18</f>
        <v>0.06</v>
      </c>
      <c r="F18" s="320">
        <f t="shared" si="3"/>
        <v>0.06</v>
      </c>
      <c r="G18" s="320">
        <f t="shared" si="3"/>
        <v>0.06</v>
      </c>
      <c r="H18" s="320">
        <f t="shared" si="3"/>
        <v>0.06</v>
      </c>
      <c r="I18" s="320">
        <f t="shared" si="3"/>
        <v>0.06</v>
      </c>
      <c r="J18" s="320">
        <f t="shared" si="3"/>
        <v>0.06</v>
      </c>
      <c r="K18" s="320">
        <f t="shared" si="3"/>
        <v>0.06</v>
      </c>
      <c r="L18" s="320">
        <f t="shared" si="3"/>
        <v>0.06</v>
      </c>
      <c r="M18" s="320">
        <f t="shared" si="3"/>
        <v>0.06</v>
      </c>
    </row>
    <row r="19" spans="3:13">
      <c r="C19" t="s">
        <v>312</v>
      </c>
      <c r="D19" s="320">
        <v>0.06</v>
      </c>
      <c r="E19" s="320">
        <f t="shared" ref="E19:M19" si="4">D19</f>
        <v>0.06</v>
      </c>
      <c r="F19" s="320">
        <f t="shared" si="4"/>
        <v>0.06</v>
      </c>
      <c r="G19" s="320">
        <f t="shared" si="4"/>
        <v>0.06</v>
      </c>
      <c r="H19" s="320">
        <f t="shared" si="4"/>
        <v>0.06</v>
      </c>
      <c r="I19" s="320">
        <f t="shared" si="4"/>
        <v>0.06</v>
      </c>
      <c r="J19" s="320">
        <f t="shared" si="4"/>
        <v>0.06</v>
      </c>
      <c r="K19" s="320">
        <f t="shared" si="4"/>
        <v>0.06</v>
      </c>
      <c r="L19" s="320">
        <f t="shared" si="4"/>
        <v>0.06</v>
      </c>
      <c r="M19" s="320">
        <f t="shared" si="4"/>
        <v>0.06</v>
      </c>
    </row>
    <row r="21" spans="3:13">
      <c r="C21" t="s">
        <v>346</v>
      </c>
    </row>
    <row r="22" spans="3:13">
      <c r="D22" t="s">
        <v>139</v>
      </c>
      <c r="E22" t="s">
        <v>140</v>
      </c>
      <c r="F22" t="s">
        <v>141</v>
      </c>
      <c r="G22" t="s">
        <v>142</v>
      </c>
      <c r="H22" t="s">
        <v>143</v>
      </c>
      <c r="I22" t="s">
        <v>144</v>
      </c>
      <c r="J22" t="s">
        <v>145</v>
      </c>
      <c r="K22" t="s">
        <v>146</v>
      </c>
      <c r="L22" t="s">
        <v>147</v>
      </c>
      <c r="M22" t="s">
        <v>148</v>
      </c>
    </row>
    <row r="23" spans="3:13">
      <c r="C23" t="s">
        <v>378</v>
      </c>
    </row>
    <row r="24" spans="3:13">
      <c r="C24" t="s">
        <v>379</v>
      </c>
    </row>
    <row r="25" spans="3:13">
      <c r="C25" t="s">
        <v>297</v>
      </c>
    </row>
    <row r="26" spans="3:13">
      <c r="C26" t="s">
        <v>383</v>
      </c>
    </row>
    <row r="27" spans="3:13">
      <c r="C27" t="s">
        <v>312</v>
      </c>
    </row>
    <row r="28" spans="3:13">
      <c r="C28" t="s">
        <v>392</v>
      </c>
    </row>
    <row r="29" spans="3:13">
      <c r="C29" t="s">
        <v>393</v>
      </c>
    </row>
    <row r="30" spans="3:13">
      <c r="C30" t="s">
        <v>394</v>
      </c>
    </row>
    <row r="31" spans="3:13">
      <c r="C31" t="s">
        <v>395</v>
      </c>
    </row>
  </sheetData>
  <phoneticPr fontId="4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CB9DB-A463-4D06-86A2-6BE2CAADB417}">
  <dimension ref="A1:N68"/>
  <sheetViews>
    <sheetView topLeftCell="A4" zoomScale="85" zoomScaleNormal="85" workbookViewId="0">
      <selection activeCell="F49" sqref="F49"/>
    </sheetView>
  </sheetViews>
  <sheetFormatPr defaultRowHeight="14.5"/>
  <cols>
    <col min="2" max="2" width="10.36328125" customWidth="1"/>
    <col min="3" max="3" width="31.08984375" bestFit="1" customWidth="1"/>
    <col min="4" max="4" width="23.6328125" style="11" customWidth="1"/>
    <col min="5" max="5" width="11.90625" bestFit="1" customWidth="1"/>
    <col min="6" max="6" width="35.6328125" bestFit="1" customWidth="1"/>
    <col min="7" max="7" width="13.90625" customWidth="1"/>
    <col min="8" max="8" width="11.54296875" bestFit="1" customWidth="1"/>
    <col min="9" max="9" width="35.6328125" bestFit="1" customWidth="1"/>
    <col min="10" max="10" width="10.1796875" customWidth="1"/>
    <col min="11" max="11" width="35.6328125" bestFit="1" customWidth="1"/>
  </cols>
  <sheetData>
    <row r="1" spans="1:10">
      <c r="A1" s="1" t="s">
        <v>0</v>
      </c>
      <c r="B1" s="2" t="str">
        <f>'Table of Contents'!B1</f>
        <v>Electronics Manufacturing Venture</v>
      </c>
      <c r="C1" s="3"/>
      <c r="D1" s="3"/>
      <c r="E1" s="3"/>
      <c r="F1" s="4" t="s">
        <v>1</v>
      </c>
      <c r="G1" s="5" t="s">
        <v>2</v>
      </c>
    </row>
    <row r="2" spans="1:10">
      <c r="A2" s="1" t="s">
        <v>3</v>
      </c>
      <c r="B2" s="2" t="str">
        <f>'Table of Contents'!B2</f>
        <v>Krishnamurthy Bindumadhavan</v>
      </c>
      <c r="C2" s="3"/>
      <c r="D2" s="3"/>
      <c r="E2" s="3"/>
      <c r="F2" s="6" t="s">
        <v>4</v>
      </c>
      <c r="G2" s="5" t="s">
        <v>5</v>
      </c>
    </row>
    <row r="3" spans="1:10">
      <c r="A3" s="1" t="s">
        <v>6</v>
      </c>
      <c r="B3" s="2" t="s">
        <v>7</v>
      </c>
      <c r="C3" s="3"/>
      <c r="D3" s="3"/>
      <c r="E3" s="3"/>
      <c r="F3" s="7" t="s">
        <v>8</v>
      </c>
      <c r="G3" s="5" t="s">
        <v>9</v>
      </c>
    </row>
    <row r="4" spans="1:10">
      <c r="A4" s="8" t="s">
        <v>10</v>
      </c>
      <c r="B4" s="9">
        <v>46033</v>
      </c>
      <c r="C4" s="3"/>
      <c r="D4" s="3"/>
      <c r="E4" s="3"/>
      <c r="F4" s="10" t="s">
        <v>11</v>
      </c>
      <c r="G4" s="5" t="s">
        <v>12</v>
      </c>
    </row>
    <row r="6" spans="1:10" ht="15" thickBot="1"/>
    <row r="7" spans="1:10">
      <c r="C7" s="12" t="s">
        <v>284</v>
      </c>
      <c r="D7" s="13">
        <f>12*(30 - 8) - 10</f>
        <v>254</v>
      </c>
      <c r="F7" s="12"/>
      <c r="G7" s="13"/>
    </row>
    <row r="8" spans="1:10">
      <c r="C8" s="14" t="s">
        <v>292</v>
      </c>
      <c r="D8" s="15"/>
      <c r="F8" s="14" t="s">
        <v>13</v>
      </c>
      <c r="G8" s="15"/>
    </row>
    <row r="9" spans="1:10">
      <c r="C9" s="14" t="s">
        <v>286</v>
      </c>
      <c r="D9" s="16">
        <v>0.06</v>
      </c>
      <c r="F9" s="14" t="s">
        <v>14</v>
      </c>
      <c r="G9" s="17">
        <f>5000*12</f>
        <v>60000</v>
      </c>
      <c r="I9" t="s">
        <v>387</v>
      </c>
      <c r="J9" s="320"/>
    </row>
    <row r="10" spans="1:10">
      <c r="C10" s="14"/>
      <c r="D10" s="15"/>
      <c r="F10" s="14" t="s">
        <v>15</v>
      </c>
      <c r="G10" s="17">
        <f>1000*12</f>
        <v>12000</v>
      </c>
      <c r="I10" t="s">
        <v>385</v>
      </c>
      <c r="J10" s="320">
        <v>0.11</v>
      </c>
    </row>
    <row r="11" spans="1:10">
      <c r="C11" s="14" t="s">
        <v>16</v>
      </c>
      <c r="D11" s="16">
        <v>0.03</v>
      </c>
      <c r="F11" s="14" t="s">
        <v>17</v>
      </c>
      <c r="G11" s="17">
        <f>100*12</f>
        <v>1200</v>
      </c>
      <c r="I11" t="s">
        <v>386</v>
      </c>
      <c r="J11" s="320">
        <v>0.1</v>
      </c>
    </row>
    <row r="12" spans="1:10">
      <c r="C12" s="14" t="s">
        <v>18</v>
      </c>
      <c r="D12" s="16">
        <v>0.35</v>
      </c>
      <c r="F12" s="14" t="s">
        <v>19</v>
      </c>
      <c r="G12" s="17">
        <f>1000*12</f>
        <v>12000</v>
      </c>
    </row>
    <row r="13" spans="1:10">
      <c r="C13" s="14"/>
      <c r="D13" s="15"/>
      <c r="F13" s="14" t="s">
        <v>20</v>
      </c>
      <c r="G13" s="17">
        <f>500*12</f>
        <v>6000</v>
      </c>
    </row>
    <row r="14" spans="1:10">
      <c r="C14" s="14" t="s">
        <v>21</v>
      </c>
      <c r="D14" s="16">
        <v>0.15</v>
      </c>
      <c r="F14" s="14" t="s">
        <v>22</v>
      </c>
      <c r="G14" s="17">
        <f>500*12</f>
        <v>6000</v>
      </c>
    </row>
    <row r="15" spans="1:10">
      <c r="C15" s="14" t="s">
        <v>23</v>
      </c>
      <c r="D15" s="15">
        <v>10</v>
      </c>
      <c r="E15" t="s">
        <v>24</v>
      </c>
      <c r="F15" s="14" t="s">
        <v>25</v>
      </c>
      <c r="G15" s="17">
        <v>1000</v>
      </c>
    </row>
    <row r="16" spans="1:10">
      <c r="C16" s="14" t="s">
        <v>26</v>
      </c>
      <c r="D16" s="15">
        <v>10</v>
      </c>
      <c r="E16" t="s">
        <v>24</v>
      </c>
      <c r="F16" s="14" t="s">
        <v>27</v>
      </c>
      <c r="G16" s="17">
        <v>1000</v>
      </c>
    </row>
    <row r="17" spans="3:7">
      <c r="C17" s="14"/>
      <c r="D17" s="15"/>
      <c r="F17" s="14" t="s">
        <v>290</v>
      </c>
      <c r="G17" s="17">
        <f>500*12</f>
        <v>6000</v>
      </c>
    </row>
    <row r="18" spans="3:7">
      <c r="C18" s="14" t="s">
        <v>28</v>
      </c>
      <c r="D18" s="15"/>
      <c r="F18" s="14" t="s">
        <v>29</v>
      </c>
      <c r="G18" s="17">
        <f>G28*G29*G30</f>
        <v>31200</v>
      </c>
    </row>
    <row r="19" spans="3:7">
      <c r="C19" s="14" t="s">
        <v>30</v>
      </c>
      <c r="D19" s="17">
        <v>120000</v>
      </c>
      <c r="F19" s="14" t="s">
        <v>291</v>
      </c>
      <c r="G19" s="17">
        <v>120000</v>
      </c>
    </row>
    <row r="20" spans="3:7">
      <c r="C20" s="14" t="s">
        <v>287</v>
      </c>
      <c r="D20" s="17">
        <v>75000</v>
      </c>
      <c r="F20" s="14" t="s">
        <v>31</v>
      </c>
      <c r="G20" s="17">
        <f>100*12</f>
        <v>1200</v>
      </c>
    </row>
    <row r="21" spans="3:7">
      <c r="C21" s="14" t="s">
        <v>32</v>
      </c>
      <c r="D21" s="17">
        <v>5000</v>
      </c>
      <c r="F21" s="14" t="s">
        <v>33</v>
      </c>
      <c r="G21" s="17">
        <v>1000</v>
      </c>
    </row>
    <row r="22" spans="3:7">
      <c r="C22" s="14" t="s">
        <v>34</v>
      </c>
      <c r="D22" s="17">
        <v>5000</v>
      </c>
      <c r="F22" s="14" t="s">
        <v>35</v>
      </c>
      <c r="G22" s="17">
        <v>5000</v>
      </c>
    </row>
    <row r="23" spans="3:7">
      <c r="C23" s="14" t="s">
        <v>288</v>
      </c>
      <c r="D23" s="17">
        <v>5000</v>
      </c>
      <c r="F23" s="14"/>
      <c r="G23" s="15"/>
    </row>
    <row r="24" spans="3:7" ht="15.5">
      <c r="C24" s="14"/>
      <c r="D24" s="17"/>
      <c r="F24" s="18" t="s">
        <v>36</v>
      </c>
      <c r="G24" s="15"/>
    </row>
    <row r="25" spans="3:7">
      <c r="C25" s="14" t="s">
        <v>37</v>
      </c>
      <c r="D25" s="17">
        <v>5000</v>
      </c>
      <c r="F25" s="14" t="s">
        <v>38</v>
      </c>
      <c r="G25" s="17">
        <v>5000</v>
      </c>
    </row>
    <row r="26" spans="3:7">
      <c r="C26" s="14" t="s">
        <v>289</v>
      </c>
      <c r="D26" s="17">
        <f>G9/12*3</f>
        <v>15000</v>
      </c>
      <c r="F26" s="19" t="s">
        <v>39</v>
      </c>
      <c r="G26" s="20">
        <v>500</v>
      </c>
    </row>
    <row r="27" spans="3:7">
      <c r="C27" s="14" t="s">
        <v>40</v>
      </c>
      <c r="D27" s="17">
        <v>1000</v>
      </c>
      <c r="F27" s="434" t="s">
        <v>389</v>
      </c>
      <c r="G27" s="435">
        <v>75</v>
      </c>
    </row>
    <row r="28" spans="3:7">
      <c r="C28" s="14" t="s">
        <v>41</v>
      </c>
      <c r="D28" s="17">
        <v>5000</v>
      </c>
      <c r="F28" s="14" t="s">
        <v>42</v>
      </c>
      <c r="G28" s="22">
        <v>15</v>
      </c>
    </row>
    <row r="29" spans="3:7">
      <c r="C29" s="14" t="s">
        <v>43</v>
      </c>
      <c r="D29" s="17">
        <v>1000</v>
      </c>
      <c r="F29" s="14" t="s">
        <v>44</v>
      </c>
      <c r="G29" s="21">
        <v>40</v>
      </c>
    </row>
    <row r="30" spans="3:7">
      <c r="C30" s="14" t="s">
        <v>45</v>
      </c>
      <c r="D30" s="17">
        <v>3000</v>
      </c>
      <c r="F30" s="14" t="s">
        <v>46</v>
      </c>
      <c r="G30" s="21">
        <v>52</v>
      </c>
    </row>
    <row r="31" spans="3:7" ht="15" thickBot="1">
      <c r="C31" s="23" t="s">
        <v>35</v>
      </c>
      <c r="D31" s="24">
        <v>5000</v>
      </c>
      <c r="F31" s="447" t="s">
        <v>388</v>
      </c>
      <c r="G31" s="447">
        <v>50</v>
      </c>
    </row>
    <row r="32" spans="3:7" ht="14" customHeight="1">
      <c r="E32" s="449"/>
      <c r="F32" s="448" t="s">
        <v>391</v>
      </c>
      <c r="G32" s="446">
        <v>55</v>
      </c>
    </row>
    <row r="33" spans="2:14" ht="15" hidden="1" thickBot="1">
      <c r="C33" s="25" t="s">
        <v>293</v>
      </c>
      <c r="D33" s="26" t="s">
        <v>47</v>
      </c>
      <c r="E33" s="445" t="s">
        <v>48</v>
      </c>
      <c r="F33" s="445" t="s">
        <v>49</v>
      </c>
      <c r="G33" s="445" t="s">
        <v>50</v>
      </c>
      <c r="H33" s="27" t="s">
        <v>51</v>
      </c>
      <c r="I33" s="28" t="s">
        <v>52</v>
      </c>
    </row>
    <row r="34" spans="2:14" hidden="1">
      <c r="C34" s="29" t="s">
        <v>53</v>
      </c>
      <c r="D34" s="30">
        <v>1</v>
      </c>
      <c r="E34" s="31">
        <v>120</v>
      </c>
      <c r="F34" s="31">
        <f>2/3*E34</f>
        <v>80</v>
      </c>
      <c r="G34" s="32">
        <v>0.8</v>
      </c>
      <c r="H34" s="32">
        <f>1-G34</f>
        <v>0.19999999999999996</v>
      </c>
      <c r="I34" s="33">
        <f>SUMPRODUCT(E34:F34,G34:H34)</f>
        <v>112</v>
      </c>
    </row>
    <row r="35" spans="2:14" hidden="1">
      <c r="C35" s="14" t="s">
        <v>54</v>
      </c>
      <c r="D35" s="34">
        <v>0.2</v>
      </c>
      <c r="E35" s="35">
        <v>200</v>
      </c>
      <c r="F35" s="35">
        <f t="shared" ref="F35:F39" si="0">2/3*E35</f>
        <v>133.33333333333331</v>
      </c>
      <c r="G35" s="36">
        <v>0.8</v>
      </c>
      <c r="H35" s="36">
        <f t="shared" ref="H35:H39" si="1">1-G35</f>
        <v>0.19999999999999996</v>
      </c>
      <c r="I35" s="37">
        <f t="shared" ref="I35:I39" si="2">SUMPRODUCT(E35:F35,G35:H35)</f>
        <v>186.66666666666666</v>
      </c>
    </row>
    <row r="36" spans="2:14" hidden="1">
      <c r="C36" s="14" t="s">
        <v>55</v>
      </c>
      <c r="D36" s="34">
        <v>0.2</v>
      </c>
      <c r="E36" s="35">
        <v>200</v>
      </c>
      <c r="F36" s="35">
        <f t="shared" si="0"/>
        <v>133.33333333333331</v>
      </c>
      <c r="G36" s="36">
        <v>0.8</v>
      </c>
      <c r="H36" s="36">
        <f t="shared" si="1"/>
        <v>0.19999999999999996</v>
      </c>
      <c r="I36" s="37">
        <f t="shared" si="2"/>
        <v>186.66666666666666</v>
      </c>
    </row>
    <row r="37" spans="2:14" hidden="1">
      <c r="C37" s="14" t="s">
        <v>56</v>
      </c>
      <c r="D37" s="34">
        <v>0.1</v>
      </c>
      <c r="E37" s="35">
        <v>300</v>
      </c>
      <c r="F37" s="35">
        <f t="shared" si="0"/>
        <v>200</v>
      </c>
      <c r="G37" s="36">
        <v>0.8</v>
      </c>
      <c r="H37" s="36">
        <f t="shared" si="1"/>
        <v>0.19999999999999996</v>
      </c>
      <c r="I37" s="37">
        <f t="shared" si="2"/>
        <v>280</v>
      </c>
    </row>
    <row r="38" spans="2:14" hidden="1">
      <c r="C38" s="14" t="s">
        <v>57</v>
      </c>
      <c r="D38" s="34">
        <v>0.3</v>
      </c>
      <c r="E38" s="35">
        <v>120</v>
      </c>
      <c r="F38" s="35">
        <f t="shared" si="0"/>
        <v>80</v>
      </c>
      <c r="G38" s="36">
        <v>0.8</v>
      </c>
      <c r="H38" s="36">
        <f t="shared" si="1"/>
        <v>0.19999999999999996</v>
      </c>
      <c r="I38" s="37">
        <f t="shared" si="2"/>
        <v>112</v>
      </c>
    </row>
    <row r="39" spans="2:14" hidden="1">
      <c r="C39" s="19" t="s">
        <v>58</v>
      </c>
      <c r="D39" s="436">
        <v>0.05</v>
      </c>
      <c r="E39" s="437">
        <v>300</v>
      </c>
      <c r="F39" s="35">
        <f t="shared" si="0"/>
        <v>200</v>
      </c>
      <c r="G39" s="36">
        <v>0.8</v>
      </c>
      <c r="H39" s="438">
        <f t="shared" si="1"/>
        <v>0.19999999999999996</v>
      </c>
      <c r="I39" s="439">
        <f t="shared" si="2"/>
        <v>280</v>
      </c>
    </row>
    <row r="40" spans="2:14" ht="14.5" customHeight="1">
      <c r="B40" s="440"/>
      <c r="C40" s="440"/>
      <c r="D40" s="441"/>
      <c r="E40" s="442"/>
      <c r="F40" s="451"/>
      <c r="G40" s="452"/>
      <c r="H40" s="443"/>
      <c r="I40" s="444"/>
    </row>
    <row r="41" spans="2:14" ht="13" customHeight="1">
      <c r="B41" s="440"/>
      <c r="C41" s="440"/>
      <c r="D41" s="441"/>
      <c r="E41" s="442"/>
      <c r="F41" s="442"/>
      <c r="G41" s="443"/>
      <c r="H41" s="443"/>
      <c r="I41" s="444"/>
    </row>
    <row r="42" spans="2:14" ht="27" customHeight="1">
      <c r="C42" s="440"/>
      <c r="D42" s="441"/>
      <c r="E42" s="442"/>
      <c r="F42" s="442"/>
      <c r="G42" s="443"/>
      <c r="H42" s="443"/>
      <c r="I42" s="444"/>
    </row>
    <row r="43" spans="2:14" ht="28.5" customHeight="1" thickBot="1"/>
    <row r="44" spans="2:14" ht="29.5" thickBot="1">
      <c r="C44" s="25" t="s">
        <v>59</v>
      </c>
      <c r="D44" s="39" t="s">
        <v>319</v>
      </c>
      <c r="E44" s="39" t="s">
        <v>318</v>
      </c>
      <c r="F44" s="39" t="s">
        <v>337</v>
      </c>
      <c r="G44" s="27" t="s">
        <v>60</v>
      </c>
      <c r="H44" s="27" t="s">
        <v>61</v>
      </c>
      <c r="I44" s="27" t="s">
        <v>62</v>
      </c>
      <c r="J44" s="28" t="s">
        <v>63</v>
      </c>
    </row>
    <row r="45" spans="2:14">
      <c r="C45" s="29" t="s">
        <v>296</v>
      </c>
      <c r="D45" s="419">
        <f>D46*2</f>
        <v>2540</v>
      </c>
      <c r="E45" s="40">
        <v>0.15</v>
      </c>
      <c r="F45" s="424">
        <v>2</v>
      </c>
      <c r="G45" s="41">
        <v>1000</v>
      </c>
      <c r="H45" s="32">
        <v>0.35</v>
      </c>
      <c r="I45" s="32">
        <v>0</v>
      </c>
      <c r="J45" s="42">
        <f>K45</f>
        <v>88900</v>
      </c>
      <c r="K45" s="425">
        <f>H45*G45*D45/10</f>
        <v>88900</v>
      </c>
      <c r="N45" s="127">
        <f>SUM(J45:J48)</f>
        <v>381000</v>
      </c>
    </row>
    <row r="46" spans="2:14">
      <c r="C46" s="14" t="s">
        <v>297</v>
      </c>
      <c r="D46" s="419">
        <f>5*$D$7</f>
        <v>1270</v>
      </c>
      <c r="E46" s="40">
        <v>0.15</v>
      </c>
      <c r="F46" s="424">
        <v>1</v>
      </c>
      <c r="G46" s="43">
        <v>2000</v>
      </c>
      <c r="H46" s="36">
        <v>0.35</v>
      </c>
      <c r="I46" s="36">
        <v>0</v>
      </c>
      <c r="J46" s="42">
        <f t="shared" ref="J46:J53" si="3">K46</f>
        <v>88900</v>
      </c>
      <c r="K46" s="425">
        <f t="shared" ref="K46:K53" si="4">H46*G46*D46/10</f>
        <v>88900</v>
      </c>
    </row>
    <row r="47" spans="2:14">
      <c r="C47" s="14" t="s">
        <v>298</v>
      </c>
      <c r="D47" s="419">
        <f>D46/2</f>
        <v>635</v>
      </c>
      <c r="E47" s="40">
        <v>0.1</v>
      </c>
      <c r="F47" s="424">
        <v>2</v>
      </c>
      <c r="G47" s="43">
        <v>3000</v>
      </c>
      <c r="H47" s="36">
        <v>0.4</v>
      </c>
      <c r="I47" s="36">
        <v>0</v>
      </c>
      <c r="J47" s="42">
        <f t="shared" si="3"/>
        <v>76200</v>
      </c>
      <c r="K47" s="425">
        <f t="shared" si="4"/>
        <v>76200</v>
      </c>
    </row>
    <row r="48" spans="2:14">
      <c r="C48" s="14" t="s">
        <v>312</v>
      </c>
      <c r="D48" s="419">
        <f>D47/2</f>
        <v>317.5</v>
      </c>
      <c r="E48" s="40">
        <v>0.1</v>
      </c>
      <c r="F48" s="424">
        <v>3</v>
      </c>
      <c r="G48" s="43">
        <v>10000</v>
      </c>
      <c r="H48" s="36">
        <v>0.4</v>
      </c>
      <c r="I48" s="36">
        <v>0</v>
      </c>
      <c r="J48" s="42">
        <f t="shared" si="3"/>
        <v>127000</v>
      </c>
      <c r="K48" s="425">
        <f t="shared" si="4"/>
        <v>127000</v>
      </c>
    </row>
    <row r="49" spans="2:11">
      <c r="C49" s="14" t="s">
        <v>313</v>
      </c>
      <c r="D49" s="420">
        <v>0</v>
      </c>
      <c r="E49" s="40">
        <v>0.1</v>
      </c>
      <c r="F49" s="422"/>
      <c r="G49" s="43">
        <v>0</v>
      </c>
      <c r="H49" s="36">
        <v>0.35</v>
      </c>
      <c r="I49" s="36">
        <v>0</v>
      </c>
      <c r="J49" s="42">
        <f t="shared" si="3"/>
        <v>0</v>
      </c>
      <c r="K49" s="425">
        <f t="shared" si="4"/>
        <v>0</v>
      </c>
    </row>
    <row r="50" spans="2:11">
      <c r="C50" s="14" t="s">
        <v>314</v>
      </c>
      <c r="D50" s="420">
        <v>0</v>
      </c>
      <c r="E50" s="40">
        <v>0.1</v>
      </c>
      <c r="F50" s="422"/>
      <c r="G50" s="43">
        <v>0</v>
      </c>
      <c r="H50" s="36">
        <v>0.35</v>
      </c>
      <c r="I50" s="36">
        <v>0</v>
      </c>
      <c r="J50" s="42">
        <f t="shared" si="3"/>
        <v>0</v>
      </c>
      <c r="K50" s="425">
        <f t="shared" si="4"/>
        <v>0</v>
      </c>
    </row>
    <row r="51" spans="2:11">
      <c r="C51" s="14" t="s">
        <v>315</v>
      </c>
      <c r="D51" s="420">
        <v>0</v>
      </c>
      <c r="E51" s="40">
        <v>0.1</v>
      </c>
      <c r="F51" s="422"/>
      <c r="G51" s="43">
        <v>0</v>
      </c>
      <c r="H51" s="36">
        <v>0.35</v>
      </c>
      <c r="I51" s="36">
        <v>0</v>
      </c>
      <c r="J51" s="42">
        <f t="shared" si="3"/>
        <v>0</v>
      </c>
      <c r="K51" s="425">
        <f t="shared" si="4"/>
        <v>0</v>
      </c>
    </row>
    <row r="52" spans="2:11">
      <c r="C52" s="14" t="s">
        <v>316</v>
      </c>
      <c r="D52" s="420">
        <v>0</v>
      </c>
      <c r="E52" s="40">
        <v>0.1</v>
      </c>
      <c r="F52" s="422"/>
      <c r="G52" s="43">
        <v>0</v>
      </c>
      <c r="H52" s="36">
        <v>0.35</v>
      </c>
      <c r="I52" s="36">
        <v>0</v>
      </c>
      <c r="J52" s="42">
        <f t="shared" si="3"/>
        <v>0</v>
      </c>
      <c r="K52" s="425">
        <f t="shared" si="4"/>
        <v>0</v>
      </c>
    </row>
    <row r="53" spans="2:11" ht="15" thickBot="1">
      <c r="C53" s="23" t="s">
        <v>317</v>
      </c>
      <c r="D53" s="421">
        <v>0</v>
      </c>
      <c r="E53" s="40">
        <v>0.1</v>
      </c>
      <c r="F53" s="423"/>
      <c r="G53" s="44">
        <v>0</v>
      </c>
      <c r="H53" s="38">
        <v>0.35</v>
      </c>
      <c r="I53" s="38">
        <v>0</v>
      </c>
      <c r="J53" s="42">
        <f t="shared" si="3"/>
        <v>0</v>
      </c>
      <c r="K53" s="425">
        <f t="shared" si="4"/>
        <v>0</v>
      </c>
    </row>
    <row r="55" spans="2:11">
      <c r="C55" t="s">
        <v>355</v>
      </c>
    </row>
    <row r="56" spans="2:11">
      <c r="C56" t="s">
        <v>339</v>
      </c>
      <c r="D56" t="s">
        <v>351</v>
      </c>
      <c r="E56" t="s">
        <v>353</v>
      </c>
      <c r="F56" t="s">
        <v>354</v>
      </c>
      <c r="G56" t="s">
        <v>352</v>
      </c>
      <c r="H56" t="s">
        <v>122</v>
      </c>
    </row>
    <row r="57" spans="2:11">
      <c r="B57" t="s">
        <v>338</v>
      </c>
      <c r="C57" t="s">
        <v>340</v>
      </c>
    </row>
    <row r="58" spans="2:11">
      <c r="C58" t="s">
        <v>341</v>
      </c>
    </row>
    <row r="59" spans="2:11">
      <c r="C59" t="s">
        <v>342</v>
      </c>
    </row>
    <row r="60" spans="2:11">
      <c r="C60" t="s">
        <v>343</v>
      </c>
    </row>
    <row r="61" spans="2:11">
      <c r="C61" t="s">
        <v>344</v>
      </c>
    </row>
    <row r="62" spans="2:11">
      <c r="C62" t="s">
        <v>345</v>
      </c>
      <c r="D62"/>
    </row>
    <row r="63" spans="2:11">
      <c r="C63" t="s">
        <v>346</v>
      </c>
      <c r="D63"/>
    </row>
    <row r="64" spans="2:11">
      <c r="C64" t="s">
        <v>349</v>
      </c>
      <c r="D64"/>
    </row>
    <row r="65" spans="3:5">
      <c r="C65" t="s">
        <v>347</v>
      </c>
      <c r="D65"/>
    </row>
    <row r="66" spans="3:5">
      <c r="C66" t="s">
        <v>348</v>
      </c>
      <c r="D66"/>
      <c r="E66" s="45"/>
    </row>
    <row r="67" spans="3:5">
      <c r="C67" t="s">
        <v>350</v>
      </c>
      <c r="D67"/>
    </row>
    <row r="68" spans="3:5">
      <c r="C68" t="s">
        <v>122</v>
      </c>
      <c r="D6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7577-3BE9-4A04-89C8-92FE4453114B}">
  <dimension ref="A1:L149"/>
  <sheetViews>
    <sheetView topLeftCell="A124" zoomScale="82" zoomScaleNormal="85" workbookViewId="0">
      <selection activeCell="C141" sqref="C141"/>
    </sheetView>
  </sheetViews>
  <sheetFormatPr defaultRowHeight="14.5"/>
  <cols>
    <col min="1" max="1" width="66.6328125" bestFit="1" customWidth="1"/>
    <col min="3" max="9" width="12.81640625" customWidth="1"/>
    <col min="10" max="10" width="16.7265625" customWidth="1"/>
    <col min="11" max="11" width="12.81640625" customWidth="1"/>
    <col min="12" max="12" width="15.1796875" customWidth="1"/>
  </cols>
  <sheetData>
    <row r="1" spans="1:12">
      <c r="A1" s="1" t="s">
        <v>0</v>
      </c>
      <c r="B1" s="2" t="str">
        <f>'Table of Contents'!B1</f>
        <v>Electronics Manufacturing Venture</v>
      </c>
      <c r="C1" s="3"/>
      <c r="D1" s="3"/>
      <c r="E1" s="4" t="s">
        <v>1</v>
      </c>
      <c r="F1" s="5" t="s">
        <v>2</v>
      </c>
    </row>
    <row r="2" spans="1:12">
      <c r="A2" s="1" t="s">
        <v>3</v>
      </c>
      <c r="B2" s="2" t="str">
        <f>'Table of Contents'!B2</f>
        <v>Krishnamurthy Bindumadhavan</v>
      </c>
      <c r="C2" s="3"/>
      <c r="D2" s="3"/>
      <c r="E2" s="6" t="s">
        <v>4</v>
      </c>
      <c r="F2" s="5" t="s">
        <v>5</v>
      </c>
    </row>
    <row r="3" spans="1:12">
      <c r="A3" s="1" t="s">
        <v>6</v>
      </c>
      <c r="B3" s="2" t="s">
        <v>80</v>
      </c>
      <c r="C3" s="3"/>
      <c r="D3" s="3"/>
      <c r="E3" s="7" t="s">
        <v>8</v>
      </c>
      <c r="F3" s="5" t="s">
        <v>9</v>
      </c>
    </row>
    <row r="4" spans="1:12">
      <c r="A4" s="8" t="s">
        <v>10</v>
      </c>
      <c r="B4" s="9">
        <v>46033</v>
      </c>
      <c r="C4" s="3"/>
      <c r="D4" s="3"/>
      <c r="E4" s="10" t="s">
        <v>11</v>
      </c>
      <c r="F4" s="5" t="s">
        <v>12</v>
      </c>
    </row>
    <row r="5" spans="1:12" ht="15" thickBot="1"/>
    <row r="6" spans="1:12" ht="19" thickBot="1">
      <c r="A6" s="131" t="s">
        <v>80</v>
      </c>
      <c r="B6" s="26"/>
      <c r="C6" s="27" t="s">
        <v>139</v>
      </c>
      <c r="D6" s="27" t="s">
        <v>140</v>
      </c>
      <c r="E6" s="27" t="s">
        <v>141</v>
      </c>
      <c r="F6" s="27" t="s">
        <v>142</v>
      </c>
      <c r="G6" s="27" t="s">
        <v>143</v>
      </c>
      <c r="H6" s="27" t="s">
        <v>144</v>
      </c>
      <c r="I6" s="27" t="s">
        <v>145</v>
      </c>
      <c r="J6" s="27" t="s">
        <v>146</v>
      </c>
      <c r="K6" s="27" t="s">
        <v>147</v>
      </c>
      <c r="L6" s="28" t="s">
        <v>148</v>
      </c>
    </row>
    <row r="7" spans="1:12" ht="18.5">
      <c r="A7" s="132"/>
      <c r="B7" s="133"/>
      <c r="C7" s="134"/>
      <c r="D7" s="134"/>
      <c r="E7" s="134"/>
      <c r="F7" s="134"/>
      <c r="G7" s="134"/>
      <c r="H7" s="134"/>
      <c r="I7" s="134"/>
      <c r="J7" s="134"/>
      <c r="K7" s="134"/>
      <c r="L7" s="135"/>
    </row>
    <row r="8" spans="1:12" ht="18.5">
      <c r="A8" s="136" t="s">
        <v>95</v>
      </c>
      <c r="B8" s="137"/>
      <c r="C8" s="53"/>
      <c r="D8" s="53"/>
      <c r="E8" s="53"/>
      <c r="F8" s="53"/>
      <c r="G8" s="53"/>
      <c r="H8" s="53"/>
      <c r="I8" s="53"/>
      <c r="J8" s="53"/>
      <c r="K8" s="53"/>
      <c r="L8" s="54"/>
    </row>
    <row r="9" spans="1:12" ht="15" customHeight="1">
      <c r="A9" s="14"/>
      <c r="B9" s="137"/>
      <c r="C9" s="53"/>
      <c r="D9" s="53"/>
      <c r="E9" s="53"/>
      <c r="F9" s="53"/>
      <c r="G9" s="53"/>
      <c r="H9" s="53"/>
      <c r="I9" s="53"/>
      <c r="J9" s="53"/>
      <c r="K9" s="53"/>
      <c r="L9" s="54"/>
    </row>
    <row r="10" spans="1:12" hidden="1">
      <c r="A10" s="14" t="s">
        <v>285</v>
      </c>
      <c r="B10" s="137"/>
      <c r="C10" s="53">
        <f>Assumptions!$D$7</f>
        <v>254</v>
      </c>
      <c r="D10" s="53">
        <f t="shared" ref="D10:L10" si="0">C10</f>
        <v>254</v>
      </c>
      <c r="E10" s="53">
        <f t="shared" si="0"/>
        <v>254</v>
      </c>
      <c r="F10" s="53">
        <f t="shared" si="0"/>
        <v>254</v>
      </c>
      <c r="G10" s="53">
        <f t="shared" si="0"/>
        <v>254</v>
      </c>
      <c r="H10" s="53">
        <f t="shared" si="0"/>
        <v>254</v>
      </c>
      <c r="I10" s="53">
        <f t="shared" si="0"/>
        <v>254</v>
      </c>
      <c r="J10" s="53">
        <f t="shared" si="0"/>
        <v>254</v>
      </c>
      <c r="K10" s="53">
        <f t="shared" si="0"/>
        <v>254</v>
      </c>
      <c r="L10" s="54">
        <f t="shared" si="0"/>
        <v>254</v>
      </c>
    </row>
    <row r="11" spans="1:12" ht="20" hidden="1">
      <c r="A11" s="139"/>
      <c r="B11" s="137"/>
      <c r="C11" s="140"/>
      <c r="D11" s="140"/>
      <c r="E11" s="140"/>
      <c r="F11" s="140"/>
      <c r="G11" s="140"/>
      <c r="H11" s="140"/>
      <c r="I11" s="140"/>
      <c r="J11" s="140"/>
      <c r="K11" s="140"/>
      <c r="L11" s="141"/>
    </row>
    <row r="12" spans="1:12" ht="18.5">
      <c r="A12" s="136" t="s">
        <v>300</v>
      </c>
      <c r="B12" s="137"/>
      <c r="C12" s="140"/>
      <c r="D12" s="140"/>
      <c r="E12" s="140"/>
      <c r="F12" s="140"/>
      <c r="G12" s="140"/>
      <c r="H12" s="140"/>
      <c r="I12" s="140"/>
      <c r="J12" s="140"/>
      <c r="K12" s="140"/>
      <c r="L12" s="141"/>
    </row>
    <row r="13" spans="1:12" ht="15.5">
      <c r="A13" s="139" t="s">
        <v>384</v>
      </c>
      <c r="B13" s="137"/>
      <c r="C13" s="140"/>
      <c r="D13" s="140"/>
      <c r="E13" s="140"/>
      <c r="F13" s="140"/>
      <c r="G13" s="140"/>
      <c r="H13" s="140"/>
      <c r="I13" s="140"/>
      <c r="J13" s="140"/>
      <c r="K13" s="140"/>
      <c r="L13" s="141"/>
    </row>
    <row r="14" spans="1:12" ht="15.5">
      <c r="A14" s="139" t="s">
        <v>301</v>
      </c>
      <c r="B14" s="137"/>
      <c r="C14" s="53"/>
      <c r="D14" s="53"/>
      <c r="E14" s="53"/>
      <c r="F14" s="53"/>
      <c r="G14" s="53"/>
      <c r="H14" s="53"/>
      <c r="I14" s="53"/>
      <c r="J14" s="53"/>
      <c r="K14" s="53"/>
      <c r="L14" s="54"/>
    </row>
    <row r="15" spans="1:12">
      <c r="A15" s="14" t="s">
        <v>311</v>
      </c>
      <c r="B15" s="137"/>
      <c r="C15" s="138"/>
      <c r="D15" s="138">
        <f>Assumptions!D45</f>
        <v>2540</v>
      </c>
      <c r="E15" s="138">
        <f>D15*(1+Assumptions!$E$45)</f>
        <v>2921</v>
      </c>
      <c r="F15" s="138">
        <f>E15*(1+Assumptions!$E$45)</f>
        <v>3359.1499999999996</v>
      </c>
      <c r="G15" s="138">
        <f>F15*(1+Assumptions!$E$45)</f>
        <v>3863.0224999999991</v>
      </c>
      <c r="H15" s="138">
        <f>G15*(1+Assumptions!$E$45)</f>
        <v>4442.4758749999983</v>
      </c>
      <c r="I15" s="138">
        <f>H15*(1+Assumptions!$E$45)</f>
        <v>5108.8472562499974</v>
      </c>
      <c r="J15" s="138">
        <f>I15*(1+Assumptions!$E$45)</f>
        <v>5875.1743446874962</v>
      </c>
      <c r="K15" s="138">
        <f>J15*(1+Assumptions!$E$45)</f>
        <v>6756.4504963906202</v>
      </c>
      <c r="L15" s="138">
        <f>K15*(1+Assumptions!$E$45)</f>
        <v>7769.9180708492122</v>
      </c>
    </row>
    <row r="16" spans="1:12">
      <c r="A16" s="14" t="s">
        <v>60</v>
      </c>
      <c r="B16" s="137"/>
      <c r="C16" s="142"/>
      <c r="D16" s="140">
        <f>Assumptions!G45</f>
        <v>1000</v>
      </c>
      <c r="E16" s="140">
        <f>D16*(1+Assumptions!$D$11)</f>
        <v>1030</v>
      </c>
      <c r="F16" s="140">
        <f>E16*(1+Assumptions!$D$11)</f>
        <v>1060.9000000000001</v>
      </c>
      <c r="G16" s="140">
        <f>F16*(1+Assumptions!$D$11)</f>
        <v>1092.7270000000001</v>
      </c>
      <c r="H16" s="140">
        <f>G16*(1+Assumptions!$D$11)</f>
        <v>1125.50881</v>
      </c>
      <c r="I16" s="140">
        <f>H16*(1+Assumptions!$D$11)</f>
        <v>1159.2740743000002</v>
      </c>
      <c r="J16" s="140">
        <f>I16*(1+Assumptions!$D$11)</f>
        <v>1194.0522965290002</v>
      </c>
      <c r="K16" s="140">
        <f>J16*(1+Assumptions!$D$11)</f>
        <v>1229.8738654248702</v>
      </c>
      <c r="L16" s="140">
        <f>K16*(1+Assumptions!$D$11)</f>
        <v>1266.7700813876163</v>
      </c>
    </row>
    <row r="17" spans="1:12">
      <c r="A17" s="14"/>
      <c r="B17" s="137"/>
      <c r="C17" s="53"/>
      <c r="D17" s="53"/>
      <c r="E17" s="53"/>
      <c r="F17" s="53"/>
      <c r="G17" s="53"/>
      <c r="H17" s="53"/>
      <c r="I17" s="53"/>
      <c r="J17" s="53"/>
      <c r="K17" s="53"/>
      <c r="L17" s="54"/>
    </row>
    <row r="18" spans="1:12" ht="15.5">
      <c r="A18" s="139" t="s">
        <v>302</v>
      </c>
      <c r="B18" s="137"/>
      <c r="C18" s="140">
        <f t="shared" ref="C18:L18" si="1">C15*C16</f>
        <v>0</v>
      </c>
      <c r="D18" s="140">
        <f t="shared" si="1"/>
        <v>2540000</v>
      </c>
      <c r="E18" s="140">
        <f t="shared" si="1"/>
        <v>3008630</v>
      </c>
      <c r="F18" s="140">
        <f t="shared" si="1"/>
        <v>3563722.2349999999</v>
      </c>
      <c r="G18" s="140">
        <f t="shared" si="1"/>
        <v>4221228.9873574991</v>
      </c>
      <c r="H18" s="140">
        <f t="shared" si="1"/>
        <v>5000045.7355249571</v>
      </c>
      <c r="I18" s="140">
        <f t="shared" si="1"/>
        <v>5922554.1737293117</v>
      </c>
      <c r="J18" s="140">
        <f t="shared" si="1"/>
        <v>7015265.4187823683</v>
      </c>
      <c r="K18" s="140">
        <f t="shared" si="1"/>
        <v>8309581.8885477157</v>
      </c>
      <c r="L18" s="141">
        <f t="shared" si="1"/>
        <v>9842699.7469847668</v>
      </c>
    </row>
    <row r="19" spans="1:12">
      <c r="A19" s="14"/>
      <c r="B19" s="137"/>
      <c r="C19" s="53"/>
      <c r="D19" s="53"/>
      <c r="E19" s="53"/>
      <c r="F19" s="53"/>
      <c r="G19" s="53"/>
      <c r="H19" s="53"/>
      <c r="I19" s="53"/>
      <c r="J19" s="53"/>
      <c r="K19" s="53"/>
      <c r="L19" s="54"/>
    </row>
    <row r="20" spans="1:12" ht="15.5">
      <c r="A20" s="139" t="s">
        <v>320</v>
      </c>
      <c r="B20" s="137"/>
      <c r="C20" s="53"/>
      <c r="D20" s="53"/>
      <c r="E20" s="53"/>
      <c r="F20" s="53"/>
      <c r="G20" s="53"/>
      <c r="H20" s="53"/>
      <c r="I20" s="53"/>
      <c r="J20" s="53"/>
      <c r="K20" s="53"/>
      <c r="L20" s="54"/>
    </row>
    <row r="21" spans="1:12">
      <c r="A21" s="14" t="s">
        <v>311</v>
      </c>
      <c r="B21" s="137"/>
      <c r="C21" s="138">
        <f>Assumptions!D46</f>
        <v>1270</v>
      </c>
      <c r="D21" s="138">
        <f>C21*(1+Assumptions!$E$46)</f>
        <v>1460.5</v>
      </c>
      <c r="E21" s="138">
        <f>D21*(1+Assumptions!$E$46)</f>
        <v>1679.5749999999998</v>
      </c>
      <c r="F21" s="138">
        <f>E21*(1+Assumptions!$E$46)</f>
        <v>1931.5112499999996</v>
      </c>
      <c r="G21" s="138">
        <f>F21*(1+Assumptions!$E$46)</f>
        <v>2221.2379374999991</v>
      </c>
      <c r="H21" s="138">
        <f>G21*(1+Assumptions!$E$46)</f>
        <v>2554.4236281249987</v>
      </c>
      <c r="I21" s="138">
        <f>H21*(1+Assumptions!$E$46)</f>
        <v>2937.5871723437481</v>
      </c>
      <c r="J21" s="138">
        <f>I21*(1+Assumptions!$E$46)</f>
        <v>3378.2252481953101</v>
      </c>
      <c r="K21" s="138">
        <f>J21*(1+Assumptions!$E$46)</f>
        <v>3884.9590354246061</v>
      </c>
      <c r="L21" s="138">
        <f>K21*(1+Assumptions!$E$46)</f>
        <v>4467.7028907382964</v>
      </c>
    </row>
    <row r="22" spans="1:12">
      <c r="A22" s="14" t="s">
        <v>60</v>
      </c>
      <c r="B22" s="137"/>
      <c r="C22" s="142">
        <f>Assumptions!$G$46</f>
        <v>2000</v>
      </c>
      <c r="D22" s="140">
        <f>C22*(1+Assumptions!$D$11)</f>
        <v>2060</v>
      </c>
      <c r="E22" s="140">
        <f>D22*(1+Assumptions!$D$11)</f>
        <v>2121.8000000000002</v>
      </c>
      <c r="F22" s="140">
        <f>E22*(1+Assumptions!$D$11)</f>
        <v>2185.4540000000002</v>
      </c>
      <c r="G22" s="140">
        <f>F22*(1+Assumptions!$D$11)</f>
        <v>2251.0176200000001</v>
      </c>
      <c r="H22" s="140">
        <f>G22*(1+Assumptions!$D$11)</f>
        <v>2318.5481486000003</v>
      </c>
      <c r="I22" s="140">
        <f>H22*(1+Assumptions!$D$11)</f>
        <v>2388.1045930580003</v>
      </c>
      <c r="J22" s="140">
        <f>I22*(1+Assumptions!$D$11)</f>
        <v>2459.7477308497405</v>
      </c>
      <c r="K22" s="140">
        <f>J22*(1+Assumptions!$D$11)</f>
        <v>2533.5401627752326</v>
      </c>
      <c r="L22" s="140">
        <f>K22*(1+Assumptions!$D$11)</f>
        <v>2609.5463676584895</v>
      </c>
    </row>
    <row r="23" spans="1:12">
      <c r="A23" s="14"/>
      <c r="B23" s="137"/>
      <c r="C23" s="53"/>
      <c r="D23" s="53"/>
      <c r="E23" s="53"/>
      <c r="F23" s="53"/>
      <c r="G23" s="53"/>
      <c r="H23" s="53"/>
      <c r="I23" s="53"/>
      <c r="J23" s="53"/>
      <c r="K23" s="53"/>
      <c r="L23" s="54"/>
    </row>
    <row r="24" spans="1:12" ht="15.5">
      <c r="A24" s="139" t="s">
        <v>303</v>
      </c>
      <c r="B24" s="137"/>
      <c r="C24" s="140">
        <f t="shared" ref="C24:L24" si="2">C21*C22</f>
        <v>2540000</v>
      </c>
      <c r="D24" s="140">
        <f t="shared" si="2"/>
        <v>3008630</v>
      </c>
      <c r="E24" s="140">
        <f t="shared" si="2"/>
        <v>3563722.2349999999</v>
      </c>
      <c r="F24" s="140">
        <f t="shared" si="2"/>
        <v>4221228.9873574991</v>
      </c>
      <c r="G24" s="140">
        <f t="shared" si="2"/>
        <v>5000045.7355249571</v>
      </c>
      <c r="H24" s="140">
        <f t="shared" si="2"/>
        <v>5922554.1737293117</v>
      </c>
      <c r="I24" s="140">
        <f t="shared" si="2"/>
        <v>7015265.4187823683</v>
      </c>
      <c r="J24" s="140">
        <f t="shared" si="2"/>
        <v>8309581.8885477157</v>
      </c>
      <c r="K24" s="140">
        <f t="shared" si="2"/>
        <v>9842699.7469847668</v>
      </c>
      <c r="L24" s="141">
        <f t="shared" si="2"/>
        <v>11658677.850303454</v>
      </c>
    </row>
    <row r="25" spans="1:12" ht="15.5">
      <c r="A25" s="139"/>
      <c r="B25" s="137"/>
      <c r="C25" s="140"/>
      <c r="D25" s="140"/>
      <c r="E25" s="140"/>
      <c r="F25" s="140"/>
      <c r="G25" s="140"/>
      <c r="H25" s="140"/>
      <c r="I25" s="140"/>
      <c r="J25" s="140"/>
      <c r="K25" s="140"/>
      <c r="L25" s="141"/>
    </row>
    <row r="26" spans="1:12" ht="15.5">
      <c r="A26" s="139" t="s">
        <v>321</v>
      </c>
      <c r="B26" s="137"/>
      <c r="C26" s="53"/>
      <c r="D26" s="53"/>
      <c r="E26" s="53"/>
      <c r="F26" s="53"/>
      <c r="G26" s="53"/>
      <c r="H26" s="53"/>
      <c r="I26" s="53"/>
      <c r="J26" s="53"/>
      <c r="K26" s="53"/>
      <c r="L26" s="54"/>
    </row>
    <row r="27" spans="1:12">
      <c r="A27" s="14" t="s">
        <v>311</v>
      </c>
      <c r="B27" s="137"/>
      <c r="C27" s="138"/>
      <c r="D27" s="138">
        <f>Assumptions!D47</f>
        <v>635</v>
      </c>
      <c r="E27" s="138">
        <f>D27*(1+Assumptions!$E$47)</f>
        <v>698.5</v>
      </c>
      <c r="F27" s="138">
        <f>E27*(1+Assumptions!$E$47)</f>
        <v>768.35</v>
      </c>
      <c r="G27" s="138">
        <f>F27*(1+Assumptions!$E$47)</f>
        <v>845.18500000000006</v>
      </c>
      <c r="H27" s="138">
        <f>G27*(1+Assumptions!$E$47)</f>
        <v>929.70350000000019</v>
      </c>
      <c r="I27" s="138">
        <f>H27*(1+Assumptions!$E$47)</f>
        <v>1022.6738500000002</v>
      </c>
      <c r="J27" s="138">
        <f>I27*(1+Assumptions!$E$47)</f>
        <v>1124.9412350000005</v>
      </c>
      <c r="K27" s="138">
        <f>J27*(1+Assumptions!$E$47)</f>
        <v>1237.4353585000006</v>
      </c>
      <c r="L27" s="138">
        <f>K27*(1+Assumptions!$E$47)</f>
        <v>1361.1788943500007</v>
      </c>
    </row>
    <row r="28" spans="1:12">
      <c r="A28" s="14" t="s">
        <v>60</v>
      </c>
      <c r="B28" s="137"/>
      <c r="C28" s="142"/>
      <c r="D28" s="140">
        <f>Assumptions!G47</f>
        <v>3000</v>
      </c>
      <c r="E28" s="140">
        <f>D28*(1+Assumptions!$D$11)</f>
        <v>3090</v>
      </c>
      <c r="F28" s="140">
        <f>E28*(1+Assumptions!$D$11)</f>
        <v>3182.7000000000003</v>
      </c>
      <c r="G28" s="140">
        <f>F28*(1+Assumptions!$D$11)</f>
        <v>3278.1810000000005</v>
      </c>
      <c r="H28" s="140">
        <f>G28*(1+Assumptions!$D$11)</f>
        <v>3376.5264300000008</v>
      </c>
      <c r="I28" s="140">
        <f>H28*(1+Assumptions!$D$11)</f>
        <v>3477.8222229000007</v>
      </c>
      <c r="J28" s="140">
        <f>I28*(1+Assumptions!$D$11)</f>
        <v>3582.1568895870009</v>
      </c>
      <c r="K28" s="140">
        <f>J28*(1+Assumptions!$D$11)</f>
        <v>3689.621596274611</v>
      </c>
      <c r="L28" s="140">
        <f>K28*(1+Assumptions!$D$11)</f>
        <v>3800.3102441628494</v>
      </c>
    </row>
    <row r="29" spans="1:12">
      <c r="A29" s="14"/>
      <c r="B29" s="137"/>
      <c r="C29" s="53"/>
      <c r="D29" s="53"/>
      <c r="E29" s="53"/>
      <c r="F29" s="53"/>
      <c r="G29" s="53"/>
      <c r="H29" s="53"/>
      <c r="I29" s="53"/>
      <c r="J29" s="53"/>
      <c r="K29" s="53"/>
      <c r="L29" s="54"/>
    </row>
    <row r="30" spans="1:12" ht="15.5">
      <c r="A30" s="139" t="s">
        <v>304</v>
      </c>
      <c r="B30" s="137"/>
      <c r="C30" s="140">
        <f t="shared" ref="C30:L30" si="3">C27*C28</f>
        <v>0</v>
      </c>
      <c r="D30" s="140">
        <f t="shared" si="3"/>
        <v>1905000</v>
      </c>
      <c r="E30" s="140">
        <f t="shared" si="3"/>
        <v>2158365</v>
      </c>
      <c r="F30" s="140">
        <f t="shared" si="3"/>
        <v>2445427.5450000004</v>
      </c>
      <c r="G30" s="140">
        <f t="shared" si="3"/>
        <v>2770669.4084850005</v>
      </c>
      <c r="H30" s="140">
        <f t="shared" si="3"/>
        <v>3139168.4398135063</v>
      </c>
      <c r="I30" s="140">
        <f t="shared" si="3"/>
        <v>3556677.8423087029</v>
      </c>
      <c r="J30" s="140">
        <f t="shared" si="3"/>
        <v>4029715.995335761</v>
      </c>
      <c r="K30" s="140">
        <f t="shared" si="3"/>
        <v>4565668.2227154179</v>
      </c>
      <c r="L30" s="141">
        <f t="shared" si="3"/>
        <v>5172902.0963365687</v>
      </c>
    </row>
    <row r="31" spans="1:12">
      <c r="A31" s="14"/>
      <c r="B31" s="137"/>
      <c r="C31" s="53"/>
      <c r="D31" s="53"/>
      <c r="E31" s="53"/>
      <c r="F31" s="53"/>
      <c r="G31" s="53"/>
      <c r="H31" s="53"/>
      <c r="I31" s="53"/>
      <c r="J31" s="53"/>
      <c r="K31" s="53"/>
      <c r="L31" s="54"/>
    </row>
    <row r="32" spans="1:12" ht="15.5">
      <c r="A32" s="139" t="s">
        <v>322</v>
      </c>
      <c r="B32" s="137"/>
      <c r="C32" s="53"/>
      <c r="D32" s="53"/>
      <c r="E32" s="53"/>
      <c r="F32" s="53"/>
      <c r="G32" s="53"/>
      <c r="H32" s="53"/>
      <c r="I32" s="53"/>
      <c r="J32" s="53"/>
      <c r="K32" s="53"/>
      <c r="L32" s="54"/>
    </row>
    <row r="33" spans="1:12">
      <c r="A33" s="14" t="s">
        <v>311</v>
      </c>
      <c r="B33" s="137"/>
      <c r="C33" s="138"/>
      <c r="D33" s="138"/>
      <c r="E33" s="138">
        <f>Assumptions!D48</f>
        <v>317.5</v>
      </c>
      <c r="F33" s="138">
        <f>E33*(1+Assumptions!$E$48)</f>
        <v>349.25</v>
      </c>
      <c r="G33" s="138">
        <f>F33*(1+Assumptions!$E$48)</f>
        <v>384.17500000000001</v>
      </c>
      <c r="H33" s="138">
        <f>G33*(1+Assumptions!$E$48)</f>
        <v>422.59250000000003</v>
      </c>
      <c r="I33" s="138">
        <f>H33*(1+Assumptions!$E$48)</f>
        <v>464.8517500000001</v>
      </c>
      <c r="J33" s="138">
        <f>I33*(1+Assumptions!$E$48)</f>
        <v>511.33692500000012</v>
      </c>
      <c r="K33" s="138">
        <f>J33*(1+Assumptions!$E$48)</f>
        <v>562.47061750000023</v>
      </c>
      <c r="L33" s="138">
        <f>K33*(1+Assumptions!$E$48)</f>
        <v>618.71767925000029</v>
      </c>
    </row>
    <row r="34" spans="1:12">
      <c r="A34" s="14" t="s">
        <v>60</v>
      </c>
      <c r="B34" s="137"/>
      <c r="C34" s="142"/>
      <c r="D34" s="140"/>
      <c r="E34" s="140">
        <f>Assumptions!G48</f>
        <v>10000</v>
      </c>
      <c r="F34" s="140">
        <f>E34*(1+Assumptions!$D$11)</f>
        <v>10300</v>
      </c>
      <c r="G34" s="140">
        <f>F34*(1+Assumptions!$D$11)</f>
        <v>10609</v>
      </c>
      <c r="H34" s="140">
        <f>G34*(1+Assumptions!$D$11)</f>
        <v>10927.27</v>
      </c>
      <c r="I34" s="140">
        <f>H34*(1+Assumptions!$D$11)</f>
        <v>11255.088100000001</v>
      </c>
      <c r="J34" s="140">
        <f>I34*(1+Assumptions!$D$11)</f>
        <v>11592.740743</v>
      </c>
      <c r="K34" s="140">
        <f>J34*(1+Assumptions!$D$11)</f>
        <v>11940.52296529</v>
      </c>
      <c r="L34" s="140">
        <f>K34*(1+Assumptions!$D$11)</f>
        <v>12298.7386542487</v>
      </c>
    </row>
    <row r="35" spans="1:12">
      <c r="A35" s="14"/>
      <c r="B35" s="137"/>
      <c r="C35" s="53"/>
      <c r="D35" s="53"/>
      <c r="E35" s="53"/>
      <c r="F35" s="53"/>
      <c r="G35" s="53"/>
      <c r="H35" s="53"/>
      <c r="I35" s="53"/>
      <c r="J35" s="53"/>
      <c r="K35" s="53"/>
      <c r="L35" s="54"/>
    </row>
    <row r="36" spans="1:12" ht="15.5">
      <c r="A36" s="139" t="s">
        <v>305</v>
      </c>
      <c r="B36" s="137"/>
      <c r="C36" s="140">
        <f t="shared" ref="C36:L36" si="4">C33*C34</f>
        <v>0</v>
      </c>
      <c r="D36" s="140">
        <f t="shared" si="4"/>
        <v>0</v>
      </c>
      <c r="E36" s="140">
        <f t="shared" si="4"/>
        <v>3175000</v>
      </c>
      <c r="F36" s="140">
        <f t="shared" si="4"/>
        <v>3597275</v>
      </c>
      <c r="G36" s="140">
        <f t="shared" si="4"/>
        <v>4075712.5750000002</v>
      </c>
      <c r="H36" s="140">
        <f t="shared" si="4"/>
        <v>4617782.3474750007</v>
      </c>
      <c r="I36" s="140">
        <f t="shared" si="4"/>
        <v>5231947.3996891761</v>
      </c>
      <c r="J36" s="140">
        <f t="shared" si="4"/>
        <v>5927796.4038478369</v>
      </c>
      <c r="K36" s="140">
        <f t="shared" si="4"/>
        <v>6716193.3255596003</v>
      </c>
      <c r="L36" s="141">
        <f t="shared" si="4"/>
        <v>7609447.0378590273</v>
      </c>
    </row>
    <row r="37" spans="1:12" ht="15.5">
      <c r="A37" s="139"/>
      <c r="B37" s="137"/>
      <c r="C37" s="140"/>
      <c r="D37" s="140"/>
      <c r="E37" s="140"/>
      <c r="F37" s="140"/>
      <c r="G37" s="140"/>
      <c r="H37" s="140"/>
      <c r="I37" s="140"/>
      <c r="J37" s="140"/>
      <c r="K37" s="140"/>
      <c r="L37" s="141"/>
    </row>
    <row r="38" spans="1:12" ht="15.5">
      <c r="A38" s="139" t="s">
        <v>323</v>
      </c>
      <c r="B38" s="137"/>
      <c r="C38" s="53"/>
      <c r="D38" s="53"/>
      <c r="E38" s="53"/>
      <c r="F38" s="53"/>
      <c r="G38" s="53"/>
      <c r="H38" s="53"/>
      <c r="I38" s="53"/>
      <c r="J38" s="53"/>
      <c r="K38" s="53"/>
      <c r="L38" s="54"/>
    </row>
    <row r="39" spans="1:12">
      <c r="A39" s="14" t="s">
        <v>311</v>
      </c>
      <c r="B39" s="137"/>
      <c r="C39" s="138">
        <f>Assumptions!D49</f>
        <v>0</v>
      </c>
      <c r="D39" s="138">
        <f>C39*(1+Assumptions!$E$49)</f>
        <v>0</v>
      </c>
      <c r="E39" s="138">
        <f>D39*(1+Assumptions!$E$49)</f>
        <v>0</v>
      </c>
      <c r="F39" s="138">
        <f>E39*(1+Assumptions!$E$49)</f>
        <v>0</v>
      </c>
      <c r="G39" s="138">
        <f>F39*(1+Assumptions!$E$49)</f>
        <v>0</v>
      </c>
      <c r="H39" s="138">
        <f>G39*(1+Assumptions!$E$49)</f>
        <v>0</v>
      </c>
      <c r="I39" s="138">
        <f>H39*(1+Assumptions!$E$49)</f>
        <v>0</v>
      </c>
      <c r="J39" s="138">
        <f>I39*(1+Assumptions!$E$49)</f>
        <v>0</v>
      </c>
      <c r="K39" s="138">
        <f>J39*(1+Assumptions!$E$49)</f>
        <v>0</v>
      </c>
      <c r="L39" s="138">
        <f>K39*(1+Assumptions!$E$49)</f>
        <v>0</v>
      </c>
    </row>
    <row r="40" spans="1:12">
      <c r="A40" s="14" t="s">
        <v>60</v>
      </c>
      <c r="B40" s="137"/>
      <c r="C40" s="142">
        <f>Assumptions!$G$49</f>
        <v>0</v>
      </c>
      <c r="D40" s="140">
        <f>C40*(1+Assumptions!$D$11)</f>
        <v>0</v>
      </c>
      <c r="E40" s="140">
        <f>D40*(1+[1]Assumptions!$D$11)</f>
        <v>0</v>
      </c>
      <c r="F40" s="140">
        <f>E40*(1+[1]Assumptions!$D$11)</f>
        <v>0</v>
      </c>
      <c r="G40" s="140">
        <f>F40*(1+[1]Assumptions!$D$11)</f>
        <v>0</v>
      </c>
      <c r="H40" s="140">
        <f>G40*(1+[1]Assumptions!$D$11)</f>
        <v>0</v>
      </c>
      <c r="I40" s="140">
        <f>H40*(1+[1]Assumptions!$D$11)</f>
        <v>0</v>
      </c>
      <c r="J40" s="140">
        <f>I40*(1+[1]Assumptions!$D$11)</f>
        <v>0</v>
      </c>
      <c r="K40" s="140">
        <f>J40*(1+[1]Assumptions!$D$11)</f>
        <v>0</v>
      </c>
      <c r="L40" s="141">
        <f>K40*(1+[1]Assumptions!$D$11)</f>
        <v>0</v>
      </c>
    </row>
    <row r="41" spans="1:12">
      <c r="A41" s="14"/>
      <c r="B41" s="137"/>
      <c r="C41" s="53"/>
      <c r="D41" s="53"/>
      <c r="E41" s="53"/>
      <c r="F41" s="53"/>
      <c r="G41" s="53"/>
      <c r="H41" s="53"/>
      <c r="I41" s="53"/>
      <c r="J41" s="53"/>
      <c r="K41" s="53"/>
      <c r="L41" s="54"/>
    </row>
    <row r="42" spans="1:12" ht="15.5">
      <c r="A42" s="139" t="s">
        <v>306</v>
      </c>
      <c r="B42" s="137"/>
      <c r="C42" s="140">
        <f t="shared" ref="C42:L42" si="5">C39*C40</f>
        <v>0</v>
      </c>
      <c r="D42" s="140">
        <f t="shared" si="5"/>
        <v>0</v>
      </c>
      <c r="E42" s="140">
        <f t="shared" si="5"/>
        <v>0</v>
      </c>
      <c r="F42" s="140">
        <f t="shared" si="5"/>
        <v>0</v>
      </c>
      <c r="G42" s="140">
        <f t="shared" si="5"/>
        <v>0</v>
      </c>
      <c r="H42" s="140">
        <f t="shared" si="5"/>
        <v>0</v>
      </c>
      <c r="I42" s="140">
        <f t="shared" si="5"/>
        <v>0</v>
      </c>
      <c r="J42" s="140">
        <f t="shared" si="5"/>
        <v>0</v>
      </c>
      <c r="K42" s="140">
        <f t="shared" si="5"/>
        <v>0</v>
      </c>
      <c r="L42" s="141">
        <f t="shared" si="5"/>
        <v>0</v>
      </c>
    </row>
    <row r="43" spans="1:12" ht="15.5">
      <c r="A43" s="139"/>
      <c r="B43" s="137"/>
      <c r="C43" s="140"/>
      <c r="D43" s="140"/>
      <c r="E43" s="140"/>
      <c r="F43" s="140"/>
      <c r="G43" s="140"/>
      <c r="H43" s="140"/>
      <c r="I43" s="140"/>
      <c r="J43" s="140"/>
      <c r="K43" s="140"/>
      <c r="L43" s="141"/>
    </row>
    <row r="44" spans="1:12" ht="15.5">
      <c r="A44" s="139" t="s">
        <v>324</v>
      </c>
      <c r="B44" s="137"/>
      <c r="C44" s="53"/>
      <c r="D44" s="53"/>
      <c r="E44" s="53"/>
      <c r="F44" s="53"/>
      <c r="G44" s="53"/>
      <c r="H44" s="53"/>
      <c r="I44" s="53"/>
      <c r="J44" s="53"/>
      <c r="K44" s="53"/>
      <c r="L44" s="54"/>
    </row>
    <row r="45" spans="1:12">
      <c r="A45" s="14" t="s">
        <v>311</v>
      </c>
      <c r="B45" s="137"/>
      <c r="C45" s="138">
        <f>Assumptions!D50</f>
        <v>0</v>
      </c>
      <c r="D45" s="138">
        <f>C45*(1+Assumptions!$E$50)</f>
        <v>0</v>
      </c>
      <c r="E45" s="138">
        <f>D45*(1+Assumptions!$E$50)</f>
        <v>0</v>
      </c>
      <c r="F45" s="138">
        <f>E45*(1+Assumptions!$E$50)</f>
        <v>0</v>
      </c>
      <c r="G45" s="138">
        <f>F45*(1+Assumptions!$E$50)</f>
        <v>0</v>
      </c>
      <c r="H45" s="138">
        <f>G45*(1+Assumptions!$E$50)</f>
        <v>0</v>
      </c>
      <c r="I45" s="138">
        <f>H45*(1+Assumptions!$E$50)</f>
        <v>0</v>
      </c>
      <c r="J45" s="138">
        <f>I45*(1+Assumptions!$E$50)</f>
        <v>0</v>
      </c>
      <c r="K45" s="138">
        <f>J45*(1+Assumptions!$E$50)</f>
        <v>0</v>
      </c>
      <c r="L45" s="138">
        <f>K45*(1+Assumptions!$E$50)</f>
        <v>0</v>
      </c>
    </row>
    <row r="46" spans="1:12">
      <c r="A46" s="14" t="s">
        <v>60</v>
      </c>
      <c r="B46" s="137"/>
      <c r="C46" s="142">
        <f>Assumptions!$G$50</f>
        <v>0</v>
      </c>
      <c r="D46" s="140">
        <f>C46*(1+Assumptions!$D$11)</f>
        <v>0</v>
      </c>
      <c r="E46" s="140">
        <f>D46*(1+[1]Assumptions!$D$11)</f>
        <v>0</v>
      </c>
      <c r="F46" s="140">
        <f>E46*(1+[1]Assumptions!$D$11)</f>
        <v>0</v>
      </c>
      <c r="G46" s="140">
        <f>F46*(1+[1]Assumptions!$D$11)</f>
        <v>0</v>
      </c>
      <c r="H46" s="140">
        <f>G46*(1+[1]Assumptions!$D$11)</f>
        <v>0</v>
      </c>
      <c r="I46" s="140">
        <f>H46*(1+[1]Assumptions!$D$11)</f>
        <v>0</v>
      </c>
      <c r="J46" s="140">
        <f>I46*(1+[1]Assumptions!$D$11)</f>
        <v>0</v>
      </c>
      <c r="K46" s="140">
        <f>J46*(1+[1]Assumptions!$D$11)</f>
        <v>0</v>
      </c>
      <c r="L46" s="141">
        <f>K46*(1+[1]Assumptions!$D$11)</f>
        <v>0</v>
      </c>
    </row>
    <row r="47" spans="1:12">
      <c r="A47" s="14"/>
      <c r="B47" s="137"/>
      <c r="C47" s="53"/>
      <c r="D47" s="53"/>
      <c r="E47" s="53"/>
      <c r="F47" s="53"/>
      <c r="G47" s="53"/>
      <c r="H47" s="53"/>
      <c r="I47" s="53"/>
      <c r="J47" s="53"/>
      <c r="K47" s="53"/>
      <c r="L47" s="54"/>
    </row>
    <row r="48" spans="1:12" ht="15.5">
      <c r="A48" s="139" t="s">
        <v>307</v>
      </c>
      <c r="B48" s="137"/>
      <c r="C48" s="140">
        <f t="shared" ref="C48:L48" si="6">C45*C46</f>
        <v>0</v>
      </c>
      <c r="D48" s="140">
        <f t="shared" si="6"/>
        <v>0</v>
      </c>
      <c r="E48" s="140">
        <f t="shared" si="6"/>
        <v>0</v>
      </c>
      <c r="F48" s="140">
        <f t="shared" si="6"/>
        <v>0</v>
      </c>
      <c r="G48" s="140">
        <f t="shared" si="6"/>
        <v>0</v>
      </c>
      <c r="H48" s="140">
        <f t="shared" si="6"/>
        <v>0</v>
      </c>
      <c r="I48" s="140">
        <f t="shared" si="6"/>
        <v>0</v>
      </c>
      <c r="J48" s="140">
        <f t="shared" si="6"/>
        <v>0</v>
      </c>
      <c r="K48" s="140">
        <f t="shared" si="6"/>
        <v>0</v>
      </c>
      <c r="L48" s="141">
        <f t="shared" si="6"/>
        <v>0</v>
      </c>
    </row>
    <row r="49" spans="1:12" ht="15.5">
      <c r="A49" s="139"/>
      <c r="B49" s="137"/>
      <c r="C49" s="140"/>
      <c r="D49" s="140"/>
      <c r="E49" s="140"/>
      <c r="F49" s="140"/>
      <c r="G49" s="140"/>
      <c r="H49" s="140"/>
      <c r="I49" s="140"/>
      <c r="J49" s="140"/>
      <c r="K49" s="140"/>
      <c r="L49" s="141"/>
    </row>
    <row r="50" spans="1:12" ht="15.5">
      <c r="A50" s="139" t="s">
        <v>325</v>
      </c>
      <c r="B50" s="137"/>
      <c r="C50" s="53"/>
      <c r="D50" s="53"/>
      <c r="E50" s="53"/>
      <c r="F50" s="53"/>
      <c r="G50" s="53"/>
      <c r="H50" s="53"/>
      <c r="I50" s="53"/>
      <c r="J50" s="53"/>
      <c r="K50" s="53"/>
      <c r="L50" s="54"/>
    </row>
    <row r="51" spans="1:12">
      <c r="A51" s="14" t="s">
        <v>311</v>
      </c>
      <c r="B51" s="137"/>
      <c r="C51" s="138">
        <f>Assumptions!D51</f>
        <v>0</v>
      </c>
      <c r="D51" s="138">
        <f>C51*(1+Assumptions!$E$51)</f>
        <v>0</v>
      </c>
      <c r="E51" s="138">
        <f>D51*(1+Assumptions!$E$51)</f>
        <v>0</v>
      </c>
      <c r="F51" s="138">
        <f>E51*(1+Assumptions!$E$51)</f>
        <v>0</v>
      </c>
      <c r="G51" s="138">
        <f>F51*(1+Assumptions!$E$51)</f>
        <v>0</v>
      </c>
      <c r="H51" s="138">
        <f>G51*(1+Assumptions!$E$51)</f>
        <v>0</v>
      </c>
      <c r="I51" s="138">
        <f>H51*(1+Assumptions!$E$51)</f>
        <v>0</v>
      </c>
      <c r="J51" s="138">
        <f>I51*(1+Assumptions!$E$51)</f>
        <v>0</v>
      </c>
      <c r="K51" s="138">
        <f>J51*(1+Assumptions!$E$51)</f>
        <v>0</v>
      </c>
      <c r="L51" s="138">
        <f>K51*(1+Assumptions!$E$51)</f>
        <v>0</v>
      </c>
    </row>
    <row r="52" spans="1:12">
      <c r="A52" s="14" t="s">
        <v>60</v>
      </c>
      <c r="B52" s="137"/>
      <c r="C52" s="142">
        <f>Assumptions!$G$51</f>
        <v>0</v>
      </c>
      <c r="D52" s="140">
        <f>C52*(1+Assumptions!$D$11)</f>
        <v>0</v>
      </c>
      <c r="E52" s="140">
        <f>D52*(1+[1]Assumptions!$D$11)</f>
        <v>0</v>
      </c>
      <c r="F52" s="140">
        <f>E52*(1+[1]Assumptions!$D$11)</f>
        <v>0</v>
      </c>
      <c r="G52" s="140">
        <f>F52*(1+[1]Assumptions!$D$11)</f>
        <v>0</v>
      </c>
      <c r="H52" s="140">
        <f>G52*(1+[1]Assumptions!$D$11)</f>
        <v>0</v>
      </c>
      <c r="I52" s="140">
        <f>H52*(1+[1]Assumptions!$D$11)</f>
        <v>0</v>
      </c>
      <c r="J52" s="140">
        <f>I52*(1+[1]Assumptions!$D$11)</f>
        <v>0</v>
      </c>
      <c r="K52" s="140">
        <f>J52*(1+[1]Assumptions!$D$11)</f>
        <v>0</v>
      </c>
      <c r="L52" s="141">
        <f>K52*(1+[1]Assumptions!$D$11)</f>
        <v>0</v>
      </c>
    </row>
    <row r="53" spans="1:12">
      <c r="A53" s="14"/>
      <c r="B53" s="137"/>
      <c r="C53" s="53"/>
      <c r="D53" s="53"/>
      <c r="E53" s="53"/>
      <c r="F53" s="53"/>
      <c r="G53" s="53"/>
      <c r="H53" s="53"/>
      <c r="I53" s="53"/>
      <c r="J53" s="53"/>
      <c r="K53" s="53"/>
      <c r="L53" s="54"/>
    </row>
    <row r="54" spans="1:12" ht="15.5">
      <c r="A54" s="139" t="s">
        <v>308</v>
      </c>
      <c r="B54" s="137"/>
      <c r="C54" s="140">
        <f t="shared" ref="C54:L54" si="7">C51*C52</f>
        <v>0</v>
      </c>
      <c r="D54" s="140">
        <f t="shared" si="7"/>
        <v>0</v>
      </c>
      <c r="E54" s="140">
        <f t="shared" si="7"/>
        <v>0</v>
      </c>
      <c r="F54" s="140">
        <f t="shared" si="7"/>
        <v>0</v>
      </c>
      <c r="G54" s="140">
        <f t="shared" si="7"/>
        <v>0</v>
      </c>
      <c r="H54" s="140">
        <f t="shared" si="7"/>
        <v>0</v>
      </c>
      <c r="I54" s="140">
        <f t="shared" si="7"/>
        <v>0</v>
      </c>
      <c r="J54" s="140">
        <f t="shared" si="7"/>
        <v>0</v>
      </c>
      <c r="K54" s="140">
        <f t="shared" si="7"/>
        <v>0</v>
      </c>
      <c r="L54" s="141">
        <f t="shared" si="7"/>
        <v>0</v>
      </c>
    </row>
    <row r="55" spans="1:12" ht="15.5">
      <c r="A55" s="139"/>
      <c r="B55" s="137"/>
      <c r="C55" s="140"/>
      <c r="D55" s="140"/>
      <c r="E55" s="140"/>
      <c r="F55" s="140"/>
      <c r="G55" s="140"/>
      <c r="H55" s="140"/>
      <c r="I55" s="140"/>
      <c r="J55" s="140"/>
      <c r="K55" s="140"/>
      <c r="L55" s="141"/>
    </row>
    <row r="56" spans="1:12" ht="15.5">
      <c r="A56" s="139" t="s">
        <v>326</v>
      </c>
      <c r="B56" s="137"/>
      <c r="C56" s="53"/>
      <c r="D56" s="53"/>
      <c r="E56" s="53"/>
      <c r="F56" s="53"/>
      <c r="G56" s="53"/>
      <c r="H56" s="53"/>
      <c r="I56" s="53"/>
      <c r="J56" s="53"/>
      <c r="K56" s="53"/>
      <c r="L56" s="54"/>
    </row>
    <row r="57" spans="1:12">
      <c r="A57" s="14" t="s">
        <v>311</v>
      </c>
      <c r="B57" s="137"/>
      <c r="C57" s="138">
        <f>Assumptions!D52</f>
        <v>0</v>
      </c>
      <c r="D57" s="138">
        <f>C57*(1+Assumptions!$E$52)</f>
        <v>0</v>
      </c>
      <c r="E57" s="138">
        <f>D57*(1+Assumptions!$E$52)</f>
        <v>0</v>
      </c>
      <c r="F57" s="138">
        <f>E57*(1+Assumptions!$E$52)</f>
        <v>0</v>
      </c>
      <c r="G57" s="138">
        <f>F57*(1+Assumptions!$E$52)</f>
        <v>0</v>
      </c>
      <c r="H57" s="138">
        <f>G57*(1+Assumptions!$E$52)</f>
        <v>0</v>
      </c>
      <c r="I57" s="138">
        <f>H57*(1+Assumptions!$E$52)</f>
        <v>0</v>
      </c>
      <c r="J57" s="138">
        <f>I57*(1+Assumptions!$E$52)</f>
        <v>0</v>
      </c>
      <c r="K57" s="138">
        <f>J57*(1+Assumptions!$E$52)</f>
        <v>0</v>
      </c>
      <c r="L57" s="138">
        <f>K57*(1+Assumptions!$E$52)</f>
        <v>0</v>
      </c>
    </row>
    <row r="58" spans="1:12">
      <c r="A58" s="14" t="s">
        <v>60</v>
      </c>
      <c r="B58" s="137"/>
      <c r="C58" s="142">
        <f>Assumptions!$G$52</f>
        <v>0</v>
      </c>
      <c r="D58" s="140">
        <f>C58*(1+Assumptions!$D$11)</f>
        <v>0</v>
      </c>
      <c r="E58" s="140">
        <f>D58*(1+[1]Assumptions!$D$11)</f>
        <v>0</v>
      </c>
      <c r="F58" s="140">
        <f>E58*(1+[1]Assumptions!$D$11)</f>
        <v>0</v>
      </c>
      <c r="G58" s="140">
        <f>F58*(1+[1]Assumptions!$D$11)</f>
        <v>0</v>
      </c>
      <c r="H58" s="140">
        <f>G58*(1+[1]Assumptions!$D$11)</f>
        <v>0</v>
      </c>
      <c r="I58" s="140">
        <f>H58*(1+[1]Assumptions!$D$11)</f>
        <v>0</v>
      </c>
      <c r="J58" s="140">
        <f>I58*(1+[1]Assumptions!$D$11)</f>
        <v>0</v>
      </c>
      <c r="K58" s="140">
        <f>J58*(1+[1]Assumptions!$D$11)</f>
        <v>0</v>
      </c>
      <c r="L58" s="141">
        <f>K58*(1+[1]Assumptions!$D$11)</f>
        <v>0</v>
      </c>
    </row>
    <row r="59" spans="1:12">
      <c r="A59" s="14"/>
      <c r="B59" s="137"/>
      <c r="C59" s="53"/>
      <c r="D59" s="53"/>
      <c r="E59" s="53"/>
      <c r="F59" s="53"/>
      <c r="G59" s="53"/>
      <c r="H59" s="53"/>
      <c r="I59" s="53"/>
      <c r="J59" s="53"/>
      <c r="K59" s="53"/>
      <c r="L59" s="54"/>
    </row>
    <row r="60" spans="1:12" ht="15.5">
      <c r="A60" s="139" t="s">
        <v>309</v>
      </c>
      <c r="B60" s="137"/>
      <c r="C60" s="140">
        <f t="shared" ref="C60:L60" si="8">C57*C58</f>
        <v>0</v>
      </c>
      <c r="D60" s="140">
        <f t="shared" si="8"/>
        <v>0</v>
      </c>
      <c r="E60" s="140">
        <f t="shared" si="8"/>
        <v>0</v>
      </c>
      <c r="F60" s="140">
        <f t="shared" si="8"/>
        <v>0</v>
      </c>
      <c r="G60" s="140">
        <f t="shared" si="8"/>
        <v>0</v>
      </c>
      <c r="H60" s="140">
        <f t="shared" si="8"/>
        <v>0</v>
      </c>
      <c r="I60" s="140">
        <f t="shared" si="8"/>
        <v>0</v>
      </c>
      <c r="J60" s="140">
        <f t="shared" si="8"/>
        <v>0</v>
      </c>
      <c r="K60" s="140">
        <f t="shared" si="8"/>
        <v>0</v>
      </c>
      <c r="L60" s="141">
        <f t="shared" si="8"/>
        <v>0</v>
      </c>
    </row>
    <row r="61" spans="1:12" ht="15.5">
      <c r="A61" s="139"/>
      <c r="B61" s="137"/>
      <c r="C61" s="140"/>
      <c r="D61" s="140"/>
      <c r="E61" s="140"/>
      <c r="F61" s="140"/>
      <c r="G61" s="140"/>
      <c r="H61" s="140"/>
      <c r="I61" s="140"/>
      <c r="J61" s="140"/>
      <c r="K61" s="140"/>
      <c r="L61" s="141"/>
    </row>
    <row r="62" spans="1:12" ht="15.5">
      <c r="A62" s="139" t="s">
        <v>327</v>
      </c>
      <c r="B62" s="137"/>
      <c r="C62" s="53"/>
      <c r="D62" s="53"/>
      <c r="E62" s="53"/>
      <c r="F62" s="53"/>
      <c r="G62" s="53"/>
      <c r="H62" s="53"/>
      <c r="I62" s="53"/>
      <c r="J62" s="53"/>
      <c r="K62" s="53"/>
      <c r="L62" s="54"/>
    </row>
    <row r="63" spans="1:12">
      <c r="A63" s="14" t="s">
        <v>311</v>
      </c>
      <c r="B63" s="137"/>
      <c r="C63" s="138">
        <f>Assumptions!D53</f>
        <v>0</v>
      </c>
      <c r="D63" s="138">
        <f>C63*(1+Assumptions!$E$53)</f>
        <v>0</v>
      </c>
      <c r="E63" s="138">
        <f>D63*(1+Assumptions!$E$53)</f>
        <v>0</v>
      </c>
      <c r="F63" s="138">
        <f>E63*(1+Assumptions!$E$53)</f>
        <v>0</v>
      </c>
      <c r="G63" s="138">
        <f>F63*(1+Assumptions!$E$53)</f>
        <v>0</v>
      </c>
      <c r="H63" s="138">
        <f>G63*(1+Assumptions!$E$53)</f>
        <v>0</v>
      </c>
      <c r="I63" s="138">
        <f>H63*(1+Assumptions!$E$53)</f>
        <v>0</v>
      </c>
      <c r="J63" s="138">
        <f>I63*(1+Assumptions!$E$53)</f>
        <v>0</v>
      </c>
      <c r="K63" s="138">
        <f>J63*(1+Assumptions!$E$53)</f>
        <v>0</v>
      </c>
      <c r="L63" s="138">
        <f>K63*(1+Assumptions!$E$53)</f>
        <v>0</v>
      </c>
    </row>
    <row r="64" spans="1:12">
      <c r="A64" s="14" t="s">
        <v>60</v>
      </c>
      <c r="B64" s="137"/>
      <c r="C64" s="142">
        <f>Assumptions!$G$53</f>
        <v>0</v>
      </c>
      <c r="D64" s="140">
        <f>C64*(1+Assumptions!$D$11)</f>
        <v>0</v>
      </c>
      <c r="E64" s="140">
        <f>D64*(1+[1]Assumptions!$D$11)</f>
        <v>0</v>
      </c>
      <c r="F64" s="140">
        <f>E64*(1+[1]Assumptions!$D$11)</f>
        <v>0</v>
      </c>
      <c r="G64" s="140">
        <f>F64*(1+[1]Assumptions!$D$11)</f>
        <v>0</v>
      </c>
      <c r="H64" s="140">
        <f>G64*(1+[1]Assumptions!$D$11)</f>
        <v>0</v>
      </c>
      <c r="I64" s="140">
        <f>H64*(1+[1]Assumptions!$D$11)</f>
        <v>0</v>
      </c>
      <c r="J64" s="140">
        <f>I64*(1+[1]Assumptions!$D$11)</f>
        <v>0</v>
      </c>
      <c r="K64" s="140">
        <f>J64*(1+[1]Assumptions!$D$11)</f>
        <v>0</v>
      </c>
      <c r="L64" s="141">
        <f>K64*(1+[1]Assumptions!$D$11)</f>
        <v>0</v>
      </c>
    </row>
    <row r="65" spans="1:12">
      <c r="A65" s="14"/>
      <c r="B65" s="137"/>
      <c r="C65" s="53"/>
      <c r="D65" s="53"/>
      <c r="E65" s="53"/>
      <c r="F65" s="53"/>
      <c r="G65" s="53"/>
      <c r="H65" s="53"/>
      <c r="I65" s="53"/>
      <c r="J65" s="53"/>
      <c r="K65" s="53"/>
      <c r="L65" s="54"/>
    </row>
    <row r="66" spans="1:12" ht="15.5">
      <c r="A66" s="139" t="s">
        <v>310</v>
      </c>
      <c r="B66" s="137"/>
      <c r="C66" s="140">
        <f t="shared" ref="C66:L66" si="9">C63*C64</f>
        <v>0</v>
      </c>
      <c r="D66" s="140">
        <f t="shared" si="9"/>
        <v>0</v>
      </c>
      <c r="E66" s="140">
        <f t="shared" si="9"/>
        <v>0</v>
      </c>
      <c r="F66" s="140">
        <f t="shared" si="9"/>
        <v>0</v>
      </c>
      <c r="G66" s="140">
        <f t="shared" si="9"/>
        <v>0</v>
      </c>
      <c r="H66" s="140">
        <f t="shared" si="9"/>
        <v>0</v>
      </c>
      <c r="I66" s="140">
        <f t="shared" si="9"/>
        <v>0</v>
      </c>
      <c r="J66" s="140">
        <f t="shared" si="9"/>
        <v>0</v>
      </c>
      <c r="K66" s="140">
        <f t="shared" si="9"/>
        <v>0</v>
      </c>
      <c r="L66" s="141">
        <f t="shared" si="9"/>
        <v>0</v>
      </c>
    </row>
    <row r="67" spans="1:12">
      <c r="A67" s="14"/>
      <c r="B67" s="137"/>
      <c r="C67" s="53"/>
      <c r="D67" s="53"/>
      <c r="E67" s="53"/>
      <c r="F67" s="53"/>
      <c r="G67" s="53"/>
      <c r="H67" s="53"/>
      <c r="I67" s="53"/>
      <c r="J67" s="53"/>
      <c r="K67" s="53"/>
      <c r="L67" s="54"/>
    </row>
    <row r="68" spans="1:12" ht="15.5">
      <c r="A68" s="139" t="s">
        <v>149</v>
      </c>
      <c r="B68" s="137"/>
      <c r="C68" s="53">
        <f>-(Assumptions!$I$45*C18+Assumptions!$I$46*C24+Assumptions!$I$47*C30+Assumptions!$I$48*C36 +Assumptions!$I$49*C42 +Assumptions!$I$50*C48 +Assumptions!$I$51*C54 +Assumptions!$I$52*C60 + Assumptions!$I$53*C66)</f>
        <v>0</v>
      </c>
      <c r="D68" s="53">
        <f>-(Assumptions!$I$45*D18+Assumptions!$I$46*D24+Assumptions!$I$47*D30+Assumptions!$I$48*D36 +Assumptions!$I$49*D42 +Assumptions!$I$50*D48 +Assumptions!$I$51*D54 +Assumptions!$I$52*D60 + Assumptions!$I$53*D66)</f>
        <v>0</v>
      </c>
      <c r="E68" s="53">
        <f>-(Assumptions!$I$45*E18+Assumptions!$I$46*E24+Assumptions!$I$47*E30+Assumptions!$I$48*E36 +Assumptions!$I$49*E42 +Assumptions!$I$50*E48 +Assumptions!$I$51*E54 +Assumptions!$I$52*E60 + Assumptions!$I$53*E66)</f>
        <v>0</v>
      </c>
      <c r="F68" s="53">
        <f>-(Assumptions!$I$45*F18+Assumptions!$I$46*F24+Assumptions!$I$47*F30+Assumptions!$I$48*F36 +Assumptions!$I$49*F42 +Assumptions!$I$50*F48 +Assumptions!$I$51*F54 +Assumptions!$I$52*F60 + Assumptions!$I$53*F66)</f>
        <v>0</v>
      </c>
      <c r="G68" s="53">
        <f>-(Assumptions!$I$45*G18+Assumptions!$I$46*G24+Assumptions!$I$47*G30+Assumptions!$I$48*G36 +Assumptions!$I$49*G42 +Assumptions!$I$50*G48 +Assumptions!$I$51*G54 +Assumptions!$I$52*G60 + Assumptions!$I$53*G66)</f>
        <v>0</v>
      </c>
      <c r="H68" s="53">
        <f>-(Assumptions!$I$45*H18+Assumptions!$I$46*H24+Assumptions!$I$47*H30+Assumptions!$I$48*H36 +Assumptions!$I$49*H42 +Assumptions!$I$50*H48 +Assumptions!$I$51*H54 +Assumptions!$I$52*H60 + Assumptions!$I$53*H66)</f>
        <v>0</v>
      </c>
      <c r="I68" s="53">
        <f>-(Assumptions!$I$45*I18+Assumptions!$I$46*I24+Assumptions!$I$47*I30+Assumptions!$I$48*I36 +Assumptions!$I$49*I42 +Assumptions!$I$50*I48 +Assumptions!$I$51*I54 +Assumptions!$I$52*I60 + Assumptions!$I$53*I66)</f>
        <v>0</v>
      </c>
      <c r="J68" s="53">
        <f>-(Assumptions!$I$45*J18+Assumptions!$I$46*J24+Assumptions!$I$47*J30+Assumptions!$I$48*J36 +Assumptions!$I$49*J42 +Assumptions!$I$50*J48 +Assumptions!$I$51*J54 +Assumptions!$I$52*J60 + Assumptions!$I$53*J66)</f>
        <v>0</v>
      </c>
      <c r="K68" s="53">
        <f>-(Assumptions!$I$45*K18+Assumptions!$I$46*K24+Assumptions!$I$47*K30+Assumptions!$I$48*K36 +Assumptions!$I$49*K42 +Assumptions!$I$50*K48 +Assumptions!$I$51*K54 +Assumptions!$I$52*K60 + Assumptions!$I$53*K66)</f>
        <v>0</v>
      </c>
      <c r="L68" s="53">
        <f>-(Assumptions!$I$45*L18+Assumptions!$I$46*L24+Assumptions!$I$47*L30+Assumptions!$I$48*L36 +Assumptions!$I$49*L42 +Assumptions!$I$50*L48 +Assumptions!$I$51*L54 +Assumptions!$I$52*L60 + Assumptions!$I$53*L66)</f>
        <v>0</v>
      </c>
    </row>
    <row r="69" spans="1:12" ht="15.5">
      <c r="A69" s="139"/>
      <c r="B69" s="137"/>
      <c r="C69" s="53"/>
      <c r="D69" s="53"/>
      <c r="E69" s="53"/>
      <c r="F69" s="53"/>
      <c r="G69" s="53"/>
      <c r="H69" s="53"/>
      <c r="I69" s="53"/>
      <c r="J69" s="53"/>
      <c r="K69" s="53"/>
      <c r="L69" s="143"/>
    </row>
    <row r="70" spans="1:12" ht="15.5">
      <c r="A70" s="139" t="s">
        <v>150</v>
      </c>
      <c r="B70" s="137"/>
      <c r="C70" s="140">
        <f t="shared" ref="C70:L70" si="10">C18+C24+C30+C36+C42+C48+C54+C60+C66-C68</f>
        <v>2540000</v>
      </c>
      <c r="D70" s="140">
        <f t="shared" si="10"/>
        <v>7453630</v>
      </c>
      <c r="E70" s="140">
        <f t="shared" si="10"/>
        <v>11905717.234999999</v>
      </c>
      <c r="F70" s="140">
        <f t="shared" si="10"/>
        <v>13827653.767357498</v>
      </c>
      <c r="G70" s="140">
        <f t="shared" si="10"/>
        <v>16067656.706367459</v>
      </c>
      <c r="H70" s="140">
        <f t="shared" si="10"/>
        <v>18679550.696542773</v>
      </c>
      <c r="I70" s="140">
        <f t="shared" si="10"/>
        <v>21726444.834509559</v>
      </c>
      <c r="J70" s="140">
        <f t="shared" si="10"/>
        <v>25282359.706513681</v>
      </c>
      <c r="K70" s="140">
        <f t="shared" si="10"/>
        <v>29434143.183807503</v>
      </c>
      <c r="L70" s="140">
        <f t="shared" si="10"/>
        <v>34283726.731483817</v>
      </c>
    </row>
    <row r="71" spans="1:12">
      <c r="A71" s="14"/>
      <c r="B71" s="137"/>
      <c r="C71" s="53"/>
      <c r="D71" s="53"/>
      <c r="E71" s="53"/>
      <c r="F71" s="53"/>
      <c r="G71" s="53"/>
      <c r="H71" s="53"/>
      <c r="I71" s="53"/>
      <c r="J71" s="53"/>
      <c r="K71" s="53"/>
      <c r="L71" s="54"/>
    </row>
    <row r="72" spans="1:12" ht="18.5">
      <c r="A72" s="136" t="s">
        <v>151</v>
      </c>
      <c r="B72" s="137"/>
      <c r="C72" s="140">
        <f>C70</f>
        <v>2540000</v>
      </c>
      <c r="D72" s="140">
        <f t="shared" ref="D72:L72" si="11">D70</f>
        <v>7453630</v>
      </c>
      <c r="E72" s="140">
        <f t="shared" si="11"/>
        <v>11905717.234999999</v>
      </c>
      <c r="F72" s="140">
        <f t="shared" si="11"/>
        <v>13827653.767357498</v>
      </c>
      <c r="G72" s="140">
        <f t="shared" si="11"/>
        <v>16067656.706367459</v>
      </c>
      <c r="H72" s="140">
        <f t="shared" si="11"/>
        <v>18679550.696542773</v>
      </c>
      <c r="I72" s="140">
        <f t="shared" si="11"/>
        <v>21726444.834509559</v>
      </c>
      <c r="J72" s="140">
        <f t="shared" si="11"/>
        <v>25282359.706513681</v>
      </c>
      <c r="K72" s="140">
        <f t="shared" si="11"/>
        <v>29434143.183807503</v>
      </c>
      <c r="L72" s="140">
        <f t="shared" si="11"/>
        <v>34283726.731483817</v>
      </c>
    </row>
    <row r="73" spans="1:12">
      <c r="A73" s="14"/>
      <c r="B73" s="137"/>
      <c r="C73" s="53"/>
      <c r="D73" s="53"/>
      <c r="E73" s="53"/>
      <c r="F73" s="53"/>
      <c r="G73" s="53"/>
      <c r="H73" s="53"/>
      <c r="I73" s="53"/>
      <c r="J73" s="53"/>
      <c r="K73" s="53"/>
      <c r="L73" s="54"/>
    </row>
    <row r="74" spans="1:12" hidden="1">
      <c r="A74" s="14" t="s">
        <v>152</v>
      </c>
      <c r="B74" s="137"/>
      <c r="C74" s="53"/>
      <c r="D74" s="53">
        <v>24776</v>
      </c>
      <c r="E74" s="53"/>
      <c r="F74" s="53"/>
      <c r="G74" s="53"/>
      <c r="H74" s="53"/>
      <c r="I74" s="53"/>
      <c r="J74" s="53"/>
      <c r="K74" s="53"/>
      <c r="L74" s="54"/>
    </row>
    <row r="75" spans="1:12" hidden="1">
      <c r="A75" s="14" t="s">
        <v>153</v>
      </c>
      <c r="B75" s="137"/>
      <c r="C75" s="53"/>
      <c r="D75" s="53">
        <v>4</v>
      </c>
      <c r="E75" s="53"/>
      <c r="F75" s="53"/>
      <c r="G75" s="53"/>
      <c r="H75" s="53"/>
      <c r="I75" s="53"/>
      <c r="J75" s="53"/>
      <c r="K75" s="53"/>
      <c r="L75" s="54"/>
    </row>
    <row r="76" spans="1:12" hidden="1">
      <c r="A76" s="14" t="s">
        <v>154</v>
      </c>
      <c r="B76" s="137"/>
      <c r="C76" s="53"/>
      <c r="D76" s="53"/>
      <c r="E76" s="53"/>
      <c r="F76" s="53"/>
      <c r="G76" s="53"/>
      <c r="H76" s="53"/>
      <c r="I76" s="53"/>
      <c r="J76" s="53"/>
      <c r="K76" s="53"/>
      <c r="L76" s="54"/>
    </row>
    <row r="77" spans="1:12" hidden="1">
      <c r="A77" s="14"/>
      <c r="B77" s="137"/>
      <c r="C77" s="53"/>
      <c r="D77" s="53"/>
      <c r="E77" s="53"/>
      <c r="F77" s="53"/>
      <c r="G77" s="53"/>
      <c r="H77" s="53"/>
      <c r="I77" s="53"/>
      <c r="J77" s="53"/>
      <c r="K77" s="53"/>
      <c r="L77" s="54"/>
    </row>
    <row r="78" spans="1:12" ht="18.5">
      <c r="A78" s="136" t="s">
        <v>155</v>
      </c>
      <c r="B78" s="137"/>
      <c r="C78" s="53"/>
      <c r="D78" s="53"/>
      <c r="E78" s="53"/>
      <c r="F78" s="53"/>
      <c r="G78" s="53"/>
      <c r="H78" s="53"/>
      <c r="I78" s="53"/>
      <c r="J78" s="53"/>
      <c r="K78" s="53"/>
      <c r="L78" s="54"/>
    </row>
    <row r="79" spans="1:12" ht="15.5">
      <c r="A79" s="139" t="s">
        <v>328</v>
      </c>
      <c r="B79" s="137"/>
      <c r="C79" s="140">
        <f>Assumptions!$H$45*C18</f>
        <v>0</v>
      </c>
      <c r="D79" s="140">
        <f>Assumptions!$H$45*D18</f>
        <v>889000</v>
      </c>
      <c r="E79" s="140">
        <f>Assumptions!$H$45*E18</f>
        <v>1053020.5</v>
      </c>
      <c r="F79" s="140">
        <f>Assumptions!$H$45*F18</f>
        <v>1247302.7822499999</v>
      </c>
      <c r="G79" s="140">
        <f>Assumptions!$H$45*G18</f>
        <v>1477430.1455751245</v>
      </c>
      <c r="H79" s="140">
        <f>Assumptions!$H$45*H18</f>
        <v>1750016.0074337348</v>
      </c>
      <c r="I79" s="140">
        <f>Assumptions!$H$45*I18</f>
        <v>2072893.9608052589</v>
      </c>
      <c r="J79" s="140">
        <f>Assumptions!$H$45*J18</f>
        <v>2455342.8965738285</v>
      </c>
      <c r="K79" s="140">
        <f>Assumptions!$H$45*K18</f>
        <v>2908353.6609917004</v>
      </c>
      <c r="L79" s="140">
        <f>Assumptions!$H$45*L18</f>
        <v>3444944.9114446682</v>
      </c>
    </row>
    <row r="80" spans="1:12" ht="15.5">
      <c r="A80" s="139" t="s">
        <v>329</v>
      </c>
      <c r="B80" s="137"/>
      <c r="C80" s="140">
        <f>Assumptions!$H$46*C24</f>
        <v>889000</v>
      </c>
      <c r="D80" s="140">
        <f>Assumptions!$H$46*D24</f>
        <v>1053020.5</v>
      </c>
      <c r="E80" s="140">
        <f>Assumptions!$H$46*E24</f>
        <v>1247302.7822499999</v>
      </c>
      <c r="F80" s="140">
        <f>Assumptions!$H$46*F24</f>
        <v>1477430.1455751245</v>
      </c>
      <c r="G80" s="140">
        <f>Assumptions!$H$46*G24</f>
        <v>1750016.0074337348</v>
      </c>
      <c r="H80" s="140">
        <f>Assumptions!$H$46*H24</f>
        <v>2072893.9608052589</v>
      </c>
      <c r="I80" s="140">
        <f>Assumptions!$H$46*I24</f>
        <v>2455342.8965738285</v>
      </c>
      <c r="J80" s="140">
        <f>Assumptions!$H$46*J24</f>
        <v>2908353.6609917004</v>
      </c>
      <c r="K80" s="140">
        <f>Assumptions!$H$46*K24</f>
        <v>3444944.9114446682</v>
      </c>
      <c r="L80" s="140">
        <f>Assumptions!$H$46*L24</f>
        <v>4080537.2476062085</v>
      </c>
    </row>
    <row r="81" spans="1:12" ht="15.5">
      <c r="A81" s="139" t="s">
        <v>330</v>
      </c>
      <c r="B81" s="137"/>
      <c r="C81" s="140">
        <f>Assumptions!$H$47*C30</f>
        <v>0</v>
      </c>
      <c r="D81" s="140">
        <f>Assumptions!$H$47*D30</f>
        <v>762000</v>
      </c>
      <c r="E81" s="140">
        <f>Assumptions!$H$47*E30</f>
        <v>863346</v>
      </c>
      <c r="F81" s="140">
        <f>Assumptions!$H$47*F30</f>
        <v>978171.01800000016</v>
      </c>
      <c r="G81" s="140">
        <f>Assumptions!$H$47*G30</f>
        <v>1108267.7633940002</v>
      </c>
      <c r="H81" s="140">
        <f>Assumptions!$H$47*H30</f>
        <v>1255667.3759254026</v>
      </c>
      <c r="I81" s="140">
        <f>Assumptions!$H$47*I30</f>
        <v>1422671.1369234812</v>
      </c>
      <c r="J81" s="140">
        <f>Assumptions!$H$47*J30</f>
        <v>1611886.3981343044</v>
      </c>
      <c r="K81" s="140">
        <f>Assumptions!$H$47*K30</f>
        <v>1826267.2890861672</v>
      </c>
      <c r="L81" s="140">
        <f>Assumptions!$H$47*L30</f>
        <v>2069160.8385346276</v>
      </c>
    </row>
    <row r="82" spans="1:12" ht="15.5">
      <c r="A82" s="139" t="s">
        <v>331</v>
      </c>
      <c r="B82" s="137"/>
      <c r="C82" s="140">
        <f>Assumptions!$H$48*C36</f>
        <v>0</v>
      </c>
      <c r="D82" s="140">
        <f>Assumptions!$H$48*D36</f>
        <v>0</v>
      </c>
      <c r="E82" s="140">
        <f>Assumptions!$H$48*E36</f>
        <v>1270000</v>
      </c>
      <c r="F82" s="140">
        <f>Assumptions!$H$48*F36</f>
        <v>1438910</v>
      </c>
      <c r="G82" s="140">
        <f>Assumptions!$H$48*G36</f>
        <v>1630285.0300000003</v>
      </c>
      <c r="H82" s="140">
        <f>Assumptions!$H$48*H36</f>
        <v>1847112.9389900004</v>
      </c>
      <c r="I82" s="140">
        <f>Assumptions!$H$48*I36</f>
        <v>2092778.9598756705</v>
      </c>
      <c r="J82" s="140">
        <f>Assumptions!$H$48*J36</f>
        <v>2371118.5615391349</v>
      </c>
      <c r="K82" s="140">
        <f>Assumptions!$H$48*K36</f>
        <v>2686477.3302238402</v>
      </c>
      <c r="L82" s="140">
        <f>Assumptions!$H$48*L36</f>
        <v>3043778.8151436113</v>
      </c>
    </row>
    <row r="83" spans="1:12" ht="15.5">
      <c r="A83" s="139" t="s">
        <v>332</v>
      </c>
      <c r="B83" s="137"/>
      <c r="C83" s="140">
        <f>Assumptions!$H$49*C42</f>
        <v>0</v>
      </c>
      <c r="D83" s="140">
        <f>Assumptions!$H$49*D42</f>
        <v>0</v>
      </c>
      <c r="E83" s="140">
        <f>Assumptions!$H$49*E42</f>
        <v>0</v>
      </c>
      <c r="F83" s="140">
        <f>Assumptions!$H$49*F42</f>
        <v>0</v>
      </c>
      <c r="G83" s="140">
        <f>Assumptions!$H$49*G42</f>
        <v>0</v>
      </c>
      <c r="H83" s="140">
        <f>Assumptions!$H$49*H42</f>
        <v>0</v>
      </c>
      <c r="I83" s="140">
        <f>Assumptions!$H$49*I42</f>
        <v>0</v>
      </c>
      <c r="J83" s="140">
        <f>Assumptions!$H$49*J42</f>
        <v>0</v>
      </c>
      <c r="K83" s="140">
        <f>Assumptions!$H$49*K42</f>
        <v>0</v>
      </c>
      <c r="L83" s="140">
        <f>Assumptions!$H$49*L42</f>
        <v>0</v>
      </c>
    </row>
    <row r="84" spans="1:12" ht="15.5">
      <c r="A84" s="139" t="s">
        <v>333</v>
      </c>
      <c r="B84" s="137"/>
      <c r="C84" s="140">
        <f>Assumptions!$H$50*C48</f>
        <v>0</v>
      </c>
      <c r="D84" s="140">
        <f>Assumptions!$H$50*D48</f>
        <v>0</v>
      </c>
      <c r="E84" s="140">
        <f>Assumptions!$H$50*E48</f>
        <v>0</v>
      </c>
      <c r="F84" s="140">
        <f>Assumptions!$H$50*F48</f>
        <v>0</v>
      </c>
      <c r="G84" s="140">
        <f>Assumptions!$H$50*G48</f>
        <v>0</v>
      </c>
      <c r="H84" s="140">
        <f>Assumptions!$H$50*H48</f>
        <v>0</v>
      </c>
      <c r="I84" s="140">
        <f>Assumptions!$H$50*I48</f>
        <v>0</v>
      </c>
      <c r="J84" s="140">
        <f>Assumptions!$H$50*J48</f>
        <v>0</v>
      </c>
      <c r="K84" s="140">
        <f>Assumptions!$H$50*K48</f>
        <v>0</v>
      </c>
      <c r="L84" s="140">
        <f>Assumptions!$H$50*L48</f>
        <v>0</v>
      </c>
    </row>
    <row r="85" spans="1:12" ht="15.5">
      <c r="A85" s="139" t="s">
        <v>334</v>
      </c>
      <c r="B85" s="137"/>
      <c r="C85" s="140">
        <f>Assumptions!$H$51*C54</f>
        <v>0</v>
      </c>
      <c r="D85" s="140">
        <f>Assumptions!$H$51*D54</f>
        <v>0</v>
      </c>
      <c r="E85" s="140">
        <f>Assumptions!$H$51*E54</f>
        <v>0</v>
      </c>
      <c r="F85" s="140">
        <f>Assumptions!$H$51*F54</f>
        <v>0</v>
      </c>
      <c r="G85" s="140">
        <f>Assumptions!$H$51*G54</f>
        <v>0</v>
      </c>
      <c r="H85" s="140">
        <f>Assumptions!$H$51*H54</f>
        <v>0</v>
      </c>
      <c r="I85" s="140">
        <f>Assumptions!$H$51*I54</f>
        <v>0</v>
      </c>
      <c r="J85" s="140">
        <f>Assumptions!$H$51*J54</f>
        <v>0</v>
      </c>
      <c r="K85" s="140">
        <f>Assumptions!$H$51*K54</f>
        <v>0</v>
      </c>
      <c r="L85" s="140">
        <f>Assumptions!$H$51*L54</f>
        <v>0</v>
      </c>
    </row>
    <row r="86" spans="1:12" ht="15.5">
      <c r="A86" s="139" t="s">
        <v>335</v>
      </c>
      <c r="B86" s="137"/>
      <c r="C86" s="140">
        <f>Assumptions!$H$52*C60</f>
        <v>0</v>
      </c>
      <c r="D86" s="140">
        <f>Assumptions!$H$52*D60</f>
        <v>0</v>
      </c>
      <c r="E86" s="140">
        <f>Assumptions!$H$52*E60</f>
        <v>0</v>
      </c>
      <c r="F86" s="140">
        <f>Assumptions!$H$52*F60</f>
        <v>0</v>
      </c>
      <c r="G86" s="140">
        <f>Assumptions!$H$52*G60</f>
        <v>0</v>
      </c>
      <c r="H86" s="140">
        <f>Assumptions!$H$52*H60</f>
        <v>0</v>
      </c>
      <c r="I86" s="140">
        <f>Assumptions!$H$52*I60</f>
        <v>0</v>
      </c>
      <c r="J86" s="140">
        <f>Assumptions!$H$52*J60</f>
        <v>0</v>
      </c>
      <c r="K86" s="140">
        <f>Assumptions!$H$52*K60</f>
        <v>0</v>
      </c>
      <c r="L86" s="140">
        <f>Assumptions!$H$52*L60</f>
        <v>0</v>
      </c>
    </row>
    <row r="87" spans="1:12" ht="15.5">
      <c r="A87" s="139" t="s">
        <v>336</v>
      </c>
      <c r="B87" s="137"/>
      <c r="C87" s="140">
        <f>Assumptions!$H$53*C66</f>
        <v>0</v>
      </c>
      <c r="D87" s="140">
        <f>Assumptions!$H$53*D66</f>
        <v>0</v>
      </c>
      <c r="E87" s="140">
        <f>Assumptions!$H$53*E66</f>
        <v>0</v>
      </c>
      <c r="F87" s="140">
        <f>Assumptions!$H$53*F66</f>
        <v>0</v>
      </c>
      <c r="G87" s="140">
        <f>Assumptions!$H$53*G66</f>
        <v>0</v>
      </c>
      <c r="H87" s="140">
        <f>Assumptions!$H$53*H66</f>
        <v>0</v>
      </c>
      <c r="I87" s="140">
        <f>Assumptions!$H$53*I66</f>
        <v>0</v>
      </c>
      <c r="J87" s="140">
        <f>Assumptions!$H$53*J66</f>
        <v>0</v>
      </c>
      <c r="K87" s="140">
        <f>Assumptions!$H$53*K66</f>
        <v>0</v>
      </c>
      <c r="L87" s="140">
        <f>Assumptions!$H$53*L66</f>
        <v>0</v>
      </c>
    </row>
    <row r="88" spans="1:12" ht="15.5">
      <c r="A88" s="139"/>
      <c r="B88" s="137"/>
      <c r="C88" s="140"/>
      <c r="D88" s="140"/>
      <c r="E88" s="140"/>
      <c r="F88" s="140"/>
      <c r="G88" s="140"/>
      <c r="H88" s="140"/>
      <c r="I88" s="140"/>
      <c r="J88" s="140"/>
      <c r="K88" s="140"/>
      <c r="L88" s="141"/>
    </row>
    <row r="89" spans="1:12" ht="15.5">
      <c r="A89" s="139" t="s">
        <v>156</v>
      </c>
      <c r="B89" s="137"/>
      <c r="C89" s="140">
        <f>SUM(C79:C87)</f>
        <v>889000</v>
      </c>
      <c r="D89" s="140">
        <f t="shared" ref="D89:K89" si="12">SUM(D79:D87)</f>
        <v>2704020.5</v>
      </c>
      <c r="E89" s="140">
        <f t="shared" si="12"/>
        <v>4433669.2822500002</v>
      </c>
      <c r="F89" s="140">
        <f t="shared" si="12"/>
        <v>5141813.9458251242</v>
      </c>
      <c r="G89" s="140">
        <f t="shared" si="12"/>
        <v>5965998.9464028599</v>
      </c>
      <c r="H89" s="140">
        <f t="shared" si="12"/>
        <v>6925690.2831543963</v>
      </c>
      <c r="I89" s="140">
        <f>SUM(I79:I87)</f>
        <v>8043686.9541782392</v>
      </c>
      <c r="J89" s="140">
        <f t="shared" si="12"/>
        <v>9346701.5172389671</v>
      </c>
      <c r="K89" s="140">
        <f t="shared" si="12"/>
        <v>10866043.191746375</v>
      </c>
      <c r="L89" s="140">
        <f>SUM(L79:L87)</f>
        <v>12638421.812729115</v>
      </c>
    </row>
    <row r="90" spans="1:12">
      <c r="A90" s="14"/>
      <c r="B90" s="137"/>
      <c r="C90" s="53"/>
      <c r="D90" s="53"/>
      <c r="E90" s="53"/>
      <c r="F90" s="53"/>
      <c r="G90" s="53"/>
      <c r="H90" s="53"/>
      <c r="I90" s="53"/>
      <c r="J90" s="53"/>
      <c r="K90" s="53"/>
      <c r="L90" s="54"/>
    </row>
    <row r="91" spans="1:12" ht="18.5">
      <c r="A91" s="136" t="s">
        <v>157</v>
      </c>
      <c r="B91" s="137"/>
      <c r="C91" s="140">
        <f t="shared" ref="C91:L91" si="13">C72-C89</f>
        <v>1651000</v>
      </c>
      <c r="D91" s="140">
        <f t="shared" si="13"/>
        <v>4749609.5</v>
      </c>
      <c r="E91" s="140">
        <f t="shared" si="13"/>
        <v>7472047.9527499992</v>
      </c>
      <c r="F91" s="140">
        <f t="shared" si="13"/>
        <v>8685839.8215323742</v>
      </c>
      <c r="G91" s="140">
        <f t="shared" si="13"/>
        <v>10101657.7599646</v>
      </c>
      <c r="H91" s="140">
        <f t="shared" si="13"/>
        <v>11753860.413388377</v>
      </c>
      <c r="I91" s="140">
        <f t="shared" si="13"/>
        <v>13682757.880331319</v>
      </c>
      <c r="J91" s="140">
        <f t="shared" si="13"/>
        <v>15935658.189274713</v>
      </c>
      <c r="K91" s="140">
        <f t="shared" si="13"/>
        <v>18568099.992061131</v>
      </c>
      <c r="L91" s="141">
        <f t="shared" si="13"/>
        <v>21645304.918754704</v>
      </c>
    </row>
    <row r="92" spans="1:12">
      <c r="A92" s="14"/>
      <c r="B92" s="137"/>
      <c r="C92" s="53"/>
      <c r="D92" s="53"/>
      <c r="E92" s="53"/>
      <c r="F92" s="53"/>
      <c r="G92" s="53"/>
      <c r="H92" s="53"/>
      <c r="I92" s="53"/>
      <c r="J92" s="53"/>
      <c r="K92" s="53"/>
      <c r="L92" s="54"/>
    </row>
    <row r="93" spans="1:12" ht="18.5">
      <c r="A93" s="136" t="s">
        <v>96</v>
      </c>
      <c r="B93" s="137"/>
      <c r="C93" s="53"/>
      <c r="D93" s="53"/>
      <c r="E93" s="53"/>
      <c r="F93" s="53"/>
      <c r="G93" s="53"/>
      <c r="H93" s="53"/>
      <c r="I93" s="53"/>
      <c r="J93" s="53"/>
      <c r="K93" s="53"/>
      <c r="L93" s="54"/>
    </row>
    <row r="94" spans="1:12">
      <c r="A94" s="14"/>
      <c r="B94" s="137"/>
      <c r="C94" s="53"/>
      <c r="D94" s="53"/>
      <c r="E94" s="53"/>
      <c r="F94" s="53"/>
      <c r="G94" s="53"/>
      <c r="H94" s="53"/>
      <c r="I94" s="53"/>
      <c r="J94" s="53"/>
      <c r="K94" s="53"/>
      <c r="L94" s="54"/>
    </row>
    <row r="95" spans="1:12" ht="15.5">
      <c r="A95" s="139" t="s">
        <v>28</v>
      </c>
      <c r="B95" s="137"/>
      <c r="C95" s="53"/>
      <c r="D95" s="53"/>
      <c r="E95" s="53"/>
      <c r="F95" s="53"/>
      <c r="G95" s="53"/>
      <c r="H95" s="53"/>
      <c r="I95" s="53"/>
      <c r="J95" s="53"/>
      <c r="K95" s="53"/>
      <c r="L95" s="54"/>
    </row>
    <row r="96" spans="1:12" ht="15.5">
      <c r="A96" s="139"/>
      <c r="B96" s="137"/>
      <c r="C96" s="53"/>
      <c r="D96" s="53"/>
      <c r="E96" s="53"/>
      <c r="F96" s="53"/>
      <c r="G96" s="53"/>
      <c r="H96" s="53"/>
      <c r="I96" s="53"/>
      <c r="J96" s="53"/>
      <c r="K96" s="53"/>
      <c r="L96" s="54"/>
    </row>
    <row r="97" spans="1:12">
      <c r="A97" s="14" t="s">
        <v>37</v>
      </c>
      <c r="B97" s="137"/>
      <c r="C97" s="140">
        <f>Assumptions!D25</f>
        <v>5000</v>
      </c>
      <c r="D97" s="140">
        <v>0</v>
      </c>
      <c r="E97" s="140">
        <v>0</v>
      </c>
      <c r="F97" s="140">
        <v>0</v>
      </c>
      <c r="G97" s="140">
        <v>0</v>
      </c>
      <c r="H97" s="140">
        <v>0</v>
      </c>
      <c r="I97" s="140">
        <v>0</v>
      </c>
      <c r="J97" s="140">
        <v>0</v>
      </c>
      <c r="K97" s="140">
        <v>0</v>
      </c>
      <c r="L97" s="141">
        <v>0</v>
      </c>
    </row>
    <row r="98" spans="1:12">
      <c r="A98" s="14" t="s">
        <v>356</v>
      </c>
      <c r="B98" s="137"/>
      <c r="C98" s="140">
        <f>Assumptions!D26</f>
        <v>15000</v>
      </c>
      <c r="D98" s="140">
        <v>0</v>
      </c>
      <c r="E98" s="140">
        <v>0</v>
      </c>
      <c r="F98" s="140">
        <v>0</v>
      </c>
      <c r="G98" s="140">
        <v>0</v>
      </c>
      <c r="H98" s="140">
        <v>0</v>
      </c>
      <c r="I98" s="140">
        <v>0</v>
      </c>
      <c r="J98" s="140">
        <v>0</v>
      </c>
      <c r="K98" s="140">
        <v>0</v>
      </c>
      <c r="L98" s="141">
        <v>0</v>
      </c>
    </row>
    <row r="99" spans="1:12">
      <c r="A99" s="14" t="s">
        <v>40</v>
      </c>
      <c r="B99" s="137"/>
      <c r="C99" s="140">
        <f>Assumptions!D27</f>
        <v>1000</v>
      </c>
      <c r="D99" s="140">
        <v>0</v>
      </c>
      <c r="E99" s="140">
        <v>0</v>
      </c>
      <c r="F99" s="140">
        <v>0</v>
      </c>
      <c r="G99" s="140">
        <v>0</v>
      </c>
      <c r="H99" s="140">
        <v>0</v>
      </c>
      <c r="I99" s="140">
        <v>0</v>
      </c>
      <c r="J99" s="140">
        <v>0</v>
      </c>
      <c r="K99" s="140">
        <v>0</v>
      </c>
      <c r="L99" s="141">
        <v>0</v>
      </c>
    </row>
    <row r="100" spans="1:12">
      <c r="A100" s="14" t="s">
        <v>41</v>
      </c>
      <c r="B100" s="137"/>
      <c r="C100" s="140">
        <f>Assumptions!D28</f>
        <v>5000</v>
      </c>
      <c r="D100" s="140">
        <v>0</v>
      </c>
      <c r="E100" s="140">
        <v>0</v>
      </c>
      <c r="F100" s="140">
        <v>0</v>
      </c>
      <c r="G100" s="140">
        <v>0</v>
      </c>
      <c r="H100" s="140">
        <v>0</v>
      </c>
      <c r="I100" s="140">
        <v>0</v>
      </c>
      <c r="J100" s="140">
        <v>0</v>
      </c>
      <c r="K100" s="140">
        <v>0</v>
      </c>
      <c r="L100" s="141">
        <v>0</v>
      </c>
    </row>
    <row r="101" spans="1:12">
      <c r="A101" s="14" t="s">
        <v>43</v>
      </c>
      <c r="B101" s="137"/>
      <c r="C101" s="140">
        <f>Assumptions!D29</f>
        <v>1000</v>
      </c>
      <c r="D101" s="140">
        <v>0</v>
      </c>
      <c r="E101" s="140">
        <v>0</v>
      </c>
      <c r="F101" s="140">
        <v>0</v>
      </c>
      <c r="G101" s="140">
        <v>0</v>
      </c>
      <c r="H101" s="140">
        <v>0</v>
      </c>
      <c r="I101" s="140">
        <v>0</v>
      </c>
      <c r="J101" s="140">
        <v>0</v>
      </c>
      <c r="K101" s="140">
        <v>0</v>
      </c>
      <c r="L101" s="141">
        <v>0</v>
      </c>
    </row>
    <row r="102" spans="1:12">
      <c r="A102" s="14" t="s">
        <v>45</v>
      </c>
      <c r="B102" s="137"/>
      <c r="C102" s="140">
        <f>Assumptions!D30</f>
        <v>3000</v>
      </c>
      <c r="D102" s="140">
        <v>0</v>
      </c>
      <c r="E102" s="140">
        <v>0</v>
      </c>
      <c r="F102" s="140">
        <v>0</v>
      </c>
      <c r="G102" s="140">
        <v>0</v>
      </c>
      <c r="H102" s="140">
        <v>0</v>
      </c>
      <c r="I102" s="140">
        <v>0</v>
      </c>
      <c r="J102" s="140">
        <v>0</v>
      </c>
      <c r="K102" s="140">
        <v>0</v>
      </c>
      <c r="L102" s="141">
        <v>0</v>
      </c>
    </row>
    <row r="103" spans="1:12">
      <c r="A103" s="14" t="s">
        <v>35</v>
      </c>
      <c r="B103" s="137"/>
      <c r="C103" s="140">
        <f>Assumptions!D31</f>
        <v>5000</v>
      </c>
      <c r="D103" s="140">
        <v>0</v>
      </c>
      <c r="E103" s="140">
        <v>0</v>
      </c>
      <c r="F103" s="140">
        <v>0</v>
      </c>
      <c r="G103" s="140">
        <v>0</v>
      </c>
      <c r="H103" s="140">
        <v>0</v>
      </c>
      <c r="I103" s="140">
        <v>0</v>
      </c>
      <c r="J103" s="140">
        <v>0</v>
      </c>
      <c r="K103" s="140">
        <v>0</v>
      </c>
      <c r="L103" s="141">
        <v>0</v>
      </c>
    </row>
    <row r="104" spans="1:12">
      <c r="A104" s="14"/>
      <c r="B104" s="137"/>
      <c r="C104" s="53"/>
      <c r="D104" s="53"/>
      <c r="E104" s="53"/>
      <c r="F104" s="53"/>
      <c r="G104" s="53"/>
      <c r="H104" s="53"/>
      <c r="I104" s="53"/>
      <c r="J104" s="53"/>
      <c r="K104" s="53"/>
      <c r="L104" s="54"/>
    </row>
    <row r="105" spans="1:12" ht="15.5">
      <c r="A105" s="139" t="s">
        <v>158</v>
      </c>
      <c r="B105" s="137"/>
      <c r="C105" s="140">
        <f t="shared" ref="C105:L105" si="14">SUM(C97:C103)</f>
        <v>35000</v>
      </c>
      <c r="D105" s="140">
        <f t="shared" si="14"/>
        <v>0</v>
      </c>
      <c r="E105" s="140">
        <f t="shared" si="14"/>
        <v>0</v>
      </c>
      <c r="F105" s="140">
        <f t="shared" si="14"/>
        <v>0</v>
      </c>
      <c r="G105" s="140">
        <f t="shared" si="14"/>
        <v>0</v>
      </c>
      <c r="H105" s="140">
        <f t="shared" si="14"/>
        <v>0</v>
      </c>
      <c r="I105" s="140">
        <f t="shared" si="14"/>
        <v>0</v>
      </c>
      <c r="J105" s="140">
        <f t="shared" si="14"/>
        <v>0</v>
      </c>
      <c r="K105" s="140">
        <f t="shared" si="14"/>
        <v>0</v>
      </c>
      <c r="L105" s="141">
        <f t="shared" si="14"/>
        <v>0</v>
      </c>
    </row>
    <row r="106" spans="1:12">
      <c r="A106" s="14"/>
      <c r="B106" s="137"/>
      <c r="C106" s="53"/>
      <c r="D106" s="53"/>
      <c r="E106" s="53"/>
      <c r="F106" s="53"/>
      <c r="G106" s="53"/>
      <c r="H106" s="53"/>
      <c r="I106" s="53"/>
      <c r="J106" s="53"/>
      <c r="K106" s="53"/>
      <c r="L106" s="54"/>
    </row>
    <row r="107" spans="1:12" ht="15.5">
      <c r="A107" s="139" t="s">
        <v>13</v>
      </c>
      <c r="B107" s="137"/>
      <c r="C107" s="53"/>
      <c r="D107" s="53"/>
      <c r="E107" s="53"/>
      <c r="F107" s="53"/>
      <c r="G107" s="53"/>
      <c r="H107" s="53"/>
      <c r="I107" s="53"/>
      <c r="J107" s="53"/>
      <c r="K107" s="53"/>
      <c r="L107" s="54"/>
    </row>
    <row r="108" spans="1:12">
      <c r="A108" s="14"/>
      <c r="B108" s="137"/>
      <c r="C108" s="53"/>
      <c r="D108" s="53"/>
      <c r="E108" s="53"/>
      <c r="F108" s="53"/>
      <c r="G108" s="53"/>
      <c r="H108" s="53"/>
      <c r="I108" s="53"/>
      <c r="J108" s="53"/>
      <c r="K108" s="53"/>
      <c r="L108" s="54"/>
    </row>
    <row r="109" spans="1:12">
      <c r="A109" s="14" t="s">
        <v>14</v>
      </c>
      <c r="B109" s="137"/>
      <c r="C109" s="140">
        <f>Assumptions!G9</f>
        <v>60000</v>
      </c>
      <c r="D109" s="140">
        <f>C109*(1+Assumptions!$D$11)</f>
        <v>61800</v>
      </c>
      <c r="E109" s="140">
        <f>D109*(1+Assumptions!$D$11)</f>
        <v>63654</v>
      </c>
      <c r="F109" s="140">
        <f>E109*(1+Assumptions!$D$11)</f>
        <v>65563.62</v>
      </c>
      <c r="G109" s="140">
        <f>F109*(1+Assumptions!$D$11)</f>
        <v>67530.528599999991</v>
      </c>
      <c r="H109" s="140">
        <f>G109*(1+Assumptions!$D$11)</f>
        <v>69556.444457999998</v>
      </c>
      <c r="I109" s="140">
        <f>H109*(1+Assumptions!$D$11)</f>
        <v>71643.137791739995</v>
      </c>
      <c r="J109" s="140">
        <f>I109*(1+Assumptions!$D$11)</f>
        <v>73792.431925492201</v>
      </c>
      <c r="K109" s="140">
        <f>J109*(1+Assumptions!$D$11)</f>
        <v>76006.204883256971</v>
      </c>
      <c r="L109" s="140">
        <f>K109*(1+Assumptions!$D$11)</f>
        <v>78286.391029754683</v>
      </c>
    </row>
    <row r="110" spans="1:12">
      <c r="A110" s="14" t="s">
        <v>15</v>
      </c>
      <c r="B110" s="137"/>
      <c r="C110" s="140">
        <f>Assumptions!G10</f>
        <v>12000</v>
      </c>
      <c r="D110" s="140">
        <f>C110*(1+Assumptions!$D$11)</f>
        <v>12360</v>
      </c>
      <c r="E110" s="140">
        <f>D110*(1+Assumptions!$D$11)</f>
        <v>12730.800000000001</v>
      </c>
      <c r="F110" s="140">
        <f>E110*(1+Assumptions!$D$11)</f>
        <v>13112.724000000002</v>
      </c>
      <c r="G110" s="140">
        <f>F110*(1+Assumptions!$D$11)</f>
        <v>13506.105720000003</v>
      </c>
      <c r="H110" s="140">
        <f>G110*(1+Assumptions!$D$11)</f>
        <v>13911.288891600003</v>
      </c>
      <c r="I110" s="140">
        <f>H110*(1+Assumptions!$D$11)</f>
        <v>14328.627558348004</v>
      </c>
      <c r="J110" s="140">
        <f>I110*(1+Assumptions!$D$11)</f>
        <v>14758.486385098444</v>
      </c>
      <c r="K110" s="140">
        <f>J110*(1+Assumptions!$D$11)</f>
        <v>15201.240976651397</v>
      </c>
      <c r="L110" s="140">
        <f>K110*(1+Assumptions!$D$11)</f>
        <v>15657.278205950939</v>
      </c>
    </row>
    <row r="111" spans="1:12">
      <c r="A111" s="14" t="s">
        <v>17</v>
      </c>
      <c r="B111" s="137"/>
      <c r="C111" s="140">
        <f>Assumptions!G11</f>
        <v>1200</v>
      </c>
      <c r="D111" s="140">
        <f>C111*(1+Assumptions!$D$11)</f>
        <v>1236</v>
      </c>
      <c r="E111" s="140">
        <f>D111*(1+Assumptions!$D$11)</f>
        <v>1273.08</v>
      </c>
      <c r="F111" s="140">
        <f>E111*(1+Assumptions!$D$11)</f>
        <v>1311.2724000000001</v>
      </c>
      <c r="G111" s="140">
        <f>F111*(1+Assumptions!$D$11)</f>
        <v>1350.610572</v>
      </c>
      <c r="H111" s="140">
        <f>G111*(1+Assumptions!$D$11)</f>
        <v>1391.12888916</v>
      </c>
      <c r="I111" s="140">
        <f>H111*(1+Assumptions!$D$11)</f>
        <v>1432.8627558348001</v>
      </c>
      <c r="J111" s="140">
        <f>I111*(1+Assumptions!$D$11)</f>
        <v>1475.848638509844</v>
      </c>
      <c r="K111" s="140">
        <f>J111*(1+Assumptions!$D$11)</f>
        <v>1520.1240976651393</v>
      </c>
      <c r="L111" s="140">
        <f>K111*(1+Assumptions!$D$11)</f>
        <v>1565.7278205950936</v>
      </c>
    </row>
    <row r="112" spans="1:12">
      <c r="A112" s="14" t="s">
        <v>19</v>
      </c>
      <c r="B112" s="137"/>
      <c r="C112" s="140">
        <f>Assumptions!G12</f>
        <v>12000</v>
      </c>
      <c r="D112" s="140">
        <f>C112*(1+Assumptions!$D$11)</f>
        <v>12360</v>
      </c>
      <c r="E112" s="140">
        <f>D112*(1+Assumptions!$D$11)</f>
        <v>12730.800000000001</v>
      </c>
      <c r="F112" s="140">
        <f>E112*(1+Assumptions!$D$11)</f>
        <v>13112.724000000002</v>
      </c>
      <c r="G112" s="140">
        <f>F112*(1+Assumptions!$D$11)</f>
        <v>13506.105720000003</v>
      </c>
      <c r="H112" s="140">
        <f>G112*(1+Assumptions!$D$11)</f>
        <v>13911.288891600003</v>
      </c>
      <c r="I112" s="140">
        <f>H112*(1+Assumptions!$D$11)</f>
        <v>14328.627558348004</v>
      </c>
      <c r="J112" s="140">
        <f>I112*(1+Assumptions!$D$11)</f>
        <v>14758.486385098444</v>
      </c>
      <c r="K112" s="140">
        <f>J112*(1+Assumptions!$D$11)</f>
        <v>15201.240976651397</v>
      </c>
      <c r="L112" s="140">
        <f>K112*(1+Assumptions!$D$11)</f>
        <v>15657.278205950939</v>
      </c>
    </row>
    <row r="113" spans="1:12">
      <c r="A113" s="14" t="s">
        <v>20</v>
      </c>
      <c r="B113" s="137"/>
      <c r="C113" s="140">
        <f>Assumptions!G13</f>
        <v>6000</v>
      </c>
      <c r="D113" s="140">
        <f>C113*(1+Assumptions!$D$11)</f>
        <v>6180</v>
      </c>
      <c r="E113" s="140">
        <f>D113*(1+Assumptions!$D$11)</f>
        <v>6365.4000000000005</v>
      </c>
      <c r="F113" s="140">
        <f>E113*(1+Assumptions!$D$11)</f>
        <v>6556.362000000001</v>
      </c>
      <c r="G113" s="140">
        <f>F113*(1+Assumptions!$D$11)</f>
        <v>6753.0528600000016</v>
      </c>
      <c r="H113" s="140">
        <f>G113*(1+Assumptions!$D$11)</f>
        <v>6955.6444458000014</v>
      </c>
      <c r="I113" s="140">
        <f>H113*(1+Assumptions!$D$11)</f>
        <v>7164.3137791740019</v>
      </c>
      <c r="J113" s="140">
        <f>I113*(1+Assumptions!$D$11)</f>
        <v>7379.2431925492219</v>
      </c>
      <c r="K113" s="140">
        <f>J113*(1+Assumptions!$D$11)</f>
        <v>7600.6204883256987</v>
      </c>
      <c r="L113" s="140">
        <f>K113*(1+Assumptions!$D$11)</f>
        <v>7828.6391029754695</v>
      </c>
    </row>
    <row r="114" spans="1:12">
      <c r="A114" s="14" t="s">
        <v>22</v>
      </c>
      <c r="B114" s="137"/>
      <c r="C114" s="140">
        <f>Assumptions!G14</f>
        <v>6000</v>
      </c>
      <c r="D114" s="140">
        <f>C114*(1+Assumptions!$D$11)</f>
        <v>6180</v>
      </c>
      <c r="E114" s="140">
        <f>D114*(1+Assumptions!$D$11)</f>
        <v>6365.4000000000005</v>
      </c>
      <c r="F114" s="140">
        <f>E114*(1+Assumptions!$D$11)</f>
        <v>6556.362000000001</v>
      </c>
      <c r="G114" s="140">
        <f>F114*(1+Assumptions!$D$11)</f>
        <v>6753.0528600000016</v>
      </c>
      <c r="H114" s="140">
        <f>G114*(1+Assumptions!$D$11)</f>
        <v>6955.6444458000014</v>
      </c>
      <c r="I114" s="140">
        <f>H114*(1+Assumptions!$D$11)</f>
        <v>7164.3137791740019</v>
      </c>
      <c r="J114" s="140">
        <f>I114*(1+Assumptions!$D$11)</f>
        <v>7379.2431925492219</v>
      </c>
      <c r="K114" s="140">
        <f>J114*(1+Assumptions!$D$11)</f>
        <v>7600.6204883256987</v>
      </c>
      <c r="L114" s="140">
        <f>K114*(1+Assumptions!$D$11)</f>
        <v>7828.6391029754695</v>
      </c>
    </row>
    <row r="115" spans="1:12">
      <c r="A115" s="14" t="s">
        <v>25</v>
      </c>
      <c r="B115" s="137"/>
      <c r="C115" s="140">
        <f>Assumptions!G15</f>
        <v>1000</v>
      </c>
      <c r="D115" s="140">
        <f>C115*(1+Assumptions!$D$11)</f>
        <v>1030</v>
      </c>
      <c r="E115" s="140">
        <f>D115*(1+Assumptions!$D$11)</f>
        <v>1060.9000000000001</v>
      </c>
      <c r="F115" s="140">
        <f>E115*(1+Assumptions!$D$11)</f>
        <v>1092.7270000000001</v>
      </c>
      <c r="G115" s="140">
        <f>F115*(1+Assumptions!$D$11)</f>
        <v>1125.50881</v>
      </c>
      <c r="H115" s="140">
        <f>G115*(1+Assumptions!$D$11)</f>
        <v>1159.2740743000002</v>
      </c>
      <c r="I115" s="140">
        <f>H115*(1+Assumptions!$D$11)</f>
        <v>1194.0522965290002</v>
      </c>
      <c r="J115" s="140">
        <f>I115*(1+Assumptions!$D$11)</f>
        <v>1229.8738654248702</v>
      </c>
      <c r="K115" s="140">
        <f>J115*(1+Assumptions!$D$11)</f>
        <v>1266.7700813876163</v>
      </c>
      <c r="L115" s="140">
        <f>K115*(1+Assumptions!$D$11)</f>
        <v>1304.7731838292448</v>
      </c>
    </row>
    <row r="116" spans="1:12">
      <c r="A116" s="14" t="s">
        <v>27</v>
      </c>
      <c r="B116" s="137"/>
      <c r="C116" s="140">
        <f>Assumptions!G16</f>
        <v>1000</v>
      </c>
      <c r="D116" s="140">
        <f>C116*(1+Assumptions!$D$11)</f>
        <v>1030</v>
      </c>
      <c r="E116" s="140">
        <f>D116*(1+Assumptions!$D$11)</f>
        <v>1060.9000000000001</v>
      </c>
      <c r="F116" s="140">
        <f>E116*(1+Assumptions!$D$11)</f>
        <v>1092.7270000000001</v>
      </c>
      <c r="G116" s="140">
        <f>F116*(1+Assumptions!$D$11)</f>
        <v>1125.50881</v>
      </c>
      <c r="H116" s="140">
        <f>G116*(1+Assumptions!$D$11)</f>
        <v>1159.2740743000002</v>
      </c>
      <c r="I116" s="140">
        <f>H116*(1+Assumptions!$D$11)</f>
        <v>1194.0522965290002</v>
      </c>
      <c r="J116" s="140">
        <f>I116*(1+Assumptions!$D$11)</f>
        <v>1229.8738654248702</v>
      </c>
      <c r="K116" s="140">
        <f>J116*(1+Assumptions!$D$11)</f>
        <v>1266.7700813876163</v>
      </c>
      <c r="L116" s="140">
        <f>K116*(1+Assumptions!$D$11)</f>
        <v>1304.7731838292448</v>
      </c>
    </row>
    <row r="117" spans="1:12">
      <c r="A117" s="14" t="s">
        <v>290</v>
      </c>
      <c r="B117" s="137"/>
      <c r="C117" s="140">
        <f>Assumptions!G17</f>
        <v>6000</v>
      </c>
      <c r="D117" s="140">
        <f>C117*(1+Assumptions!$D$11)</f>
        <v>6180</v>
      </c>
      <c r="E117" s="140">
        <f>D117*(1+Assumptions!$D$11)</f>
        <v>6365.4000000000005</v>
      </c>
      <c r="F117" s="140">
        <f>E117*(1+Assumptions!$D$11)</f>
        <v>6556.362000000001</v>
      </c>
      <c r="G117" s="140">
        <f>F117*(1+Assumptions!$D$11)</f>
        <v>6753.0528600000016</v>
      </c>
      <c r="H117" s="140">
        <f>G117*(1+Assumptions!$D$11)</f>
        <v>6955.6444458000014</v>
      </c>
      <c r="I117" s="140">
        <f>H117*(1+Assumptions!$D$11)</f>
        <v>7164.3137791740019</v>
      </c>
      <c r="J117" s="140">
        <f>I117*(1+Assumptions!$D$11)</f>
        <v>7379.2431925492219</v>
      </c>
      <c r="K117" s="140">
        <f>J117*(1+Assumptions!$D$11)</f>
        <v>7600.6204883256987</v>
      </c>
      <c r="L117" s="140">
        <f>K117*(1+Assumptions!$D$11)</f>
        <v>7828.6391029754695</v>
      </c>
    </row>
    <row r="118" spans="1:12">
      <c r="A118" s="14" t="s">
        <v>29</v>
      </c>
      <c r="B118" s="137"/>
      <c r="C118" s="140">
        <f>Assumptions!G18</f>
        <v>31200</v>
      </c>
      <c r="D118" s="140">
        <f>C118*(1+Assumptions!$D$11)*(1+Assumptions!$J$10)</f>
        <v>35670.960000000006</v>
      </c>
      <c r="E118" s="140">
        <f>D118*(1+Assumptions!$D$11)*(1+Assumptions!$J$10)</f>
        <v>40782.608568000011</v>
      </c>
      <c r="F118" s="140">
        <f>E118*(1+Assumptions!$D$11)*(1+Assumptions!$J$10)</f>
        <v>46626.756375794415</v>
      </c>
      <c r="G118" s="140">
        <f>F118*(1+Assumptions!$D$11)*(1+Assumptions!$J$10)</f>
        <v>53308.370564445766</v>
      </c>
      <c r="H118" s="140">
        <f>G118*(1+Assumptions!$D$11)*(1+Assumptions!$J$10)</f>
        <v>60947.460066330852</v>
      </c>
      <c r="I118" s="140">
        <f>H118*(1+Assumptions!$D$11)*(1+Assumptions!$J$10)</f>
        <v>69681.231093836075</v>
      </c>
      <c r="J118" s="140">
        <f>I118*(1+Assumptions!$D$11)*(1+Assumptions!$J$10)</f>
        <v>79666.551509582787</v>
      </c>
      <c r="K118" s="140">
        <f>J118*(1+Assumptions!$D$11)*(1+Assumptions!$J$10)</f>
        <v>91082.768340906012</v>
      </c>
      <c r="L118" s="140">
        <f>K118*(1+Assumptions!$D$11)*(1+Assumptions!$J$10)</f>
        <v>104134.92904415785</v>
      </c>
    </row>
    <row r="119" spans="1:12">
      <c r="A119" s="14" t="s">
        <v>291</v>
      </c>
      <c r="B119" s="137"/>
      <c r="C119" s="140">
        <f>Assumptions!G19</f>
        <v>120000</v>
      </c>
      <c r="D119" s="140">
        <f>C119*(1+Assumptions!$D$11)*(1+Assumptions!$J$11)</f>
        <v>135960</v>
      </c>
      <c r="E119" s="140">
        <f>D119*(1+Assumptions!$D$11)*(1+Assumptions!$J$11)</f>
        <v>154042.68000000002</v>
      </c>
      <c r="F119" s="140">
        <f>E119*(1+Assumptions!$D$11)*(1+Assumptions!$J$11)</f>
        <v>174530.35644000006</v>
      </c>
      <c r="G119" s="140">
        <f>F119*(1+Assumptions!$D$11)*(1+Assumptions!$J$11)</f>
        <v>197742.89384652011</v>
      </c>
      <c r="H119" s="140">
        <f>G119*(1+Assumptions!$D$11)*(1+Assumptions!$J$11)</f>
        <v>224042.69872810729</v>
      </c>
      <c r="I119" s="140">
        <f>H119*(1+Assumptions!$D$11)*(1+Assumptions!$J$11)</f>
        <v>253840.3776589456</v>
      </c>
      <c r="J119" s="140">
        <f>I119*(1+Assumptions!$D$11)*(1+Assumptions!$J$11)</f>
        <v>287601.14788758539</v>
      </c>
      <c r="K119" s="140">
        <f>J119*(1+Assumptions!$D$11)*(1+Assumptions!$J$11)</f>
        <v>325852.10055663431</v>
      </c>
      <c r="L119" s="140">
        <f>K119*(1+Assumptions!$D$11)*(1+Assumptions!$J$11)</f>
        <v>369190.42993066669</v>
      </c>
    </row>
    <row r="120" spans="1:12">
      <c r="A120" s="14" t="s">
        <v>31</v>
      </c>
      <c r="B120" s="137"/>
      <c r="C120" s="140">
        <f>Assumptions!G20</f>
        <v>1200</v>
      </c>
      <c r="D120" s="140">
        <f>C120*(1+Assumptions!$D$11)</f>
        <v>1236</v>
      </c>
      <c r="E120" s="140">
        <f>D120*(1+Assumptions!$D$11)</f>
        <v>1273.08</v>
      </c>
      <c r="F120" s="140">
        <f>E120*(1+Assumptions!$D$11)</f>
        <v>1311.2724000000001</v>
      </c>
      <c r="G120" s="140">
        <f>F120*(1+Assumptions!$D$11)</f>
        <v>1350.610572</v>
      </c>
      <c r="H120" s="140">
        <f>G120*(1+Assumptions!$D$11)</f>
        <v>1391.12888916</v>
      </c>
      <c r="I120" s="140">
        <f>H120*(1+Assumptions!$D$11)</f>
        <v>1432.8627558348001</v>
      </c>
      <c r="J120" s="140">
        <f>I120*(1+Assumptions!$D$11)</f>
        <v>1475.848638509844</v>
      </c>
      <c r="K120" s="140">
        <f>J120*(1+Assumptions!$D$11)</f>
        <v>1520.1240976651393</v>
      </c>
      <c r="L120" s="140">
        <f>K120*(1+Assumptions!$D$11)</f>
        <v>1565.7278205950936</v>
      </c>
    </row>
    <row r="121" spans="1:12">
      <c r="A121" s="14" t="s">
        <v>33</v>
      </c>
      <c r="B121" s="137"/>
      <c r="C121" s="140">
        <f>Assumptions!G21</f>
        <v>1000</v>
      </c>
      <c r="D121" s="140">
        <f>C121*(1+Assumptions!$D$11)</f>
        <v>1030</v>
      </c>
      <c r="E121" s="140">
        <f>D121*(1+Assumptions!$D$11)</f>
        <v>1060.9000000000001</v>
      </c>
      <c r="F121" s="140">
        <f>E121*(1+Assumptions!$D$11)</f>
        <v>1092.7270000000001</v>
      </c>
      <c r="G121" s="140">
        <f>F121*(1+Assumptions!$D$11)</f>
        <v>1125.50881</v>
      </c>
      <c r="H121" s="140">
        <f>G121*(1+Assumptions!$D$11)</f>
        <v>1159.2740743000002</v>
      </c>
      <c r="I121" s="140">
        <f>H121*(1+Assumptions!$D$11)</f>
        <v>1194.0522965290002</v>
      </c>
      <c r="J121" s="140">
        <f>I121*(1+Assumptions!$D$11)</f>
        <v>1229.8738654248702</v>
      </c>
      <c r="K121" s="140">
        <f>J121*(1+Assumptions!$D$11)</f>
        <v>1266.7700813876163</v>
      </c>
      <c r="L121" s="140">
        <f>K121*(1+Assumptions!$D$11)</f>
        <v>1304.7731838292448</v>
      </c>
    </row>
    <row r="122" spans="1:12">
      <c r="A122" s="14" t="s">
        <v>35</v>
      </c>
      <c r="B122" s="137"/>
      <c r="C122" s="140">
        <f>Assumptions!G22</f>
        <v>5000</v>
      </c>
      <c r="D122" s="140">
        <f>C122*(1+Assumptions!$D$11)</f>
        <v>5150</v>
      </c>
      <c r="E122" s="140">
        <f>D122*(1+Assumptions!$D$11)</f>
        <v>5304.5</v>
      </c>
      <c r="F122" s="140">
        <f>E122*(1+Assumptions!$D$11)</f>
        <v>5463.6350000000002</v>
      </c>
      <c r="G122" s="140">
        <f>F122*(1+Assumptions!$D$11)</f>
        <v>5627.5440500000004</v>
      </c>
      <c r="H122" s="140">
        <f>G122*(1+Assumptions!$D$11)</f>
        <v>5796.3703715000001</v>
      </c>
      <c r="I122" s="140">
        <f>H122*(1+Assumptions!$D$11)</f>
        <v>5970.2614826449999</v>
      </c>
      <c r="J122" s="140">
        <f>I122*(1+Assumptions!$D$11)</f>
        <v>6149.3693271243501</v>
      </c>
      <c r="K122" s="140">
        <f>J122*(1+Assumptions!$D$11)</f>
        <v>6333.8504069380806</v>
      </c>
      <c r="L122" s="140">
        <f>K122*(1+Assumptions!$D$11)</f>
        <v>6523.865919146223</v>
      </c>
    </row>
    <row r="123" spans="1:12">
      <c r="A123" s="14"/>
      <c r="B123" s="137"/>
      <c r="C123" s="53"/>
      <c r="D123" s="53"/>
      <c r="E123" s="53"/>
      <c r="F123" s="53"/>
      <c r="G123" s="53"/>
      <c r="H123" s="53"/>
      <c r="I123" s="53"/>
      <c r="J123" s="53"/>
      <c r="K123" s="53"/>
      <c r="L123" s="54"/>
    </row>
    <row r="124" spans="1:12" ht="15.5">
      <c r="A124" s="139" t="s">
        <v>159</v>
      </c>
      <c r="B124" s="137"/>
      <c r="C124" s="140">
        <f t="shared" ref="C124:L124" si="15">SUM(C109:C122)</f>
        <v>263600</v>
      </c>
      <c r="D124" s="140">
        <f t="shared" si="15"/>
        <v>287402.96000000002</v>
      </c>
      <c r="E124" s="140">
        <f t="shared" si="15"/>
        <v>314070.44856800005</v>
      </c>
      <c r="F124" s="140">
        <f t="shared" si="15"/>
        <v>343979.62761579448</v>
      </c>
      <c r="G124" s="140">
        <f t="shared" si="15"/>
        <v>377558.4546549659</v>
      </c>
      <c r="H124" s="140">
        <f t="shared" si="15"/>
        <v>415292.56474575819</v>
      </c>
      <c r="I124" s="140">
        <f t="shared" si="15"/>
        <v>457733.08688264131</v>
      </c>
      <c r="J124" s="140">
        <f t="shared" si="15"/>
        <v>505505.52187092358</v>
      </c>
      <c r="K124" s="140">
        <f t="shared" si="15"/>
        <v>559319.8260455085</v>
      </c>
      <c r="L124" s="141">
        <f t="shared" si="15"/>
        <v>619981.8648372317</v>
      </c>
    </row>
    <row r="125" spans="1:12" ht="15.5">
      <c r="A125" s="139"/>
      <c r="B125" s="137"/>
      <c r="C125" s="53"/>
      <c r="D125" s="53"/>
      <c r="E125" s="53"/>
      <c r="F125" s="53"/>
      <c r="G125" s="53"/>
      <c r="H125" s="53"/>
      <c r="I125" s="53"/>
      <c r="J125" s="53"/>
      <c r="K125" s="53"/>
      <c r="L125" s="54"/>
    </row>
    <row r="126" spans="1:12" ht="15.5">
      <c r="A126" s="139" t="s">
        <v>36</v>
      </c>
      <c r="B126" s="137"/>
      <c r="C126" s="53"/>
      <c r="D126" s="53"/>
      <c r="E126" s="53"/>
      <c r="F126" s="53"/>
      <c r="G126" s="53"/>
      <c r="H126" s="53"/>
      <c r="I126" s="53"/>
      <c r="J126" s="53"/>
      <c r="K126" s="53"/>
      <c r="L126" s="54"/>
    </row>
    <row r="127" spans="1:12">
      <c r="A127" s="14" t="s">
        <v>38</v>
      </c>
      <c r="B127" s="137"/>
      <c r="C127" s="140">
        <f>Assumptions!G25</f>
        <v>5000</v>
      </c>
      <c r="D127" s="140">
        <f>C127*(1+Assumptions!$D$11)</f>
        <v>5150</v>
      </c>
      <c r="E127" s="140">
        <f>D127*(1+Assumptions!$D$11)</f>
        <v>5304.5</v>
      </c>
      <c r="F127" s="140">
        <f>E127*(1+Assumptions!$D$11)</f>
        <v>5463.6350000000002</v>
      </c>
      <c r="G127" s="140">
        <f>F127*(1+Assumptions!$D$11)</f>
        <v>5627.5440500000004</v>
      </c>
      <c r="H127" s="140">
        <f>G127*(1+Assumptions!$D$11)</f>
        <v>5796.3703715000001</v>
      </c>
      <c r="I127" s="140">
        <f>H127*(1+Assumptions!$D$11)</f>
        <v>5970.2614826449999</v>
      </c>
      <c r="J127" s="140">
        <f>I127*(1+Assumptions!$D$11)</f>
        <v>6149.3693271243501</v>
      </c>
      <c r="K127" s="140">
        <f>J127*(1+Assumptions!$D$11)</f>
        <v>6333.8504069380806</v>
      </c>
      <c r="L127" s="140">
        <f>K127*(1+Assumptions!$D$11)</f>
        <v>6523.865919146223</v>
      </c>
    </row>
    <row r="128" spans="1:12">
      <c r="A128" s="14" t="s">
        <v>39</v>
      </c>
      <c r="B128" s="137"/>
      <c r="C128" s="140">
        <f>Assumptions!G26</f>
        <v>500</v>
      </c>
      <c r="D128" s="140">
        <f t="shared" ref="D128:L128" si="16">C128</f>
        <v>500</v>
      </c>
      <c r="E128" s="140">
        <f t="shared" si="16"/>
        <v>500</v>
      </c>
      <c r="F128" s="140">
        <f t="shared" si="16"/>
        <v>500</v>
      </c>
      <c r="G128" s="140">
        <f t="shared" si="16"/>
        <v>500</v>
      </c>
      <c r="H128" s="140">
        <f t="shared" si="16"/>
        <v>500</v>
      </c>
      <c r="I128" s="140">
        <f t="shared" si="16"/>
        <v>500</v>
      </c>
      <c r="J128" s="140">
        <f t="shared" si="16"/>
        <v>500</v>
      </c>
      <c r="K128" s="140">
        <f t="shared" si="16"/>
        <v>500</v>
      </c>
      <c r="L128" s="141">
        <f t="shared" si="16"/>
        <v>500</v>
      </c>
    </row>
    <row r="129" spans="1:12">
      <c r="A129" s="14"/>
      <c r="B129" s="137"/>
      <c r="C129" s="53"/>
      <c r="D129" s="53"/>
      <c r="E129" s="53"/>
      <c r="F129" s="53"/>
      <c r="G129" s="53"/>
      <c r="H129" s="53"/>
      <c r="I129" s="53"/>
      <c r="J129" s="53"/>
      <c r="K129" s="53"/>
      <c r="L129" s="54"/>
    </row>
    <row r="130" spans="1:12" ht="15.5">
      <c r="A130" s="139" t="s">
        <v>160</v>
      </c>
      <c r="B130" s="137"/>
      <c r="C130" s="140">
        <f t="shared" ref="C130:L130" si="17">SUM(C127:C128)</f>
        <v>5500</v>
      </c>
      <c r="D130" s="140">
        <f t="shared" si="17"/>
        <v>5650</v>
      </c>
      <c r="E130" s="140">
        <f t="shared" si="17"/>
        <v>5804.5</v>
      </c>
      <c r="F130" s="140">
        <f t="shared" si="17"/>
        <v>5963.6350000000002</v>
      </c>
      <c r="G130" s="140">
        <f t="shared" si="17"/>
        <v>6127.5440500000004</v>
      </c>
      <c r="H130" s="140">
        <f t="shared" si="17"/>
        <v>6296.3703715000001</v>
      </c>
      <c r="I130" s="140">
        <f t="shared" si="17"/>
        <v>6470.2614826449999</v>
      </c>
      <c r="J130" s="140">
        <f t="shared" si="17"/>
        <v>6649.3693271243501</v>
      </c>
      <c r="K130" s="140">
        <f t="shared" si="17"/>
        <v>6833.8504069380806</v>
      </c>
      <c r="L130" s="141">
        <f t="shared" si="17"/>
        <v>7023.865919146223</v>
      </c>
    </row>
    <row r="131" spans="1:12">
      <c r="A131" s="14"/>
      <c r="B131" s="137"/>
      <c r="C131" s="53"/>
      <c r="D131" s="53"/>
      <c r="E131" s="53"/>
      <c r="F131" s="53"/>
      <c r="G131" s="53"/>
      <c r="H131" s="53"/>
      <c r="I131" s="53"/>
      <c r="J131" s="53"/>
      <c r="K131" s="53"/>
      <c r="L131" s="54"/>
    </row>
    <row r="132" spans="1:12" ht="15.5">
      <c r="A132" s="139" t="s">
        <v>112</v>
      </c>
      <c r="B132" s="137"/>
      <c r="C132" s="140">
        <f t="shared" ref="C132:L132" si="18">C105+C124+C130</f>
        <v>304100</v>
      </c>
      <c r="D132" s="140">
        <f t="shared" si="18"/>
        <v>293052.96000000002</v>
      </c>
      <c r="E132" s="140">
        <f t="shared" si="18"/>
        <v>319874.94856800005</v>
      </c>
      <c r="F132" s="140">
        <f t="shared" si="18"/>
        <v>349943.26261579449</v>
      </c>
      <c r="G132" s="140">
        <f t="shared" si="18"/>
        <v>383685.99870496592</v>
      </c>
      <c r="H132" s="140">
        <f t="shared" si="18"/>
        <v>421588.93511725817</v>
      </c>
      <c r="I132" s="140">
        <f t="shared" si="18"/>
        <v>464203.34836528631</v>
      </c>
      <c r="J132" s="140">
        <f t="shared" si="18"/>
        <v>512154.8911980479</v>
      </c>
      <c r="K132" s="140">
        <f t="shared" si="18"/>
        <v>566153.67645244661</v>
      </c>
      <c r="L132" s="141">
        <f t="shared" si="18"/>
        <v>627005.73075637792</v>
      </c>
    </row>
    <row r="133" spans="1:12">
      <c r="A133" s="14"/>
      <c r="B133" s="137"/>
      <c r="C133" s="53"/>
      <c r="D133" s="53"/>
      <c r="E133" s="53"/>
      <c r="F133" s="53"/>
      <c r="G133" s="53"/>
      <c r="H133" s="53"/>
      <c r="I133" s="53"/>
      <c r="J133" s="53"/>
      <c r="K133" s="53"/>
      <c r="L133" s="54"/>
    </row>
    <row r="134" spans="1:12" ht="15.5">
      <c r="A134" s="139" t="s">
        <v>161</v>
      </c>
      <c r="B134" s="137"/>
      <c r="C134" s="140">
        <f t="shared" ref="C134:L134" si="19">C91-C132</f>
        <v>1346900</v>
      </c>
      <c r="D134" s="140">
        <f t="shared" si="19"/>
        <v>4456556.54</v>
      </c>
      <c r="E134" s="140">
        <f t="shared" si="19"/>
        <v>7152173.0041819988</v>
      </c>
      <c r="F134" s="140">
        <f t="shared" si="19"/>
        <v>8335896.5589165799</v>
      </c>
      <c r="G134" s="140">
        <f t="shared" si="19"/>
        <v>9717971.761259634</v>
      </c>
      <c r="H134" s="140">
        <f t="shared" si="19"/>
        <v>11332271.478271119</v>
      </c>
      <c r="I134" s="140">
        <f t="shared" si="19"/>
        <v>13218554.531966032</v>
      </c>
      <c r="J134" s="140">
        <f t="shared" si="19"/>
        <v>15423503.298076665</v>
      </c>
      <c r="K134" s="140">
        <f t="shared" si="19"/>
        <v>18001946.315608684</v>
      </c>
      <c r="L134" s="141">
        <f t="shared" si="19"/>
        <v>21018299.187998325</v>
      </c>
    </row>
    <row r="135" spans="1:12">
      <c r="A135" s="14"/>
      <c r="B135" s="137"/>
      <c r="C135" s="53"/>
      <c r="D135" s="53"/>
      <c r="E135" s="53"/>
      <c r="F135" s="53"/>
      <c r="G135" s="53"/>
      <c r="H135" s="53"/>
      <c r="I135" s="53"/>
      <c r="J135" s="53"/>
      <c r="K135" s="53"/>
      <c r="L135" s="54"/>
    </row>
    <row r="136" spans="1:12">
      <c r="A136" s="14" t="s">
        <v>162</v>
      </c>
      <c r="B136" s="137"/>
      <c r="C136" s="53">
        <f>'Depreciation Schedule'!G10</f>
        <v>20611.111111111113</v>
      </c>
      <c r="D136" s="53">
        <f>'Depreciation Schedule'!H10</f>
        <v>20611.111111111113</v>
      </c>
      <c r="E136" s="53">
        <f>'Depreciation Schedule'!I10</f>
        <v>20611.111111111113</v>
      </c>
      <c r="F136" s="53">
        <f>'Depreciation Schedule'!J10</f>
        <v>20611.111111111113</v>
      </c>
      <c r="G136" s="53">
        <f>'Depreciation Schedule'!K10</f>
        <v>20611.111111111113</v>
      </c>
      <c r="H136" s="53">
        <f>'Depreciation Schedule'!L10</f>
        <v>20611.111111111113</v>
      </c>
      <c r="I136" s="53">
        <f>'Depreciation Schedule'!M10</f>
        <v>20611.111111111113</v>
      </c>
      <c r="J136" s="53">
        <f>'Depreciation Schedule'!N10</f>
        <v>20611.111111111113</v>
      </c>
      <c r="K136" s="53">
        <f>'Depreciation Schedule'!O10</f>
        <v>20611.111111111113</v>
      </c>
      <c r="L136" s="53">
        <f>'Depreciation Schedule'!P10</f>
        <v>20611.111111111113</v>
      </c>
    </row>
    <row r="137" spans="1:12">
      <c r="A137" s="14" t="s">
        <v>163</v>
      </c>
      <c r="B137" s="137"/>
      <c r="C137" s="53">
        <v>0</v>
      </c>
      <c r="D137" s="53">
        <v>0</v>
      </c>
      <c r="E137" s="53">
        <v>0</v>
      </c>
      <c r="F137" s="53">
        <v>0</v>
      </c>
      <c r="G137" s="53">
        <v>0</v>
      </c>
      <c r="H137" s="53">
        <v>0</v>
      </c>
      <c r="I137" s="53">
        <v>0</v>
      </c>
      <c r="J137" s="53">
        <v>0</v>
      </c>
      <c r="K137" s="53">
        <v>0</v>
      </c>
      <c r="L137" s="54">
        <v>0</v>
      </c>
    </row>
    <row r="138" spans="1:12">
      <c r="A138" s="14"/>
      <c r="B138" s="137"/>
      <c r="C138" s="53"/>
      <c r="D138" s="53"/>
      <c r="E138" s="53"/>
      <c r="F138" s="53"/>
      <c r="G138" s="53"/>
      <c r="H138" s="53"/>
      <c r="I138" s="53"/>
      <c r="J138" s="53"/>
      <c r="K138" s="53"/>
      <c r="L138" s="54"/>
    </row>
    <row r="139" spans="1:12" ht="15.5">
      <c r="A139" s="139" t="s">
        <v>164</v>
      </c>
      <c r="B139" s="137"/>
      <c r="C139" s="140">
        <f t="shared" ref="C139:L139" si="20">C134-SUM(C136:C137)</f>
        <v>1326288.888888889</v>
      </c>
      <c r="D139" s="140">
        <f t="shared" si="20"/>
        <v>4435945.428888889</v>
      </c>
      <c r="E139" s="140">
        <f t="shared" si="20"/>
        <v>7131561.8930708878</v>
      </c>
      <c r="F139" s="140">
        <f t="shared" si="20"/>
        <v>8315285.4478054689</v>
      </c>
      <c r="G139" s="140">
        <f t="shared" si="20"/>
        <v>9697360.6501485221</v>
      </c>
      <c r="H139" s="140">
        <f t="shared" si="20"/>
        <v>11311660.367160007</v>
      </c>
      <c r="I139" s="140">
        <f t="shared" si="20"/>
        <v>13197943.420854921</v>
      </c>
      <c r="J139" s="140">
        <f t="shared" si="20"/>
        <v>15402892.186965553</v>
      </c>
      <c r="K139" s="140">
        <f t="shared" si="20"/>
        <v>17981335.204497572</v>
      </c>
      <c r="L139" s="141">
        <f t="shared" si="20"/>
        <v>20997688.076887213</v>
      </c>
    </row>
    <row r="140" spans="1:12">
      <c r="A140" s="144"/>
      <c r="B140" s="137"/>
      <c r="C140" s="53"/>
      <c r="D140" s="53"/>
      <c r="E140" s="53"/>
      <c r="F140" s="53"/>
      <c r="G140" s="53"/>
      <c r="H140" s="53"/>
      <c r="I140" s="53"/>
      <c r="J140" s="53"/>
      <c r="K140" s="53"/>
      <c r="L140" s="54"/>
    </row>
    <row r="141" spans="1:12">
      <c r="A141" s="14" t="s">
        <v>165</v>
      </c>
      <c r="B141" s="137"/>
      <c r="C141" s="140">
        <f>'Loan Repayment Schedule'!H24</f>
        <v>78887.593138586235</v>
      </c>
      <c r="D141" s="140">
        <f>'Loan Repayment Schedule'!I24</f>
        <v>74852.949804201286</v>
      </c>
      <c r="E141" s="140">
        <f>'Loan Repayment Schedule'!J24</f>
        <v>70169.719326413004</v>
      </c>
      <c r="F141" s="140">
        <f>'Loan Repayment Schedule'!K24</f>
        <v>64733.63839178221</v>
      </c>
      <c r="G141" s="140">
        <f>'Loan Repayment Schedule'!L24</f>
        <v>58423.682888201663</v>
      </c>
      <c r="H141" s="140">
        <f>'Loan Repayment Schedule'!M24</f>
        <v>51099.373530789453</v>
      </c>
      <c r="I141" s="140">
        <f>'Loan Repayment Schedule'!N24</f>
        <v>42597.648354972385</v>
      </c>
      <c r="J141" s="140">
        <f>'Loan Repayment Schedule'!O24</f>
        <v>32729.232448703373</v>
      </c>
      <c r="K141" s="140">
        <f>'Loan Repayment Schedule'!P24</f>
        <v>21274.424102732115</v>
      </c>
      <c r="L141" s="140">
        <f>'Loan Repayment Schedule'!Q24</f>
        <v>7978.2035654948695</v>
      </c>
    </row>
    <row r="142" spans="1:12">
      <c r="A142" s="14"/>
      <c r="B142" s="137"/>
      <c r="C142" s="145"/>
      <c r="D142" s="53"/>
      <c r="E142" s="53"/>
      <c r="F142" s="53"/>
      <c r="G142" s="53"/>
      <c r="H142" s="53"/>
      <c r="I142" s="53"/>
      <c r="J142" s="53"/>
      <c r="K142" s="53"/>
      <c r="L142" s="54"/>
    </row>
    <row r="143" spans="1:12" ht="15.5">
      <c r="A143" s="139" t="s">
        <v>166</v>
      </c>
      <c r="B143" s="137"/>
      <c r="C143" s="140">
        <f t="shared" ref="C143:L143" si="21">C139-C141</f>
        <v>1247401.2957503027</v>
      </c>
      <c r="D143" s="140">
        <f t="shared" si="21"/>
        <v>4361092.4790846873</v>
      </c>
      <c r="E143" s="140">
        <f t="shared" si="21"/>
        <v>7061392.1737444745</v>
      </c>
      <c r="F143" s="140">
        <f t="shared" si="21"/>
        <v>8250551.8094136864</v>
      </c>
      <c r="G143" s="140">
        <f t="shared" si="21"/>
        <v>9638936.9672603197</v>
      </c>
      <c r="H143" s="140">
        <f t="shared" si="21"/>
        <v>11260560.993629217</v>
      </c>
      <c r="I143" s="140">
        <f t="shared" si="21"/>
        <v>13155345.772499949</v>
      </c>
      <c r="J143" s="140">
        <f t="shared" si="21"/>
        <v>15370162.95451685</v>
      </c>
      <c r="K143" s="140">
        <f t="shared" si="21"/>
        <v>17960060.780394841</v>
      </c>
      <c r="L143" s="141">
        <f t="shared" si="21"/>
        <v>20989709.873321719</v>
      </c>
    </row>
    <row r="144" spans="1:12">
      <c r="A144" s="144"/>
      <c r="B144" s="137"/>
      <c r="C144" s="53"/>
      <c r="D144" s="53"/>
      <c r="E144" s="53"/>
      <c r="F144" s="53"/>
      <c r="G144" s="53"/>
      <c r="H144" s="53"/>
      <c r="I144" s="53"/>
      <c r="J144" s="53"/>
      <c r="K144" s="53"/>
      <c r="L144" s="54"/>
    </row>
    <row r="145" spans="1:12">
      <c r="A145" s="14" t="s">
        <v>167</v>
      </c>
      <c r="B145" s="137"/>
      <c r="C145" s="140">
        <f>C143*Assumptions!$D$12</f>
        <v>436590.45351260592</v>
      </c>
      <c r="D145" s="140">
        <f>D143*Assumptions!$D$12</f>
        <v>1526382.3676796404</v>
      </c>
      <c r="E145" s="140">
        <f>E143*Assumptions!$D$12</f>
        <v>2471487.2608105661</v>
      </c>
      <c r="F145" s="140">
        <f>F143*Assumptions!$D$12</f>
        <v>2887693.1332947901</v>
      </c>
      <c r="G145" s="140">
        <f>G143*Assumptions!$D$12</f>
        <v>3373627.9385411115</v>
      </c>
      <c r="H145" s="140">
        <f>H143*Assumptions!$D$12</f>
        <v>3941196.3477702257</v>
      </c>
      <c r="I145" s="140">
        <f>I143*Assumptions!$D$12</f>
        <v>4604371.0203749817</v>
      </c>
      <c r="J145" s="140">
        <f>J143*Assumptions!$D$12</f>
        <v>5379557.0340808975</v>
      </c>
      <c r="K145" s="140">
        <f>K143*Assumptions!$D$12</f>
        <v>6286021.2731381943</v>
      </c>
      <c r="L145" s="140">
        <f>L143*Assumptions!$D$12</f>
        <v>7346398.4556626016</v>
      </c>
    </row>
    <row r="146" spans="1:12">
      <c r="A146" s="14"/>
      <c r="B146" s="137"/>
      <c r="C146" s="53"/>
      <c r="D146" s="53"/>
      <c r="E146" s="53"/>
      <c r="F146" s="53"/>
      <c r="G146" s="53"/>
      <c r="H146" s="53"/>
      <c r="I146" s="53"/>
      <c r="J146" s="53"/>
      <c r="K146" s="53"/>
      <c r="L146" s="54"/>
    </row>
    <row r="147" spans="1:12" ht="15.5">
      <c r="A147" s="139" t="s">
        <v>97</v>
      </c>
      <c r="B147" s="137"/>
      <c r="C147" s="140">
        <f t="shared" ref="C147:L147" si="22">C143-C145</f>
        <v>810810.84223769675</v>
      </c>
      <c r="D147" s="140">
        <f t="shared" si="22"/>
        <v>2834710.1114050467</v>
      </c>
      <c r="E147" s="140">
        <f t="shared" si="22"/>
        <v>4589904.9129339084</v>
      </c>
      <c r="F147" s="140">
        <f t="shared" si="22"/>
        <v>5362858.6761188963</v>
      </c>
      <c r="G147" s="140">
        <f t="shared" si="22"/>
        <v>6265309.0287192082</v>
      </c>
      <c r="H147" s="140">
        <f t="shared" si="22"/>
        <v>7319364.6458589919</v>
      </c>
      <c r="I147" s="140">
        <f t="shared" si="22"/>
        <v>8550974.7521249671</v>
      </c>
      <c r="J147" s="140">
        <f t="shared" si="22"/>
        <v>9990605.9204359539</v>
      </c>
      <c r="K147" s="140">
        <f t="shared" si="22"/>
        <v>11674039.507256646</v>
      </c>
      <c r="L147" s="141">
        <f t="shared" si="22"/>
        <v>13643311.417659119</v>
      </c>
    </row>
    <row r="148" spans="1:12">
      <c r="A148" s="144"/>
      <c r="B148" s="137"/>
      <c r="C148" s="53"/>
      <c r="D148" s="53"/>
      <c r="E148" s="53"/>
      <c r="F148" s="53"/>
      <c r="G148" s="53"/>
      <c r="H148" s="53"/>
      <c r="I148" s="53"/>
      <c r="J148" s="53"/>
      <c r="K148" s="53"/>
      <c r="L148" s="54"/>
    </row>
    <row r="149" spans="1:12" ht="16" thickBot="1">
      <c r="A149" s="146" t="s">
        <v>168</v>
      </c>
      <c r="B149" s="147"/>
      <c r="C149" s="148">
        <f>C147</f>
        <v>810810.84223769675</v>
      </c>
      <c r="D149" s="148">
        <f>C149+D147</f>
        <v>3645520.9536427436</v>
      </c>
      <c r="E149" s="148">
        <f t="shared" ref="E149:L149" si="23">D149+E147</f>
        <v>8235425.866576652</v>
      </c>
      <c r="F149" s="148">
        <f t="shared" si="23"/>
        <v>13598284.542695548</v>
      </c>
      <c r="G149" s="148">
        <f t="shared" si="23"/>
        <v>19863593.571414758</v>
      </c>
      <c r="H149" s="148">
        <f t="shared" si="23"/>
        <v>27182958.217273749</v>
      </c>
      <c r="I149" s="148">
        <f t="shared" si="23"/>
        <v>35733932.969398715</v>
      </c>
      <c r="J149" s="148">
        <f t="shared" si="23"/>
        <v>45724538.889834672</v>
      </c>
      <c r="K149" s="148">
        <f t="shared" si="23"/>
        <v>57398578.397091314</v>
      </c>
      <c r="L149" s="149">
        <f t="shared" si="23"/>
        <v>71041889.814750433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D90F-C5E8-408B-9D23-F608EA8BB7C9}">
  <dimension ref="A1:Q44"/>
  <sheetViews>
    <sheetView topLeftCell="A18" zoomScale="86" workbookViewId="0">
      <selection activeCell="H42" sqref="H42"/>
    </sheetView>
  </sheetViews>
  <sheetFormatPr defaultRowHeight="14.5"/>
  <cols>
    <col min="8" max="8" width="12.81640625" customWidth="1"/>
    <col min="9" max="9" width="13.54296875" customWidth="1"/>
    <col min="10" max="10" width="15.6328125" customWidth="1"/>
    <col min="11" max="11" width="15.1796875" customWidth="1"/>
    <col min="12" max="12" width="15.453125" customWidth="1"/>
    <col min="13" max="13" width="15.7265625" customWidth="1"/>
    <col min="14" max="14" width="15.08984375" customWidth="1"/>
    <col min="15" max="15" width="16.81640625" customWidth="1"/>
    <col min="16" max="16" width="17.1796875" customWidth="1"/>
    <col min="17" max="17" width="16.26953125" customWidth="1"/>
  </cols>
  <sheetData>
    <row r="1" spans="1:17">
      <c r="A1" s="1" t="s">
        <v>0</v>
      </c>
      <c r="B1" s="2" t="str">
        <f>'Table of Contents'!B1</f>
        <v>Electronics Manufacturing Venture</v>
      </c>
      <c r="C1" s="3"/>
      <c r="D1" s="3"/>
      <c r="E1" s="3"/>
      <c r="F1" s="4" t="s">
        <v>1</v>
      </c>
      <c r="G1" s="5" t="s">
        <v>2</v>
      </c>
    </row>
    <row r="2" spans="1:17">
      <c r="A2" s="1" t="s">
        <v>3</v>
      </c>
      <c r="B2" s="2" t="str">
        <f>'Table of Contents'!B2</f>
        <v>Krishnamurthy Bindumadhavan</v>
      </c>
      <c r="C2" s="3"/>
      <c r="D2" s="3"/>
      <c r="E2" s="3"/>
      <c r="F2" s="6" t="s">
        <v>4</v>
      </c>
      <c r="G2" s="5" t="s">
        <v>5</v>
      </c>
    </row>
    <row r="3" spans="1:17">
      <c r="A3" s="1" t="s">
        <v>6</v>
      </c>
      <c r="B3" s="2" t="s">
        <v>81</v>
      </c>
      <c r="C3" s="3"/>
      <c r="D3" s="3"/>
      <c r="E3" s="3"/>
      <c r="F3" s="7" t="s">
        <v>8</v>
      </c>
      <c r="G3" s="5" t="s">
        <v>9</v>
      </c>
    </row>
    <row r="4" spans="1:17">
      <c r="A4" s="8" t="s">
        <v>10</v>
      </c>
      <c r="B4" s="9">
        <v>46033</v>
      </c>
      <c r="C4" s="3"/>
      <c r="D4" s="3"/>
      <c r="E4" s="3"/>
      <c r="F4" s="10" t="s">
        <v>11</v>
      </c>
      <c r="G4" s="5" t="s">
        <v>12</v>
      </c>
    </row>
    <row r="6" spans="1:17" ht="15" thickBot="1"/>
    <row r="7" spans="1:17">
      <c r="C7" s="150" t="s">
        <v>81</v>
      </c>
      <c r="D7" s="151"/>
      <c r="E7" s="151"/>
      <c r="F7" s="151"/>
      <c r="G7" s="152"/>
      <c r="H7" s="153" t="s">
        <v>169</v>
      </c>
      <c r="I7" s="153"/>
      <c r="J7" s="153"/>
      <c r="K7" s="153"/>
      <c r="L7" s="153"/>
      <c r="M7" s="153"/>
      <c r="N7" s="153"/>
      <c r="O7" s="153"/>
      <c r="P7" s="153"/>
      <c r="Q7" s="154"/>
    </row>
    <row r="8" spans="1:17" ht="15" thickBot="1">
      <c r="C8" s="155"/>
      <c r="D8" s="156"/>
      <c r="E8" s="157"/>
      <c r="F8" s="157"/>
      <c r="G8" s="158"/>
      <c r="H8" s="159" t="s">
        <v>139</v>
      </c>
      <c r="I8" s="159" t="s">
        <v>140</v>
      </c>
      <c r="J8" s="159" t="s">
        <v>141</v>
      </c>
      <c r="K8" s="159" t="s">
        <v>142</v>
      </c>
      <c r="L8" s="159" t="s">
        <v>143</v>
      </c>
      <c r="M8" s="159" t="s">
        <v>144</v>
      </c>
      <c r="N8" s="159" t="s">
        <v>145</v>
      </c>
      <c r="O8" s="159" t="s">
        <v>146</v>
      </c>
      <c r="P8" s="159" t="s">
        <v>147</v>
      </c>
      <c r="Q8" s="160" t="s">
        <v>148</v>
      </c>
    </row>
    <row r="9" spans="1:17">
      <c r="C9" s="161"/>
      <c r="D9" s="162" t="s">
        <v>170</v>
      </c>
      <c r="E9" s="163"/>
      <c r="F9" s="163"/>
      <c r="G9" s="164"/>
      <c r="H9" s="165"/>
      <c r="I9" s="166"/>
      <c r="J9" s="166"/>
      <c r="K9" s="166"/>
      <c r="L9" s="166"/>
      <c r="M9" s="166"/>
      <c r="N9" s="166"/>
      <c r="O9" s="166"/>
      <c r="P9" s="166"/>
      <c r="Q9" s="167"/>
    </row>
    <row r="10" spans="1:17">
      <c r="C10" s="168"/>
      <c r="D10" s="169"/>
      <c r="E10" s="169" t="s">
        <v>171</v>
      </c>
      <c r="F10" s="169"/>
      <c r="G10" s="170"/>
      <c r="H10" s="171">
        <f>'Cashflow Statement2'!H36</f>
        <v>458378.58334164321</v>
      </c>
      <c r="I10" s="171">
        <f>'Cashflow Statement2'!I36</f>
        <v>3556236.7443429893</v>
      </c>
      <c r="J10" s="171">
        <f>'Cashflow Statement2'!J36</f>
        <v>11193298.137800455</v>
      </c>
      <c r="K10" s="171">
        <f>'Cashflow Statement2'!K36</f>
        <v>24538938.107691161</v>
      </c>
      <c r="L10" s="171">
        <f>'Cashflow Statement2'!L36</f>
        <v>44105407.723746836</v>
      </c>
      <c r="M10" s="171">
        <f>'Cashflow Statement2'!M36</f>
        <v>70939371.552635804</v>
      </c>
      <c r="N10" s="171">
        <f>'Cashflow Statement2'!N36</f>
        <v>106263797.60749757</v>
      </c>
      <c r="O10" s="171">
        <f>'Cashflow Statement2'!O36</f>
        <v>151508208.74861497</v>
      </c>
      <c r="P10" s="171">
        <f>'Cashflow Statement2'!P36</f>
        <v>208344211.356619</v>
      </c>
      <c r="Q10" s="171">
        <f>'Cashflow Statement2'!Q36</f>
        <v>278727234.43082112</v>
      </c>
    </row>
    <row r="11" spans="1:17">
      <c r="C11" s="168"/>
      <c r="D11" s="169"/>
      <c r="E11" s="169" t="s">
        <v>172</v>
      </c>
      <c r="F11" s="169"/>
      <c r="G11" s="170"/>
      <c r="H11" s="171">
        <f>'Income Statement'!C70*Assumptions!G31/365</f>
        <v>347945.20547945204</v>
      </c>
      <c r="I11" s="171">
        <f>'Income Statement'!D70*Assumptions!G31/365</f>
        <v>1021045.205479452</v>
      </c>
      <c r="J11" s="171">
        <f>'Income Statement'!E70*Assumptions!G31/365</f>
        <v>1630920.1691780821</v>
      </c>
      <c r="K11" s="171">
        <f>'Income Statement'!F70*Assumptions!G31/365</f>
        <v>1894199.1462133557</v>
      </c>
      <c r="L11" s="171">
        <f>'Income Statement'!G70*Assumptions!G31/365</f>
        <v>2201048.8638859536</v>
      </c>
      <c r="M11" s="171">
        <f>'Income Statement'!H70*Assumptions!G31/365</f>
        <v>2558842.5611702427</v>
      </c>
      <c r="N11" s="171">
        <f>'Income Statement'!I70*Assumptions!G31/365</f>
        <v>2976225.3197958302</v>
      </c>
      <c r="O11" s="171">
        <f>'Income Statement'!J70*Assumptions!G31/365</f>
        <v>3463336.9460977647</v>
      </c>
      <c r="P11" s="171">
        <f>'Income Statement'!K70*Assumptions!G31/365</f>
        <v>4032074.4087407538</v>
      </c>
      <c r="Q11" s="171">
        <f>'Income Statement'!L70*Assumptions!G31/365</f>
        <v>4696400.9221210713</v>
      </c>
    </row>
    <row r="12" spans="1:17">
      <c r="C12" s="168"/>
      <c r="D12" s="169"/>
      <c r="E12" s="169" t="s">
        <v>63</v>
      </c>
      <c r="F12" s="169"/>
      <c r="G12" s="170"/>
      <c r="H12" s="171">
        <f>SUM(Assumptions!J45:J53)</f>
        <v>381000</v>
      </c>
      <c r="I12" s="172">
        <f>H12</f>
        <v>381000</v>
      </c>
      <c r="J12" s="172">
        <f t="shared" ref="J12:Q12" si="0">I12</f>
        <v>381000</v>
      </c>
      <c r="K12" s="172">
        <f t="shared" si="0"/>
        <v>381000</v>
      </c>
      <c r="L12" s="172">
        <f t="shared" si="0"/>
        <v>381000</v>
      </c>
      <c r="M12" s="172">
        <f t="shared" si="0"/>
        <v>381000</v>
      </c>
      <c r="N12" s="172">
        <f t="shared" si="0"/>
        <v>381000</v>
      </c>
      <c r="O12" s="172">
        <f t="shared" si="0"/>
        <v>381000</v>
      </c>
      <c r="P12" s="172">
        <f>O12</f>
        <v>381000</v>
      </c>
      <c r="Q12" s="173">
        <f t="shared" si="0"/>
        <v>381000</v>
      </c>
    </row>
    <row r="13" spans="1:17">
      <c r="C13" s="168"/>
      <c r="D13" s="169"/>
      <c r="E13" s="169" t="s">
        <v>173</v>
      </c>
      <c r="F13" s="169"/>
      <c r="G13" s="170"/>
      <c r="H13" s="171">
        <v>0</v>
      </c>
      <c r="I13" s="172">
        <v>0</v>
      </c>
      <c r="J13" s="172">
        <v>0</v>
      </c>
      <c r="K13" s="172">
        <v>0</v>
      </c>
      <c r="L13" s="172">
        <v>0</v>
      </c>
      <c r="M13" s="172">
        <v>0</v>
      </c>
      <c r="N13" s="172">
        <v>0</v>
      </c>
      <c r="O13" s="172">
        <v>0</v>
      </c>
      <c r="P13" s="172">
        <v>0</v>
      </c>
      <c r="Q13" s="173">
        <v>0</v>
      </c>
    </row>
    <row r="14" spans="1:17">
      <c r="C14" s="168"/>
      <c r="D14" s="174" t="s">
        <v>174</v>
      </c>
      <c r="E14" s="175"/>
      <c r="F14" s="175"/>
      <c r="G14" s="170"/>
      <c r="H14" s="171">
        <f>SUM(H10:H13)</f>
        <v>1187323.7888210951</v>
      </c>
      <c r="I14" s="172">
        <f t="shared" ref="I14:Q14" si="1">SUM(I10:I13)</f>
        <v>4958281.9498224417</v>
      </c>
      <c r="J14" s="172">
        <f t="shared" si="1"/>
        <v>13205218.306978537</v>
      </c>
      <c r="K14" s="172">
        <f t="shared" si="1"/>
        <v>26814137.253904518</v>
      </c>
      <c r="L14" s="172">
        <f t="shared" si="1"/>
        <v>46687456.58763279</v>
      </c>
      <c r="M14" s="172">
        <f t="shared" si="1"/>
        <v>73879214.113806039</v>
      </c>
      <c r="N14" s="172">
        <f t="shared" si="1"/>
        <v>109621022.9272934</v>
      </c>
      <c r="O14" s="172">
        <f t="shared" si="1"/>
        <v>155352545.69471273</v>
      </c>
      <c r="P14" s="172">
        <f t="shared" si="1"/>
        <v>212757285.76535976</v>
      </c>
      <c r="Q14" s="173">
        <f t="shared" si="1"/>
        <v>283804635.35294217</v>
      </c>
    </row>
    <row r="15" spans="1:17">
      <c r="C15" s="168"/>
      <c r="D15" s="169"/>
      <c r="E15" s="175"/>
      <c r="F15" s="175"/>
      <c r="G15" s="170"/>
      <c r="H15" s="171"/>
      <c r="I15" s="172"/>
      <c r="J15" s="172"/>
      <c r="K15" s="172"/>
      <c r="L15" s="172"/>
      <c r="M15" s="172"/>
      <c r="N15" s="172"/>
      <c r="O15" s="172"/>
      <c r="P15" s="172"/>
      <c r="Q15" s="173"/>
    </row>
    <row r="16" spans="1:17">
      <c r="C16" s="168"/>
      <c r="D16" s="169"/>
      <c r="E16" s="175"/>
      <c r="F16" s="175"/>
      <c r="G16" s="170"/>
      <c r="H16" s="171"/>
      <c r="I16" s="172"/>
      <c r="J16" s="172"/>
      <c r="K16" s="172"/>
      <c r="L16" s="172"/>
      <c r="M16" s="172"/>
      <c r="N16" s="172"/>
      <c r="O16" s="172"/>
      <c r="P16" s="172"/>
      <c r="Q16" s="173"/>
    </row>
    <row r="17" spans="3:17">
      <c r="C17" s="168"/>
      <c r="D17" s="169"/>
      <c r="E17" s="175" t="s">
        <v>175</v>
      </c>
      <c r="F17" s="175"/>
      <c r="G17" s="170"/>
      <c r="H17" s="171">
        <f>'Depreciation Schedule'!G12</f>
        <v>185500</v>
      </c>
      <c r="I17" s="171">
        <f>'Depreciation Schedule'!H12</f>
        <v>164888.88888888888</v>
      </c>
      <c r="J17" s="171">
        <f>'Depreciation Schedule'!I12</f>
        <v>144277.77777777775</v>
      </c>
      <c r="K17" s="171">
        <f>'Depreciation Schedule'!J12</f>
        <v>123666.66666666664</v>
      </c>
      <c r="L17" s="171">
        <f>'Depreciation Schedule'!K12</f>
        <v>103055.55555555553</v>
      </c>
      <c r="M17" s="171">
        <f>'Depreciation Schedule'!L12</f>
        <v>82444.444444444423</v>
      </c>
      <c r="N17" s="171">
        <f>'Depreciation Schedule'!M12</f>
        <v>61833.333333333314</v>
      </c>
      <c r="O17" s="171">
        <f>'Depreciation Schedule'!N12</f>
        <v>41222.222222222204</v>
      </c>
      <c r="P17" s="171">
        <f>'Depreciation Schedule'!O12</f>
        <v>20611.111111111091</v>
      </c>
      <c r="Q17" s="171">
        <f>'Depreciation Schedule'!P12</f>
        <v>0</v>
      </c>
    </row>
    <row r="18" spans="3:17">
      <c r="C18" s="168"/>
      <c r="D18" s="169"/>
      <c r="E18" s="175" t="s">
        <v>176</v>
      </c>
      <c r="F18" s="175"/>
      <c r="G18" s="170"/>
      <c r="H18" s="171">
        <v>0</v>
      </c>
      <c r="I18" s="172">
        <v>0</v>
      </c>
      <c r="J18" s="172">
        <v>0</v>
      </c>
      <c r="K18" s="172">
        <v>0</v>
      </c>
      <c r="L18" s="172">
        <v>0</v>
      </c>
      <c r="M18" s="172">
        <v>0</v>
      </c>
      <c r="N18" s="172">
        <v>0</v>
      </c>
      <c r="O18" s="172">
        <v>0</v>
      </c>
      <c r="P18" s="172">
        <v>0</v>
      </c>
      <c r="Q18" s="173">
        <v>0</v>
      </c>
    </row>
    <row r="19" spans="3:17">
      <c r="C19" s="168"/>
      <c r="D19" s="174" t="s">
        <v>177</v>
      </c>
      <c r="E19" s="53"/>
      <c r="F19" s="176"/>
      <c r="G19" s="170"/>
      <c r="H19" s="171">
        <f>H17+H18</f>
        <v>185500</v>
      </c>
      <c r="I19" s="172">
        <f t="shared" ref="I19:Q19" si="2">I17+I18</f>
        <v>164888.88888888888</v>
      </c>
      <c r="J19" s="172">
        <f t="shared" si="2"/>
        <v>144277.77777777775</v>
      </c>
      <c r="K19" s="172">
        <f t="shared" si="2"/>
        <v>123666.66666666664</v>
      </c>
      <c r="L19" s="172">
        <f t="shared" si="2"/>
        <v>103055.55555555553</v>
      </c>
      <c r="M19" s="172">
        <f t="shared" si="2"/>
        <v>82444.444444444423</v>
      </c>
      <c r="N19" s="172">
        <f t="shared" si="2"/>
        <v>61833.333333333314</v>
      </c>
      <c r="O19" s="172">
        <f t="shared" si="2"/>
        <v>41222.222222222204</v>
      </c>
      <c r="P19" s="172">
        <f t="shared" si="2"/>
        <v>20611.111111111091</v>
      </c>
      <c r="Q19" s="173">
        <f t="shared" si="2"/>
        <v>0</v>
      </c>
    </row>
    <row r="20" spans="3:17">
      <c r="C20" s="168"/>
      <c r="D20" s="174"/>
      <c r="E20" s="175"/>
      <c r="F20" s="176"/>
      <c r="G20" s="170"/>
      <c r="H20" s="171"/>
      <c r="I20" s="172"/>
      <c r="J20" s="172"/>
      <c r="K20" s="172"/>
      <c r="L20" s="172"/>
      <c r="M20" s="172"/>
      <c r="N20" s="172"/>
      <c r="O20" s="172"/>
      <c r="P20" s="172"/>
      <c r="Q20" s="173"/>
    </row>
    <row r="21" spans="3:17">
      <c r="C21" s="168"/>
      <c r="D21" s="174"/>
      <c r="E21" s="174" t="s">
        <v>178</v>
      </c>
      <c r="F21" s="176"/>
      <c r="G21" s="170"/>
      <c r="H21" s="171">
        <f>H19+H14</f>
        <v>1372823.7888210951</v>
      </c>
      <c r="I21" s="172">
        <f t="shared" ref="I21:Q21" si="3">I19+I14</f>
        <v>5123170.8387113307</v>
      </c>
      <c r="J21" s="172">
        <f t="shared" si="3"/>
        <v>13349496.084756315</v>
      </c>
      <c r="K21" s="172">
        <f t="shared" si="3"/>
        <v>26937803.920571186</v>
      </c>
      <c r="L21" s="172">
        <f t="shared" si="3"/>
        <v>46790512.143188342</v>
      </c>
      <c r="M21" s="172">
        <f t="shared" si="3"/>
        <v>73961658.558250487</v>
      </c>
      <c r="N21" s="172">
        <f t="shared" si="3"/>
        <v>109682856.26062673</v>
      </c>
      <c r="O21" s="172">
        <f t="shared" si="3"/>
        <v>155393767.91693494</v>
      </c>
      <c r="P21" s="172">
        <f t="shared" si="3"/>
        <v>212777896.87647086</v>
      </c>
      <c r="Q21" s="173">
        <f t="shared" si="3"/>
        <v>283804635.35294217</v>
      </c>
    </row>
    <row r="22" spans="3:17">
      <c r="C22" s="168"/>
      <c r="D22" s="174"/>
      <c r="E22" s="175"/>
      <c r="F22" s="176"/>
      <c r="G22" s="170"/>
      <c r="H22" s="137"/>
      <c r="I22" s="53"/>
      <c r="J22" s="53"/>
      <c r="K22" s="53"/>
      <c r="L22" s="53"/>
      <c r="M22" s="53"/>
      <c r="N22" s="53"/>
      <c r="O22" s="53"/>
      <c r="P22" s="53"/>
      <c r="Q22" s="54"/>
    </row>
    <row r="23" spans="3:17">
      <c r="C23" s="168"/>
      <c r="D23" s="176" t="s">
        <v>179</v>
      </c>
      <c r="E23" s="175"/>
      <c r="F23" s="175"/>
      <c r="G23" s="170"/>
      <c r="H23" s="137"/>
      <c r="I23" s="53"/>
      <c r="J23" s="53"/>
      <c r="K23" s="53"/>
      <c r="L23" s="53"/>
      <c r="M23" s="53"/>
      <c r="N23" s="53"/>
      <c r="O23" s="53"/>
      <c r="P23" s="53"/>
      <c r="Q23" s="54"/>
    </row>
    <row r="24" spans="3:17">
      <c r="C24" s="168"/>
      <c r="D24" s="176"/>
      <c r="E24" s="175" t="s">
        <v>180</v>
      </c>
      <c r="F24" s="175"/>
      <c r="G24" s="170"/>
      <c r="H24" s="171">
        <f>'Income Statement'!C79*Assumptions!G32/365</f>
        <v>0</v>
      </c>
      <c r="I24" s="171">
        <f>'Income Statement'!D79*Assumptions!G32/365</f>
        <v>133958.90410958903</v>
      </c>
      <c r="J24" s="171">
        <f>'Income Statement'!E79*Assumptions!G32/365</f>
        <v>158674.32191780821</v>
      </c>
      <c r="K24" s="171">
        <f>'Income Statement'!F79*Assumptions!G32/365</f>
        <v>187949.73431164381</v>
      </c>
      <c r="L24" s="171">
        <f>'Income Statement'!G79*Assumptions!G32/365</f>
        <v>222626.46029214206</v>
      </c>
      <c r="M24" s="171">
        <f>'Income Statement'!H79*Assumptions!G32/365</f>
        <v>263701.04221604223</v>
      </c>
      <c r="N24" s="171">
        <f>'Income Statement'!I79*Assumptions!G32/365</f>
        <v>312353.88450490206</v>
      </c>
      <c r="O24" s="171">
        <f>'Income Statement'!J79*Assumptions!G32/365</f>
        <v>369983.17619605636</v>
      </c>
      <c r="P24" s="171">
        <f>'Income Statement'!K79*Assumptions!G32/365</f>
        <v>438245.07220422878</v>
      </c>
      <c r="Q24" s="171">
        <f>'Income Statement'!L79*Assumptions!G32/365</f>
        <v>519101.28802590893</v>
      </c>
    </row>
    <row r="25" spans="3:17">
      <c r="C25" s="168"/>
      <c r="D25" s="176"/>
      <c r="E25" s="175" t="s">
        <v>181</v>
      </c>
      <c r="F25" s="175"/>
      <c r="G25" s="170"/>
      <c r="H25" s="171">
        <v>0</v>
      </c>
      <c r="I25" s="172">
        <v>0</v>
      </c>
      <c r="J25" s="172">
        <v>0</v>
      </c>
      <c r="K25" s="172">
        <v>0</v>
      </c>
      <c r="L25" s="172">
        <v>0</v>
      </c>
      <c r="M25" s="172">
        <v>0</v>
      </c>
      <c r="N25" s="172">
        <v>0</v>
      </c>
      <c r="O25" s="172">
        <v>0</v>
      </c>
      <c r="P25" s="172">
        <v>0</v>
      </c>
      <c r="Q25" s="173">
        <v>0</v>
      </c>
    </row>
    <row r="26" spans="3:17">
      <c r="C26" s="168"/>
      <c r="D26" s="176"/>
      <c r="E26" s="175" t="s">
        <v>182</v>
      </c>
      <c r="F26" s="175"/>
      <c r="G26" s="170"/>
      <c r="H26" s="171">
        <v>0</v>
      </c>
      <c r="I26" s="172">
        <v>0</v>
      </c>
      <c r="J26" s="172">
        <v>0</v>
      </c>
      <c r="K26" s="172">
        <v>0</v>
      </c>
      <c r="L26" s="172">
        <v>0</v>
      </c>
      <c r="M26" s="172">
        <v>0</v>
      </c>
      <c r="N26" s="172">
        <v>0</v>
      </c>
      <c r="O26" s="172">
        <v>0</v>
      </c>
      <c r="P26" s="172">
        <v>0</v>
      </c>
      <c r="Q26" s="173">
        <v>0</v>
      </c>
    </row>
    <row r="27" spans="3:17">
      <c r="C27" s="168"/>
      <c r="D27" s="176"/>
      <c r="E27" s="174" t="s">
        <v>133</v>
      </c>
      <c r="F27" s="175"/>
      <c r="G27" s="170"/>
      <c r="H27" s="171">
        <f>SUM(H24:H26)</f>
        <v>0</v>
      </c>
      <c r="I27" s="172">
        <f t="shared" ref="I27:Q27" si="4">SUM(I24:I26)</f>
        <v>133958.90410958903</v>
      </c>
      <c r="J27" s="172">
        <f t="shared" si="4"/>
        <v>158674.32191780821</v>
      </c>
      <c r="K27" s="172">
        <f t="shared" si="4"/>
        <v>187949.73431164381</v>
      </c>
      <c r="L27" s="172">
        <f t="shared" si="4"/>
        <v>222626.46029214206</v>
      </c>
      <c r="M27" s="172">
        <f t="shared" si="4"/>
        <v>263701.04221604223</v>
      </c>
      <c r="N27" s="172">
        <f t="shared" si="4"/>
        <v>312353.88450490206</v>
      </c>
      <c r="O27" s="172">
        <f t="shared" si="4"/>
        <v>369983.17619605636</v>
      </c>
      <c r="P27" s="172">
        <f t="shared" si="4"/>
        <v>438245.07220422878</v>
      </c>
      <c r="Q27" s="173">
        <f t="shared" si="4"/>
        <v>519101.28802590893</v>
      </c>
    </row>
    <row r="28" spans="3:17">
      <c r="C28" s="168"/>
      <c r="D28" s="176"/>
      <c r="E28" s="175"/>
      <c r="F28" s="175"/>
      <c r="G28" s="170"/>
      <c r="H28" s="171"/>
      <c r="I28" s="172"/>
      <c r="J28" s="172"/>
      <c r="K28" s="172"/>
      <c r="L28" s="172"/>
      <c r="M28" s="172"/>
      <c r="N28" s="172"/>
      <c r="O28" s="172"/>
      <c r="P28" s="172"/>
      <c r="Q28" s="173"/>
    </row>
    <row r="29" spans="3:17">
      <c r="C29" s="168"/>
      <c r="D29" s="175"/>
      <c r="E29" s="169" t="s">
        <v>183</v>
      </c>
      <c r="F29" s="175"/>
      <c r="G29" s="170"/>
      <c r="H29" s="171">
        <f>'Loan Repayment Schedule'!H26</f>
        <v>512012.9465833985</v>
      </c>
      <c r="I29" s="171">
        <f>'Loan Repayment Schedule'!I26</f>
        <v>482880.13872130093</v>
      </c>
      <c r="J29" s="171">
        <f>'Loan Repayment Schedule'!J26</f>
        <v>449064.1003814151</v>
      </c>
      <c r="K29" s="171">
        <f>'Loan Repayment Schedule'!K26</f>
        <v>409811.98110689846</v>
      </c>
      <c r="L29" s="171">
        <f>'Loan Repayment Schedule'!L26</f>
        <v>364249.90632880124</v>
      </c>
      <c r="M29" s="171">
        <f>'Loan Repayment Schedule'!M26</f>
        <v>311363.52219329181</v>
      </c>
      <c r="N29" s="171">
        <f>'Loan Repayment Schedule'!N26</f>
        <v>249975.41288196534</v>
      </c>
      <c r="O29" s="171">
        <f>'Loan Repayment Schedule'!O26</f>
        <v>178718.88766436986</v>
      </c>
      <c r="P29" s="171">
        <f>'Loan Repayment Schedule'!P26</f>
        <v>96007.554100803129</v>
      </c>
      <c r="Q29" s="171">
        <f>'Loan Repayment Schedule'!Q26</f>
        <v>-8.7311491370201111E-10</v>
      </c>
    </row>
    <row r="30" spans="3:17">
      <c r="C30" s="168"/>
      <c r="D30" s="175"/>
      <c r="E30" s="177" t="s">
        <v>184</v>
      </c>
      <c r="F30" s="177"/>
      <c r="G30" s="170"/>
      <c r="H30" s="171">
        <f>H29</f>
        <v>512012.9465833985</v>
      </c>
      <c r="I30" s="172">
        <f t="shared" ref="I30:Q30" si="5">I29</f>
        <v>482880.13872130093</v>
      </c>
      <c r="J30" s="172">
        <f t="shared" si="5"/>
        <v>449064.1003814151</v>
      </c>
      <c r="K30" s="172">
        <f t="shared" si="5"/>
        <v>409811.98110689846</v>
      </c>
      <c r="L30" s="172">
        <f t="shared" si="5"/>
        <v>364249.90632880124</v>
      </c>
      <c r="M30" s="172">
        <f t="shared" si="5"/>
        <v>311363.52219329181</v>
      </c>
      <c r="N30" s="172">
        <f t="shared" si="5"/>
        <v>249975.41288196534</v>
      </c>
      <c r="O30" s="172">
        <f t="shared" si="5"/>
        <v>178718.88766436986</v>
      </c>
      <c r="P30" s="172">
        <f t="shared" si="5"/>
        <v>96007.554100803129</v>
      </c>
      <c r="Q30" s="173">
        <f t="shared" si="5"/>
        <v>-8.7311491370201111E-10</v>
      </c>
    </row>
    <row r="31" spans="3:17">
      <c r="C31" s="168"/>
      <c r="D31" s="175"/>
      <c r="E31" s="177"/>
      <c r="F31" s="177"/>
      <c r="G31" s="170"/>
      <c r="H31" s="171"/>
      <c r="I31" s="172"/>
      <c r="J31" s="172"/>
      <c r="K31" s="172"/>
      <c r="L31" s="172"/>
      <c r="M31" s="172"/>
      <c r="N31" s="172"/>
      <c r="O31" s="172"/>
      <c r="P31" s="172"/>
      <c r="Q31" s="173"/>
    </row>
    <row r="32" spans="3:17">
      <c r="C32" s="168"/>
      <c r="D32" s="175"/>
      <c r="E32" s="177" t="s">
        <v>185</v>
      </c>
      <c r="F32" s="177"/>
      <c r="G32" s="170"/>
      <c r="H32" s="171">
        <f>H30+H27</f>
        <v>512012.9465833985</v>
      </c>
      <c r="I32" s="172">
        <f t="shared" ref="I32:Q32" si="6">I30+I27</f>
        <v>616839.04283088993</v>
      </c>
      <c r="J32" s="172">
        <f t="shared" si="6"/>
        <v>607738.42229922325</v>
      </c>
      <c r="K32" s="172">
        <f t="shared" si="6"/>
        <v>597761.71541854227</v>
      </c>
      <c r="L32" s="172">
        <f t="shared" si="6"/>
        <v>586876.3666209433</v>
      </c>
      <c r="M32" s="172">
        <f t="shared" si="6"/>
        <v>575064.56440933398</v>
      </c>
      <c r="N32" s="172">
        <f t="shared" si="6"/>
        <v>562329.29738686746</v>
      </c>
      <c r="O32" s="172">
        <f t="shared" si="6"/>
        <v>548702.06386042619</v>
      </c>
      <c r="P32" s="172">
        <f t="shared" si="6"/>
        <v>534252.62630503194</v>
      </c>
      <c r="Q32" s="173">
        <f t="shared" si="6"/>
        <v>519101.28802590806</v>
      </c>
    </row>
    <row r="33" spans="3:17">
      <c r="C33" s="168"/>
      <c r="D33" s="178"/>
      <c r="E33" s="175"/>
      <c r="F33" s="175"/>
      <c r="G33" s="170"/>
      <c r="H33" s="171"/>
      <c r="I33" s="172"/>
      <c r="J33" s="172"/>
      <c r="K33" s="172"/>
      <c r="L33" s="172"/>
      <c r="M33" s="172"/>
      <c r="N33" s="172"/>
      <c r="O33" s="172"/>
      <c r="P33" s="172"/>
      <c r="Q33" s="173"/>
    </row>
    <row r="34" spans="3:17">
      <c r="C34" s="168"/>
      <c r="D34" s="176" t="s">
        <v>186</v>
      </c>
      <c r="E34" s="175"/>
      <c r="F34" s="175"/>
      <c r="G34" s="170"/>
      <c r="H34" s="171"/>
      <c r="I34" s="172"/>
      <c r="J34" s="172"/>
      <c r="K34" s="172"/>
      <c r="L34" s="172"/>
      <c r="M34" s="172"/>
      <c r="N34" s="172"/>
      <c r="O34" s="172"/>
      <c r="P34" s="172"/>
      <c r="Q34" s="173"/>
    </row>
    <row r="35" spans="3:17">
      <c r="C35" s="168"/>
      <c r="D35" s="176"/>
      <c r="E35" s="175" t="s">
        <v>187</v>
      </c>
      <c r="F35" s="175"/>
      <c r="G35" s="170"/>
      <c r="H35" s="171">
        <v>50000</v>
      </c>
      <c r="I35" s="172">
        <f>H35</f>
        <v>50000</v>
      </c>
      <c r="J35" s="172">
        <f t="shared" ref="J35:Q35" si="7">I35</f>
        <v>50000</v>
      </c>
      <c r="K35" s="172">
        <f t="shared" si="7"/>
        <v>50000</v>
      </c>
      <c r="L35" s="172">
        <f t="shared" si="7"/>
        <v>50000</v>
      </c>
      <c r="M35" s="172">
        <f t="shared" si="7"/>
        <v>50000</v>
      </c>
      <c r="N35" s="172">
        <f t="shared" si="7"/>
        <v>50000</v>
      </c>
      <c r="O35" s="172">
        <f>N35</f>
        <v>50000</v>
      </c>
      <c r="P35" s="172">
        <f t="shared" si="7"/>
        <v>50000</v>
      </c>
      <c r="Q35" s="173">
        <f t="shared" si="7"/>
        <v>50000</v>
      </c>
    </row>
    <row r="36" spans="3:17">
      <c r="C36" s="168"/>
      <c r="D36" s="176"/>
      <c r="E36" s="175" t="s">
        <v>188</v>
      </c>
      <c r="F36" s="175"/>
      <c r="G36" s="170"/>
      <c r="H36" s="171">
        <v>0</v>
      </c>
      <c r="I36" s="172">
        <v>0</v>
      </c>
      <c r="J36" s="172">
        <v>0</v>
      </c>
      <c r="K36" s="172">
        <v>0</v>
      </c>
      <c r="L36" s="172">
        <v>0</v>
      </c>
      <c r="M36" s="172">
        <v>0</v>
      </c>
      <c r="N36" s="172">
        <v>0</v>
      </c>
      <c r="O36" s="172">
        <v>0</v>
      </c>
      <c r="P36" s="172">
        <v>0</v>
      </c>
      <c r="Q36" s="173">
        <v>0</v>
      </c>
    </row>
    <row r="37" spans="3:17">
      <c r="C37" s="168"/>
      <c r="D37" s="176"/>
      <c r="E37" s="175" t="s">
        <v>189</v>
      </c>
      <c r="F37" s="175"/>
      <c r="G37" s="170"/>
      <c r="H37" s="171">
        <f>'Income Statement'!C149</f>
        <v>810810.84223769675</v>
      </c>
      <c r="I37" s="171">
        <f>'Income Statement'!D149</f>
        <v>3645520.9536427436</v>
      </c>
      <c r="J37" s="171">
        <f>'Income Statement'!E149</f>
        <v>8235425.866576652</v>
      </c>
      <c r="K37" s="171">
        <f>'Income Statement'!F149</f>
        <v>13598284.542695548</v>
      </c>
      <c r="L37" s="171">
        <f>'Income Statement'!G149</f>
        <v>19863593.571414758</v>
      </c>
      <c r="M37" s="171">
        <f>'Income Statement'!H149</f>
        <v>27182958.217273749</v>
      </c>
      <c r="N37" s="171">
        <f>'Income Statement'!I149</f>
        <v>35733932.969398715</v>
      </c>
      <c r="O37" s="171">
        <f>'Income Statement'!J149</f>
        <v>45724538.889834672</v>
      </c>
      <c r="P37" s="171">
        <f>'Income Statement'!K149</f>
        <v>57398578.397091314</v>
      </c>
      <c r="Q37" s="171">
        <f>'Income Statement'!L149</f>
        <v>71041889.814750433</v>
      </c>
    </row>
    <row r="38" spans="3:17">
      <c r="C38" s="168"/>
      <c r="D38" s="177" t="s">
        <v>190</v>
      </c>
      <c r="E38" s="175"/>
      <c r="F38" s="175"/>
      <c r="G38" s="170"/>
      <c r="H38" s="171">
        <f>SUM(H35:H37)</f>
        <v>860810.84223769675</v>
      </c>
      <c r="I38" s="172">
        <f>H38+I37</f>
        <v>4506331.7958804406</v>
      </c>
      <c r="J38" s="172">
        <f t="shared" ref="J38:Q38" si="8">I38+J37</f>
        <v>12741757.662457094</v>
      </c>
      <c r="K38" s="172">
        <f t="shared" si="8"/>
        <v>26340042.205152642</v>
      </c>
      <c r="L38" s="172">
        <f t="shared" si="8"/>
        <v>46203635.7765674</v>
      </c>
      <c r="M38" s="172">
        <f t="shared" si="8"/>
        <v>73386593.993841141</v>
      </c>
      <c r="N38" s="172">
        <f t="shared" si="8"/>
        <v>109120526.96323985</v>
      </c>
      <c r="O38" s="172">
        <f t="shared" si="8"/>
        <v>154845065.85307452</v>
      </c>
      <c r="P38" s="172">
        <f t="shared" si="8"/>
        <v>212243644.25016582</v>
      </c>
      <c r="Q38" s="172">
        <f t="shared" si="8"/>
        <v>283285534.06491625</v>
      </c>
    </row>
    <row r="39" spans="3:17">
      <c r="C39" s="168"/>
      <c r="D39" s="175"/>
      <c r="E39" s="175"/>
      <c r="F39" s="175"/>
      <c r="G39" s="170"/>
      <c r="H39" s="171"/>
      <c r="I39" s="172"/>
      <c r="J39" s="172"/>
      <c r="K39" s="172"/>
      <c r="L39" s="172"/>
      <c r="M39" s="172"/>
      <c r="N39" s="172"/>
      <c r="O39" s="172"/>
      <c r="P39" s="172"/>
      <c r="Q39" s="173"/>
    </row>
    <row r="40" spans="3:17">
      <c r="C40" s="168"/>
      <c r="D40" s="177" t="s">
        <v>191</v>
      </c>
      <c r="E40" s="174"/>
      <c r="F40" s="174"/>
      <c r="G40" s="179"/>
      <c r="H40" s="171">
        <f>H38+H32</f>
        <v>1372823.7888210951</v>
      </c>
      <c r="I40" s="172">
        <f t="shared" ref="I40:O40" si="9">I38+I32</f>
        <v>5123170.8387113307</v>
      </c>
      <c r="J40" s="172">
        <f t="shared" si="9"/>
        <v>13349496.084756317</v>
      </c>
      <c r="K40" s="172">
        <f t="shared" si="9"/>
        <v>26937803.920571186</v>
      </c>
      <c r="L40" s="172">
        <f t="shared" si="9"/>
        <v>46790512.143188342</v>
      </c>
      <c r="M40" s="172">
        <f t="shared" si="9"/>
        <v>73961658.558250472</v>
      </c>
      <c r="N40" s="172">
        <f>N38+N32</f>
        <v>109682856.26062672</v>
      </c>
      <c r="O40" s="172">
        <f t="shared" si="9"/>
        <v>155393767.91693494</v>
      </c>
      <c r="P40" s="172">
        <f>P38+P32</f>
        <v>212777896.87647086</v>
      </c>
      <c r="Q40" s="173">
        <f>Q38+Q32</f>
        <v>283804635.35294217</v>
      </c>
    </row>
    <row r="41" spans="3:17">
      <c r="C41" s="168"/>
      <c r="D41" s="177"/>
      <c r="E41" s="175"/>
      <c r="F41" s="175"/>
      <c r="G41" s="170"/>
      <c r="H41" s="171"/>
      <c r="I41" s="172"/>
      <c r="J41" s="172"/>
      <c r="K41" s="172"/>
      <c r="L41" s="172"/>
      <c r="M41" s="172"/>
      <c r="N41" s="172"/>
      <c r="O41" s="172"/>
      <c r="P41" s="172"/>
      <c r="Q41" s="173"/>
    </row>
    <row r="42" spans="3:17" ht="15" thickBot="1">
      <c r="C42" s="180"/>
      <c r="D42" s="181" t="s">
        <v>192</v>
      </c>
      <c r="E42" s="181"/>
      <c r="F42" s="182"/>
      <c r="G42" s="183"/>
      <c r="H42" s="184" t="str">
        <f>IF(ROUNDUP(H21, 0) = ROUNDUP(H40, 0), "OK", "Error")</f>
        <v>OK</v>
      </c>
      <c r="I42" s="185" t="str">
        <f t="shared" ref="I42:Q42" si="10">IF(ROUNDUP(I21, 0) = ROUNDUP(I40, 0), "OK", "Error")</f>
        <v>OK</v>
      </c>
      <c r="J42" s="185" t="str">
        <f t="shared" si="10"/>
        <v>OK</v>
      </c>
      <c r="K42" s="185" t="str">
        <f t="shared" si="10"/>
        <v>OK</v>
      </c>
      <c r="L42" s="185" t="str">
        <f t="shared" si="10"/>
        <v>OK</v>
      </c>
      <c r="M42" s="185" t="str">
        <f t="shared" si="10"/>
        <v>OK</v>
      </c>
      <c r="N42" s="185" t="str">
        <f t="shared" si="10"/>
        <v>OK</v>
      </c>
      <c r="O42" s="185" t="str">
        <f t="shared" si="10"/>
        <v>OK</v>
      </c>
      <c r="P42" s="185" t="str">
        <f t="shared" si="10"/>
        <v>OK</v>
      </c>
      <c r="Q42" s="186" t="str">
        <f t="shared" si="10"/>
        <v>OK</v>
      </c>
    </row>
    <row r="44" spans="3:17">
      <c r="I44" s="286"/>
      <c r="J44" s="28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95EF5-85E1-4522-8E25-98D15E3D7E21}">
  <dimension ref="A1:Q36"/>
  <sheetViews>
    <sheetView topLeftCell="B4" zoomScale="76" workbookViewId="0">
      <selection activeCell="L27" sqref="L27"/>
    </sheetView>
  </sheetViews>
  <sheetFormatPr defaultRowHeight="14.5"/>
  <cols>
    <col min="8" max="9" width="15" customWidth="1"/>
    <col min="10" max="10" width="15.6328125" customWidth="1"/>
    <col min="11" max="11" width="15.453125" customWidth="1"/>
    <col min="12" max="12" width="14.6328125" customWidth="1"/>
    <col min="13" max="13" width="16" customWidth="1"/>
    <col min="14" max="14" width="16.7265625" customWidth="1"/>
    <col min="15" max="15" width="15.26953125" customWidth="1"/>
    <col min="16" max="16" width="16.6328125" customWidth="1"/>
    <col min="17" max="17" width="16.26953125" customWidth="1"/>
  </cols>
  <sheetData>
    <row r="1" spans="1:17">
      <c r="A1" s="1" t="s">
        <v>0</v>
      </c>
      <c r="B1" s="2" t="str">
        <f>'Table of Contents'!B1</f>
        <v>Electronics Manufacturing Venture</v>
      </c>
      <c r="C1" s="3"/>
      <c r="D1" s="3"/>
      <c r="E1" s="3"/>
      <c r="F1" s="4" t="s">
        <v>1</v>
      </c>
      <c r="G1" s="5" t="s">
        <v>2</v>
      </c>
    </row>
    <row r="2" spans="1:17">
      <c r="A2" s="1" t="s">
        <v>3</v>
      </c>
      <c r="B2" s="2" t="str">
        <f>'Table of Contents'!B2</f>
        <v>Krishnamurthy Bindumadhavan</v>
      </c>
      <c r="C2" s="3"/>
      <c r="D2" s="3"/>
      <c r="E2" s="3"/>
      <c r="F2" s="6" t="s">
        <v>4</v>
      </c>
      <c r="G2" s="5" t="s">
        <v>5</v>
      </c>
    </row>
    <row r="3" spans="1:17">
      <c r="A3" s="1" t="s">
        <v>6</v>
      </c>
      <c r="B3" s="2" t="s">
        <v>193</v>
      </c>
      <c r="C3" s="3"/>
      <c r="D3" s="3"/>
      <c r="E3" s="3"/>
      <c r="F3" s="7" t="s">
        <v>8</v>
      </c>
      <c r="G3" s="5" t="s">
        <v>9</v>
      </c>
    </row>
    <row r="4" spans="1:17">
      <c r="A4" s="8" t="s">
        <v>10</v>
      </c>
      <c r="B4" s="9">
        <v>41730</v>
      </c>
      <c r="C4" s="3"/>
      <c r="D4" s="3"/>
      <c r="E4" s="3"/>
      <c r="F4" s="10" t="s">
        <v>11</v>
      </c>
      <c r="G4" s="5" t="s">
        <v>12</v>
      </c>
    </row>
    <row r="5" spans="1:17" ht="15" thickBot="1"/>
    <row r="6" spans="1:17">
      <c r="C6" s="187" t="s">
        <v>194</v>
      </c>
      <c r="D6" s="188"/>
      <c r="E6" s="188"/>
      <c r="F6" s="188"/>
      <c r="G6" s="189"/>
      <c r="H6" s="190" t="s">
        <v>169</v>
      </c>
      <c r="I6" s="190"/>
      <c r="J6" s="190"/>
      <c r="K6" s="190"/>
      <c r="L6" s="191"/>
      <c r="M6" s="191"/>
      <c r="N6" s="191"/>
      <c r="O6" s="191"/>
      <c r="P6" s="191"/>
      <c r="Q6" s="192"/>
    </row>
    <row r="7" spans="1:17" ht="15" thickBot="1">
      <c r="C7" s="193"/>
      <c r="D7" s="194"/>
      <c r="E7" s="195"/>
      <c r="F7" s="195"/>
      <c r="G7" s="196"/>
      <c r="H7" s="197" t="s">
        <v>139</v>
      </c>
      <c r="I7" s="197" t="s">
        <v>140</v>
      </c>
      <c r="J7" s="197" t="s">
        <v>141</v>
      </c>
      <c r="K7" s="197" t="s">
        <v>142</v>
      </c>
      <c r="L7" s="197" t="s">
        <v>143</v>
      </c>
      <c r="M7" s="197" t="s">
        <v>144</v>
      </c>
      <c r="N7" s="197" t="s">
        <v>145</v>
      </c>
      <c r="O7" s="197" t="s">
        <v>146</v>
      </c>
      <c r="P7" s="197" t="s">
        <v>147</v>
      </c>
      <c r="Q7" s="198" t="s">
        <v>148</v>
      </c>
    </row>
    <row r="8" spans="1:17">
      <c r="C8" s="199"/>
      <c r="D8" s="200"/>
      <c r="E8" s="200"/>
      <c r="F8" s="201"/>
      <c r="G8" s="202"/>
      <c r="H8" s="203"/>
      <c r="I8" s="201"/>
      <c r="J8" s="201"/>
      <c r="K8" s="201"/>
      <c r="L8" s="201"/>
      <c r="M8" s="201"/>
      <c r="N8" s="201"/>
      <c r="O8" s="201"/>
      <c r="P8" s="201"/>
      <c r="Q8" s="202"/>
    </row>
    <row r="9" spans="1:17">
      <c r="C9" s="204" t="s">
        <v>97</v>
      </c>
      <c r="D9" s="205"/>
      <c r="E9" s="206"/>
      <c r="F9" s="207"/>
      <c r="G9" s="208"/>
      <c r="H9" s="209">
        <f>'Income Statement'!C149</f>
        <v>810810.84223769675</v>
      </c>
      <c r="I9" s="209">
        <f>'Income Statement'!D149</f>
        <v>3645520.9536427436</v>
      </c>
      <c r="J9" s="209">
        <f>'Income Statement'!E149</f>
        <v>8235425.866576652</v>
      </c>
      <c r="K9" s="209">
        <f>'Income Statement'!F149</f>
        <v>13598284.542695548</v>
      </c>
      <c r="L9" s="209">
        <f>'Income Statement'!G149</f>
        <v>19863593.571414758</v>
      </c>
      <c r="M9" s="209">
        <f>'Income Statement'!H149</f>
        <v>27182958.217273749</v>
      </c>
      <c r="N9" s="209">
        <f>'Income Statement'!I149</f>
        <v>35733932.969398715</v>
      </c>
      <c r="O9" s="209">
        <f>'Income Statement'!J149</f>
        <v>45724538.889834672</v>
      </c>
      <c r="P9" s="209">
        <f>'Income Statement'!K149</f>
        <v>57398578.397091314</v>
      </c>
      <c r="Q9" s="209">
        <f>'Income Statement'!L149</f>
        <v>71041889.814750433</v>
      </c>
    </row>
    <row r="10" spans="1:17">
      <c r="C10" s="204" t="s">
        <v>195</v>
      </c>
      <c r="D10" s="205"/>
      <c r="E10" s="206"/>
      <c r="F10" s="207"/>
      <c r="G10" s="208"/>
      <c r="H10" s="212">
        <f>'Income Statement'!C136+'Income Statement'!C137</f>
        <v>20611.111111111113</v>
      </c>
      <c r="I10" s="212">
        <f>'Income Statement'!D136+'Income Statement'!D137</f>
        <v>20611.111111111113</v>
      </c>
      <c r="J10" s="212">
        <f>'Income Statement'!E136+'Income Statement'!E137</f>
        <v>20611.111111111113</v>
      </c>
      <c r="K10" s="212">
        <f>'Income Statement'!F136+'Income Statement'!F137</f>
        <v>20611.111111111113</v>
      </c>
      <c r="L10" s="212">
        <f>'Income Statement'!G136+'Income Statement'!G137</f>
        <v>20611.111111111113</v>
      </c>
      <c r="M10" s="212">
        <f>'Income Statement'!H136+'Income Statement'!H137</f>
        <v>20611.111111111113</v>
      </c>
      <c r="N10" s="212">
        <f>'Income Statement'!I136+'Income Statement'!I137</f>
        <v>20611.111111111113</v>
      </c>
      <c r="O10" s="212">
        <f>'Income Statement'!J136+'Income Statement'!J137</f>
        <v>20611.111111111113</v>
      </c>
      <c r="P10" s="212">
        <f>'Income Statement'!K136+'Income Statement'!K137</f>
        <v>20611.111111111113</v>
      </c>
      <c r="Q10" s="212">
        <f>'Income Statement'!L136+'Income Statement'!L137</f>
        <v>20611.111111111113</v>
      </c>
    </row>
    <row r="11" spans="1:17" ht="13" customHeight="1">
      <c r="C11" s="204" t="s">
        <v>196</v>
      </c>
      <c r="D11" s="205"/>
      <c r="E11" s="206"/>
      <c r="F11" s="207"/>
      <c r="G11" s="208"/>
      <c r="H11" s="432">
        <f>'Balance Sheet'!H11</f>
        <v>347945.20547945204</v>
      </c>
      <c r="I11" s="433">
        <f>'Balance Sheet'!I11-'Balance Sheet'!H11</f>
        <v>673100</v>
      </c>
      <c r="J11" s="433">
        <f>'Balance Sheet'!J11-'Balance Sheet'!I11</f>
        <v>609874.9636986301</v>
      </c>
      <c r="K11" s="433">
        <f>'Balance Sheet'!K11-'Balance Sheet'!J11</f>
        <v>263278.97703527356</v>
      </c>
      <c r="L11" s="433">
        <f>'Balance Sheet'!L11-'Balance Sheet'!K11</f>
        <v>306849.71767259785</v>
      </c>
      <c r="M11" s="433">
        <f>'Balance Sheet'!M11-'Balance Sheet'!L11</f>
        <v>357793.69728428917</v>
      </c>
      <c r="N11" s="433">
        <f>'Balance Sheet'!N11-'Balance Sheet'!M11</f>
        <v>417382.75862558745</v>
      </c>
      <c r="O11" s="433">
        <f>'Balance Sheet'!O11-'Balance Sheet'!N11</f>
        <v>487111.62630193448</v>
      </c>
      <c r="P11" s="433">
        <f>'Balance Sheet'!P11-'Balance Sheet'!O11</f>
        <v>568737.46264298912</v>
      </c>
      <c r="Q11" s="433">
        <f>'Balance Sheet'!Q11-'Balance Sheet'!P11</f>
        <v>664326.51338031748</v>
      </c>
    </row>
    <row r="12" spans="1:17">
      <c r="C12" s="204" t="s">
        <v>197</v>
      </c>
      <c r="D12" s="205"/>
      <c r="E12" s="206"/>
      <c r="F12" s="207"/>
      <c r="G12" s="208"/>
      <c r="H12" s="212">
        <f>0-'Balance Sheet'!H12</f>
        <v>-381000</v>
      </c>
      <c r="I12" s="213">
        <f>'Balance Sheet'!I12-'Balance Sheet'!H12</f>
        <v>0</v>
      </c>
      <c r="J12" s="213">
        <f>'Balance Sheet'!J12-'Balance Sheet'!I12</f>
        <v>0</v>
      </c>
      <c r="K12" s="213">
        <f>'Balance Sheet'!K12-'Balance Sheet'!J12</f>
        <v>0</v>
      </c>
      <c r="L12" s="213">
        <f>'Balance Sheet'!L12-'Balance Sheet'!K12</f>
        <v>0</v>
      </c>
      <c r="M12" s="213">
        <f>'Balance Sheet'!M12-'Balance Sheet'!L12</f>
        <v>0</v>
      </c>
      <c r="N12" s="213">
        <f>'Balance Sheet'!N12-'Balance Sheet'!M12</f>
        <v>0</v>
      </c>
      <c r="O12" s="213">
        <f>'Balance Sheet'!O12-'Balance Sheet'!N12</f>
        <v>0</v>
      </c>
      <c r="P12" s="213">
        <f>'Balance Sheet'!P12-'Balance Sheet'!O12</f>
        <v>0</v>
      </c>
      <c r="Q12" s="213">
        <f>'Balance Sheet'!Q12-'Balance Sheet'!P12</f>
        <v>0</v>
      </c>
    </row>
    <row r="13" spans="1:17" hidden="1">
      <c r="C13" s="204" t="s">
        <v>198</v>
      </c>
      <c r="D13" s="205"/>
      <c r="E13" s="206"/>
      <c r="F13" s="207"/>
      <c r="G13" s="208"/>
      <c r="H13" s="215"/>
      <c r="I13" s="207"/>
      <c r="J13" s="207"/>
      <c r="K13" s="207"/>
      <c r="L13" s="207"/>
      <c r="M13" s="207"/>
      <c r="N13" s="207"/>
      <c r="O13" s="207"/>
      <c r="P13" s="207"/>
      <c r="Q13" s="208"/>
    </row>
    <row r="14" spans="1:17" hidden="1">
      <c r="C14" s="204" t="s">
        <v>199</v>
      </c>
      <c r="D14" s="205"/>
      <c r="E14" s="206"/>
      <c r="F14" s="207"/>
      <c r="G14" s="208"/>
      <c r="H14" s="215"/>
      <c r="I14" s="207"/>
      <c r="J14" s="207"/>
      <c r="K14" s="207"/>
      <c r="L14" s="207"/>
      <c r="M14" s="207"/>
      <c r="N14" s="207"/>
      <c r="O14" s="207"/>
      <c r="P14" s="207"/>
      <c r="Q14" s="208"/>
    </row>
    <row r="15" spans="1:17" hidden="1">
      <c r="C15" s="204"/>
      <c r="D15" s="205"/>
      <c r="E15" s="206"/>
      <c r="F15" s="207"/>
      <c r="G15" s="208"/>
      <c r="H15" s="215"/>
      <c r="I15" s="207"/>
      <c r="J15" s="207"/>
      <c r="K15" s="207"/>
      <c r="L15" s="207"/>
      <c r="M15" s="207"/>
      <c r="N15" s="207"/>
      <c r="O15" s="207"/>
      <c r="P15" s="207"/>
      <c r="Q15" s="208"/>
    </row>
    <row r="16" spans="1:17" hidden="1">
      <c r="C16" s="204" t="s">
        <v>200</v>
      </c>
      <c r="D16" s="205"/>
      <c r="E16" s="206"/>
      <c r="F16" s="207"/>
      <c r="G16" s="208"/>
      <c r="H16" s="215"/>
      <c r="I16" s="207"/>
      <c r="J16" s="207"/>
      <c r="K16" s="207"/>
      <c r="L16" s="207"/>
      <c r="M16" s="207"/>
      <c r="N16" s="207"/>
      <c r="O16" s="207"/>
      <c r="P16" s="207"/>
      <c r="Q16" s="208"/>
    </row>
    <row r="17" spans="3:17">
      <c r="C17" s="216" t="s">
        <v>201</v>
      </c>
      <c r="D17" s="206"/>
      <c r="E17" s="206"/>
      <c r="F17" s="207"/>
      <c r="G17" s="208"/>
      <c r="H17" s="209">
        <f>H9+H10+H12-H11</f>
        <v>102476.74786935584</v>
      </c>
      <c r="I17" s="209">
        <f t="shared" ref="I17:Q17" si="0">I9+I10+I12-I11</f>
        <v>2993032.0647538546</v>
      </c>
      <c r="J17" s="209">
        <f t="shared" si="0"/>
        <v>7646162.0139891328</v>
      </c>
      <c r="K17" s="209">
        <f t="shared" si="0"/>
        <v>13355616.676771387</v>
      </c>
      <c r="L17" s="209">
        <f t="shared" si="0"/>
        <v>19577354.964853272</v>
      </c>
      <c r="M17" s="209">
        <f t="shared" si="0"/>
        <v>26845775.631100573</v>
      </c>
      <c r="N17" s="209">
        <f t="shared" si="0"/>
        <v>35337161.321884237</v>
      </c>
      <c r="O17" s="209">
        <f t="shared" si="0"/>
        <v>45258038.374643847</v>
      </c>
      <c r="P17" s="209">
        <f t="shared" si="0"/>
        <v>56850452.045559436</v>
      </c>
      <c r="Q17" s="209">
        <f t="shared" si="0"/>
        <v>70398174.412481219</v>
      </c>
    </row>
    <row r="18" spans="3:17">
      <c r="C18" s="217"/>
      <c r="D18" s="206"/>
      <c r="E18" s="206"/>
      <c r="F18" s="207"/>
      <c r="G18" s="208"/>
      <c r="H18" s="215"/>
      <c r="I18" s="207"/>
      <c r="J18" s="207"/>
      <c r="K18" s="207"/>
      <c r="L18" s="207"/>
      <c r="M18" s="207"/>
      <c r="N18" s="207"/>
      <c r="O18" s="207"/>
      <c r="P18" s="207"/>
      <c r="Q18" s="208"/>
    </row>
    <row r="19" spans="3:17">
      <c r="C19" s="217"/>
      <c r="D19" s="206"/>
      <c r="E19" s="206"/>
      <c r="F19" s="207"/>
      <c r="G19" s="208"/>
      <c r="H19" s="215"/>
      <c r="I19" s="207"/>
      <c r="J19" s="207"/>
      <c r="K19" s="207"/>
      <c r="L19" s="207"/>
      <c r="M19" s="207"/>
      <c r="N19" s="207"/>
      <c r="O19" s="207"/>
      <c r="P19" s="207"/>
      <c r="Q19" s="208"/>
    </row>
    <row r="20" spans="3:17">
      <c r="C20" s="217" t="s">
        <v>202</v>
      </c>
      <c r="D20" s="206"/>
      <c r="E20" s="206"/>
      <c r="F20" s="207"/>
      <c r="G20" s="208"/>
      <c r="H20" s="212">
        <f>-'Depreciation Schedule'!G9</f>
        <v>-206111.11111111112</v>
      </c>
      <c r="I20" s="213">
        <v>0</v>
      </c>
      <c r="J20" s="213">
        <v>0</v>
      </c>
      <c r="K20" s="213">
        <v>0</v>
      </c>
      <c r="L20" s="213">
        <v>0</v>
      </c>
      <c r="M20" s="213">
        <v>0</v>
      </c>
      <c r="N20" s="213">
        <v>0</v>
      </c>
      <c r="O20" s="213">
        <v>0</v>
      </c>
      <c r="P20" s="213">
        <v>0</v>
      </c>
      <c r="Q20" s="214">
        <v>0</v>
      </c>
    </row>
    <row r="21" spans="3:17" hidden="1">
      <c r="C21" s="217" t="s">
        <v>203</v>
      </c>
      <c r="D21" s="206"/>
      <c r="E21" s="206"/>
      <c r="F21" s="207"/>
      <c r="G21" s="208"/>
      <c r="H21" s="215"/>
      <c r="I21" s="207"/>
      <c r="J21" s="207"/>
      <c r="K21" s="207"/>
      <c r="L21" s="207"/>
      <c r="M21" s="207"/>
      <c r="N21" s="207"/>
      <c r="O21" s="207"/>
      <c r="P21" s="207"/>
      <c r="Q21" s="208"/>
    </row>
    <row r="22" spans="3:17">
      <c r="C22" s="216" t="s">
        <v>204</v>
      </c>
      <c r="D22" s="218"/>
      <c r="E22" s="206"/>
      <c r="F22" s="207"/>
      <c r="G22" s="208"/>
      <c r="H22" s="212">
        <f>H20</f>
        <v>-206111.11111111112</v>
      </c>
      <c r="I22" s="213">
        <f t="shared" ref="I22:Q22" si="1">I20</f>
        <v>0</v>
      </c>
      <c r="J22" s="213">
        <f t="shared" si="1"/>
        <v>0</v>
      </c>
      <c r="K22" s="213">
        <f t="shared" si="1"/>
        <v>0</v>
      </c>
      <c r="L22" s="213">
        <f t="shared" si="1"/>
        <v>0</v>
      </c>
      <c r="M22" s="213">
        <f t="shared" si="1"/>
        <v>0</v>
      </c>
      <c r="N22" s="213">
        <f t="shared" si="1"/>
        <v>0</v>
      </c>
      <c r="O22" s="213">
        <f t="shared" si="1"/>
        <v>0</v>
      </c>
      <c r="P22" s="213">
        <f t="shared" si="1"/>
        <v>0</v>
      </c>
      <c r="Q22" s="214">
        <f t="shared" si="1"/>
        <v>0</v>
      </c>
    </row>
    <row r="23" spans="3:17">
      <c r="C23" s="217"/>
      <c r="D23" s="218"/>
      <c r="E23" s="206"/>
      <c r="F23" s="207"/>
      <c r="G23" s="208"/>
      <c r="H23" s="215"/>
      <c r="I23" s="207"/>
      <c r="J23" s="207"/>
      <c r="K23" s="207"/>
      <c r="L23" s="207"/>
      <c r="M23" s="207"/>
      <c r="N23" s="207"/>
      <c r="O23" s="207"/>
      <c r="P23" s="207"/>
      <c r="Q23" s="208"/>
    </row>
    <row r="24" spans="3:17">
      <c r="C24" s="217" t="s">
        <v>205</v>
      </c>
      <c r="D24" s="206"/>
      <c r="E24" s="206"/>
      <c r="F24" s="207"/>
      <c r="G24" s="208"/>
      <c r="H24" s="219">
        <f>'Loan Repayment Schedule'!H13</f>
        <v>537111.11111111112</v>
      </c>
      <c r="I24" s="220">
        <v>0</v>
      </c>
      <c r="J24" s="220">
        <v>0</v>
      </c>
      <c r="K24" s="220">
        <v>0</v>
      </c>
      <c r="L24" s="220">
        <v>0</v>
      </c>
      <c r="M24" s="220">
        <v>0</v>
      </c>
      <c r="N24" s="220">
        <v>0</v>
      </c>
      <c r="O24" s="220">
        <v>0</v>
      </c>
      <c r="P24" s="220">
        <v>0</v>
      </c>
      <c r="Q24" s="221">
        <v>0</v>
      </c>
    </row>
    <row r="25" spans="3:17">
      <c r="C25" s="217" t="s">
        <v>206</v>
      </c>
      <c r="D25" s="206"/>
      <c r="E25" s="206"/>
      <c r="F25" s="207"/>
      <c r="G25" s="208"/>
      <c r="H25" s="219">
        <f>-'Loan Repayment Schedule'!H25</f>
        <v>-25098.164527712634</v>
      </c>
      <c r="I25" s="219">
        <f>-'Loan Repayment Schedule'!I25</f>
        <v>-29132.807862097565</v>
      </c>
      <c r="J25" s="219">
        <f>-'Loan Repayment Schedule'!J25</f>
        <v>-33816.038339885847</v>
      </c>
      <c r="K25" s="219">
        <f>-'Loan Repayment Schedule'!K25</f>
        <v>-39252.119274516655</v>
      </c>
      <c r="L25" s="219">
        <f>-'Loan Repayment Schedule'!L25</f>
        <v>-45562.074778097201</v>
      </c>
      <c r="M25" s="219">
        <f>-'Loan Repayment Schedule'!M25</f>
        <v>-52886.384135509405</v>
      </c>
      <c r="N25" s="219">
        <f>-'Loan Repayment Schedule'!N25</f>
        <v>-61388.109311326472</v>
      </c>
      <c r="O25" s="219">
        <f>-'Loan Repayment Schedule'!O25</f>
        <v>-71256.525217595481</v>
      </c>
      <c r="P25" s="219">
        <f>-'Loan Repayment Schedule'!P25</f>
        <v>-82711.333563566732</v>
      </c>
      <c r="Q25" s="219">
        <f>-'Loan Repayment Schedule'!Q25</f>
        <v>-96007.554100804002</v>
      </c>
    </row>
    <row r="26" spans="3:17" hidden="1">
      <c r="C26" s="217" t="s">
        <v>207</v>
      </c>
      <c r="D26" s="206"/>
      <c r="E26" s="206"/>
      <c r="F26" s="207"/>
      <c r="G26" s="208"/>
      <c r="H26" s="215"/>
      <c r="I26" s="207"/>
      <c r="J26" s="207"/>
      <c r="K26" s="207"/>
      <c r="L26" s="207"/>
      <c r="M26" s="207"/>
      <c r="N26" s="207"/>
      <c r="O26" s="207"/>
      <c r="P26" s="207"/>
      <c r="Q26" s="208"/>
    </row>
    <row r="27" spans="3:17">
      <c r="C27" s="204" t="s">
        <v>208</v>
      </c>
      <c r="D27" s="206"/>
      <c r="E27" s="206"/>
      <c r="F27" s="207"/>
      <c r="G27" s="208"/>
      <c r="H27" s="222">
        <f>'Balance Sheet'!H35</f>
        <v>50000</v>
      </c>
      <c r="I27" s="223">
        <v>0</v>
      </c>
      <c r="J27" s="223">
        <v>0</v>
      </c>
      <c r="K27" s="223">
        <v>0</v>
      </c>
      <c r="L27" s="223">
        <v>0</v>
      </c>
      <c r="M27" s="223">
        <v>0</v>
      </c>
      <c r="N27" s="223">
        <v>0</v>
      </c>
      <c r="O27" s="223">
        <v>0</v>
      </c>
      <c r="P27" s="223">
        <v>0</v>
      </c>
      <c r="Q27" s="224">
        <v>0</v>
      </c>
    </row>
    <row r="28" spans="3:17">
      <c r="C28" s="204" t="s">
        <v>209</v>
      </c>
      <c r="D28" s="206"/>
      <c r="E28" s="206"/>
      <c r="F28" s="207"/>
      <c r="G28" s="208"/>
      <c r="H28" s="212">
        <v>0</v>
      </c>
      <c r="I28" s="213">
        <v>0</v>
      </c>
      <c r="J28" s="213">
        <v>0</v>
      </c>
      <c r="K28" s="213">
        <v>0</v>
      </c>
      <c r="L28" s="213">
        <v>0</v>
      </c>
      <c r="M28" s="213">
        <v>0</v>
      </c>
      <c r="N28" s="213">
        <v>0</v>
      </c>
      <c r="O28" s="213">
        <v>0</v>
      </c>
      <c r="P28" s="213">
        <v>0</v>
      </c>
      <c r="Q28" s="214">
        <v>0</v>
      </c>
    </row>
    <row r="29" spans="3:17" hidden="1">
      <c r="C29" s="217" t="s">
        <v>210</v>
      </c>
      <c r="D29" s="206"/>
      <c r="E29" s="206"/>
      <c r="F29" s="207"/>
      <c r="G29" s="208"/>
      <c r="H29" s="215"/>
      <c r="I29" s="207"/>
      <c r="J29" s="207"/>
      <c r="K29" s="207"/>
      <c r="L29" s="207"/>
      <c r="M29" s="207"/>
      <c r="N29" s="207"/>
      <c r="O29" s="207"/>
      <c r="P29" s="207"/>
      <c r="Q29" s="208"/>
    </row>
    <row r="30" spans="3:17">
      <c r="C30" s="216" t="s">
        <v>211</v>
      </c>
      <c r="D30" s="206"/>
      <c r="E30" s="206"/>
      <c r="F30" s="207"/>
      <c r="G30" s="208"/>
      <c r="H30" s="222">
        <f>SUM(H24:H29)</f>
        <v>562012.9465833985</v>
      </c>
      <c r="I30" s="223">
        <f t="shared" ref="I30:K30" si="2">SUM(I24:I29)</f>
        <v>-29132.807862097565</v>
      </c>
      <c r="J30" s="223">
        <f t="shared" si="2"/>
        <v>-33816.038339885847</v>
      </c>
      <c r="K30" s="223">
        <f t="shared" si="2"/>
        <v>-39252.119274516655</v>
      </c>
      <c r="L30" s="223">
        <f>SUM(L24:L29)</f>
        <v>-45562.074778097201</v>
      </c>
      <c r="M30" s="223">
        <f t="shared" ref="M30" si="3">SUM(M24:M29)</f>
        <v>-52886.384135509405</v>
      </c>
      <c r="N30" s="223">
        <f>SUM(N24:N29)</f>
        <v>-61388.109311326472</v>
      </c>
      <c r="O30" s="223">
        <f t="shared" ref="O30:Q30" si="4">SUM(O24:O29)</f>
        <v>-71256.525217595481</v>
      </c>
      <c r="P30" s="223">
        <f t="shared" si="4"/>
        <v>-82711.333563566732</v>
      </c>
      <c r="Q30" s="224">
        <f t="shared" si="4"/>
        <v>-96007.554100804002</v>
      </c>
    </row>
    <row r="31" spans="3:17">
      <c r="C31" s="217"/>
      <c r="D31" s="206"/>
      <c r="E31" s="206"/>
      <c r="F31" s="207"/>
      <c r="G31" s="208"/>
      <c r="H31" s="215"/>
      <c r="I31" s="207"/>
      <c r="J31" s="207"/>
      <c r="K31" s="207"/>
      <c r="L31" s="207"/>
      <c r="M31" s="207"/>
      <c r="N31" s="207"/>
      <c r="O31" s="207"/>
      <c r="P31" s="207"/>
      <c r="Q31" s="208"/>
    </row>
    <row r="32" spans="3:17">
      <c r="C32" s="216" t="s">
        <v>212</v>
      </c>
      <c r="D32" s="206"/>
      <c r="E32" s="206"/>
      <c r="F32" s="207"/>
      <c r="G32" s="208"/>
      <c r="H32" s="209">
        <f t="shared" ref="H32:Q32" si="5">H17+H22+H30</f>
        <v>458378.58334164321</v>
      </c>
      <c r="I32" s="210">
        <f t="shared" si="5"/>
        <v>2963899.2568917572</v>
      </c>
      <c r="J32" s="210">
        <f t="shared" si="5"/>
        <v>7612345.9756492469</v>
      </c>
      <c r="K32" s="210">
        <f t="shared" si="5"/>
        <v>13316364.55749687</v>
      </c>
      <c r="L32" s="210">
        <f t="shared" si="5"/>
        <v>19531792.890075173</v>
      </c>
      <c r="M32" s="210">
        <f t="shared" si="5"/>
        <v>26792889.246965062</v>
      </c>
      <c r="N32" s="210">
        <f t="shared" si="5"/>
        <v>35275773.21257291</v>
      </c>
      <c r="O32" s="210">
        <f t="shared" si="5"/>
        <v>45186781.849426255</v>
      </c>
      <c r="P32" s="210">
        <f t="shared" si="5"/>
        <v>56767740.71199587</v>
      </c>
      <c r="Q32" s="211">
        <f t="shared" si="5"/>
        <v>70302166.858380422</v>
      </c>
    </row>
    <row r="33" spans="3:17">
      <c r="C33" s="225"/>
      <c r="D33" s="226"/>
      <c r="E33" s="226"/>
      <c r="F33" s="207"/>
      <c r="G33" s="208"/>
      <c r="H33" s="215"/>
      <c r="I33" s="207"/>
      <c r="J33" s="207"/>
      <c r="K33" s="207"/>
      <c r="L33" s="207"/>
      <c r="M33" s="207"/>
      <c r="N33" s="207"/>
      <c r="O33" s="207"/>
      <c r="P33" s="207"/>
      <c r="Q33" s="208"/>
    </row>
    <row r="34" spans="3:17">
      <c r="C34" s="227" t="s">
        <v>213</v>
      </c>
      <c r="D34" s="226"/>
      <c r="E34" s="226"/>
      <c r="F34" s="207"/>
      <c r="G34" s="208"/>
      <c r="H34" s="215">
        <v>0</v>
      </c>
      <c r="I34" s="210">
        <f>H36</f>
        <v>458378.58334164321</v>
      </c>
      <c r="J34" s="210">
        <f t="shared" ref="J34:Q34" si="6">I36</f>
        <v>3422277.8402334005</v>
      </c>
      <c r="K34" s="210">
        <f t="shared" si="6"/>
        <v>11034623.815882647</v>
      </c>
      <c r="L34" s="210">
        <f t="shared" si="6"/>
        <v>24350988.373379517</v>
      </c>
      <c r="M34" s="210">
        <f t="shared" si="6"/>
        <v>43882781.263454691</v>
      </c>
      <c r="N34" s="210">
        <f t="shared" si="6"/>
        <v>70675670.510419756</v>
      </c>
      <c r="O34" s="210">
        <f t="shared" si="6"/>
        <v>105951443.72299266</v>
      </c>
      <c r="P34" s="210">
        <f t="shared" si="6"/>
        <v>151138225.57241893</v>
      </c>
      <c r="Q34" s="211">
        <f t="shared" si="6"/>
        <v>207905966.2844148</v>
      </c>
    </row>
    <row r="35" spans="3:17">
      <c r="C35" s="228"/>
      <c r="D35" s="226"/>
      <c r="E35" s="226"/>
      <c r="F35" s="207"/>
      <c r="G35" s="208"/>
      <c r="H35" s="215"/>
      <c r="I35" s="207"/>
      <c r="J35" s="207"/>
      <c r="K35" s="207"/>
      <c r="L35" s="207"/>
      <c r="M35" s="207"/>
      <c r="N35" s="207"/>
      <c r="O35" s="207"/>
      <c r="P35" s="207"/>
      <c r="Q35" s="208"/>
    </row>
    <row r="36" spans="3:17" ht="15" thickBot="1">
      <c r="C36" s="229" t="s">
        <v>130</v>
      </c>
      <c r="D36" s="230"/>
      <c r="E36" s="230"/>
      <c r="F36" s="231"/>
      <c r="G36" s="232"/>
      <c r="H36" s="233">
        <f>H32-H34</f>
        <v>458378.58334164321</v>
      </c>
      <c r="I36" s="234">
        <f>I32+I34</f>
        <v>3422277.8402334005</v>
      </c>
      <c r="J36" s="234">
        <f t="shared" ref="J36:Q36" si="7">J32+J34</f>
        <v>11034623.815882647</v>
      </c>
      <c r="K36" s="234">
        <f t="shared" si="7"/>
        <v>24350988.373379517</v>
      </c>
      <c r="L36" s="234">
        <f t="shared" si="7"/>
        <v>43882781.263454691</v>
      </c>
      <c r="M36" s="234">
        <f t="shared" si="7"/>
        <v>70675670.510419756</v>
      </c>
      <c r="N36" s="234">
        <f t="shared" si="7"/>
        <v>105951443.72299266</v>
      </c>
      <c r="O36" s="234">
        <f t="shared" si="7"/>
        <v>151138225.57241893</v>
      </c>
      <c r="P36" s="234">
        <f t="shared" si="7"/>
        <v>207905966.2844148</v>
      </c>
      <c r="Q36" s="235">
        <f t="shared" si="7"/>
        <v>278208133.14279521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27F99-5787-4A74-A435-49BB6ABA6BCA}">
  <dimension ref="C5:Q36"/>
  <sheetViews>
    <sheetView topLeftCell="B1" zoomScale="72" workbookViewId="0">
      <selection activeCell="H27" sqref="H27"/>
    </sheetView>
  </sheetViews>
  <sheetFormatPr defaultRowHeight="14.5"/>
  <cols>
    <col min="8" max="8" width="13.26953125" customWidth="1"/>
    <col min="9" max="9" width="12.81640625" customWidth="1"/>
    <col min="10" max="10" width="13.08984375" customWidth="1"/>
    <col min="11" max="11" width="14.26953125" customWidth="1"/>
    <col min="12" max="12" width="13.08984375" customWidth="1"/>
    <col min="13" max="13" width="12.7265625" customWidth="1"/>
    <col min="14" max="14" width="13.08984375" customWidth="1"/>
    <col min="15" max="15" width="13.54296875" customWidth="1"/>
    <col min="16" max="16" width="15" customWidth="1"/>
    <col min="17" max="17" width="14" customWidth="1"/>
  </cols>
  <sheetData>
    <row r="5" spans="3:17" ht="15" thickBot="1"/>
    <row r="6" spans="3:17">
      <c r="C6" s="187" t="s">
        <v>194</v>
      </c>
      <c r="D6" s="188"/>
      <c r="E6" s="188"/>
      <c r="F6" s="188"/>
      <c r="G6" s="189"/>
      <c r="H6" s="190" t="s">
        <v>169</v>
      </c>
      <c r="I6" s="190"/>
      <c r="J6" s="190"/>
      <c r="K6" s="190"/>
      <c r="L6" s="191"/>
      <c r="M6" s="191"/>
      <c r="N6" s="191"/>
      <c r="O6" s="191"/>
      <c r="P6" s="191"/>
      <c r="Q6" s="192"/>
    </row>
    <row r="7" spans="3:17" ht="15" thickBot="1">
      <c r="C7" s="193"/>
      <c r="D7" s="194"/>
      <c r="E7" s="195"/>
      <c r="F7" s="195"/>
      <c r="G7" s="196"/>
      <c r="H7" s="197" t="s">
        <v>139</v>
      </c>
      <c r="I7" s="197" t="s">
        <v>140</v>
      </c>
      <c r="J7" s="197" t="s">
        <v>141</v>
      </c>
      <c r="K7" s="197" t="s">
        <v>142</v>
      </c>
      <c r="L7" s="197" t="s">
        <v>143</v>
      </c>
      <c r="M7" s="197" t="s">
        <v>144</v>
      </c>
      <c r="N7" s="197" t="s">
        <v>145</v>
      </c>
      <c r="O7" s="197" t="s">
        <v>146</v>
      </c>
      <c r="P7" s="197" t="s">
        <v>147</v>
      </c>
      <c r="Q7" s="198" t="s">
        <v>148</v>
      </c>
    </row>
    <row r="8" spans="3:17">
      <c r="C8" s="199"/>
      <c r="D8" s="200"/>
      <c r="E8" s="200"/>
      <c r="F8" s="201"/>
      <c r="G8" s="202"/>
      <c r="H8" s="203"/>
      <c r="I8" s="201"/>
      <c r="J8" s="201"/>
      <c r="K8" s="201"/>
      <c r="L8" s="201"/>
      <c r="M8" s="201"/>
      <c r="N8" s="201"/>
      <c r="O8" s="201"/>
      <c r="P8" s="201"/>
      <c r="Q8" s="202"/>
    </row>
    <row r="9" spans="3:17">
      <c r="C9" s="204" t="s">
        <v>97</v>
      </c>
      <c r="D9" s="205"/>
      <c r="E9" s="206"/>
      <c r="F9" s="207"/>
      <c r="G9" s="208"/>
      <c r="H9" s="209">
        <f>'Income Statement'!C149</f>
        <v>810810.84223769675</v>
      </c>
      <c r="I9" s="209">
        <f>'Income Statement'!D149</f>
        <v>3645520.9536427436</v>
      </c>
      <c r="J9" s="209">
        <f>'Income Statement'!E149</f>
        <v>8235425.866576652</v>
      </c>
      <c r="K9" s="209">
        <f>'Income Statement'!F149</f>
        <v>13598284.542695548</v>
      </c>
      <c r="L9" s="209">
        <f>'Income Statement'!G149</f>
        <v>19863593.571414758</v>
      </c>
      <c r="M9" s="209">
        <f>'Income Statement'!H149</f>
        <v>27182958.217273749</v>
      </c>
      <c r="N9" s="209">
        <f>'Income Statement'!I149</f>
        <v>35733932.969398715</v>
      </c>
      <c r="O9" s="209">
        <f>'Income Statement'!J149</f>
        <v>45724538.889834672</v>
      </c>
      <c r="P9" s="209">
        <f>'Income Statement'!K149</f>
        <v>57398578.397091314</v>
      </c>
      <c r="Q9" s="209">
        <f>'Income Statement'!L149</f>
        <v>71041889.814750433</v>
      </c>
    </row>
    <row r="10" spans="3:17">
      <c r="C10" s="204" t="s">
        <v>195</v>
      </c>
      <c r="D10" s="205"/>
      <c r="E10" s="206"/>
      <c r="F10" s="207"/>
      <c r="G10" s="208"/>
      <c r="H10" s="212">
        <f>'Income Statement'!C136+'Income Statement'!C137</f>
        <v>20611.111111111113</v>
      </c>
      <c r="I10" s="212">
        <f>'Income Statement'!D136+'Income Statement'!D137</f>
        <v>20611.111111111113</v>
      </c>
      <c r="J10" s="212">
        <f>'Income Statement'!E136+'Income Statement'!E137</f>
        <v>20611.111111111113</v>
      </c>
      <c r="K10" s="212">
        <f>'Income Statement'!F136+'Income Statement'!F137</f>
        <v>20611.111111111113</v>
      </c>
      <c r="L10" s="212">
        <f>'Income Statement'!G136+'Income Statement'!G137</f>
        <v>20611.111111111113</v>
      </c>
      <c r="M10" s="212">
        <f>'Income Statement'!H136+'Income Statement'!H137</f>
        <v>20611.111111111113</v>
      </c>
      <c r="N10" s="212">
        <f>'Income Statement'!I136+'Income Statement'!I137</f>
        <v>20611.111111111113</v>
      </c>
      <c r="O10" s="212">
        <f>'Income Statement'!J136+'Income Statement'!J137</f>
        <v>20611.111111111113</v>
      </c>
      <c r="P10" s="212">
        <f>'Income Statement'!K136+'Income Statement'!K137</f>
        <v>20611.111111111113</v>
      </c>
      <c r="Q10" s="212">
        <f>'Income Statement'!L136+'Income Statement'!L137</f>
        <v>20611.111111111113</v>
      </c>
    </row>
    <row r="11" spans="3:17">
      <c r="C11" s="204" t="s">
        <v>196</v>
      </c>
      <c r="D11" s="205"/>
      <c r="E11" s="206"/>
      <c r="F11" s="207"/>
      <c r="G11" s="208"/>
      <c r="H11" s="432">
        <f>'Balance Sheet'!H11</f>
        <v>347945.20547945204</v>
      </c>
      <c r="I11" s="433">
        <f>'Balance Sheet'!I11-'Balance Sheet'!H11</f>
        <v>673100</v>
      </c>
      <c r="J11" s="433">
        <f>'Balance Sheet'!J11-'Balance Sheet'!I11</f>
        <v>609874.9636986301</v>
      </c>
      <c r="K11" s="433">
        <f>'Balance Sheet'!K11-'Balance Sheet'!J11</f>
        <v>263278.97703527356</v>
      </c>
      <c r="L11" s="433">
        <f>'Balance Sheet'!L11-'Balance Sheet'!K11</f>
        <v>306849.71767259785</v>
      </c>
      <c r="M11" s="433">
        <f>'Balance Sheet'!M11-'Balance Sheet'!L11</f>
        <v>357793.69728428917</v>
      </c>
      <c r="N11" s="433">
        <f>'Balance Sheet'!N11-'Balance Sheet'!M11</f>
        <v>417382.75862558745</v>
      </c>
      <c r="O11" s="433">
        <f>'Balance Sheet'!O11-'Balance Sheet'!N11</f>
        <v>487111.62630193448</v>
      </c>
      <c r="P11" s="433">
        <f>'Balance Sheet'!P11-'Balance Sheet'!O11</f>
        <v>568737.46264298912</v>
      </c>
      <c r="Q11" s="433">
        <f>'Balance Sheet'!Q11-'Balance Sheet'!P11</f>
        <v>664326.51338031748</v>
      </c>
    </row>
    <row r="12" spans="3:17">
      <c r="C12" s="204" t="s">
        <v>197</v>
      </c>
      <c r="D12" s="205"/>
      <c r="E12" s="206"/>
      <c r="F12" s="207"/>
      <c r="G12" s="208"/>
      <c r="H12" s="212">
        <f>0-'Balance Sheet'!H12</f>
        <v>-381000</v>
      </c>
      <c r="I12" s="213">
        <f>'Balance Sheet'!I12-'Balance Sheet'!H12</f>
        <v>0</v>
      </c>
      <c r="J12" s="213">
        <f>'Balance Sheet'!J12-'Balance Sheet'!I12</f>
        <v>0</v>
      </c>
      <c r="K12" s="213">
        <f>'Balance Sheet'!K12-'Balance Sheet'!J12</f>
        <v>0</v>
      </c>
      <c r="L12" s="213">
        <f>'Balance Sheet'!L12-'Balance Sheet'!K12</f>
        <v>0</v>
      </c>
      <c r="M12" s="213">
        <f>'Balance Sheet'!M12-'Balance Sheet'!L12</f>
        <v>0</v>
      </c>
      <c r="N12" s="213">
        <f>'Balance Sheet'!N12-'Balance Sheet'!M12</f>
        <v>0</v>
      </c>
      <c r="O12" s="213">
        <f>'Balance Sheet'!O12-'Balance Sheet'!N12</f>
        <v>0</v>
      </c>
      <c r="P12" s="213">
        <f>'Balance Sheet'!P12-'Balance Sheet'!O12</f>
        <v>0</v>
      </c>
      <c r="Q12" s="213">
        <f>'Balance Sheet'!Q12-'Balance Sheet'!P12</f>
        <v>0</v>
      </c>
    </row>
    <row r="13" spans="3:17">
      <c r="C13" s="204" t="s">
        <v>198</v>
      </c>
      <c r="D13" s="205"/>
      <c r="E13" s="206"/>
      <c r="F13" s="207"/>
      <c r="G13" s="208"/>
      <c r="H13" s="215"/>
      <c r="I13" s="207"/>
      <c r="J13" s="207"/>
      <c r="K13" s="207"/>
      <c r="L13" s="207"/>
      <c r="M13" s="207"/>
      <c r="N13" s="207"/>
      <c r="O13" s="207"/>
      <c r="P13" s="207"/>
      <c r="Q13" s="208"/>
    </row>
    <row r="14" spans="3:17">
      <c r="C14" s="204" t="s">
        <v>199</v>
      </c>
      <c r="D14" s="205"/>
      <c r="E14" s="206"/>
      <c r="F14" s="207"/>
      <c r="G14" s="208"/>
      <c r="H14" s="432">
        <f>'Balance Sheet'!H24</f>
        <v>0</v>
      </c>
      <c r="I14" s="433">
        <f>'Balance Sheet'!I24-'Balance Sheet'!H24</f>
        <v>133958.90410958903</v>
      </c>
      <c r="J14" s="433">
        <f>'Balance Sheet'!J24-'Balance Sheet'!I24</f>
        <v>24715.417808219179</v>
      </c>
      <c r="K14" s="433">
        <f>'Balance Sheet'!K24-'Balance Sheet'!J24</f>
        <v>29275.412393835606</v>
      </c>
      <c r="L14" s="433">
        <f>'Balance Sheet'!L24-'Balance Sheet'!K24</f>
        <v>34676.725980498246</v>
      </c>
      <c r="M14" s="433">
        <f>'Balance Sheet'!M24-'Balance Sheet'!L24</f>
        <v>41074.581923900172</v>
      </c>
      <c r="N14" s="433">
        <f>'Balance Sheet'!N24-'Balance Sheet'!M24</f>
        <v>48652.842288859829</v>
      </c>
      <c r="O14" s="433">
        <f>'Balance Sheet'!O24-'Balance Sheet'!N24</f>
        <v>57629.2916911543</v>
      </c>
      <c r="P14" s="433">
        <f>'Balance Sheet'!P24-'Balance Sheet'!O24</f>
        <v>68261.896008172422</v>
      </c>
      <c r="Q14" s="433">
        <f>'Balance Sheet'!Q24-'Balance Sheet'!P24</f>
        <v>80856.215821680147</v>
      </c>
    </row>
    <row r="15" spans="3:17">
      <c r="C15" s="204"/>
      <c r="D15" s="205"/>
      <c r="E15" s="206"/>
      <c r="F15" s="207"/>
      <c r="G15" s="208"/>
      <c r="H15" s="215"/>
      <c r="I15" s="207"/>
      <c r="J15" s="207"/>
      <c r="K15" s="207"/>
      <c r="L15" s="207"/>
      <c r="M15" s="207"/>
      <c r="N15" s="207"/>
      <c r="O15" s="207"/>
      <c r="P15" s="207"/>
      <c r="Q15" s="208"/>
    </row>
    <row r="16" spans="3:17">
      <c r="C16" s="204" t="s">
        <v>200</v>
      </c>
      <c r="D16" s="205"/>
      <c r="E16" s="206"/>
      <c r="F16" s="207"/>
      <c r="G16" s="208"/>
      <c r="H16" s="215"/>
      <c r="I16" s="207"/>
      <c r="J16" s="207"/>
      <c r="K16" s="207"/>
      <c r="L16" s="207"/>
      <c r="M16" s="207"/>
      <c r="N16" s="207"/>
      <c r="O16" s="207"/>
      <c r="P16" s="207"/>
      <c r="Q16" s="208"/>
    </row>
    <row r="17" spans="3:17">
      <c r="C17" s="216" t="s">
        <v>201</v>
      </c>
      <c r="D17" s="206"/>
      <c r="E17" s="206"/>
      <c r="F17" s="207"/>
      <c r="G17" s="208"/>
      <c r="H17" s="209">
        <f>H9+H10+H12-H11+H14</f>
        <v>102476.74786935584</v>
      </c>
      <c r="I17" s="209">
        <f t="shared" ref="I17:Q17" si="0">I9+I10+I12-I11+I14</f>
        <v>3126990.9688634435</v>
      </c>
      <c r="J17" s="209">
        <f t="shared" si="0"/>
        <v>7670877.4317973517</v>
      </c>
      <c r="K17" s="209">
        <f t="shared" si="0"/>
        <v>13384892.089165224</v>
      </c>
      <c r="L17" s="209">
        <f t="shared" si="0"/>
        <v>19612031.69083377</v>
      </c>
      <c r="M17" s="209">
        <f t="shared" si="0"/>
        <v>26886850.213024475</v>
      </c>
      <c r="N17" s="209">
        <f t="shared" si="0"/>
        <v>35385814.164173096</v>
      </c>
      <c r="O17" s="209">
        <f t="shared" si="0"/>
        <v>45315667.666335002</v>
      </c>
      <c r="P17" s="209">
        <f t="shared" si="0"/>
        <v>56918713.941567607</v>
      </c>
      <c r="Q17" s="209">
        <f t="shared" si="0"/>
        <v>70479030.628302902</v>
      </c>
    </row>
    <row r="18" spans="3:17">
      <c r="C18" s="217"/>
      <c r="D18" s="206"/>
      <c r="E18" s="206"/>
      <c r="F18" s="207"/>
      <c r="G18" s="208"/>
      <c r="H18" s="215"/>
      <c r="I18" s="207"/>
      <c r="J18" s="207"/>
      <c r="K18" s="207"/>
      <c r="L18" s="207"/>
      <c r="M18" s="207"/>
      <c r="N18" s="207"/>
      <c r="O18" s="207"/>
      <c r="P18" s="207"/>
      <c r="Q18" s="208"/>
    </row>
    <row r="19" spans="3:17">
      <c r="C19" s="217"/>
      <c r="D19" s="206"/>
      <c r="E19" s="206"/>
      <c r="F19" s="207"/>
      <c r="G19" s="208"/>
      <c r="H19" s="215"/>
      <c r="I19" s="207"/>
      <c r="J19" s="207"/>
      <c r="K19" s="207"/>
      <c r="L19" s="207"/>
      <c r="M19" s="207"/>
      <c r="N19" s="207"/>
      <c r="O19" s="207"/>
      <c r="P19" s="207"/>
      <c r="Q19" s="208"/>
    </row>
    <row r="20" spans="3:17">
      <c r="C20" s="217" t="s">
        <v>202</v>
      </c>
      <c r="D20" s="206"/>
      <c r="E20" s="206"/>
      <c r="F20" s="207"/>
      <c r="G20" s="208"/>
      <c r="H20" s="212">
        <f>-'Depreciation Schedule'!G9</f>
        <v>-206111.11111111112</v>
      </c>
      <c r="I20" s="213">
        <v>0</v>
      </c>
      <c r="J20" s="213">
        <v>0</v>
      </c>
      <c r="K20" s="213">
        <v>0</v>
      </c>
      <c r="L20" s="213">
        <v>0</v>
      </c>
      <c r="M20" s="213">
        <v>0</v>
      </c>
      <c r="N20" s="213">
        <v>0</v>
      </c>
      <c r="O20" s="213">
        <v>0</v>
      </c>
      <c r="P20" s="213">
        <v>0</v>
      </c>
      <c r="Q20" s="214">
        <v>0</v>
      </c>
    </row>
    <row r="21" spans="3:17">
      <c r="C21" s="217" t="s">
        <v>203</v>
      </c>
      <c r="D21" s="206"/>
      <c r="E21" s="206"/>
      <c r="F21" s="207"/>
      <c r="G21" s="208"/>
      <c r="H21" s="215"/>
      <c r="I21" s="207"/>
      <c r="J21" s="207"/>
      <c r="K21" s="207"/>
      <c r="L21" s="207"/>
      <c r="M21" s="207"/>
      <c r="N21" s="207"/>
      <c r="O21" s="207"/>
      <c r="P21" s="207"/>
      <c r="Q21" s="208"/>
    </row>
    <row r="22" spans="3:17">
      <c r="C22" s="216" t="s">
        <v>204</v>
      </c>
      <c r="D22" s="218"/>
      <c r="E22" s="206"/>
      <c r="F22" s="207"/>
      <c r="G22" s="208"/>
      <c r="H22" s="212">
        <f>H20</f>
        <v>-206111.11111111112</v>
      </c>
      <c r="I22" s="213">
        <f t="shared" ref="I22:Q22" si="1">I20</f>
        <v>0</v>
      </c>
      <c r="J22" s="213">
        <f t="shared" si="1"/>
        <v>0</v>
      </c>
      <c r="K22" s="213">
        <f t="shared" si="1"/>
        <v>0</v>
      </c>
      <c r="L22" s="213">
        <f t="shared" si="1"/>
        <v>0</v>
      </c>
      <c r="M22" s="213">
        <f t="shared" si="1"/>
        <v>0</v>
      </c>
      <c r="N22" s="213">
        <f t="shared" si="1"/>
        <v>0</v>
      </c>
      <c r="O22" s="213">
        <f t="shared" si="1"/>
        <v>0</v>
      </c>
      <c r="P22" s="213">
        <f t="shared" si="1"/>
        <v>0</v>
      </c>
      <c r="Q22" s="214">
        <f t="shared" si="1"/>
        <v>0</v>
      </c>
    </row>
    <row r="23" spans="3:17">
      <c r="C23" s="217"/>
      <c r="D23" s="218"/>
      <c r="E23" s="206"/>
      <c r="F23" s="207"/>
      <c r="G23" s="208"/>
      <c r="H23" s="215"/>
      <c r="I23" s="207"/>
      <c r="J23" s="207"/>
      <c r="K23" s="207"/>
      <c r="L23" s="207"/>
      <c r="M23" s="207"/>
      <c r="N23" s="207"/>
      <c r="O23" s="207"/>
      <c r="P23" s="207"/>
      <c r="Q23" s="208"/>
    </row>
    <row r="24" spans="3:17">
      <c r="C24" s="217" t="s">
        <v>205</v>
      </c>
      <c r="D24" s="206"/>
      <c r="E24" s="206"/>
      <c r="F24" s="207"/>
      <c r="G24" s="208"/>
      <c r="H24" s="219">
        <f>'Loan Repayment Schedule'!H13</f>
        <v>537111.11111111112</v>
      </c>
      <c r="I24" s="220">
        <v>0</v>
      </c>
      <c r="J24" s="220">
        <v>0</v>
      </c>
      <c r="K24" s="220">
        <v>0</v>
      </c>
      <c r="L24" s="220">
        <v>0</v>
      </c>
      <c r="M24" s="220">
        <v>0</v>
      </c>
      <c r="N24" s="220">
        <v>0</v>
      </c>
      <c r="O24" s="220">
        <v>0</v>
      </c>
      <c r="P24" s="220">
        <v>0</v>
      </c>
      <c r="Q24" s="221">
        <v>0</v>
      </c>
    </row>
    <row r="25" spans="3:17">
      <c r="C25" s="217" t="s">
        <v>206</v>
      </c>
      <c r="D25" s="206"/>
      <c r="E25" s="206"/>
      <c r="F25" s="207"/>
      <c r="G25" s="208"/>
      <c r="H25" s="219">
        <f>-'Loan Repayment Schedule'!H25</f>
        <v>-25098.164527712634</v>
      </c>
      <c r="I25" s="219">
        <f>-'Loan Repayment Schedule'!I25</f>
        <v>-29132.807862097565</v>
      </c>
      <c r="J25" s="219">
        <f>-'Loan Repayment Schedule'!J25</f>
        <v>-33816.038339885847</v>
      </c>
      <c r="K25" s="219">
        <f>-'Loan Repayment Schedule'!K25</f>
        <v>-39252.119274516655</v>
      </c>
      <c r="L25" s="219">
        <f>-'Loan Repayment Schedule'!L25</f>
        <v>-45562.074778097201</v>
      </c>
      <c r="M25" s="219">
        <f>-'Loan Repayment Schedule'!M25</f>
        <v>-52886.384135509405</v>
      </c>
      <c r="N25" s="219">
        <f>-'Loan Repayment Schedule'!N25</f>
        <v>-61388.109311326472</v>
      </c>
      <c r="O25" s="219">
        <f>-'Loan Repayment Schedule'!O25</f>
        <v>-71256.525217595481</v>
      </c>
      <c r="P25" s="219">
        <f>-'Loan Repayment Schedule'!P25</f>
        <v>-82711.333563566732</v>
      </c>
      <c r="Q25" s="219">
        <f>-'Loan Repayment Schedule'!Q25</f>
        <v>-96007.554100804002</v>
      </c>
    </row>
    <row r="26" spans="3:17">
      <c r="C26" s="217" t="s">
        <v>207</v>
      </c>
      <c r="D26" s="206"/>
      <c r="E26" s="206"/>
      <c r="F26" s="207"/>
      <c r="G26" s="208"/>
      <c r="H26" s="215"/>
      <c r="I26" s="207"/>
      <c r="J26" s="207"/>
      <c r="K26" s="207"/>
      <c r="L26" s="207"/>
      <c r="M26" s="207"/>
      <c r="N26" s="207"/>
      <c r="O26" s="207"/>
      <c r="P26" s="207"/>
      <c r="Q26" s="208"/>
    </row>
    <row r="27" spans="3:17">
      <c r="C27" s="204" t="s">
        <v>208</v>
      </c>
      <c r="D27" s="206"/>
      <c r="E27" s="206"/>
      <c r="F27" s="207"/>
      <c r="G27" s="208"/>
      <c r="H27" s="222">
        <f>'Balance Sheet'!H35</f>
        <v>50000</v>
      </c>
      <c r="I27" s="223">
        <v>0</v>
      </c>
      <c r="J27" s="223">
        <v>0</v>
      </c>
      <c r="K27" s="223">
        <v>0</v>
      </c>
      <c r="L27" s="223">
        <v>0</v>
      </c>
      <c r="M27" s="223">
        <v>0</v>
      </c>
      <c r="N27" s="223">
        <v>0</v>
      </c>
      <c r="O27" s="223">
        <v>0</v>
      </c>
      <c r="P27" s="223">
        <v>0</v>
      </c>
      <c r="Q27" s="224">
        <v>0</v>
      </c>
    </row>
    <row r="28" spans="3:17">
      <c r="C28" s="204" t="s">
        <v>209</v>
      </c>
      <c r="D28" s="206"/>
      <c r="E28" s="206"/>
      <c r="F28" s="207"/>
      <c r="G28" s="208"/>
      <c r="H28" s="212">
        <v>0</v>
      </c>
      <c r="I28" s="213">
        <v>0</v>
      </c>
      <c r="J28" s="213">
        <v>0</v>
      </c>
      <c r="K28" s="213">
        <v>0</v>
      </c>
      <c r="L28" s="213">
        <v>0</v>
      </c>
      <c r="M28" s="213">
        <v>0</v>
      </c>
      <c r="N28" s="213">
        <v>0</v>
      </c>
      <c r="O28" s="213">
        <v>0</v>
      </c>
      <c r="P28" s="213">
        <v>0</v>
      </c>
      <c r="Q28" s="214">
        <v>0</v>
      </c>
    </row>
    <row r="29" spans="3:17">
      <c r="C29" s="217" t="s">
        <v>210</v>
      </c>
      <c r="D29" s="206"/>
      <c r="E29" s="206"/>
      <c r="F29" s="207"/>
      <c r="G29" s="208"/>
      <c r="H29" s="215"/>
      <c r="I29" s="207"/>
      <c r="J29" s="207"/>
      <c r="K29" s="207"/>
      <c r="L29" s="207"/>
      <c r="M29" s="207"/>
      <c r="N29" s="207"/>
      <c r="O29" s="207"/>
      <c r="P29" s="207"/>
      <c r="Q29" s="208"/>
    </row>
    <row r="30" spans="3:17">
      <c r="C30" s="216" t="s">
        <v>211</v>
      </c>
      <c r="D30" s="206"/>
      <c r="E30" s="206"/>
      <c r="F30" s="207"/>
      <c r="G30" s="208"/>
      <c r="H30" s="222">
        <f>SUM(H24:H29)</f>
        <v>562012.9465833985</v>
      </c>
      <c r="I30" s="223">
        <f t="shared" ref="I30:K30" si="2">SUM(I24:I29)</f>
        <v>-29132.807862097565</v>
      </c>
      <c r="J30" s="223">
        <f t="shared" si="2"/>
        <v>-33816.038339885847</v>
      </c>
      <c r="K30" s="223">
        <f t="shared" si="2"/>
        <v>-39252.119274516655</v>
      </c>
      <c r="L30" s="223">
        <f>SUM(L24:L29)</f>
        <v>-45562.074778097201</v>
      </c>
      <c r="M30" s="223">
        <f t="shared" ref="M30" si="3">SUM(M24:M29)</f>
        <v>-52886.384135509405</v>
      </c>
      <c r="N30" s="223">
        <f>SUM(N24:N29)</f>
        <v>-61388.109311326472</v>
      </c>
      <c r="O30" s="223">
        <f t="shared" ref="O30:Q30" si="4">SUM(O24:O29)</f>
        <v>-71256.525217595481</v>
      </c>
      <c r="P30" s="223">
        <f t="shared" si="4"/>
        <v>-82711.333563566732</v>
      </c>
      <c r="Q30" s="224">
        <f t="shared" si="4"/>
        <v>-96007.554100804002</v>
      </c>
    </row>
    <row r="31" spans="3:17">
      <c r="C31" s="217"/>
      <c r="D31" s="206"/>
      <c r="E31" s="206"/>
      <c r="F31" s="207"/>
      <c r="G31" s="208"/>
      <c r="H31" s="215"/>
      <c r="I31" s="207"/>
      <c r="J31" s="207"/>
      <c r="K31" s="207"/>
      <c r="L31" s="207"/>
      <c r="M31" s="207"/>
      <c r="N31" s="207"/>
      <c r="O31" s="207"/>
      <c r="P31" s="207"/>
      <c r="Q31" s="208"/>
    </row>
    <row r="32" spans="3:17">
      <c r="C32" s="216" t="s">
        <v>212</v>
      </c>
      <c r="D32" s="206"/>
      <c r="E32" s="206"/>
      <c r="F32" s="207"/>
      <c r="G32" s="208"/>
      <c r="H32" s="209">
        <f t="shared" ref="H32:Q32" si="5">H17+H22+H30</f>
        <v>458378.58334164321</v>
      </c>
      <c r="I32" s="210">
        <f t="shared" si="5"/>
        <v>3097858.1610013461</v>
      </c>
      <c r="J32" s="210">
        <f t="shared" si="5"/>
        <v>7637061.3934574658</v>
      </c>
      <c r="K32" s="210">
        <f t="shared" si="5"/>
        <v>13345639.969890706</v>
      </c>
      <c r="L32" s="210">
        <f t="shared" si="5"/>
        <v>19566469.616055671</v>
      </c>
      <c r="M32" s="210">
        <f t="shared" si="5"/>
        <v>26833963.828888964</v>
      </c>
      <c r="N32" s="210">
        <f t="shared" si="5"/>
        <v>35324426.054861769</v>
      </c>
      <c r="O32" s="210">
        <f t="shared" si="5"/>
        <v>45244411.141117409</v>
      </c>
      <c r="P32" s="210">
        <f t="shared" si="5"/>
        <v>56836002.608004041</v>
      </c>
      <c r="Q32" s="211">
        <f t="shared" si="5"/>
        <v>70383023.074202105</v>
      </c>
    </row>
    <row r="33" spans="3:17">
      <c r="C33" s="225"/>
      <c r="D33" s="226"/>
      <c r="E33" s="226"/>
      <c r="F33" s="207"/>
      <c r="G33" s="208"/>
      <c r="H33" s="215"/>
      <c r="I33" s="207"/>
      <c r="J33" s="207"/>
      <c r="K33" s="207"/>
      <c r="L33" s="207"/>
      <c r="M33" s="207"/>
      <c r="N33" s="207"/>
      <c r="O33" s="207"/>
      <c r="P33" s="207"/>
      <c r="Q33" s="208"/>
    </row>
    <row r="34" spans="3:17">
      <c r="C34" s="227" t="s">
        <v>213</v>
      </c>
      <c r="D34" s="226"/>
      <c r="E34" s="226"/>
      <c r="F34" s="207"/>
      <c r="G34" s="208"/>
      <c r="H34" s="215">
        <v>0</v>
      </c>
      <c r="I34" s="210">
        <f>H36</f>
        <v>458378.58334164321</v>
      </c>
      <c r="J34" s="210">
        <f t="shared" ref="J34:Q34" si="6">I36</f>
        <v>3556236.7443429893</v>
      </c>
      <c r="K34" s="210">
        <f t="shared" si="6"/>
        <v>11193298.137800455</v>
      </c>
      <c r="L34" s="210">
        <f t="shared" si="6"/>
        <v>24538938.107691161</v>
      </c>
      <c r="M34" s="210">
        <f t="shared" si="6"/>
        <v>44105407.723746836</v>
      </c>
      <c r="N34" s="210">
        <f t="shared" si="6"/>
        <v>70939371.552635804</v>
      </c>
      <c r="O34" s="210">
        <f t="shared" si="6"/>
        <v>106263797.60749757</v>
      </c>
      <c r="P34" s="210">
        <f t="shared" si="6"/>
        <v>151508208.74861497</v>
      </c>
      <c r="Q34" s="211">
        <f t="shared" si="6"/>
        <v>208344211.356619</v>
      </c>
    </row>
    <row r="35" spans="3:17">
      <c r="C35" s="228"/>
      <c r="D35" s="226"/>
      <c r="E35" s="226"/>
      <c r="F35" s="207"/>
      <c r="G35" s="208"/>
      <c r="H35" s="215"/>
      <c r="I35" s="207"/>
      <c r="J35" s="207"/>
      <c r="K35" s="207"/>
      <c r="L35" s="207"/>
      <c r="M35" s="207"/>
      <c r="N35" s="207"/>
      <c r="O35" s="207"/>
      <c r="P35" s="207"/>
      <c r="Q35" s="208"/>
    </row>
    <row r="36" spans="3:17" ht="15" thickBot="1">
      <c r="C36" s="229" t="s">
        <v>130</v>
      </c>
      <c r="D36" s="230"/>
      <c r="E36" s="230"/>
      <c r="F36" s="231"/>
      <c r="G36" s="232"/>
      <c r="H36" s="233">
        <f>H32-H34</f>
        <v>458378.58334164321</v>
      </c>
      <c r="I36" s="234">
        <f>I32+I34</f>
        <v>3556236.7443429893</v>
      </c>
      <c r="J36" s="234">
        <f t="shared" ref="J36:Q36" si="7">J32+J34</f>
        <v>11193298.137800455</v>
      </c>
      <c r="K36" s="234">
        <f t="shared" si="7"/>
        <v>24538938.107691161</v>
      </c>
      <c r="L36" s="234">
        <f t="shared" si="7"/>
        <v>44105407.723746836</v>
      </c>
      <c r="M36" s="234">
        <f t="shared" si="7"/>
        <v>70939371.552635804</v>
      </c>
      <c r="N36" s="234">
        <f t="shared" si="7"/>
        <v>106263797.60749757</v>
      </c>
      <c r="O36" s="234">
        <f t="shared" si="7"/>
        <v>151508208.74861497</v>
      </c>
      <c r="P36" s="234">
        <f t="shared" si="7"/>
        <v>208344211.356619</v>
      </c>
      <c r="Q36" s="235">
        <f t="shared" si="7"/>
        <v>278727234.43082112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C8E1A-D50E-4E3E-BF01-9CAA2BA238CE}">
  <dimension ref="A1:M17"/>
  <sheetViews>
    <sheetView workbookViewId="0">
      <selection activeCell="E8" sqref="E8"/>
    </sheetView>
  </sheetViews>
  <sheetFormatPr defaultRowHeight="14.5"/>
  <cols>
    <col min="3" max="3" width="33.08984375" customWidth="1"/>
    <col min="4" max="4" width="9.08984375" hidden="1" customWidth="1"/>
    <col min="5" max="10" width="10.6328125" customWidth="1"/>
    <col min="12" max="12" width="10.90625" bestFit="1" customWidth="1"/>
  </cols>
  <sheetData>
    <row r="1" spans="1:13">
      <c r="A1" s="1" t="s">
        <v>0</v>
      </c>
      <c r="B1" s="2" t="str">
        <f>'Table of Contents'!B1</f>
        <v>Electronics Manufacturing Venture</v>
      </c>
      <c r="C1" s="3"/>
      <c r="D1" s="3"/>
      <c r="E1" s="4" t="s">
        <v>1</v>
      </c>
      <c r="F1" s="5" t="s">
        <v>2</v>
      </c>
    </row>
    <row r="2" spans="1:13">
      <c r="A2" s="1" t="s">
        <v>3</v>
      </c>
      <c r="B2" s="2" t="str">
        <f>'Table of Contents'!B2</f>
        <v>Krishnamurthy Bindumadhavan</v>
      </c>
      <c r="C2" s="3"/>
      <c r="D2" s="3"/>
      <c r="E2" s="6" t="s">
        <v>4</v>
      </c>
      <c r="F2" s="5" t="s">
        <v>5</v>
      </c>
    </row>
    <row r="3" spans="1:13">
      <c r="A3" s="1" t="s">
        <v>6</v>
      </c>
      <c r="B3" s="2" t="s">
        <v>71</v>
      </c>
      <c r="C3" s="3"/>
      <c r="D3" s="3"/>
      <c r="E3" s="7" t="s">
        <v>8</v>
      </c>
      <c r="F3" s="5" t="s">
        <v>9</v>
      </c>
    </row>
    <row r="4" spans="1:13">
      <c r="A4" s="8" t="s">
        <v>10</v>
      </c>
      <c r="B4" s="9">
        <v>46033</v>
      </c>
      <c r="C4" s="3"/>
      <c r="D4" s="3"/>
      <c r="E4" s="10" t="s">
        <v>11</v>
      </c>
      <c r="F4" s="5" t="s">
        <v>12</v>
      </c>
    </row>
    <row r="5" spans="1:13" ht="0.75" customHeight="1">
      <c r="G5" s="58"/>
    </row>
    <row r="6" spans="1:13" ht="15" thickBot="1"/>
    <row r="7" spans="1:13" ht="16" thickBot="1">
      <c r="C7" s="427" t="s">
        <v>93</v>
      </c>
      <c r="D7" s="428"/>
      <c r="E7" s="59">
        <v>2015</v>
      </c>
      <c r="F7" s="59">
        <v>2016</v>
      </c>
      <c r="G7" s="59">
        <v>2017</v>
      </c>
      <c r="H7" s="59">
        <v>2018</v>
      </c>
      <c r="I7" s="59">
        <v>2019</v>
      </c>
      <c r="J7" s="60" t="s">
        <v>94</v>
      </c>
    </row>
    <row r="8" spans="1:13" ht="15.5">
      <c r="C8" s="61" t="s">
        <v>95</v>
      </c>
      <c r="D8" s="62"/>
      <c r="E8" s="63">
        <f>'[3]Revenue Analysis'!D13</f>
        <v>95000</v>
      </c>
      <c r="F8" s="63">
        <f>'[3]Revenue Analysis'!E13</f>
        <v>100000</v>
      </c>
      <c r="G8" s="63">
        <f>'[3]Revenue Analysis'!F13</f>
        <v>105000</v>
      </c>
      <c r="H8" s="63">
        <f>'[3]Revenue Analysis'!G13</f>
        <v>105000</v>
      </c>
      <c r="I8" s="63">
        <f>'[3]Revenue Analysis'!H13</f>
        <v>105000</v>
      </c>
      <c r="J8" s="64">
        <f>+(I8/E8)^(1/4)-1</f>
        <v>2.5336513577710162E-2</v>
      </c>
      <c r="L8" s="58">
        <f>SUM(E8:I8)</f>
        <v>510000</v>
      </c>
    </row>
    <row r="9" spans="1:13" ht="15.5">
      <c r="C9" s="65" t="s">
        <v>96</v>
      </c>
      <c r="D9" s="66"/>
      <c r="E9" s="67">
        <f>'[3]Expense Analysis'!D14</f>
        <v>88695.62966398921</v>
      </c>
      <c r="F9" s="67">
        <f>'[3]Expense Analysis'!E14</f>
        <v>91148.092493528457</v>
      </c>
      <c r="G9" s="67">
        <f>'[3]Expense Analysis'!F14</f>
        <v>93700.472442696511</v>
      </c>
      <c r="H9" s="67">
        <f>'[3]Expense Analysis'!G14</f>
        <v>96356.840289111249</v>
      </c>
      <c r="I9" s="67">
        <f>'[3]Expense Analysis'!H14</f>
        <v>99121.432660151506</v>
      </c>
      <c r="J9" s="68">
        <f>+(I9/E9)^(1/4)-1</f>
        <v>2.8173336892006517E-2</v>
      </c>
      <c r="L9" s="58">
        <f>SUM(E9:I9)</f>
        <v>469022.46754947695</v>
      </c>
    </row>
    <row r="10" spans="1:13" ht="15.5">
      <c r="C10" s="69" t="s">
        <v>97</v>
      </c>
      <c r="D10" s="70"/>
      <c r="E10" s="71">
        <f>E8-E9</f>
        <v>6304.3703360107902</v>
      </c>
      <c r="F10" s="72">
        <f t="shared" ref="F10:I10" si="0">F8-F9</f>
        <v>8851.9075064715435</v>
      </c>
      <c r="G10" s="72">
        <f t="shared" si="0"/>
        <v>11299.527557303489</v>
      </c>
      <c r="H10" s="72">
        <f t="shared" si="0"/>
        <v>8643.1597108887509</v>
      </c>
      <c r="I10" s="72">
        <f t="shared" si="0"/>
        <v>5878.5673398484942</v>
      </c>
      <c r="J10" s="68"/>
      <c r="L10" s="58">
        <f>SUM(E10:I10)</f>
        <v>40977.532450523067</v>
      </c>
      <c r="M10" s="73">
        <f>L10/L8</f>
        <v>8.0348102844162883E-2</v>
      </c>
    </row>
    <row r="11" spans="1:13" ht="15" thickBot="1">
      <c r="C11" s="74" t="s">
        <v>98</v>
      </c>
      <c r="D11" s="75"/>
      <c r="E11" s="76">
        <f>E10/E8</f>
        <v>6.6361793010639894E-2</v>
      </c>
      <c r="F11" s="77">
        <f>F10/F8</f>
        <v>8.851907506471543E-2</v>
      </c>
      <c r="G11" s="77">
        <f>G10/G8</f>
        <v>0.10761454816479513</v>
      </c>
      <c r="H11" s="77">
        <f>H10/H8</f>
        <v>8.2315806770369052E-2</v>
      </c>
      <c r="I11" s="77">
        <f>I10/I8</f>
        <v>5.5986355617604705E-2</v>
      </c>
      <c r="J11" s="78"/>
    </row>
    <row r="12" spans="1:13">
      <c r="C12" s="79" t="s">
        <v>99</v>
      </c>
    </row>
    <row r="13" spans="1:13">
      <c r="C13" t="s">
        <v>100</v>
      </c>
    </row>
    <row r="14" spans="1:13">
      <c r="D14" s="80" t="s">
        <v>101</v>
      </c>
      <c r="E14" s="80">
        <v>2009</v>
      </c>
      <c r="F14" s="80">
        <v>2010</v>
      </c>
      <c r="G14" s="80">
        <v>2011</v>
      </c>
      <c r="H14" s="80">
        <v>2012</v>
      </c>
      <c r="I14" s="80">
        <v>2013</v>
      </c>
    </row>
    <row r="15" spans="1:13">
      <c r="C15" t="s">
        <v>95</v>
      </c>
      <c r="D15" s="81">
        <f>[4]Revenue!D10/1000</f>
        <v>262.52703015867206</v>
      </c>
      <c r="E15" s="58">
        <f>ROUND(E8/1000, 0)</f>
        <v>95</v>
      </c>
      <c r="F15" s="58">
        <f t="shared" ref="F15:I16" si="1">ROUND(F8/1000, 0)</f>
        <v>100</v>
      </c>
      <c r="G15" s="58">
        <f t="shared" si="1"/>
        <v>105</v>
      </c>
      <c r="H15" s="58">
        <f t="shared" si="1"/>
        <v>105</v>
      </c>
      <c r="I15" s="58">
        <f t="shared" si="1"/>
        <v>105</v>
      </c>
    </row>
    <row r="16" spans="1:13">
      <c r="C16" t="s">
        <v>96</v>
      </c>
      <c r="D16" s="81">
        <f>[4]Revenue!D6/1000</f>
        <v>25.421749999999999</v>
      </c>
      <c r="E16" s="58">
        <f>ROUND(E9/1000, 0)</f>
        <v>89</v>
      </c>
      <c r="F16" s="58">
        <f t="shared" si="1"/>
        <v>91</v>
      </c>
      <c r="G16" s="58">
        <f t="shared" si="1"/>
        <v>94</v>
      </c>
      <c r="H16" s="58">
        <f t="shared" si="1"/>
        <v>96</v>
      </c>
      <c r="I16" s="58">
        <f>ROUND(I9/1000, 0)</f>
        <v>99</v>
      </c>
    </row>
    <row r="17" spans="3:9">
      <c r="C17" t="str">
        <f>C11</f>
        <v>Profit Margin</v>
      </c>
      <c r="D17" s="81">
        <f t="shared" ref="D17:I17" si="2">D15-D16</f>
        <v>237.10528015867206</v>
      </c>
      <c r="E17" s="58">
        <f t="shared" si="2"/>
        <v>6</v>
      </c>
      <c r="F17" s="58">
        <f t="shared" si="2"/>
        <v>9</v>
      </c>
      <c r="G17" s="58">
        <f t="shared" si="2"/>
        <v>11</v>
      </c>
      <c r="H17" s="58">
        <f t="shared" si="2"/>
        <v>9</v>
      </c>
      <c r="I17" s="58">
        <f t="shared" si="2"/>
        <v>6</v>
      </c>
    </row>
  </sheetData>
  <mergeCells count="1">
    <mergeCell ref="C7:D7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15D36-0EF3-4410-88F7-0F77EE901821}">
  <dimension ref="A1:P48"/>
  <sheetViews>
    <sheetView workbookViewId="0">
      <selection activeCell="B4" sqref="B4"/>
    </sheetView>
  </sheetViews>
  <sheetFormatPr defaultRowHeight="14.5"/>
  <cols>
    <col min="2" max="2" width="18.6328125" bestFit="1" customWidth="1"/>
    <col min="3" max="3" width="31.54296875" bestFit="1" customWidth="1"/>
    <col min="4" max="9" width="10.6328125" customWidth="1"/>
    <col min="10" max="10" width="13.08984375" bestFit="1" customWidth="1"/>
    <col min="11" max="11" width="29.453125" bestFit="1" customWidth="1"/>
    <col min="12" max="14" width="10.36328125" hidden="1" customWidth="1"/>
    <col min="15" max="15" width="0" hidden="1" customWidth="1"/>
    <col min="16" max="16" width="9.36328125" hidden="1" customWidth="1"/>
    <col min="17" max="17" width="26.6328125" bestFit="1" customWidth="1"/>
    <col min="18" max="22" width="12.6328125" customWidth="1"/>
  </cols>
  <sheetData>
    <row r="1" spans="1:14">
      <c r="A1" s="1" t="s">
        <v>0</v>
      </c>
      <c r="B1" s="2" t="str">
        <f>'Table of Contents'!B1</f>
        <v>Electronics Manufacturing Venture</v>
      </c>
      <c r="C1" s="3"/>
      <c r="D1" s="3"/>
      <c r="E1" s="4" t="s">
        <v>1</v>
      </c>
      <c r="F1" s="5" t="s">
        <v>2</v>
      </c>
    </row>
    <row r="2" spans="1:14">
      <c r="A2" s="1" t="s">
        <v>3</v>
      </c>
      <c r="B2" s="2" t="str">
        <f>'Table of Contents'!B2</f>
        <v>Krishnamurthy Bindumadhavan</v>
      </c>
      <c r="C2" s="3"/>
      <c r="D2" s="3"/>
      <c r="E2" s="6" t="s">
        <v>4</v>
      </c>
      <c r="F2" s="5" t="s">
        <v>5</v>
      </c>
    </row>
    <row r="3" spans="1:14">
      <c r="A3" s="1" t="s">
        <v>6</v>
      </c>
      <c r="B3" s="2" t="s">
        <v>76</v>
      </c>
      <c r="C3" s="3"/>
      <c r="D3" s="3"/>
      <c r="E3" s="7" t="s">
        <v>8</v>
      </c>
      <c r="F3" s="5" t="s">
        <v>9</v>
      </c>
    </row>
    <row r="4" spans="1:14">
      <c r="A4" s="8" t="s">
        <v>10</v>
      </c>
      <c r="B4" s="9">
        <v>46033</v>
      </c>
      <c r="C4" s="3"/>
      <c r="D4" s="3"/>
      <c r="E4" s="10" t="s">
        <v>11</v>
      </c>
      <c r="F4" s="5" t="s">
        <v>12</v>
      </c>
    </row>
    <row r="5" spans="1:14" ht="15" thickBot="1">
      <c r="L5" t="s">
        <v>102</v>
      </c>
    </row>
    <row r="6" spans="1:14" ht="20.25" customHeight="1" thickBot="1">
      <c r="F6" s="82"/>
      <c r="L6" s="83" t="s">
        <v>103</v>
      </c>
      <c r="M6" s="83" t="s">
        <v>104</v>
      </c>
      <c r="N6" s="83" t="s">
        <v>105</v>
      </c>
    </row>
    <row r="7" spans="1:14" ht="16.5" thickTop="1" thickBot="1">
      <c r="C7" s="84" t="s">
        <v>96</v>
      </c>
      <c r="D7" s="59">
        <v>2015</v>
      </c>
      <c r="E7" s="59">
        <v>2016</v>
      </c>
      <c r="F7" s="59">
        <v>2017</v>
      </c>
      <c r="G7" s="59">
        <v>2018</v>
      </c>
      <c r="H7" s="59">
        <v>2019</v>
      </c>
      <c r="I7" s="60" t="s">
        <v>94</v>
      </c>
      <c r="L7" s="85">
        <v>62750</v>
      </c>
      <c r="M7" s="85">
        <f>T7/1000</f>
        <v>0</v>
      </c>
      <c r="N7" s="85">
        <f>U7/1000</f>
        <v>0</v>
      </c>
    </row>
    <row r="8" spans="1:14" ht="15.5">
      <c r="C8" s="86" t="s">
        <v>106</v>
      </c>
      <c r="D8" s="87">
        <f>SUM('[3]Income Statement'!$C92:$N93)</f>
        <v>41250.812206287032</v>
      </c>
      <c r="E8" s="87">
        <f>SUM('[3]Income Statement'!$O92:$Z93)</f>
        <v>42931.433942265678</v>
      </c>
      <c r="F8" s="87">
        <f>SUM('[3]Income Statement'!$AA92:$AL93)</f>
        <v>44680.526800832646</v>
      </c>
      <c r="G8" s="87">
        <f>SUM('[3]Income Statement'!$AM92:$AX93)</f>
        <v>46500.880401167618</v>
      </c>
      <c r="H8" s="87">
        <f>SUM('[3]Income Statement'!$AY92:$BJ93)</f>
        <v>48395.398015839855</v>
      </c>
      <c r="I8" s="88">
        <f>+(H8/D8)^(1/4)-1</f>
        <v>4.0741542919790596E-2</v>
      </c>
      <c r="J8" s="89">
        <f>H8/E8 - 1</f>
        <v>0.12727187451791466</v>
      </c>
      <c r="L8" s="85">
        <f>54000+5482+9926</f>
        <v>69408</v>
      </c>
      <c r="M8" s="85">
        <f>104626+16595+5615+10588</f>
        <v>137424</v>
      </c>
      <c r="N8" s="85">
        <f>60751+ 48908 +8919.55</f>
        <v>118578.55</v>
      </c>
    </row>
    <row r="9" spans="1:14" ht="15.5">
      <c r="C9" s="90" t="s">
        <v>107</v>
      </c>
      <c r="D9" s="87">
        <f>SUM('[3]Income Statement'!$C77:$N77)</f>
        <v>1000.0000000000001</v>
      </c>
      <c r="E9" s="87">
        <f>SUM('[3]Income Statement'!$O77:$Z77)</f>
        <v>1000.0000000000001</v>
      </c>
      <c r="F9" s="87">
        <f>SUM('[3]Income Statement'!$AA77:$AL77)</f>
        <v>1000.0000000000001</v>
      </c>
      <c r="G9" s="87">
        <f>SUM('[3]Income Statement'!$AM77:$AX77)</f>
        <v>1000.0000000000001</v>
      </c>
      <c r="H9" s="87">
        <f>SUM('[3]Income Statement'!$AY77:$BJ77)</f>
        <v>1000.0000000000001</v>
      </c>
      <c r="I9" s="88">
        <f t="shared" ref="I9:I14" si="0">+(H9/D9)^(1/4)-1</f>
        <v>0</v>
      </c>
      <c r="J9" s="89">
        <f t="shared" ref="J9:J13" si="1">H9/E9 - 1</f>
        <v>0</v>
      </c>
      <c r="L9" s="85">
        <v>0</v>
      </c>
      <c r="M9" s="85">
        <v>26038</v>
      </c>
      <c r="N9" s="85">
        <f>U9/1000</f>
        <v>0</v>
      </c>
    </row>
    <row r="10" spans="1:14" ht="15.5">
      <c r="C10" s="90" t="s">
        <v>108</v>
      </c>
      <c r="D10" s="87">
        <f>SUM('[3]Income Statement'!$C68:$N68)</f>
        <v>16999.999999999996</v>
      </c>
      <c r="E10" s="87">
        <f>SUM('[3]Income Statement'!$O68:$Z68)</f>
        <v>16999.999999999996</v>
      </c>
      <c r="F10" s="87">
        <f>SUM('[3]Income Statement'!$AA68:$AL68)</f>
        <v>16999.999999999996</v>
      </c>
      <c r="G10" s="87">
        <f>SUM('[3]Income Statement'!$AM68:$AX68)</f>
        <v>16999.999999999996</v>
      </c>
      <c r="H10" s="87">
        <f>SUM('[3]Income Statement'!$AY68:$BJ68)</f>
        <v>16999.999999999996</v>
      </c>
      <c r="I10" s="88">
        <f t="shared" si="0"/>
        <v>0</v>
      </c>
      <c r="J10" s="89">
        <f t="shared" si="1"/>
        <v>0</v>
      </c>
      <c r="L10" s="85"/>
      <c r="M10" s="85"/>
      <c r="N10" s="85"/>
    </row>
    <row r="11" spans="1:14" ht="15.5">
      <c r="C11" s="90" t="s">
        <v>109</v>
      </c>
      <c r="D11" s="87">
        <f>SUM('[3]Income Statement'!$C69:$N69)</f>
        <v>9000</v>
      </c>
      <c r="E11" s="87">
        <f>SUM('[3]Income Statement'!$O69:$Z69)</f>
        <v>9000</v>
      </c>
      <c r="F11" s="87">
        <f>SUM('[3]Income Statement'!$AA69:$AL69)</f>
        <v>9000</v>
      </c>
      <c r="G11" s="87">
        <f>SUM('[3]Income Statement'!$AM69:$AX69)</f>
        <v>9000</v>
      </c>
      <c r="H11" s="87">
        <f>SUM('[3]Income Statement'!$AY69:$BJ69)</f>
        <v>9000</v>
      </c>
      <c r="I11" s="88">
        <f t="shared" si="0"/>
        <v>0</v>
      </c>
      <c r="J11" s="89">
        <f t="shared" si="1"/>
        <v>0</v>
      </c>
      <c r="L11" s="85"/>
      <c r="M11" s="85"/>
      <c r="N11" s="85"/>
    </row>
    <row r="12" spans="1:14" ht="15.5">
      <c r="C12" s="90" t="s">
        <v>110</v>
      </c>
      <c r="D12" s="87">
        <f>SUM('[3]Income Statement'!$C84:$N84)</f>
        <v>600</v>
      </c>
      <c r="E12" s="87">
        <f>SUM('[3]Income Statement'!$O84:$Z84)</f>
        <v>600</v>
      </c>
      <c r="F12" s="87">
        <f>SUM('[3]Income Statement'!$AA84:$AL84)</f>
        <v>600</v>
      </c>
      <c r="G12" s="87">
        <f>SUM('[3]Income Statement'!$AM84:$AX84)</f>
        <v>600</v>
      </c>
      <c r="H12" s="87">
        <f>SUM('[3]Income Statement'!$AY84:$BJ84)</f>
        <v>600</v>
      </c>
      <c r="I12" s="88">
        <f t="shared" si="0"/>
        <v>0</v>
      </c>
      <c r="J12" s="89">
        <f t="shared" si="1"/>
        <v>0</v>
      </c>
      <c r="L12" s="85">
        <v>0</v>
      </c>
      <c r="M12" s="85">
        <f>T12/1000</f>
        <v>0</v>
      </c>
      <c r="N12" s="85">
        <f>U12/1000</f>
        <v>0</v>
      </c>
    </row>
    <row r="13" spans="1:14" ht="15.5">
      <c r="C13" s="90" t="s">
        <v>111</v>
      </c>
      <c r="D13" s="87">
        <f>SUM('[3]Income Statement'!$C94:$N105) + SUM('[3]Income Statement'!$C113:$N113)</f>
        <v>19844.817457702189</v>
      </c>
      <c r="E13" s="87">
        <f>SUM('[3]Income Statement'!$O94:$Z105) + SUM('[3]Income Statement'!$O113:$Z113)</f>
        <v>20616.658551262775</v>
      </c>
      <c r="F13" s="87">
        <f>SUM('[3]Income Statement'!$AA94:$AL105) + SUM('[3]Income Statement'!$AA113:$AL113)</f>
        <v>21419.945641863877</v>
      </c>
      <c r="G13" s="87">
        <f>SUM('[3]Income Statement'!$AM94:$AX105)+SUM('[3]Income Statement'!$AM113:$AX113)</f>
        <v>22255.959887943634</v>
      </c>
      <c r="H13" s="87">
        <f>SUM('[3]Income Statement'!$AY94:$BJ105) + SUM('[3]Income Statement'!$AY113:$BJ113)</f>
        <v>23126.034644311661</v>
      </c>
      <c r="I13" s="88">
        <f t="shared" si="0"/>
        <v>3.8995139443309457E-2</v>
      </c>
      <c r="J13" s="89">
        <f t="shared" si="1"/>
        <v>0.12171594571493682</v>
      </c>
      <c r="L13" s="85"/>
      <c r="M13" s="85"/>
      <c r="N13" s="85"/>
    </row>
    <row r="14" spans="1:14" ht="16" thickBot="1">
      <c r="C14" s="91" t="s">
        <v>112</v>
      </c>
      <c r="D14" s="92">
        <f>SUM(D8:D13)</f>
        <v>88695.62966398921</v>
      </c>
      <c r="E14" s="93">
        <f>SUM(E8:E13)</f>
        <v>91148.092493528457</v>
      </c>
      <c r="F14" s="93">
        <f>SUM(F8:F13)</f>
        <v>93700.472442696511</v>
      </c>
      <c r="G14" s="93">
        <f>SUM(G8:G13)</f>
        <v>96356.840289111249</v>
      </c>
      <c r="H14" s="93">
        <f>SUM(H8:H13)</f>
        <v>99121.432660151506</v>
      </c>
      <c r="I14" s="94">
        <f t="shared" si="0"/>
        <v>2.8173336892006517E-2</v>
      </c>
      <c r="J14" s="89">
        <f>H14/E14 - 1</f>
        <v>8.7476763895954823E-2</v>
      </c>
      <c r="L14" s="85">
        <v>7000</v>
      </c>
      <c r="M14" s="85">
        <f>T14/1000</f>
        <v>0</v>
      </c>
      <c r="N14" s="85">
        <f>U14/1000</f>
        <v>0</v>
      </c>
    </row>
    <row r="15" spans="1:14" ht="15.5">
      <c r="C15" s="79" t="s">
        <v>99</v>
      </c>
      <c r="K15">
        <f>H14/E14</f>
        <v>1.0874767638959548</v>
      </c>
      <c r="L15" s="85">
        <f>400+5428</f>
        <v>5828</v>
      </c>
      <c r="M15" s="85">
        <f>T15/1000</f>
        <v>0</v>
      </c>
      <c r="N15" s="85">
        <f>12267</f>
        <v>12267</v>
      </c>
    </row>
    <row r="16" spans="1:14" ht="15.5">
      <c r="H16" s="95">
        <f>H14/D14 - 1</f>
        <v>0.11754584792575429</v>
      </c>
      <c r="J16" s="96">
        <f>SUM(H9:H13)/SUM(E9:E13)</f>
        <v>1.0520437576648116</v>
      </c>
      <c r="L16" s="85">
        <v>0</v>
      </c>
      <c r="M16" s="85">
        <v>73993</v>
      </c>
      <c r="N16" s="85">
        <v>23321</v>
      </c>
    </row>
    <row r="17" spans="3:14" ht="16" thickBot="1">
      <c r="C17" t="s">
        <v>113</v>
      </c>
      <c r="L17" s="85">
        <v>0</v>
      </c>
      <c r="M17" s="85">
        <v>15205</v>
      </c>
      <c r="N17" s="85">
        <v>16626</v>
      </c>
    </row>
    <row r="18" spans="3:14" ht="16" thickBot="1">
      <c r="C18" s="59" t="str">
        <f t="shared" ref="C18:H18" si="2">C7</f>
        <v>Expenses</v>
      </c>
      <c r="D18" s="59">
        <f t="shared" si="2"/>
        <v>2015</v>
      </c>
      <c r="E18" s="59">
        <f t="shared" si="2"/>
        <v>2016</v>
      </c>
      <c r="F18" s="59">
        <f t="shared" si="2"/>
        <v>2017</v>
      </c>
      <c r="G18" s="59">
        <f t="shared" si="2"/>
        <v>2018</v>
      </c>
      <c r="H18" s="59">
        <f t="shared" si="2"/>
        <v>2019</v>
      </c>
      <c r="J18" s="97">
        <f>H8/E8</f>
        <v>1.1272718745179147</v>
      </c>
      <c r="L18" s="85">
        <v>5197</v>
      </c>
      <c r="M18" s="85">
        <v>9358</v>
      </c>
      <c r="N18" s="85">
        <v>2279</v>
      </c>
    </row>
    <row r="19" spans="3:14" ht="15.5">
      <c r="C19" t="str">
        <f>C8</f>
        <v>Salaries and Wages</v>
      </c>
      <c r="D19" s="98">
        <f>D8/D$14</f>
        <v>0.46508280467211149</v>
      </c>
      <c r="E19" s="98">
        <f t="shared" ref="E19:G20" si="3">E8/E$14</f>
        <v>0.47100748647388119</v>
      </c>
      <c r="F19" s="98">
        <f t="shared" si="3"/>
        <v>0.47684419977879494</v>
      </c>
      <c r="G19" s="98">
        <f t="shared" si="3"/>
        <v>0.48259034087922892</v>
      </c>
      <c r="H19" s="98">
        <f>H8/H$14</f>
        <v>0.48824352833729395</v>
      </c>
      <c r="L19" s="85"/>
      <c r="M19" s="85"/>
      <c r="N19" s="85">
        <v>477</v>
      </c>
    </row>
    <row r="20" spans="3:14" ht="15.5">
      <c r="C20" t="str">
        <f>C9</f>
        <v>Professional Services</v>
      </c>
      <c r="D20" s="98">
        <f>D9/D$14</f>
        <v>1.1274512665261615E-2</v>
      </c>
      <c r="E20" s="98">
        <f t="shared" si="3"/>
        <v>1.0971156637984503E-2</v>
      </c>
      <c r="F20" s="98">
        <f t="shared" si="3"/>
        <v>1.0672304780656901E-2</v>
      </c>
      <c r="G20" s="98">
        <f t="shared" si="3"/>
        <v>1.0378090408522918E-2</v>
      </c>
      <c r="H20" s="98">
        <f>H9/H$14</f>
        <v>1.0088635456154146E-2</v>
      </c>
      <c r="L20" s="85">
        <f>110+5142+11874</f>
        <v>17126</v>
      </c>
      <c r="M20" s="85"/>
      <c r="N20" s="85">
        <v>4144</v>
      </c>
    </row>
    <row r="21" spans="3:14" ht="15.5">
      <c r="C21" t="str">
        <f t="shared" ref="C21:C25" si="4">C10</f>
        <v>Other Cash Expenses</v>
      </c>
      <c r="D21" s="98">
        <f t="shared" ref="D21:H25" si="5">D10/D$14</f>
        <v>0.19166671530944737</v>
      </c>
      <c r="E21" s="98">
        <f t="shared" si="5"/>
        <v>0.18650966284573647</v>
      </c>
      <c r="F21" s="98">
        <f t="shared" si="5"/>
        <v>0.18142918127116725</v>
      </c>
      <c r="G21" s="98">
        <f t="shared" si="5"/>
        <v>0.17642753694488955</v>
      </c>
      <c r="H21" s="98">
        <f t="shared" si="5"/>
        <v>0.17150680275462044</v>
      </c>
      <c r="L21" s="85"/>
      <c r="M21" s="85"/>
      <c r="N21" s="85"/>
    </row>
    <row r="22" spans="3:14" ht="15.5">
      <c r="C22" t="str">
        <f t="shared" si="4"/>
        <v>Travel</v>
      </c>
      <c r="D22" s="98">
        <f t="shared" si="5"/>
        <v>0.10147061398735452</v>
      </c>
      <c r="E22" s="98">
        <f t="shared" si="5"/>
        <v>9.8740409741860505E-2</v>
      </c>
      <c r="F22" s="98">
        <f t="shared" si="5"/>
        <v>9.6050743025912086E-2</v>
      </c>
      <c r="G22" s="98">
        <f t="shared" si="5"/>
        <v>9.3402813676706248E-2</v>
      </c>
      <c r="H22" s="98">
        <f t="shared" si="5"/>
        <v>9.0797719105387309E-2</v>
      </c>
      <c r="L22" s="85"/>
      <c r="M22" s="85"/>
      <c r="N22" s="85"/>
    </row>
    <row r="23" spans="3:14" ht="15.5">
      <c r="C23" t="str">
        <f t="shared" si="4"/>
        <v>Other Direct Costs</v>
      </c>
      <c r="D23" s="98">
        <f t="shared" si="5"/>
        <v>6.764707599156968E-3</v>
      </c>
      <c r="E23" s="98">
        <f t="shared" si="5"/>
        <v>6.582693982790701E-3</v>
      </c>
      <c r="F23" s="98">
        <f t="shared" si="5"/>
        <v>6.4033828683941396E-3</v>
      </c>
      <c r="G23" s="98">
        <f t="shared" si="5"/>
        <v>6.22685424511375E-3</v>
      </c>
      <c r="H23" s="98">
        <f t="shared" si="5"/>
        <v>6.0531812736924874E-3</v>
      </c>
      <c r="L23" s="85">
        <v>74060</v>
      </c>
      <c r="M23" s="85">
        <v>51912</v>
      </c>
      <c r="N23" s="85">
        <v>41573</v>
      </c>
    </row>
    <row r="24" spans="3:14">
      <c r="C24" t="str">
        <f t="shared" si="4"/>
        <v>Miscellaneous</v>
      </c>
      <c r="D24" s="98">
        <f t="shared" si="5"/>
        <v>0.22374064576666811</v>
      </c>
      <c r="E24" s="98">
        <f t="shared" si="5"/>
        <v>0.22618859031774652</v>
      </c>
      <c r="F24" s="98">
        <f t="shared" si="5"/>
        <v>0.22860018827507475</v>
      </c>
      <c r="G24" s="98">
        <f t="shared" si="5"/>
        <v>0.2309743638455386</v>
      </c>
      <c r="H24" s="98">
        <f t="shared" si="5"/>
        <v>0.23331013307285176</v>
      </c>
    </row>
    <row r="25" spans="3:14" ht="15.5">
      <c r="C25" t="str">
        <f t="shared" si="4"/>
        <v>Total Expenses</v>
      </c>
      <c r="D25" s="98">
        <f t="shared" si="5"/>
        <v>1</v>
      </c>
      <c r="E25" s="98">
        <f t="shared" si="5"/>
        <v>1</v>
      </c>
      <c r="F25" s="98">
        <f t="shared" si="5"/>
        <v>1</v>
      </c>
      <c r="G25" s="98">
        <f t="shared" si="5"/>
        <v>1</v>
      </c>
      <c r="H25" s="98">
        <f t="shared" si="5"/>
        <v>1</v>
      </c>
      <c r="L25" s="85"/>
      <c r="M25" s="85"/>
      <c r="N25" s="85"/>
    </row>
    <row r="26" spans="3:14" ht="15.5">
      <c r="L26" s="85"/>
      <c r="M26" s="85"/>
      <c r="N26" s="85"/>
    </row>
    <row r="27" spans="3:14" ht="15.5">
      <c r="L27" s="85"/>
      <c r="M27" s="85"/>
      <c r="N27" s="85"/>
    </row>
    <row r="28" spans="3:14" ht="15.5">
      <c r="C28" t="s">
        <v>114</v>
      </c>
      <c r="D28" s="99">
        <f t="shared" ref="D28:D35" si="6">H7</f>
        <v>2019</v>
      </c>
      <c r="L28" s="85"/>
      <c r="M28" s="85"/>
      <c r="N28" s="85"/>
    </row>
    <row r="29" spans="3:14" ht="15.5">
      <c r="C29" t="str">
        <f>C8</f>
        <v>Salaries and Wages</v>
      </c>
      <c r="D29" s="100">
        <f t="shared" si="6"/>
        <v>48395.398015839855</v>
      </c>
      <c r="L29" s="85">
        <f>2572+336+53+63</f>
        <v>3024</v>
      </c>
      <c r="M29" s="85">
        <f>74+180+63</f>
        <v>317</v>
      </c>
      <c r="N29" s="101">
        <f>58+785</f>
        <v>843</v>
      </c>
    </row>
    <row r="30" spans="3:14" ht="15.5">
      <c r="C30" t="str">
        <f>C9</f>
        <v>Professional Services</v>
      </c>
      <c r="D30" s="100">
        <f t="shared" si="6"/>
        <v>1000.0000000000001</v>
      </c>
      <c r="L30" s="101">
        <v>0</v>
      </c>
      <c r="M30" s="101">
        <f>T30/1000</f>
        <v>0</v>
      </c>
      <c r="N30" s="101">
        <v>275915</v>
      </c>
    </row>
    <row r="31" spans="3:14" ht="15.5">
      <c r="C31" t="str">
        <f t="shared" ref="C31:C32" si="7">C10</f>
        <v>Other Cash Expenses</v>
      </c>
      <c r="D31" s="100">
        <f t="shared" si="6"/>
        <v>16999.999999999996</v>
      </c>
      <c r="L31" s="85"/>
      <c r="M31" s="85"/>
      <c r="N31" s="85"/>
    </row>
    <row r="32" spans="3:14" ht="15.5">
      <c r="C32" t="str">
        <f t="shared" si="7"/>
        <v>Travel</v>
      </c>
      <c r="D32" s="100">
        <f t="shared" si="6"/>
        <v>9000</v>
      </c>
      <c r="L32" s="85"/>
      <c r="M32" s="85"/>
      <c r="N32" s="85"/>
    </row>
    <row r="33" spans="3:16" ht="16" thickBot="1">
      <c r="C33" t="str">
        <f>C12</f>
        <v>Other Direct Costs</v>
      </c>
      <c r="D33" s="100">
        <f t="shared" si="6"/>
        <v>600</v>
      </c>
      <c r="L33" s="102">
        <f t="shared" ref="L33" si="8">SUM(L7:L30)</f>
        <v>244393</v>
      </c>
      <c r="M33" s="102">
        <f t="shared" ref="M33" si="9">SUM(M7:M30)</f>
        <v>314247</v>
      </c>
      <c r="N33" s="102">
        <f>SUM(N7:N30)</f>
        <v>496023.55</v>
      </c>
      <c r="P33" s="58">
        <f>M33-M9</f>
        <v>288209</v>
      </c>
    </row>
    <row r="34" spans="3:16">
      <c r="C34" t="str">
        <f>C13</f>
        <v>Miscellaneous</v>
      </c>
      <c r="D34" s="100">
        <f t="shared" si="6"/>
        <v>23126.034644311661</v>
      </c>
    </row>
    <row r="35" spans="3:16">
      <c r="C35" t="str">
        <f>C14</f>
        <v>Total Expenses</v>
      </c>
      <c r="D35" s="100">
        <f t="shared" si="6"/>
        <v>99121.432660151506</v>
      </c>
    </row>
    <row r="36" spans="3:16">
      <c r="D36" s="100"/>
    </row>
    <row r="37" spans="3:16">
      <c r="D37" s="100"/>
    </row>
    <row r="38" spans="3:16">
      <c r="D38" s="100"/>
    </row>
    <row r="39" spans="3:16">
      <c r="D39" s="100"/>
    </row>
    <row r="40" spans="3:16">
      <c r="D40" s="100"/>
    </row>
    <row r="41" spans="3:16">
      <c r="D41" s="100"/>
    </row>
    <row r="42" spans="3:16">
      <c r="D42" s="100"/>
    </row>
    <row r="43" spans="3:16">
      <c r="D43" s="100"/>
    </row>
    <row r="44" spans="3:16">
      <c r="D44" s="100"/>
    </row>
    <row r="45" spans="3:16">
      <c r="D45" s="100"/>
    </row>
    <row r="46" spans="3:16">
      <c r="D46" s="100"/>
    </row>
    <row r="47" spans="3:16">
      <c r="D47" s="100"/>
    </row>
    <row r="48" spans="3:16">
      <c r="D48" s="100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EB0C-2A8D-498F-8D21-C5A6847375DC}">
  <dimension ref="A1:K25"/>
  <sheetViews>
    <sheetView workbookViewId="0">
      <selection activeCell="B4" sqref="B4"/>
    </sheetView>
  </sheetViews>
  <sheetFormatPr defaultRowHeight="14.5"/>
  <cols>
    <col min="3" max="3" width="28" customWidth="1"/>
    <col min="4" max="9" width="12.6328125" customWidth="1"/>
  </cols>
  <sheetData>
    <row r="1" spans="1:11">
      <c r="A1" s="1" t="s">
        <v>0</v>
      </c>
      <c r="B1" s="2" t="str">
        <f>'Table of Contents'!B1</f>
        <v>Electronics Manufacturing Venture</v>
      </c>
      <c r="C1" s="3"/>
      <c r="D1" s="3"/>
      <c r="E1" s="4" t="s">
        <v>1</v>
      </c>
      <c r="F1" s="5" t="s">
        <v>2</v>
      </c>
    </row>
    <row r="2" spans="1:11">
      <c r="A2" s="1" t="s">
        <v>3</v>
      </c>
      <c r="B2" s="2" t="str">
        <f>'Table of Contents'!B2</f>
        <v>Krishnamurthy Bindumadhavan</v>
      </c>
      <c r="C2" s="3"/>
      <c r="D2" s="3"/>
      <c r="E2" s="6" t="s">
        <v>4</v>
      </c>
      <c r="F2" s="5" t="s">
        <v>5</v>
      </c>
    </row>
    <row r="3" spans="1:11">
      <c r="A3" s="1" t="s">
        <v>6</v>
      </c>
      <c r="B3" s="2" t="s">
        <v>74</v>
      </c>
      <c r="C3" s="3"/>
      <c r="D3" s="3"/>
      <c r="E3" s="7" t="s">
        <v>8</v>
      </c>
      <c r="F3" s="5" t="s">
        <v>9</v>
      </c>
    </row>
    <row r="4" spans="1:11">
      <c r="A4" s="8" t="s">
        <v>10</v>
      </c>
      <c r="B4" s="9">
        <v>46033</v>
      </c>
      <c r="C4" s="3"/>
      <c r="D4" s="3"/>
      <c r="E4" s="10" t="s">
        <v>11</v>
      </c>
      <c r="F4" s="5" t="s">
        <v>12</v>
      </c>
    </row>
    <row r="6" spans="1:11" ht="15" thickBot="1"/>
    <row r="7" spans="1:11" ht="16" thickBot="1">
      <c r="C7" s="103" t="s">
        <v>115</v>
      </c>
      <c r="D7" s="59">
        <v>2015</v>
      </c>
      <c r="E7" s="59">
        <v>2016</v>
      </c>
      <c r="F7" s="59">
        <v>2017</v>
      </c>
      <c r="G7" s="59">
        <v>2018</v>
      </c>
      <c r="H7" s="59">
        <v>2019</v>
      </c>
      <c r="I7" s="60" t="s">
        <v>94</v>
      </c>
    </row>
    <row r="8" spans="1:11" ht="15.5">
      <c r="C8" s="104" t="s">
        <v>116</v>
      </c>
      <c r="D8" s="87">
        <f>SUM('[3]Income Statement'!$C17:$N17)</f>
        <v>73000</v>
      </c>
      <c r="E8" s="87">
        <f>SUM('[3]Income Statement'!$O17:$Z17)</f>
        <v>78000</v>
      </c>
      <c r="F8" s="87">
        <f>SUM('[3]Income Statement'!$AA17:$AL17)</f>
        <v>83000</v>
      </c>
      <c r="G8" s="87">
        <f>SUM('[3]Income Statement'!$AM17:$AX17)</f>
        <v>83000</v>
      </c>
      <c r="H8" s="87">
        <f>SUM('[3]Income Statement'!$AY17:$BJ17)</f>
        <v>83000</v>
      </c>
      <c r="I8" s="105">
        <f t="shared" ref="I8:I11" si="0">+(H8/D8)^(1/4)-1</f>
        <v>3.2615900302333412E-2</v>
      </c>
    </row>
    <row r="9" spans="1:11" ht="15.5">
      <c r="C9" s="104" t="s">
        <v>117</v>
      </c>
      <c r="D9" s="87">
        <f>SUM('[3]Income Statement'!$C23:$N23)</f>
        <v>8000.0000000000009</v>
      </c>
      <c r="E9" s="87">
        <f>SUM('[3]Income Statement'!$O23:$Z23)</f>
        <v>8000.0000000000009</v>
      </c>
      <c r="F9" s="87">
        <f>SUM('[3]Income Statement'!$AA23:$AL23)</f>
        <v>8000.0000000000009</v>
      </c>
      <c r="G9" s="87">
        <f>SUM('[3]Income Statement'!$AM23:$AX23)</f>
        <v>8000.0000000000009</v>
      </c>
      <c r="H9" s="87">
        <f>SUM('[3]Income Statement'!$AY23:$BJ23)</f>
        <v>8000.0000000000009</v>
      </c>
      <c r="I9" s="105">
        <f t="shared" si="0"/>
        <v>0</v>
      </c>
    </row>
    <row r="10" spans="1:11" ht="15.5">
      <c r="C10" s="106" t="s">
        <v>118</v>
      </c>
      <c r="D10" s="87">
        <f>SUM('[3]Income Statement'!$C29:$N29)</f>
        <v>5000</v>
      </c>
      <c r="E10" s="87">
        <f>SUM('[3]Income Statement'!$O29:$Z29)</f>
        <v>5000</v>
      </c>
      <c r="F10" s="87">
        <f>SUM('[3]Income Statement'!$AA29:$AL29)</f>
        <v>5000</v>
      </c>
      <c r="G10" s="87">
        <f>SUM('[3]Income Statement'!$AM29:$AX29)</f>
        <v>5000</v>
      </c>
      <c r="H10" s="87">
        <f>SUM('[3]Income Statement'!$AY29:$BJ29)</f>
        <v>5000</v>
      </c>
      <c r="I10" s="105">
        <f t="shared" si="0"/>
        <v>0</v>
      </c>
    </row>
    <row r="11" spans="1:11" ht="15.5">
      <c r="C11" s="106" t="s">
        <v>119</v>
      </c>
      <c r="D11" s="87">
        <f>SUM('[3]Income Statement'!$C35:$N35)</f>
        <v>9000</v>
      </c>
      <c r="E11" s="87">
        <f>SUM('[3]Income Statement'!$O35:$Z35)</f>
        <v>9000</v>
      </c>
      <c r="F11" s="87">
        <f>SUM('[3]Income Statement'!$AA35:$AL35)</f>
        <v>9000</v>
      </c>
      <c r="G11" s="87">
        <f>SUM('[3]Income Statement'!$AM35:$AX35)</f>
        <v>9000</v>
      </c>
      <c r="H11" s="87">
        <f>SUM('[3]Income Statement'!$AY35:$BJ35)</f>
        <v>9000</v>
      </c>
      <c r="I11" s="105">
        <f t="shared" si="0"/>
        <v>0</v>
      </c>
    </row>
    <row r="12" spans="1:11" ht="15.5">
      <c r="C12" s="106" t="str">
        <f>'[3]Income Statement'!B37</f>
        <v>Other Revenue</v>
      </c>
      <c r="D12" s="87">
        <f>SUM('[3]Income Statement'!$C40:$N40)</f>
        <v>0</v>
      </c>
      <c r="E12" s="87">
        <f>SUM('[3]Income Statement'!$O40:$Z40)</f>
        <v>0</v>
      </c>
      <c r="F12" s="87">
        <f>SUM('[3]Income Statement'!$AA40:$AL40)</f>
        <v>0</v>
      </c>
      <c r="G12" s="87">
        <f>SUM('[3]Income Statement'!$AM40:$AX40)</f>
        <v>0</v>
      </c>
      <c r="H12" s="87">
        <f>SUM('[3]Income Statement'!$AY40:$BJ40)</f>
        <v>0</v>
      </c>
      <c r="I12" s="105">
        <v>1</v>
      </c>
      <c r="K12" s="107"/>
    </row>
    <row r="13" spans="1:11" ht="16" thickBot="1">
      <c r="C13" s="108" t="s">
        <v>120</v>
      </c>
      <c r="D13" s="109">
        <f>SUM(D8:D12)</f>
        <v>95000</v>
      </c>
      <c r="E13" s="110">
        <f>SUM(E8:E12)</f>
        <v>100000</v>
      </c>
      <c r="F13" s="110">
        <f>SUM(F8:F12)</f>
        <v>105000</v>
      </c>
      <c r="G13" s="110">
        <f>SUM(G8:G12)</f>
        <v>105000</v>
      </c>
      <c r="H13" s="110">
        <f>SUM(H8:H12)</f>
        <v>105000</v>
      </c>
      <c r="I13" s="111">
        <f>+(H13/D13)^(1/4)-1</f>
        <v>2.5336513577710162E-2</v>
      </c>
    </row>
    <row r="14" spans="1:11" ht="15" thickBot="1">
      <c r="C14" s="79" t="s">
        <v>99</v>
      </c>
    </row>
    <row r="15" spans="1:11" ht="16" thickBot="1">
      <c r="D15" s="59">
        <v>2015</v>
      </c>
      <c r="E15" s="59">
        <v>2016</v>
      </c>
      <c r="F15" s="59">
        <v>2017</v>
      </c>
      <c r="G15" s="59">
        <v>2018</v>
      </c>
      <c r="H15" s="59">
        <v>2019</v>
      </c>
    </row>
    <row r="16" spans="1:11">
      <c r="C16" t="s">
        <v>120</v>
      </c>
      <c r="D16" s="81">
        <f>D13/1000</f>
        <v>95</v>
      </c>
      <c r="E16" s="81">
        <f t="shared" ref="E16:H16" si="1">E13/1000</f>
        <v>100</v>
      </c>
      <c r="F16" s="81">
        <f t="shared" si="1"/>
        <v>105</v>
      </c>
      <c r="G16" s="81">
        <f t="shared" si="1"/>
        <v>105</v>
      </c>
      <c r="H16" s="81">
        <f t="shared" si="1"/>
        <v>105</v>
      </c>
    </row>
    <row r="18" spans="4:5">
      <c r="D18" t="s">
        <v>121</v>
      </c>
    </row>
    <row r="20" spans="4:5">
      <c r="D20" t="str">
        <f>C8</f>
        <v>Medical Exams</v>
      </c>
      <c r="E20" s="58">
        <f>H8</f>
        <v>83000</v>
      </c>
    </row>
    <row r="21" spans="4:5">
      <c r="D21" t="str">
        <f>C9</f>
        <v>Product Sales</v>
      </c>
      <c r="E21" s="58">
        <f>H9</f>
        <v>8000.0000000000009</v>
      </c>
    </row>
    <row r="22" spans="4:5">
      <c r="D22" t="str">
        <f>C10</f>
        <v>Misc 1</v>
      </c>
      <c r="E22" s="58">
        <f>H10</f>
        <v>5000</v>
      </c>
    </row>
    <row r="23" spans="4:5">
      <c r="D23" t="str">
        <f>C11</f>
        <v>Misc 2</v>
      </c>
      <c r="E23" s="58">
        <f>H11</f>
        <v>9000</v>
      </c>
    </row>
    <row r="24" spans="4:5">
      <c r="D24" t="str">
        <f>C12</f>
        <v>Other Revenue</v>
      </c>
      <c r="E24" s="58">
        <f>H12</f>
        <v>0</v>
      </c>
    </row>
    <row r="25" spans="4:5">
      <c r="D25" t="s">
        <v>122</v>
      </c>
      <c r="E25" s="58">
        <f>SUM(E20:E24)</f>
        <v>105000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99345-F49E-43FF-8E8B-82A8C6F7D7C2}">
  <dimension ref="A1:R33"/>
  <sheetViews>
    <sheetView workbookViewId="0">
      <selection activeCell="D8" sqref="D8"/>
    </sheetView>
  </sheetViews>
  <sheetFormatPr defaultRowHeight="14.5"/>
  <cols>
    <col min="1" max="1" width="8.08984375" bestFit="1" customWidth="1"/>
    <col min="2" max="2" width="16.90625" bestFit="1" customWidth="1"/>
    <col min="3" max="3" width="26.90625" bestFit="1" customWidth="1"/>
    <col min="4" max="8" width="10.6328125" customWidth="1"/>
    <col min="9" max="9" width="11.08984375" bestFit="1" customWidth="1"/>
  </cols>
  <sheetData>
    <row r="1" spans="1:18">
      <c r="A1" s="1" t="s">
        <v>0</v>
      </c>
      <c r="B1" s="2" t="str">
        <f>'Table of Contents'!B1</f>
        <v>Electronics Manufacturing Venture</v>
      </c>
      <c r="C1" s="3"/>
      <c r="D1" s="3"/>
      <c r="E1" s="4" t="s">
        <v>1</v>
      </c>
      <c r="F1" s="5" t="s">
        <v>2</v>
      </c>
    </row>
    <row r="2" spans="1:18">
      <c r="A2" s="1" t="s">
        <v>3</v>
      </c>
      <c r="B2" s="2" t="str">
        <f>'Table of Contents'!B2</f>
        <v>Krishnamurthy Bindumadhavan</v>
      </c>
      <c r="C2" s="3"/>
      <c r="D2" s="3"/>
      <c r="E2" s="6" t="s">
        <v>4</v>
      </c>
      <c r="F2" s="5" t="s">
        <v>5</v>
      </c>
    </row>
    <row r="3" spans="1:18">
      <c r="A3" s="1" t="s">
        <v>6</v>
      </c>
      <c r="B3" s="2" t="s">
        <v>123</v>
      </c>
      <c r="C3" s="3"/>
      <c r="D3" s="3"/>
      <c r="E3" s="7" t="s">
        <v>8</v>
      </c>
      <c r="F3" s="5" t="s">
        <v>9</v>
      </c>
    </row>
    <row r="4" spans="1:18">
      <c r="A4" s="8" t="s">
        <v>10</v>
      </c>
      <c r="B4" s="9">
        <v>46033</v>
      </c>
      <c r="C4" s="3"/>
      <c r="D4" s="3"/>
      <c r="E4" s="10" t="s">
        <v>11</v>
      </c>
      <c r="F4" s="5" t="s">
        <v>12</v>
      </c>
    </row>
    <row r="5" spans="1:18" ht="15" thickBot="1">
      <c r="C5" s="46"/>
    </row>
    <row r="6" spans="1:18" ht="16" thickBot="1">
      <c r="C6" s="112" t="s">
        <v>83</v>
      </c>
      <c r="D6" s="59">
        <v>2015</v>
      </c>
      <c r="E6" s="59">
        <v>2016</v>
      </c>
      <c r="F6" s="59">
        <v>2017</v>
      </c>
      <c r="G6" s="59">
        <v>2018</v>
      </c>
      <c r="H6" s="59">
        <v>2019</v>
      </c>
      <c r="R6" s="113"/>
    </row>
    <row r="7" spans="1:18" ht="15.5">
      <c r="C7" s="114" t="s">
        <v>124</v>
      </c>
      <c r="D7" s="115">
        <v>0</v>
      </c>
      <c r="E7" s="116">
        <f>D13</f>
        <v>2704.3703360107847</v>
      </c>
      <c r="F7" s="116">
        <f t="shared" ref="F7:H7" si="0">E13</f>
        <v>12456.277842482341</v>
      </c>
      <c r="G7" s="116">
        <f t="shared" si="0"/>
        <v>24655.80539978579</v>
      </c>
      <c r="H7" s="117">
        <f t="shared" si="0"/>
        <v>34198.965110674515</v>
      </c>
      <c r="R7" s="113"/>
    </row>
    <row r="8" spans="1:18" ht="15.5">
      <c r="C8" s="90" t="s">
        <v>125</v>
      </c>
      <c r="D8" s="118">
        <f>[3]Dashboard!C12</f>
        <v>6304.3703360107847</v>
      </c>
      <c r="E8" s="118">
        <f>[3]Dashboard!D12</f>
        <v>8851.9075064715562</v>
      </c>
      <c r="F8" s="118">
        <f>[3]Dashboard!E12</f>
        <v>11299.527557303449</v>
      </c>
      <c r="G8" s="118">
        <f>[3]Dashboard!F12</f>
        <v>8643.1597108887236</v>
      </c>
      <c r="H8" s="118">
        <f>[3]Dashboard!G12</f>
        <v>5878.5673398485214</v>
      </c>
      <c r="R8" s="113"/>
    </row>
    <row r="9" spans="1:18">
      <c r="C9" s="90" t="s">
        <v>126</v>
      </c>
      <c r="D9" s="118">
        <f>[3]Dashboard!C10-[3]Dashboard!C11</f>
        <v>900</v>
      </c>
      <c r="E9" s="118">
        <f>[3]Dashboard!D10-[3]Dashboard!D11</f>
        <v>900</v>
      </c>
      <c r="F9" s="118">
        <f>[3]Dashboard!E10-[3]Dashboard!E11</f>
        <v>900</v>
      </c>
      <c r="G9" s="118">
        <f>[3]Dashboard!F10-[3]Dashboard!F11</f>
        <v>900</v>
      </c>
      <c r="H9" s="118">
        <f>[3]Dashboard!G10-[3]Dashboard!G11</f>
        <v>900</v>
      </c>
    </row>
    <row r="10" spans="1:18">
      <c r="C10" s="90" t="s">
        <v>127</v>
      </c>
      <c r="D10" s="118">
        <f>-(D17-C17)</f>
        <v>-2704.3703360107847</v>
      </c>
      <c r="E10" s="118">
        <f t="shared" ref="E10:G10" si="1">-(E17-D17)</f>
        <v>-9751.9075064715562</v>
      </c>
      <c r="F10" s="118">
        <f t="shared" si="1"/>
        <v>-12199.527557303445</v>
      </c>
      <c r="G10" s="118">
        <f t="shared" si="1"/>
        <v>-9543.1597108887217</v>
      </c>
      <c r="H10" s="118">
        <f>-(H17-G17)</f>
        <v>-6778.567339848516</v>
      </c>
    </row>
    <row r="11" spans="1:18">
      <c r="C11" s="90" t="s">
        <v>128</v>
      </c>
      <c r="D11" s="118">
        <f>D18-C18</f>
        <v>0</v>
      </c>
      <c r="E11" s="118">
        <f t="shared" ref="E11:H11" si="2">E18-D18</f>
        <v>0</v>
      </c>
      <c r="F11" s="118">
        <f t="shared" si="2"/>
        <v>0</v>
      </c>
      <c r="G11" s="118">
        <f>G18-F18</f>
        <v>0</v>
      </c>
      <c r="H11" s="118">
        <f t="shared" si="2"/>
        <v>0</v>
      </c>
    </row>
    <row r="12" spans="1:18">
      <c r="C12" s="90" t="s">
        <v>129</v>
      </c>
      <c r="D12" s="118">
        <f>D13-SUM(D7:D11)</f>
        <v>-1795.6296639892153</v>
      </c>
      <c r="E12" s="119">
        <f t="shared" ref="E12:G12" si="3">E13-SUM(E7:E11)</f>
        <v>9751.9075064715562</v>
      </c>
      <c r="F12" s="119">
        <f t="shared" si="3"/>
        <v>12199.527557303445</v>
      </c>
      <c r="G12" s="119">
        <f t="shared" si="3"/>
        <v>9543.1597108887217</v>
      </c>
      <c r="H12" s="120">
        <f>H13-SUM(H7:H11)</f>
        <v>6778.567339848516</v>
      </c>
    </row>
    <row r="13" spans="1:18">
      <c r="C13" s="121" t="s">
        <v>130</v>
      </c>
      <c r="D13" s="122">
        <f>[3]Dashboard!C34</f>
        <v>2704.3703360107847</v>
      </c>
      <c r="E13" s="122">
        <f>[3]Dashboard!D34</f>
        <v>12456.277842482341</v>
      </c>
      <c r="F13" s="122">
        <f>[3]Dashboard!E34</f>
        <v>24655.80539978579</v>
      </c>
      <c r="G13" s="122">
        <f>[3]Dashboard!F34</f>
        <v>34198.965110674515</v>
      </c>
      <c r="H13" s="122">
        <f>[3]Dashboard!G34</f>
        <v>40977.532450523038</v>
      </c>
    </row>
    <row r="14" spans="1:18" ht="15" thickBot="1">
      <c r="C14" s="91" t="s">
        <v>131</v>
      </c>
      <c r="D14" s="123">
        <f>D13-D7</f>
        <v>2704.3703360107847</v>
      </c>
      <c r="E14" s="124">
        <f t="shared" ref="E14:G14" si="4">E13-E7</f>
        <v>9751.9075064715562</v>
      </c>
      <c r="F14" s="124">
        <f t="shared" si="4"/>
        <v>12199.527557303449</v>
      </c>
      <c r="G14" s="124">
        <f t="shared" si="4"/>
        <v>9543.1597108887254</v>
      </c>
      <c r="H14" s="125">
        <f>H13-H7</f>
        <v>6778.5673398485233</v>
      </c>
    </row>
    <row r="16" spans="1:18">
      <c r="C16">
        <f>C21</f>
        <v>2014</v>
      </c>
      <c r="D16">
        <f t="shared" ref="D16:H16" si="5">D21</f>
        <v>2015</v>
      </c>
      <c r="E16">
        <f t="shared" si="5"/>
        <v>2016</v>
      </c>
      <c r="F16">
        <f t="shared" si="5"/>
        <v>2017</v>
      </c>
      <c r="G16">
        <f t="shared" si="5"/>
        <v>2018</v>
      </c>
      <c r="H16">
        <f t="shared" si="5"/>
        <v>2019</v>
      </c>
    </row>
    <row r="17" spans="2:8">
      <c r="B17" t="s">
        <v>132</v>
      </c>
      <c r="C17" s="126">
        <v>0</v>
      </c>
      <c r="D17" s="127">
        <f>[3]Dashboard!C18</f>
        <v>2704.3703360107847</v>
      </c>
      <c r="E17" s="127">
        <f>[3]Dashboard!D18</f>
        <v>12456.277842482341</v>
      </c>
      <c r="F17" s="127">
        <f>[3]Dashboard!E18</f>
        <v>24655.805399785786</v>
      </c>
      <c r="G17" s="127">
        <f>[3]Dashboard!F18</f>
        <v>34198.965110674508</v>
      </c>
      <c r="H17" s="127">
        <f>[3]Dashboard!G18</f>
        <v>40977.532450523024</v>
      </c>
    </row>
    <row r="18" spans="2:8">
      <c r="B18" t="s">
        <v>133</v>
      </c>
      <c r="C18" s="127">
        <v>0</v>
      </c>
      <c r="D18" s="127">
        <v>0</v>
      </c>
      <c r="E18" s="127">
        <v>0</v>
      </c>
      <c r="F18" s="127">
        <v>0</v>
      </c>
      <c r="G18" s="127">
        <v>0</v>
      </c>
      <c r="H18" s="127">
        <f>'[5]BS 2013'!B32</f>
        <v>0</v>
      </c>
    </row>
    <row r="20" spans="2:8">
      <c r="C20" t="s">
        <v>134</v>
      </c>
    </row>
    <row r="21" spans="2:8">
      <c r="C21" s="128">
        <v>2014</v>
      </c>
      <c r="D21" s="128">
        <f>D6</f>
        <v>2015</v>
      </c>
      <c r="E21" s="128">
        <f t="shared" ref="E21:H21" si="6">E6</f>
        <v>2016</v>
      </c>
      <c r="F21" s="128">
        <f t="shared" si="6"/>
        <v>2017</v>
      </c>
      <c r="G21" s="128">
        <f>G6</f>
        <v>2018</v>
      </c>
      <c r="H21" s="128">
        <f t="shared" si="6"/>
        <v>2019</v>
      </c>
    </row>
    <row r="22" spans="2:8">
      <c r="C22" s="127">
        <f>D7</f>
        <v>0</v>
      </c>
      <c r="D22" s="127">
        <f>D13</f>
        <v>2704.3703360107847</v>
      </c>
      <c r="E22" s="127">
        <f t="shared" ref="E22:H22" si="7">E13</f>
        <v>12456.277842482341</v>
      </c>
      <c r="F22" s="127">
        <f t="shared" si="7"/>
        <v>24655.80539978579</v>
      </c>
      <c r="G22" s="127">
        <f t="shared" si="7"/>
        <v>34198.965110674515</v>
      </c>
      <c r="H22" s="127">
        <f t="shared" si="7"/>
        <v>40977.532450523038</v>
      </c>
    </row>
    <row r="24" spans="2:8">
      <c r="C24" t="s">
        <v>135</v>
      </c>
    </row>
    <row r="25" spans="2:8">
      <c r="E25" t="s">
        <v>136</v>
      </c>
      <c r="F25" t="s">
        <v>137</v>
      </c>
      <c r="G25" t="s">
        <v>138</v>
      </c>
    </row>
    <row r="26" spans="2:8">
      <c r="C26" t="s">
        <v>124</v>
      </c>
      <c r="D26" s="129">
        <f>H7</f>
        <v>34198.965110674515</v>
      </c>
      <c r="E26" s="129">
        <f>D26</f>
        <v>34198.965110674515</v>
      </c>
      <c r="F26" s="129"/>
      <c r="G26" s="129"/>
      <c r="H26" s="129"/>
    </row>
    <row r="27" spans="2:8">
      <c r="C27" t="s">
        <v>125</v>
      </c>
      <c r="D27" s="129">
        <f t="shared" ref="D27:D31" si="8">H8</f>
        <v>5878.5673398485214</v>
      </c>
      <c r="E27" s="130"/>
      <c r="F27" s="130">
        <f>SUM(D$26:D26)</f>
        <v>34198.965110674515</v>
      </c>
      <c r="G27" s="130">
        <f>SUM(D$26:D27)</f>
        <v>40077.532450523038</v>
      </c>
      <c r="H27" s="130"/>
    </row>
    <row r="28" spans="2:8">
      <c r="C28" t="s">
        <v>126</v>
      </c>
      <c r="D28" s="129">
        <f t="shared" si="8"/>
        <v>900</v>
      </c>
      <c r="E28" s="130"/>
      <c r="F28" s="130">
        <f>SUM(D$26:D27)</f>
        <v>40077.532450523038</v>
      </c>
      <c r="G28" s="130">
        <f>SUM(D$26:D28)</f>
        <v>40977.532450523038</v>
      </c>
      <c r="H28" s="130"/>
    </row>
    <row r="29" spans="2:8">
      <c r="C29" t="s">
        <v>127</v>
      </c>
      <c r="D29" s="129">
        <f t="shared" si="8"/>
        <v>-6778.567339848516</v>
      </c>
      <c r="E29" s="130"/>
      <c r="F29" s="130">
        <f>SUM(D$26:D28)</f>
        <v>40977.532450523038</v>
      </c>
      <c r="G29" s="130">
        <f>SUM(D$26:D29)</f>
        <v>34198.965110674522</v>
      </c>
      <c r="H29" s="130"/>
    </row>
    <row r="30" spans="2:8">
      <c r="C30" t="s">
        <v>128</v>
      </c>
      <c r="D30" s="129">
        <f t="shared" si="8"/>
        <v>0</v>
      </c>
      <c r="E30" s="130"/>
      <c r="F30" s="130">
        <f>SUM(D$26:D29)</f>
        <v>34198.965110674522</v>
      </c>
      <c r="G30" s="130">
        <f>SUM(D$26:D30)</f>
        <v>34198.965110674522</v>
      </c>
      <c r="H30" s="130"/>
    </row>
    <row r="31" spans="2:8">
      <c r="C31" t="s">
        <v>129</v>
      </c>
      <c r="D31" s="129">
        <f t="shared" si="8"/>
        <v>6778.567339848516</v>
      </c>
      <c r="E31" s="130"/>
      <c r="F31" s="130">
        <f>SUM(D$26:D30)</f>
        <v>34198.965110674522</v>
      </c>
      <c r="G31" s="130">
        <f>SUM(D$26:D31)</f>
        <v>40977.532450523038</v>
      </c>
      <c r="H31" s="130"/>
    </row>
    <row r="32" spans="2:8">
      <c r="C32" t="s">
        <v>130</v>
      </c>
      <c r="D32" s="129"/>
      <c r="E32" s="130">
        <f>SUM(D26:D31)</f>
        <v>40977.532450523038</v>
      </c>
      <c r="F32" s="130"/>
      <c r="G32" s="130"/>
      <c r="H32" s="130"/>
    </row>
    <row r="33" spans="4:8">
      <c r="D33" s="129"/>
      <c r="E33" s="130"/>
      <c r="F33" s="130"/>
      <c r="G33" s="130"/>
      <c r="H33" s="130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E2B3E-9A7D-48A6-B9E9-767F22229E7E}">
  <dimension ref="A1:DW36"/>
  <sheetViews>
    <sheetView topLeftCell="B14" workbookViewId="0">
      <selection activeCell="N28" sqref="N28"/>
    </sheetView>
  </sheetViews>
  <sheetFormatPr defaultRowHeight="14.5"/>
  <cols>
    <col min="3" max="3" width="23" bestFit="1" customWidth="1"/>
    <col min="4" max="4" width="10.54296875" bestFit="1" customWidth="1"/>
    <col min="5" max="6" width="0" hidden="1" customWidth="1"/>
    <col min="7" max="7" width="11.08984375" bestFit="1" customWidth="1"/>
    <col min="8" max="8" width="10.6328125" customWidth="1"/>
    <col min="9" max="9" width="11.36328125" customWidth="1"/>
    <col min="10" max="16" width="10.6328125" customWidth="1"/>
    <col min="17" max="127" width="12.6328125" customWidth="1"/>
  </cols>
  <sheetData>
    <row r="1" spans="1:127">
      <c r="A1" s="1" t="s">
        <v>0</v>
      </c>
      <c r="B1" s="2" t="str">
        <f>'Table of Contents'!B1</f>
        <v>Electronics Manufacturing Venture</v>
      </c>
      <c r="C1" s="3"/>
      <c r="D1" s="3"/>
      <c r="E1" s="3"/>
      <c r="F1" s="4" t="s">
        <v>1</v>
      </c>
      <c r="G1" s="5" t="s">
        <v>2</v>
      </c>
    </row>
    <row r="2" spans="1:127">
      <c r="A2" s="1" t="s">
        <v>3</v>
      </c>
      <c r="B2" s="2" t="str">
        <f>'Table of Contents'!B2</f>
        <v>Krishnamurthy Bindumadhavan</v>
      </c>
      <c r="C2" s="3"/>
      <c r="D2" s="3"/>
      <c r="E2" s="3"/>
      <c r="F2" s="6" t="s">
        <v>4</v>
      </c>
      <c r="G2" s="5" t="s">
        <v>5</v>
      </c>
    </row>
    <row r="3" spans="1:127">
      <c r="A3" s="1" t="s">
        <v>6</v>
      </c>
      <c r="B3" s="2" t="s">
        <v>86</v>
      </c>
      <c r="C3" s="3"/>
      <c r="D3" s="3"/>
      <c r="E3" s="3"/>
      <c r="F3" s="7" t="s">
        <v>8</v>
      </c>
      <c r="G3" s="5" t="s">
        <v>9</v>
      </c>
    </row>
    <row r="4" spans="1:127">
      <c r="A4" s="8" t="s">
        <v>10</v>
      </c>
      <c r="B4" s="9">
        <v>46033</v>
      </c>
      <c r="C4" s="3"/>
      <c r="D4" s="3"/>
      <c r="E4" s="3"/>
      <c r="F4" s="10" t="s">
        <v>11</v>
      </c>
      <c r="G4" s="5" t="s">
        <v>12</v>
      </c>
    </row>
    <row r="5" spans="1:127" ht="15" thickBot="1">
      <c r="A5" s="321"/>
      <c r="B5" s="322"/>
      <c r="F5" s="245"/>
      <c r="G5" s="5"/>
    </row>
    <row r="6" spans="1:127" ht="15" thickBot="1">
      <c r="C6" s="323" t="s">
        <v>21</v>
      </c>
      <c r="D6" s="324">
        <f>Assumptions!D14</f>
        <v>0.15</v>
      </c>
      <c r="H6" s="325" t="s">
        <v>231</v>
      </c>
      <c r="I6" s="326"/>
      <c r="J6" s="327">
        <f>'Depreciation Schedule'!F23+SUM(Assumptions!J45:J48)</f>
        <v>587111.11111111112</v>
      </c>
    </row>
    <row r="7" spans="1:127">
      <c r="C7" s="328" t="s">
        <v>23</v>
      </c>
      <c r="D7" s="329">
        <f>Assumptions!D15</f>
        <v>10</v>
      </c>
      <c r="G7" t="s">
        <v>24</v>
      </c>
    </row>
    <row r="8" spans="1:127" ht="15" thickBot="1">
      <c r="C8" s="330" t="s">
        <v>232</v>
      </c>
      <c r="D8" s="331">
        <f>-PMT(D6/12, D7*12, H13, 0)</f>
        <v>8665.4798055249048</v>
      </c>
    </row>
    <row r="9" spans="1:127">
      <c r="D9" s="320"/>
    </row>
    <row r="10" spans="1:127" ht="15" thickBot="1"/>
    <row r="11" spans="1:127">
      <c r="C11" s="332" t="s">
        <v>233</v>
      </c>
      <c r="D11" s="333"/>
      <c r="E11" s="333"/>
      <c r="F11" s="333"/>
      <c r="G11" s="333"/>
      <c r="H11" s="334" t="s">
        <v>169</v>
      </c>
      <c r="I11" s="334"/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4"/>
      <c r="AC11" s="334"/>
      <c r="AD11" s="334"/>
      <c r="AE11" s="334"/>
      <c r="AF11" s="334"/>
      <c r="AG11" s="334"/>
      <c r="AH11" s="334"/>
      <c r="AI11" s="334"/>
      <c r="AJ11" s="334"/>
      <c r="AK11" s="334"/>
      <c r="AL11" s="334"/>
      <c r="AM11" s="334"/>
      <c r="AN11" s="334"/>
      <c r="AO11" s="334"/>
      <c r="AP11" s="334"/>
      <c r="AQ11" s="334"/>
      <c r="AR11" s="334"/>
      <c r="AS11" s="334"/>
      <c r="AT11" s="334"/>
      <c r="AU11" s="334"/>
      <c r="AV11" s="334"/>
      <c r="AW11" s="334"/>
      <c r="AX11" s="334"/>
      <c r="AY11" s="334"/>
      <c r="AZ11" s="334"/>
      <c r="BA11" s="334"/>
      <c r="BB11" s="334"/>
      <c r="BC11" s="334"/>
      <c r="BD11" s="334"/>
      <c r="BE11" s="334"/>
      <c r="BF11" s="334"/>
      <c r="BG11" s="334"/>
      <c r="BH11" s="334"/>
      <c r="BI11" s="334"/>
      <c r="BJ11" s="334"/>
      <c r="BK11" s="334"/>
      <c r="BL11" s="334"/>
      <c r="BM11" s="334"/>
      <c r="BN11" s="334"/>
      <c r="BO11" s="334"/>
      <c r="BP11" s="334"/>
      <c r="BQ11" s="334"/>
      <c r="BR11" s="334"/>
      <c r="BS11" s="334"/>
      <c r="BT11" s="334"/>
      <c r="BU11" s="334"/>
      <c r="BV11" s="334"/>
      <c r="BW11" s="334"/>
      <c r="BX11" s="334"/>
      <c r="BY11" s="334"/>
      <c r="BZ11" s="334"/>
      <c r="CA11" s="334"/>
      <c r="CB11" s="334"/>
      <c r="CC11" s="334"/>
      <c r="CD11" s="334"/>
      <c r="CE11" s="334"/>
      <c r="CF11" s="334"/>
      <c r="CG11" s="334"/>
      <c r="CH11" s="334"/>
      <c r="CI11" s="334"/>
      <c r="CJ11" s="334"/>
      <c r="CK11" s="334"/>
      <c r="CL11" s="334"/>
      <c r="CM11" s="334"/>
      <c r="CN11" s="334"/>
      <c r="CO11" s="334"/>
      <c r="CP11" s="334"/>
      <c r="CQ11" s="334"/>
      <c r="CR11" s="334"/>
      <c r="CS11" s="334"/>
      <c r="CT11" s="334"/>
      <c r="CU11" s="334"/>
      <c r="CV11" s="334"/>
      <c r="CW11" s="334"/>
      <c r="CX11" s="334"/>
      <c r="CY11" s="334"/>
      <c r="CZ11" s="334"/>
      <c r="DA11" s="334"/>
      <c r="DB11" s="334"/>
      <c r="DC11" s="334"/>
      <c r="DD11" s="334"/>
      <c r="DE11" s="334"/>
      <c r="DF11" s="334"/>
      <c r="DG11" s="334"/>
      <c r="DH11" s="334"/>
      <c r="DI11" s="334"/>
      <c r="DJ11" s="334"/>
      <c r="DK11" s="334"/>
      <c r="DL11" s="334"/>
      <c r="DM11" s="334"/>
      <c r="DN11" s="334"/>
      <c r="DO11" s="334"/>
      <c r="DP11" s="334"/>
      <c r="DQ11" s="334"/>
      <c r="DR11" s="334"/>
      <c r="DS11" s="334"/>
      <c r="DT11" s="334"/>
      <c r="DU11" s="334"/>
      <c r="DV11" s="334"/>
      <c r="DW11" s="335"/>
    </row>
    <row r="12" spans="1:127" ht="15" thickBot="1">
      <c r="C12" s="336"/>
      <c r="D12" s="337"/>
      <c r="E12" s="338"/>
      <c r="F12" s="338"/>
      <c r="G12" s="338"/>
      <c r="H12" s="197">
        <v>1</v>
      </c>
      <c r="I12" s="197">
        <v>2</v>
      </c>
      <c r="J12" s="197">
        <v>3</v>
      </c>
      <c r="K12" s="197">
        <v>4</v>
      </c>
      <c r="L12" s="197">
        <v>5</v>
      </c>
      <c r="M12" s="197">
        <v>6</v>
      </c>
      <c r="N12" s="197">
        <v>7</v>
      </c>
      <c r="O12" s="197">
        <v>8</v>
      </c>
      <c r="P12" s="197">
        <v>9</v>
      </c>
      <c r="Q12" s="197">
        <v>10</v>
      </c>
      <c r="R12" s="197">
        <v>11</v>
      </c>
      <c r="S12" s="197">
        <v>12</v>
      </c>
      <c r="T12" s="197">
        <v>13</v>
      </c>
      <c r="U12" s="197">
        <v>14</v>
      </c>
      <c r="V12" s="197">
        <v>15</v>
      </c>
      <c r="W12" s="197">
        <v>16</v>
      </c>
      <c r="X12" s="197">
        <v>17</v>
      </c>
      <c r="Y12" s="197">
        <v>18</v>
      </c>
      <c r="Z12" s="197">
        <v>19</v>
      </c>
      <c r="AA12" s="197">
        <v>20</v>
      </c>
      <c r="AB12" s="197">
        <v>21</v>
      </c>
      <c r="AC12" s="197">
        <v>22</v>
      </c>
      <c r="AD12" s="197">
        <v>23</v>
      </c>
      <c r="AE12" s="197">
        <v>24</v>
      </c>
      <c r="AF12" s="197">
        <v>25</v>
      </c>
      <c r="AG12" s="197">
        <v>26</v>
      </c>
      <c r="AH12" s="197">
        <v>27</v>
      </c>
      <c r="AI12" s="197">
        <v>28</v>
      </c>
      <c r="AJ12" s="197">
        <v>29</v>
      </c>
      <c r="AK12" s="197">
        <v>30</v>
      </c>
      <c r="AL12" s="197">
        <v>31</v>
      </c>
      <c r="AM12" s="197">
        <v>32</v>
      </c>
      <c r="AN12" s="197">
        <v>33</v>
      </c>
      <c r="AO12" s="197">
        <v>34</v>
      </c>
      <c r="AP12" s="197">
        <v>35</v>
      </c>
      <c r="AQ12" s="197">
        <v>36</v>
      </c>
      <c r="AR12" s="197">
        <v>37</v>
      </c>
      <c r="AS12" s="197">
        <v>38</v>
      </c>
      <c r="AT12" s="197">
        <v>39</v>
      </c>
      <c r="AU12" s="197">
        <v>40</v>
      </c>
      <c r="AV12" s="197">
        <v>41</v>
      </c>
      <c r="AW12" s="197">
        <v>42</v>
      </c>
      <c r="AX12" s="197">
        <v>43</v>
      </c>
      <c r="AY12" s="197">
        <v>44</v>
      </c>
      <c r="AZ12" s="197">
        <v>45</v>
      </c>
      <c r="BA12" s="197">
        <v>46</v>
      </c>
      <c r="BB12" s="197">
        <v>47</v>
      </c>
      <c r="BC12" s="197">
        <v>48</v>
      </c>
      <c r="BD12" s="197">
        <v>49</v>
      </c>
      <c r="BE12" s="197">
        <v>50</v>
      </c>
      <c r="BF12" s="197">
        <v>51</v>
      </c>
      <c r="BG12" s="197">
        <v>52</v>
      </c>
      <c r="BH12" s="197">
        <v>53</v>
      </c>
      <c r="BI12" s="197">
        <v>54</v>
      </c>
      <c r="BJ12" s="197">
        <v>55</v>
      </c>
      <c r="BK12" s="197">
        <v>56</v>
      </c>
      <c r="BL12" s="197">
        <v>57</v>
      </c>
      <c r="BM12" s="197">
        <v>58</v>
      </c>
      <c r="BN12" s="197">
        <v>59</v>
      </c>
      <c r="BO12" s="197">
        <v>60</v>
      </c>
      <c r="BP12" s="197">
        <v>61</v>
      </c>
      <c r="BQ12" s="197">
        <v>62</v>
      </c>
      <c r="BR12" s="197">
        <v>63</v>
      </c>
      <c r="BS12" s="197">
        <v>64</v>
      </c>
      <c r="BT12" s="197">
        <v>65</v>
      </c>
      <c r="BU12" s="197">
        <v>66</v>
      </c>
      <c r="BV12" s="197">
        <v>67</v>
      </c>
      <c r="BW12" s="197">
        <v>68</v>
      </c>
      <c r="BX12" s="197">
        <v>69</v>
      </c>
      <c r="BY12" s="197">
        <v>70</v>
      </c>
      <c r="BZ12" s="197">
        <v>71</v>
      </c>
      <c r="CA12" s="197">
        <v>72</v>
      </c>
      <c r="CB12" s="197">
        <v>73</v>
      </c>
      <c r="CC12" s="197">
        <v>74</v>
      </c>
      <c r="CD12" s="197">
        <v>75</v>
      </c>
      <c r="CE12" s="197">
        <v>76</v>
      </c>
      <c r="CF12" s="197">
        <v>77</v>
      </c>
      <c r="CG12" s="197">
        <v>78</v>
      </c>
      <c r="CH12" s="197">
        <v>79</v>
      </c>
      <c r="CI12" s="197">
        <v>80</v>
      </c>
      <c r="CJ12" s="197">
        <v>81</v>
      </c>
      <c r="CK12" s="197">
        <v>82</v>
      </c>
      <c r="CL12" s="197">
        <v>83</v>
      </c>
      <c r="CM12" s="197">
        <v>84</v>
      </c>
      <c r="CN12" s="197">
        <v>85</v>
      </c>
      <c r="CO12" s="197">
        <v>86</v>
      </c>
      <c r="CP12" s="197">
        <v>87</v>
      </c>
      <c r="CQ12" s="197">
        <v>88</v>
      </c>
      <c r="CR12" s="197">
        <v>89</v>
      </c>
      <c r="CS12" s="197">
        <v>90</v>
      </c>
      <c r="CT12" s="197">
        <v>91</v>
      </c>
      <c r="CU12" s="197">
        <v>92</v>
      </c>
      <c r="CV12" s="197">
        <v>93</v>
      </c>
      <c r="CW12" s="197">
        <v>94</v>
      </c>
      <c r="CX12" s="197">
        <v>95</v>
      </c>
      <c r="CY12" s="197">
        <v>96</v>
      </c>
      <c r="CZ12" s="197">
        <v>97</v>
      </c>
      <c r="DA12" s="197">
        <v>98</v>
      </c>
      <c r="DB12" s="197">
        <v>99</v>
      </c>
      <c r="DC12" s="197">
        <v>100</v>
      </c>
      <c r="DD12" s="197">
        <v>101</v>
      </c>
      <c r="DE12" s="197">
        <v>102</v>
      </c>
      <c r="DF12" s="197">
        <v>103</v>
      </c>
      <c r="DG12" s="197">
        <v>104</v>
      </c>
      <c r="DH12" s="197">
        <v>105</v>
      </c>
      <c r="DI12" s="197">
        <v>106</v>
      </c>
      <c r="DJ12" s="197">
        <v>107</v>
      </c>
      <c r="DK12" s="197">
        <v>108</v>
      </c>
      <c r="DL12" s="197">
        <v>109</v>
      </c>
      <c r="DM12" s="197">
        <v>110</v>
      </c>
      <c r="DN12" s="197">
        <v>111</v>
      </c>
      <c r="DO12" s="197">
        <v>112</v>
      </c>
      <c r="DP12" s="197">
        <v>113</v>
      </c>
      <c r="DQ12" s="197">
        <v>114</v>
      </c>
      <c r="DR12" s="197">
        <v>115</v>
      </c>
      <c r="DS12" s="197">
        <v>116</v>
      </c>
      <c r="DT12" s="197">
        <v>117</v>
      </c>
      <c r="DU12" s="197">
        <v>118</v>
      </c>
      <c r="DV12" s="197">
        <v>119</v>
      </c>
      <c r="DW12" s="198">
        <v>120</v>
      </c>
    </row>
    <row r="13" spans="1:127">
      <c r="C13" s="339" t="s">
        <v>234</v>
      </c>
      <c r="D13" s="340"/>
      <c r="E13" s="340"/>
      <c r="F13" s="340"/>
      <c r="G13" s="340"/>
      <c r="H13" s="341">
        <f>'Loan Repayment Schedule'!J6-'Balance Sheet'!H35</f>
        <v>537111.11111111112</v>
      </c>
      <c r="I13" s="341">
        <f t="shared" ref="I13:BT13" si="0">H17</f>
        <v>535159.52019447507</v>
      </c>
      <c r="J13" s="341">
        <f t="shared" si="0"/>
        <v>533183.53439138108</v>
      </c>
      <c r="K13" s="341">
        <f t="shared" si="0"/>
        <v>531182.84876574844</v>
      </c>
      <c r="L13" s="341">
        <f t="shared" si="0"/>
        <v>529157.15456979536</v>
      </c>
      <c r="M13" s="341">
        <f t="shared" si="0"/>
        <v>527106.13919639285</v>
      </c>
      <c r="N13" s="341">
        <f t="shared" si="0"/>
        <v>525029.4861308228</v>
      </c>
      <c r="O13" s="341">
        <f t="shared" si="0"/>
        <v>522926.87490193319</v>
      </c>
      <c r="P13" s="341">
        <f t="shared" si="0"/>
        <v>520797.98103268247</v>
      </c>
      <c r="Q13" s="341">
        <f t="shared" si="0"/>
        <v>518642.47599006607</v>
      </c>
      <c r="R13" s="341">
        <f t="shared" si="0"/>
        <v>516460.02713441697</v>
      </c>
      <c r="S13" s="341">
        <f t="shared" si="0"/>
        <v>514250.29766807228</v>
      </c>
      <c r="T13" s="341">
        <f t="shared" si="0"/>
        <v>512012.94658339827</v>
      </c>
      <c r="U13" s="341">
        <f t="shared" si="0"/>
        <v>509747.62861016585</v>
      </c>
      <c r="V13" s="341">
        <f t="shared" si="0"/>
        <v>507453.99416226801</v>
      </c>
      <c r="W13" s="341">
        <f t="shared" si="0"/>
        <v>505131.68928377144</v>
      </c>
      <c r="X13" s="341">
        <f t="shared" si="0"/>
        <v>502780.35559429368</v>
      </c>
      <c r="Y13" s="341">
        <f t="shared" si="0"/>
        <v>500399.63023369742</v>
      </c>
      <c r="Z13" s="341">
        <f t="shared" si="0"/>
        <v>497989.14580609376</v>
      </c>
      <c r="AA13" s="341">
        <f t="shared" si="0"/>
        <v>495548.53032314504</v>
      </c>
      <c r="AB13" s="341">
        <f t="shared" si="0"/>
        <v>493077.40714665945</v>
      </c>
      <c r="AC13" s="341">
        <f t="shared" si="0"/>
        <v>490575.39493046777</v>
      </c>
      <c r="AD13" s="341">
        <f t="shared" si="0"/>
        <v>488042.10756157374</v>
      </c>
      <c r="AE13" s="341">
        <f t="shared" si="0"/>
        <v>485477.1541005685</v>
      </c>
      <c r="AF13" s="341">
        <f t="shared" si="0"/>
        <v>482880.1387213007</v>
      </c>
      <c r="AG13" s="341">
        <f t="shared" si="0"/>
        <v>480250.66064979206</v>
      </c>
      <c r="AH13" s="341">
        <f t="shared" si="0"/>
        <v>477588.31410238956</v>
      </c>
      <c r="AI13" s="341">
        <f t="shared" si="0"/>
        <v>474892.68822314451</v>
      </c>
      <c r="AJ13" s="341">
        <f t="shared" si="0"/>
        <v>472163.36702040891</v>
      </c>
      <c r="AK13" s="341">
        <f t="shared" si="0"/>
        <v>469399.9293026391</v>
      </c>
      <c r="AL13" s="341">
        <f t="shared" si="0"/>
        <v>466601.9486133972</v>
      </c>
      <c r="AM13" s="341">
        <f t="shared" si="0"/>
        <v>463768.99316553975</v>
      </c>
      <c r="AN13" s="341">
        <f t="shared" si="0"/>
        <v>460900.62577458407</v>
      </c>
      <c r="AO13" s="341">
        <f t="shared" si="0"/>
        <v>457996.40379124146</v>
      </c>
      <c r="AP13" s="341">
        <f t="shared" si="0"/>
        <v>455055.87903310708</v>
      </c>
      <c r="AQ13" s="341">
        <f t="shared" si="0"/>
        <v>452078.59771549603</v>
      </c>
      <c r="AR13" s="341">
        <f t="shared" si="0"/>
        <v>449064.10038141481</v>
      </c>
      <c r="AS13" s="341">
        <f t="shared" si="0"/>
        <v>446011.92183065758</v>
      </c>
      <c r="AT13" s="341">
        <f t="shared" si="0"/>
        <v>442921.59104801586</v>
      </c>
      <c r="AU13" s="341">
        <f t="shared" si="0"/>
        <v>439792.63113059115</v>
      </c>
      <c r="AV13" s="341">
        <f t="shared" si="0"/>
        <v>436624.55921419861</v>
      </c>
      <c r="AW13" s="341">
        <f t="shared" si="0"/>
        <v>433416.88639885117</v>
      </c>
      <c r="AX13" s="341">
        <f t="shared" si="0"/>
        <v>430169.11767331191</v>
      </c>
      <c r="AY13" s="341">
        <f t="shared" si="0"/>
        <v>426880.75183870341</v>
      </c>
      <c r="AZ13" s="341">
        <f t="shared" si="0"/>
        <v>423551.28143116232</v>
      </c>
      <c r="BA13" s="341">
        <f t="shared" si="0"/>
        <v>420180.19264352694</v>
      </c>
      <c r="BB13" s="341">
        <f t="shared" si="0"/>
        <v>416766.96524604614</v>
      </c>
      <c r="BC13" s="341">
        <f t="shared" si="0"/>
        <v>413311.0725060968</v>
      </c>
      <c r="BD13" s="341">
        <f t="shared" si="0"/>
        <v>409811.98110689811</v>
      </c>
      <c r="BE13" s="341">
        <f t="shared" si="0"/>
        <v>406269.15106520941</v>
      </c>
      <c r="BF13" s="341">
        <f t="shared" si="0"/>
        <v>402682.03564799961</v>
      </c>
      <c r="BG13" s="341">
        <f t="shared" si="0"/>
        <v>399050.08128807473</v>
      </c>
      <c r="BH13" s="341">
        <f t="shared" si="0"/>
        <v>395372.72749865078</v>
      </c>
      <c r="BI13" s="341">
        <f t="shared" si="0"/>
        <v>391649.40678685904</v>
      </c>
      <c r="BJ13" s="341">
        <f t="shared" si="0"/>
        <v>387879.54456616985</v>
      </c>
      <c r="BK13" s="341">
        <f t="shared" si="0"/>
        <v>384062.55906772206</v>
      </c>
      <c r="BL13" s="341">
        <f t="shared" si="0"/>
        <v>380197.86125054368</v>
      </c>
      <c r="BM13" s="341">
        <f t="shared" si="0"/>
        <v>376284.85471065057</v>
      </c>
      <c r="BN13" s="341">
        <f t="shared" si="0"/>
        <v>372322.93558900879</v>
      </c>
      <c r="BO13" s="341">
        <f t="shared" si="0"/>
        <v>368311.49247834651</v>
      </c>
      <c r="BP13" s="341">
        <f t="shared" si="0"/>
        <v>364249.90632880095</v>
      </c>
      <c r="BQ13" s="341">
        <f t="shared" si="0"/>
        <v>360137.55035238608</v>
      </c>
      <c r="BR13" s="341">
        <f t="shared" si="0"/>
        <v>355973.78992626601</v>
      </c>
      <c r="BS13" s="341">
        <f t="shared" si="0"/>
        <v>351757.98249481944</v>
      </c>
      <c r="BT13" s="341">
        <f t="shared" si="0"/>
        <v>347489.47747047979</v>
      </c>
      <c r="BU13" s="341">
        <f t="shared" ref="BU13:DW13" si="1">BT17</f>
        <v>343167.61613333586</v>
      </c>
      <c r="BV13" s="341">
        <f t="shared" si="1"/>
        <v>338791.73152947763</v>
      </c>
      <c r="BW13" s="341">
        <f t="shared" si="1"/>
        <v>334361.14836807118</v>
      </c>
      <c r="BX13" s="341">
        <f t="shared" si="1"/>
        <v>329875.18291714718</v>
      </c>
      <c r="BY13" s="341">
        <f t="shared" si="1"/>
        <v>325333.14289808663</v>
      </c>
      <c r="BZ13" s="341">
        <f t="shared" si="1"/>
        <v>320734.3273787878</v>
      </c>
      <c r="CA13" s="341">
        <f t="shared" si="1"/>
        <v>316078.02666549775</v>
      </c>
      <c r="CB13" s="341">
        <f t="shared" si="1"/>
        <v>311363.52219329157</v>
      </c>
      <c r="CC13" s="341">
        <f t="shared" si="1"/>
        <v>306590.0864151828</v>
      </c>
      <c r="CD13" s="341">
        <f t="shared" si="1"/>
        <v>301756.9826898477</v>
      </c>
      <c r="CE13" s="341">
        <f t="shared" si="1"/>
        <v>296863.46516794589</v>
      </c>
      <c r="CF13" s="341">
        <f t="shared" si="1"/>
        <v>291908.77867702034</v>
      </c>
      <c r="CG13" s="341">
        <f t="shared" si="1"/>
        <v>286892.15860495821</v>
      </c>
      <c r="CH13" s="341">
        <f t="shared" si="1"/>
        <v>281812.83078199526</v>
      </c>
      <c r="CI13" s="341">
        <f t="shared" si="1"/>
        <v>276670.0113612453</v>
      </c>
      <c r="CJ13" s="341">
        <f t="shared" si="1"/>
        <v>271462.90669773595</v>
      </c>
      <c r="CK13" s="341">
        <f t="shared" si="1"/>
        <v>266190.71322593273</v>
      </c>
      <c r="CL13" s="341">
        <f t="shared" si="1"/>
        <v>260852.61733573198</v>
      </c>
      <c r="CM13" s="341">
        <f t="shared" si="1"/>
        <v>255447.79524690373</v>
      </c>
      <c r="CN13" s="341">
        <f t="shared" si="1"/>
        <v>249975.41288196511</v>
      </c>
      <c r="CO13" s="341">
        <f t="shared" si="1"/>
        <v>244434.62573746475</v>
      </c>
      <c r="CP13" s="341">
        <f t="shared" si="1"/>
        <v>238824.57875365816</v>
      </c>
      <c r="CQ13" s="341">
        <f t="shared" si="1"/>
        <v>233144.406182554</v>
      </c>
      <c r="CR13" s="341">
        <f t="shared" si="1"/>
        <v>227393.23145431103</v>
      </c>
      <c r="CS13" s="341">
        <f t="shared" si="1"/>
        <v>221570.167041965</v>
      </c>
      <c r="CT13" s="341">
        <f t="shared" si="1"/>
        <v>215674.31432446465</v>
      </c>
      <c r="CU13" s="341">
        <f t="shared" si="1"/>
        <v>209704.76344799556</v>
      </c>
      <c r="CV13" s="341">
        <f t="shared" si="1"/>
        <v>203660.59318557059</v>
      </c>
      <c r="CW13" s="341">
        <f t="shared" si="1"/>
        <v>197540.8707948653</v>
      </c>
      <c r="CX13" s="341">
        <f t="shared" si="1"/>
        <v>191344.65187427623</v>
      </c>
      <c r="CY13" s="341">
        <f t="shared" si="1"/>
        <v>185070.98021717978</v>
      </c>
      <c r="CZ13" s="341">
        <f t="shared" si="1"/>
        <v>178718.88766436963</v>
      </c>
      <c r="DA13" s="341">
        <f t="shared" si="1"/>
        <v>172287.39395464933</v>
      </c>
      <c r="DB13" s="341">
        <f t="shared" si="1"/>
        <v>165775.50657355753</v>
      </c>
      <c r="DC13" s="341">
        <f t="shared" si="1"/>
        <v>159182.2206002021</v>
      </c>
      <c r="DD13" s="341">
        <f t="shared" si="1"/>
        <v>152506.51855217971</v>
      </c>
      <c r="DE13" s="341">
        <f t="shared" si="1"/>
        <v>145747.37022855706</v>
      </c>
      <c r="DF13" s="341">
        <f t="shared" si="1"/>
        <v>138903.73255088911</v>
      </c>
      <c r="DG13" s="341">
        <f t="shared" si="1"/>
        <v>131974.54940225033</v>
      </c>
      <c r="DH13" s="341">
        <f t="shared" si="1"/>
        <v>124958.75146425355</v>
      </c>
      <c r="DI13" s="341">
        <f t="shared" si="1"/>
        <v>117855.25605203182</v>
      </c>
      <c r="DJ13" s="341">
        <f t="shared" si="1"/>
        <v>110662.96694715731</v>
      </c>
      <c r="DK13" s="341">
        <f t="shared" si="1"/>
        <v>103380.77422847187</v>
      </c>
      <c r="DL13" s="341">
        <f t="shared" si="1"/>
        <v>96007.554100802867</v>
      </c>
      <c r="DM13" s="341">
        <f t="shared" si="1"/>
        <v>88542.168721537993</v>
      </c>
      <c r="DN13" s="341">
        <f t="shared" si="1"/>
        <v>80983.466025032307</v>
      </c>
      <c r="DO13" s="341">
        <f t="shared" si="1"/>
        <v>73330.279544820311</v>
      </c>
      <c r="DP13" s="341">
        <f t="shared" si="1"/>
        <v>65581.428233605664</v>
      </c>
      <c r="DQ13" s="341">
        <f t="shared" si="1"/>
        <v>57735.71628100083</v>
      </c>
      <c r="DR13" s="341">
        <f t="shared" si="1"/>
        <v>49791.932928988434</v>
      </c>
      <c r="DS13" s="341">
        <f t="shared" si="1"/>
        <v>41748.852285075882</v>
      </c>
      <c r="DT13" s="341">
        <f t="shared" si="1"/>
        <v>33605.233133114423</v>
      </c>
      <c r="DU13" s="341">
        <f t="shared" si="1"/>
        <v>25359.81874175345</v>
      </c>
      <c r="DV13" s="341">
        <f t="shared" si="1"/>
        <v>17011.336670500463</v>
      </c>
      <c r="DW13" s="342">
        <f t="shared" si="1"/>
        <v>8558.4985733568137</v>
      </c>
    </row>
    <row r="14" spans="1:127">
      <c r="C14" s="267" t="s">
        <v>232</v>
      </c>
      <c r="D14" s="207"/>
      <c r="E14" s="207"/>
      <c r="F14" s="207"/>
      <c r="G14" s="207"/>
      <c r="H14" s="220">
        <f>D8</f>
        <v>8665.4798055249048</v>
      </c>
      <c r="I14" s="220">
        <f>H14</f>
        <v>8665.4798055249048</v>
      </c>
      <c r="J14" s="220">
        <f t="shared" ref="J14:P14" si="2">I14</f>
        <v>8665.4798055249048</v>
      </c>
      <c r="K14" s="220">
        <f t="shared" si="2"/>
        <v>8665.4798055249048</v>
      </c>
      <c r="L14" s="220">
        <f>K14</f>
        <v>8665.4798055249048</v>
      </c>
      <c r="M14" s="220">
        <f t="shared" si="2"/>
        <v>8665.4798055249048</v>
      </c>
      <c r="N14" s="220">
        <f t="shared" si="2"/>
        <v>8665.4798055249048</v>
      </c>
      <c r="O14" s="220">
        <f>N14</f>
        <v>8665.4798055249048</v>
      </c>
      <c r="P14" s="220">
        <f t="shared" si="2"/>
        <v>8665.4798055249048</v>
      </c>
      <c r="Q14" s="220">
        <f>P14</f>
        <v>8665.4798055249048</v>
      </c>
      <c r="R14" s="220">
        <f t="shared" ref="R14:CC14" si="3">Q14</f>
        <v>8665.4798055249048</v>
      </c>
      <c r="S14" s="220">
        <f t="shared" si="3"/>
        <v>8665.4798055249048</v>
      </c>
      <c r="T14" s="220">
        <f t="shared" si="3"/>
        <v>8665.4798055249048</v>
      </c>
      <c r="U14" s="220">
        <f t="shared" si="3"/>
        <v>8665.4798055249048</v>
      </c>
      <c r="V14" s="220">
        <f t="shared" si="3"/>
        <v>8665.4798055249048</v>
      </c>
      <c r="W14" s="220">
        <f t="shared" si="3"/>
        <v>8665.4798055249048</v>
      </c>
      <c r="X14" s="220">
        <f t="shared" si="3"/>
        <v>8665.4798055249048</v>
      </c>
      <c r="Y14" s="220">
        <f t="shared" si="3"/>
        <v>8665.4798055249048</v>
      </c>
      <c r="Z14" s="220">
        <f t="shared" si="3"/>
        <v>8665.4798055249048</v>
      </c>
      <c r="AA14" s="220">
        <f t="shared" si="3"/>
        <v>8665.4798055249048</v>
      </c>
      <c r="AB14" s="220">
        <f t="shared" si="3"/>
        <v>8665.4798055249048</v>
      </c>
      <c r="AC14" s="220">
        <f t="shared" si="3"/>
        <v>8665.4798055249048</v>
      </c>
      <c r="AD14" s="220">
        <f t="shared" si="3"/>
        <v>8665.4798055249048</v>
      </c>
      <c r="AE14" s="220">
        <f t="shared" si="3"/>
        <v>8665.4798055249048</v>
      </c>
      <c r="AF14" s="220">
        <f t="shared" si="3"/>
        <v>8665.4798055249048</v>
      </c>
      <c r="AG14" s="220">
        <f t="shared" si="3"/>
        <v>8665.4798055249048</v>
      </c>
      <c r="AH14" s="220">
        <f t="shared" si="3"/>
        <v>8665.4798055249048</v>
      </c>
      <c r="AI14" s="220">
        <f t="shared" si="3"/>
        <v>8665.4798055249048</v>
      </c>
      <c r="AJ14" s="220">
        <f t="shared" si="3"/>
        <v>8665.4798055249048</v>
      </c>
      <c r="AK14" s="220">
        <f t="shared" si="3"/>
        <v>8665.4798055249048</v>
      </c>
      <c r="AL14" s="220">
        <f t="shared" si="3"/>
        <v>8665.4798055249048</v>
      </c>
      <c r="AM14" s="220">
        <f t="shared" si="3"/>
        <v>8665.4798055249048</v>
      </c>
      <c r="AN14" s="220">
        <f t="shared" si="3"/>
        <v>8665.4798055249048</v>
      </c>
      <c r="AO14" s="220">
        <f t="shared" si="3"/>
        <v>8665.4798055249048</v>
      </c>
      <c r="AP14" s="220">
        <f t="shared" si="3"/>
        <v>8665.4798055249048</v>
      </c>
      <c r="AQ14" s="220">
        <f t="shared" si="3"/>
        <v>8665.4798055249048</v>
      </c>
      <c r="AR14" s="220">
        <f t="shared" si="3"/>
        <v>8665.4798055249048</v>
      </c>
      <c r="AS14" s="220">
        <f t="shared" si="3"/>
        <v>8665.4798055249048</v>
      </c>
      <c r="AT14" s="220">
        <f t="shared" si="3"/>
        <v>8665.4798055249048</v>
      </c>
      <c r="AU14" s="220">
        <f t="shared" si="3"/>
        <v>8665.4798055249048</v>
      </c>
      <c r="AV14" s="220">
        <f t="shared" si="3"/>
        <v>8665.4798055249048</v>
      </c>
      <c r="AW14" s="220">
        <f t="shared" si="3"/>
        <v>8665.4798055249048</v>
      </c>
      <c r="AX14" s="220">
        <f t="shared" si="3"/>
        <v>8665.4798055249048</v>
      </c>
      <c r="AY14" s="220">
        <f t="shared" si="3"/>
        <v>8665.4798055249048</v>
      </c>
      <c r="AZ14" s="220">
        <f t="shared" si="3"/>
        <v>8665.4798055249048</v>
      </c>
      <c r="BA14" s="220">
        <f t="shared" si="3"/>
        <v>8665.4798055249048</v>
      </c>
      <c r="BB14" s="220">
        <f t="shared" si="3"/>
        <v>8665.4798055249048</v>
      </c>
      <c r="BC14" s="220">
        <f t="shared" si="3"/>
        <v>8665.4798055249048</v>
      </c>
      <c r="BD14" s="220">
        <f t="shared" si="3"/>
        <v>8665.4798055249048</v>
      </c>
      <c r="BE14" s="220">
        <f t="shared" si="3"/>
        <v>8665.4798055249048</v>
      </c>
      <c r="BF14" s="220">
        <f t="shared" si="3"/>
        <v>8665.4798055249048</v>
      </c>
      <c r="BG14" s="220">
        <f t="shared" si="3"/>
        <v>8665.4798055249048</v>
      </c>
      <c r="BH14" s="220">
        <f t="shared" si="3"/>
        <v>8665.4798055249048</v>
      </c>
      <c r="BI14" s="220">
        <f t="shared" si="3"/>
        <v>8665.4798055249048</v>
      </c>
      <c r="BJ14" s="220">
        <f t="shared" si="3"/>
        <v>8665.4798055249048</v>
      </c>
      <c r="BK14" s="220">
        <f t="shared" si="3"/>
        <v>8665.4798055249048</v>
      </c>
      <c r="BL14" s="220">
        <f t="shared" si="3"/>
        <v>8665.4798055249048</v>
      </c>
      <c r="BM14" s="220">
        <f t="shared" si="3"/>
        <v>8665.4798055249048</v>
      </c>
      <c r="BN14" s="220">
        <f t="shared" si="3"/>
        <v>8665.4798055249048</v>
      </c>
      <c r="BO14" s="220">
        <f t="shared" si="3"/>
        <v>8665.4798055249048</v>
      </c>
      <c r="BP14" s="220">
        <f t="shared" si="3"/>
        <v>8665.4798055249048</v>
      </c>
      <c r="BQ14" s="220">
        <f t="shared" si="3"/>
        <v>8665.4798055249048</v>
      </c>
      <c r="BR14" s="220">
        <f t="shared" si="3"/>
        <v>8665.4798055249048</v>
      </c>
      <c r="BS14" s="220">
        <f t="shared" si="3"/>
        <v>8665.4798055249048</v>
      </c>
      <c r="BT14" s="220">
        <f t="shared" si="3"/>
        <v>8665.4798055249048</v>
      </c>
      <c r="BU14" s="220">
        <f t="shared" si="3"/>
        <v>8665.4798055249048</v>
      </c>
      <c r="BV14" s="220">
        <f t="shared" si="3"/>
        <v>8665.4798055249048</v>
      </c>
      <c r="BW14" s="220">
        <f t="shared" si="3"/>
        <v>8665.4798055249048</v>
      </c>
      <c r="BX14" s="220">
        <f t="shared" si="3"/>
        <v>8665.4798055249048</v>
      </c>
      <c r="BY14" s="220">
        <f t="shared" si="3"/>
        <v>8665.4798055249048</v>
      </c>
      <c r="BZ14" s="220">
        <f t="shared" si="3"/>
        <v>8665.4798055249048</v>
      </c>
      <c r="CA14" s="220">
        <f t="shared" si="3"/>
        <v>8665.4798055249048</v>
      </c>
      <c r="CB14" s="220">
        <f t="shared" si="3"/>
        <v>8665.4798055249048</v>
      </c>
      <c r="CC14" s="220">
        <f t="shared" si="3"/>
        <v>8665.4798055249048</v>
      </c>
      <c r="CD14" s="220">
        <f t="shared" ref="CD14:DW14" si="4">CC14</f>
        <v>8665.4798055249048</v>
      </c>
      <c r="CE14" s="220">
        <f t="shared" si="4"/>
        <v>8665.4798055249048</v>
      </c>
      <c r="CF14" s="220">
        <f t="shared" si="4"/>
        <v>8665.4798055249048</v>
      </c>
      <c r="CG14" s="220">
        <f t="shared" si="4"/>
        <v>8665.4798055249048</v>
      </c>
      <c r="CH14" s="220">
        <f t="shared" si="4"/>
        <v>8665.4798055249048</v>
      </c>
      <c r="CI14" s="220">
        <f t="shared" si="4"/>
        <v>8665.4798055249048</v>
      </c>
      <c r="CJ14" s="220">
        <f t="shared" si="4"/>
        <v>8665.4798055249048</v>
      </c>
      <c r="CK14" s="220">
        <f t="shared" si="4"/>
        <v>8665.4798055249048</v>
      </c>
      <c r="CL14" s="220">
        <f t="shared" si="4"/>
        <v>8665.4798055249048</v>
      </c>
      <c r="CM14" s="220">
        <f t="shared" si="4"/>
        <v>8665.4798055249048</v>
      </c>
      <c r="CN14" s="220">
        <f t="shared" si="4"/>
        <v>8665.4798055249048</v>
      </c>
      <c r="CO14" s="220">
        <f t="shared" si="4"/>
        <v>8665.4798055249048</v>
      </c>
      <c r="CP14" s="220">
        <f t="shared" si="4"/>
        <v>8665.4798055249048</v>
      </c>
      <c r="CQ14" s="220">
        <f t="shared" si="4"/>
        <v>8665.4798055249048</v>
      </c>
      <c r="CR14" s="220">
        <f t="shared" si="4"/>
        <v>8665.4798055249048</v>
      </c>
      <c r="CS14" s="220">
        <f t="shared" si="4"/>
        <v>8665.4798055249048</v>
      </c>
      <c r="CT14" s="220">
        <f t="shared" si="4"/>
        <v>8665.4798055249048</v>
      </c>
      <c r="CU14" s="220">
        <f t="shared" si="4"/>
        <v>8665.4798055249048</v>
      </c>
      <c r="CV14" s="220">
        <f t="shared" si="4"/>
        <v>8665.4798055249048</v>
      </c>
      <c r="CW14" s="220">
        <f t="shared" si="4"/>
        <v>8665.4798055249048</v>
      </c>
      <c r="CX14" s="220">
        <f t="shared" si="4"/>
        <v>8665.4798055249048</v>
      </c>
      <c r="CY14" s="220">
        <f t="shared" si="4"/>
        <v>8665.4798055249048</v>
      </c>
      <c r="CZ14" s="220">
        <f t="shared" si="4"/>
        <v>8665.4798055249048</v>
      </c>
      <c r="DA14" s="220">
        <f t="shared" si="4"/>
        <v>8665.4798055249048</v>
      </c>
      <c r="DB14" s="220">
        <f t="shared" si="4"/>
        <v>8665.4798055249048</v>
      </c>
      <c r="DC14" s="220">
        <f t="shared" si="4"/>
        <v>8665.4798055249048</v>
      </c>
      <c r="DD14" s="220">
        <f t="shared" si="4"/>
        <v>8665.4798055249048</v>
      </c>
      <c r="DE14" s="220">
        <f t="shared" si="4"/>
        <v>8665.4798055249048</v>
      </c>
      <c r="DF14" s="220">
        <f t="shared" si="4"/>
        <v>8665.4798055249048</v>
      </c>
      <c r="DG14" s="220">
        <f t="shared" si="4"/>
        <v>8665.4798055249048</v>
      </c>
      <c r="DH14" s="220">
        <f t="shared" si="4"/>
        <v>8665.4798055249048</v>
      </c>
      <c r="DI14" s="220">
        <f t="shared" si="4"/>
        <v>8665.4798055249048</v>
      </c>
      <c r="DJ14" s="220">
        <f t="shared" si="4"/>
        <v>8665.4798055249048</v>
      </c>
      <c r="DK14" s="220">
        <f t="shared" si="4"/>
        <v>8665.4798055249048</v>
      </c>
      <c r="DL14" s="220">
        <f t="shared" si="4"/>
        <v>8665.4798055249048</v>
      </c>
      <c r="DM14" s="220">
        <f t="shared" si="4"/>
        <v>8665.4798055249048</v>
      </c>
      <c r="DN14" s="220">
        <f t="shared" si="4"/>
        <v>8665.4798055249048</v>
      </c>
      <c r="DO14" s="220">
        <f t="shared" si="4"/>
        <v>8665.4798055249048</v>
      </c>
      <c r="DP14" s="220">
        <f t="shared" si="4"/>
        <v>8665.4798055249048</v>
      </c>
      <c r="DQ14" s="220">
        <f t="shared" si="4"/>
        <v>8665.4798055249048</v>
      </c>
      <c r="DR14" s="220">
        <f t="shared" si="4"/>
        <v>8665.4798055249048</v>
      </c>
      <c r="DS14" s="220">
        <f t="shared" si="4"/>
        <v>8665.4798055249048</v>
      </c>
      <c r="DT14" s="220">
        <f t="shared" si="4"/>
        <v>8665.4798055249048</v>
      </c>
      <c r="DU14" s="220">
        <f t="shared" si="4"/>
        <v>8665.4798055249048</v>
      </c>
      <c r="DV14" s="220">
        <f t="shared" si="4"/>
        <v>8665.4798055249048</v>
      </c>
      <c r="DW14" s="221">
        <f t="shared" si="4"/>
        <v>8665.4798055249048</v>
      </c>
    </row>
    <row r="15" spans="1:127">
      <c r="C15" s="267" t="s">
        <v>235</v>
      </c>
      <c r="D15" s="207"/>
      <c r="E15" s="207"/>
      <c r="F15" s="207"/>
      <c r="G15" s="207"/>
      <c r="H15" s="220">
        <f>H13*$D$6/12</f>
        <v>6713.8888888888896</v>
      </c>
      <c r="I15" s="220">
        <f t="shared" ref="I15:BT15" si="5">I13*$D$6/12</f>
        <v>6689.494002430939</v>
      </c>
      <c r="J15" s="220">
        <f t="shared" si="5"/>
        <v>6664.7941798922629</v>
      </c>
      <c r="K15" s="220">
        <f t="shared" si="5"/>
        <v>6639.7856095718553</v>
      </c>
      <c r="L15" s="220">
        <f t="shared" si="5"/>
        <v>6614.4644321224414</v>
      </c>
      <c r="M15" s="220">
        <f t="shared" si="5"/>
        <v>6588.8267399549104</v>
      </c>
      <c r="N15" s="220">
        <f t="shared" si="5"/>
        <v>6562.8685766352855</v>
      </c>
      <c r="O15" s="220">
        <f t="shared" si="5"/>
        <v>6536.5859362741649</v>
      </c>
      <c r="P15" s="220">
        <f t="shared" si="5"/>
        <v>6509.9747629085314</v>
      </c>
      <c r="Q15" s="220">
        <f t="shared" si="5"/>
        <v>6483.0309498758252</v>
      </c>
      <c r="R15" s="220">
        <f t="shared" si="5"/>
        <v>6455.750339180212</v>
      </c>
      <c r="S15" s="220">
        <f t="shared" si="5"/>
        <v>6428.1287208509029</v>
      </c>
      <c r="T15" s="220">
        <f t="shared" si="5"/>
        <v>6400.1618322924778</v>
      </c>
      <c r="U15" s="220">
        <f t="shared" si="5"/>
        <v>6371.8453576270731</v>
      </c>
      <c r="V15" s="220">
        <f t="shared" si="5"/>
        <v>6343.1749270283499</v>
      </c>
      <c r="W15" s="220">
        <f t="shared" si="5"/>
        <v>6314.1461160471436</v>
      </c>
      <c r="X15" s="220">
        <f t="shared" si="5"/>
        <v>6284.7544449286715</v>
      </c>
      <c r="Y15" s="220">
        <f t="shared" si="5"/>
        <v>6254.9953779212183</v>
      </c>
      <c r="Z15" s="220">
        <f t="shared" si="5"/>
        <v>6224.8643225761725</v>
      </c>
      <c r="AA15" s="220">
        <f t="shared" si="5"/>
        <v>6194.3566290393128</v>
      </c>
      <c r="AB15" s="220">
        <f t="shared" si="5"/>
        <v>6163.4675893332424</v>
      </c>
      <c r="AC15" s="220">
        <f t="shared" si="5"/>
        <v>6132.1924366308476</v>
      </c>
      <c r="AD15" s="220">
        <f t="shared" si="5"/>
        <v>6100.5263445196715</v>
      </c>
      <c r="AE15" s="220">
        <f t="shared" si="5"/>
        <v>6068.4644262571055</v>
      </c>
      <c r="AF15" s="220">
        <f t="shared" si="5"/>
        <v>6036.0017340162585</v>
      </c>
      <c r="AG15" s="220">
        <f t="shared" si="5"/>
        <v>6003.1332581224005</v>
      </c>
      <c r="AH15" s="220">
        <f t="shared" si="5"/>
        <v>5969.8539262798695</v>
      </c>
      <c r="AI15" s="220">
        <f t="shared" si="5"/>
        <v>5936.1586027893063</v>
      </c>
      <c r="AJ15" s="220">
        <f t="shared" si="5"/>
        <v>5902.0420877551114</v>
      </c>
      <c r="AK15" s="220">
        <f t="shared" si="5"/>
        <v>5867.4991162829892</v>
      </c>
      <c r="AL15" s="220">
        <f t="shared" si="5"/>
        <v>5832.5243576674648</v>
      </c>
      <c r="AM15" s="220">
        <f t="shared" si="5"/>
        <v>5797.1124145692474</v>
      </c>
      <c r="AN15" s="220">
        <f t="shared" si="5"/>
        <v>5761.2578221823014</v>
      </c>
      <c r="AO15" s="220">
        <f t="shared" si="5"/>
        <v>5724.9550473905183</v>
      </c>
      <c r="AP15" s="220">
        <f t="shared" si="5"/>
        <v>5688.198487913839</v>
      </c>
      <c r="AQ15" s="220">
        <f t="shared" si="5"/>
        <v>5650.9824714437009</v>
      </c>
      <c r="AR15" s="220">
        <f t="shared" si="5"/>
        <v>5613.3012547676844</v>
      </c>
      <c r="AS15" s="220">
        <f t="shared" si="5"/>
        <v>5575.149022883219</v>
      </c>
      <c r="AT15" s="220">
        <f t="shared" si="5"/>
        <v>5536.5198881001988</v>
      </c>
      <c r="AU15" s="220">
        <f t="shared" si="5"/>
        <v>5497.4078891323888</v>
      </c>
      <c r="AV15" s="220">
        <f t="shared" si="5"/>
        <v>5457.8069901774825</v>
      </c>
      <c r="AW15" s="220">
        <f t="shared" si="5"/>
        <v>5417.7110799856391</v>
      </c>
      <c r="AX15" s="220">
        <f t="shared" si="5"/>
        <v>5377.113970916399</v>
      </c>
      <c r="AY15" s="220">
        <f t="shared" si="5"/>
        <v>5336.009397983792</v>
      </c>
      <c r="AZ15" s="220">
        <f t="shared" si="5"/>
        <v>5294.3910178895285</v>
      </c>
      <c r="BA15" s="220">
        <f t="shared" si="5"/>
        <v>5252.2524080440862</v>
      </c>
      <c r="BB15" s="220">
        <f t="shared" si="5"/>
        <v>5209.5870655755762</v>
      </c>
      <c r="BC15" s="220">
        <f t="shared" si="5"/>
        <v>5166.3884063262094</v>
      </c>
      <c r="BD15" s="220">
        <f t="shared" si="5"/>
        <v>5122.6497638362262</v>
      </c>
      <c r="BE15" s="220">
        <f t="shared" si="5"/>
        <v>5078.3643883151171</v>
      </c>
      <c r="BF15" s="220">
        <f t="shared" si="5"/>
        <v>5033.5254455999948</v>
      </c>
      <c r="BG15" s="220">
        <f t="shared" si="5"/>
        <v>4988.1260161009341</v>
      </c>
      <c r="BH15" s="220">
        <f t="shared" si="5"/>
        <v>4942.1590937331348</v>
      </c>
      <c r="BI15" s="220">
        <f t="shared" si="5"/>
        <v>4895.6175848357379</v>
      </c>
      <c r="BJ15" s="220">
        <f t="shared" si="5"/>
        <v>4848.4943070771233</v>
      </c>
      <c r="BK15" s="220">
        <f t="shared" si="5"/>
        <v>4800.7819883465254</v>
      </c>
      <c r="BL15" s="220">
        <f t="shared" si="5"/>
        <v>4752.4732656317956</v>
      </c>
      <c r="BM15" s="220">
        <f t="shared" si="5"/>
        <v>4703.5606838831318</v>
      </c>
      <c r="BN15" s="220">
        <f t="shared" si="5"/>
        <v>4654.0366948626097</v>
      </c>
      <c r="BO15" s="220">
        <f t="shared" si="5"/>
        <v>4603.893655979331</v>
      </c>
      <c r="BP15" s="220">
        <f t="shared" si="5"/>
        <v>4553.1238291100117</v>
      </c>
      <c r="BQ15" s="220">
        <f t="shared" si="5"/>
        <v>4501.7193794048262</v>
      </c>
      <c r="BR15" s="220">
        <f t="shared" si="5"/>
        <v>4449.6723740783245</v>
      </c>
      <c r="BS15" s="220">
        <f t="shared" si="5"/>
        <v>4396.974781185243</v>
      </c>
      <c r="BT15" s="220">
        <f t="shared" si="5"/>
        <v>4343.618468380997</v>
      </c>
      <c r="BU15" s="220">
        <f t="shared" ref="BU15:DW15" si="6">BU13*$D$6/12</f>
        <v>4289.5952016666979</v>
      </c>
      <c r="BV15" s="220">
        <f t="shared" si="6"/>
        <v>4234.8966441184702</v>
      </c>
      <c r="BW15" s="220">
        <f t="shared" si="6"/>
        <v>4179.5143546008894</v>
      </c>
      <c r="BX15" s="220">
        <f t="shared" si="6"/>
        <v>4123.4397864643397</v>
      </c>
      <c r="BY15" s="220">
        <f t="shared" si="6"/>
        <v>4066.6642862260828</v>
      </c>
      <c r="BZ15" s="220">
        <f t="shared" si="6"/>
        <v>4009.1790922348478</v>
      </c>
      <c r="CA15" s="220">
        <f t="shared" si="6"/>
        <v>3950.9753333187218</v>
      </c>
      <c r="CB15" s="220">
        <f t="shared" si="6"/>
        <v>3892.0440274161447</v>
      </c>
      <c r="CC15" s="220">
        <f t="shared" si="6"/>
        <v>3832.3760801897847</v>
      </c>
      <c r="CD15" s="220">
        <f t="shared" si="6"/>
        <v>3771.962283623096</v>
      </c>
      <c r="CE15" s="220">
        <f t="shared" si="6"/>
        <v>3710.7933145993234</v>
      </c>
      <c r="CF15" s="220">
        <f t="shared" si="6"/>
        <v>3648.8597334627539</v>
      </c>
      <c r="CG15" s="220">
        <f t="shared" si="6"/>
        <v>3586.1519825619775</v>
      </c>
      <c r="CH15" s="220">
        <f t="shared" si="6"/>
        <v>3522.6603847749407</v>
      </c>
      <c r="CI15" s="220">
        <f t="shared" si="6"/>
        <v>3458.3751420155659</v>
      </c>
      <c r="CJ15" s="220">
        <f t="shared" si="6"/>
        <v>3393.2863337216991</v>
      </c>
      <c r="CK15" s="220">
        <f t="shared" si="6"/>
        <v>3327.3839153241588</v>
      </c>
      <c r="CL15" s="220">
        <f t="shared" si="6"/>
        <v>3260.6577166966495</v>
      </c>
      <c r="CM15" s="220">
        <f t="shared" si="6"/>
        <v>3193.0974405862962</v>
      </c>
      <c r="CN15" s="220">
        <f t="shared" si="6"/>
        <v>3124.6926610245641</v>
      </c>
      <c r="CO15" s="220">
        <f t="shared" si="6"/>
        <v>3055.4328217183097</v>
      </c>
      <c r="CP15" s="220">
        <f t="shared" si="6"/>
        <v>2985.3072344207267</v>
      </c>
      <c r="CQ15" s="220">
        <f t="shared" si="6"/>
        <v>2914.3050772819247</v>
      </c>
      <c r="CR15" s="220">
        <f t="shared" si="6"/>
        <v>2842.4153931788878</v>
      </c>
      <c r="CS15" s="220">
        <f t="shared" si="6"/>
        <v>2769.6270880245625</v>
      </c>
      <c r="CT15" s="220">
        <f t="shared" si="6"/>
        <v>2695.9289290558081</v>
      </c>
      <c r="CU15" s="220">
        <f t="shared" si="6"/>
        <v>2621.3095430999442</v>
      </c>
      <c r="CV15" s="220">
        <f t="shared" si="6"/>
        <v>2545.7574148196322</v>
      </c>
      <c r="CW15" s="220">
        <f t="shared" si="6"/>
        <v>2469.2608849358162</v>
      </c>
      <c r="CX15" s="220">
        <f t="shared" si="6"/>
        <v>2391.8081484284526</v>
      </c>
      <c r="CY15" s="220">
        <f t="shared" si="6"/>
        <v>2313.3872527147473</v>
      </c>
      <c r="CZ15" s="220">
        <f t="shared" si="6"/>
        <v>2233.9860958046202</v>
      </c>
      <c r="DA15" s="220">
        <f t="shared" si="6"/>
        <v>2153.5924244331168</v>
      </c>
      <c r="DB15" s="220">
        <f t="shared" si="6"/>
        <v>2072.1938321694693</v>
      </c>
      <c r="DC15" s="220">
        <f t="shared" si="6"/>
        <v>1989.7777575025264</v>
      </c>
      <c r="DD15" s="220">
        <f t="shared" si="6"/>
        <v>1906.3314819022462</v>
      </c>
      <c r="DE15" s="220">
        <f t="shared" si="6"/>
        <v>1821.8421278569631</v>
      </c>
      <c r="DF15" s="220">
        <f t="shared" si="6"/>
        <v>1736.2966568861139</v>
      </c>
      <c r="DG15" s="220">
        <f t="shared" si="6"/>
        <v>1649.681867528129</v>
      </c>
      <c r="DH15" s="220">
        <f t="shared" si="6"/>
        <v>1561.9843933031696</v>
      </c>
      <c r="DI15" s="220">
        <f t="shared" si="6"/>
        <v>1473.1907006503977</v>
      </c>
      <c r="DJ15" s="220">
        <f t="shared" si="6"/>
        <v>1383.2870868394664</v>
      </c>
      <c r="DK15" s="220">
        <f t="shared" si="6"/>
        <v>1292.2596778558984</v>
      </c>
      <c r="DL15" s="220">
        <f t="shared" si="6"/>
        <v>1200.0944262600358</v>
      </c>
      <c r="DM15" s="220">
        <f t="shared" si="6"/>
        <v>1106.7771090192248</v>
      </c>
      <c r="DN15" s="220">
        <f t="shared" si="6"/>
        <v>1012.2933253129039</v>
      </c>
      <c r="DO15" s="220">
        <f t="shared" si="6"/>
        <v>916.62849431025381</v>
      </c>
      <c r="DP15" s="220">
        <f t="shared" si="6"/>
        <v>819.76785292007071</v>
      </c>
      <c r="DQ15" s="220">
        <f t="shared" si="6"/>
        <v>721.69645351251029</v>
      </c>
      <c r="DR15" s="220">
        <f t="shared" si="6"/>
        <v>622.39916161235544</v>
      </c>
      <c r="DS15" s="220">
        <f t="shared" si="6"/>
        <v>521.86065356344852</v>
      </c>
      <c r="DT15" s="220">
        <f t="shared" si="6"/>
        <v>420.06541416393026</v>
      </c>
      <c r="DU15" s="220">
        <f t="shared" si="6"/>
        <v>316.99773427191809</v>
      </c>
      <c r="DV15" s="220">
        <f t="shared" si="6"/>
        <v>212.64170838125577</v>
      </c>
      <c r="DW15" s="221">
        <f t="shared" si="6"/>
        <v>106.98123216696017</v>
      </c>
    </row>
    <row r="16" spans="1:127">
      <c r="C16" s="267" t="s">
        <v>236</v>
      </c>
      <c r="D16" s="207"/>
      <c r="E16" s="207"/>
      <c r="F16" s="207"/>
      <c r="G16" s="207"/>
      <c r="H16" s="220">
        <f>H14-H15</f>
        <v>1951.5909166360152</v>
      </c>
      <c r="I16" s="220">
        <f t="shared" ref="I16:BT16" si="7">I14-I15</f>
        <v>1975.9858030939658</v>
      </c>
      <c r="J16" s="220">
        <f t="shared" si="7"/>
        <v>2000.6856256326419</v>
      </c>
      <c r="K16" s="220">
        <f t="shared" si="7"/>
        <v>2025.6941959530495</v>
      </c>
      <c r="L16" s="220">
        <f t="shared" si="7"/>
        <v>2051.0153734024634</v>
      </c>
      <c r="M16" s="220">
        <f t="shared" si="7"/>
        <v>2076.6530655699944</v>
      </c>
      <c r="N16" s="220">
        <f t="shared" si="7"/>
        <v>2102.6112288896193</v>
      </c>
      <c r="O16" s="220">
        <f t="shared" si="7"/>
        <v>2128.89386925074</v>
      </c>
      <c r="P16" s="220">
        <f t="shared" si="7"/>
        <v>2155.5050426163734</v>
      </c>
      <c r="Q16" s="220">
        <f t="shared" si="7"/>
        <v>2182.4488556490796</v>
      </c>
      <c r="R16" s="220">
        <f t="shared" si="7"/>
        <v>2209.7294663446928</v>
      </c>
      <c r="S16" s="220">
        <f t="shared" si="7"/>
        <v>2237.3510846740019</v>
      </c>
      <c r="T16" s="220">
        <f t="shared" si="7"/>
        <v>2265.317973232427</v>
      </c>
      <c r="U16" s="220">
        <f t="shared" si="7"/>
        <v>2293.6344478978317</v>
      </c>
      <c r="V16" s="220">
        <f t="shared" si="7"/>
        <v>2322.3048784965549</v>
      </c>
      <c r="W16" s="220">
        <f t="shared" si="7"/>
        <v>2351.3336894777613</v>
      </c>
      <c r="X16" s="220">
        <f t="shared" si="7"/>
        <v>2380.7253605962333</v>
      </c>
      <c r="Y16" s="220">
        <f t="shared" si="7"/>
        <v>2410.4844276036865</v>
      </c>
      <c r="Z16" s="220">
        <f t="shared" si="7"/>
        <v>2440.6154829487323</v>
      </c>
      <c r="AA16" s="220">
        <f t="shared" si="7"/>
        <v>2471.123176485592</v>
      </c>
      <c r="AB16" s="220">
        <f t="shared" si="7"/>
        <v>2502.0122161916624</v>
      </c>
      <c r="AC16" s="220">
        <f t="shared" si="7"/>
        <v>2533.2873688940572</v>
      </c>
      <c r="AD16" s="220">
        <f t="shared" si="7"/>
        <v>2564.9534610052333</v>
      </c>
      <c r="AE16" s="220">
        <f t="shared" si="7"/>
        <v>2597.0153792677993</v>
      </c>
      <c r="AF16" s="220">
        <f t="shared" si="7"/>
        <v>2629.4780715086463</v>
      </c>
      <c r="AG16" s="220">
        <f t="shared" si="7"/>
        <v>2662.3465474025043</v>
      </c>
      <c r="AH16" s="220">
        <f t="shared" si="7"/>
        <v>2695.6258792450353</v>
      </c>
      <c r="AI16" s="220">
        <f t="shared" si="7"/>
        <v>2729.3212027355985</v>
      </c>
      <c r="AJ16" s="220">
        <f t="shared" si="7"/>
        <v>2763.4377177697934</v>
      </c>
      <c r="AK16" s="220">
        <f t="shared" si="7"/>
        <v>2797.9806892419156</v>
      </c>
      <c r="AL16" s="220">
        <f t="shared" si="7"/>
        <v>2832.95544785744</v>
      </c>
      <c r="AM16" s="220">
        <f t="shared" si="7"/>
        <v>2868.3673909556574</v>
      </c>
      <c r="AN16" s="220">
        <f t="shared" si="7"/>
        <v>2904.2219833426034</v>
      </c>
      <c r="AO16" s="220">
        <f t="shared" si="7"/>
        <v>2940.5247581343865</v>
      </c>
      <c r="AP16" s="220">
        <f t="shared" si="7"/>
        <v>2977.2813176110658</v>
      </c>
      <c r="AQ16" s="220">
        <f t="shared" si="7"/>
        <v>3014.4973340812039</v>
      </c>
      <c r="AR16" s="220">
        <f t="shared" si="7"/>
        <v>3052.1785507572204</v>
      </c>
      <c r="AS16" s="220">
        <f t="shared" si="7"/>
        <v>3090.3307826416858</v>
      </c>
      <c r="AT16" s="220">
        <f t="shared" si="7"/>
        <v>3128.959917424706</v>
      </c>
      <c r="AU16" s="220">
        <f t="shared" si="7"/>
        <v>3168.071916392516</v>
      </c>
      <c r="AV16" s="220">
        <f t="shared" si="7"/>
        <v>3207.6728153474223</v>
      </c>
      <c r="AW16" s="220">
        <f t="shared" si="7"/>
        <v>3247.7687255392657</v>
      </c>
      <c r="AX16" s="220">
        <f t="shared" si="7"/>
        <v>3288.3658346085058</v>
      </c>
      <c r="AY16" s="220">
        <f t="shared" si="7"/>
        <v>3329.4704075411128</v>
      </c>
      <c r="AZ16" s="220">
        <f t="shared" si="7"/>
        <v>3371.0887876353763</v>
      </c>
      <c r="BA16" s="220">
        <f t="shared" si="7"/>
        <v>3413.2273974808186</v>
      </c>
      <c r="BB16" s="220">
        <f t="shared" si="7"/>
        <v>3455.8927399493286</v>
      </c>
      <c r="BC16" s="220">
        <f t="shared" si="7"/>
        <v>3499.0913991986954</v>
      </c>
      <c r="BD16" s="220">
        <f t="shared" si="7"/>
        <v>3542.8300416886786</v>
      </c>
      <c r="BE16" s="220">
        <f t="shared" si="7"/>
        <v>3587.1154172097877</v>
      </c>
      <c r="BF16" s="220">
        <f t="shared" si="7"/>
        <v>3631.95435992491</v>
      </c>
      <c r="BG16" s="220">
        <f t="shared" si="7"/>
        <v>3677.3537894239707</v>
      </c>
      <c r="BH16" s="220">
        <f t="shared" si="7"/>
        <v>3723.32071179177</v>
      </c>
      <c r="BI16" s="220">
        <f t="shared" si="7"/>
        <v>3769.8622206891669</v>
      </c>
      <c r="BJ16" s="220">
        <f t="shared" si="7"/>
        <v>3816.9854984477815</v>
      </c>
      <c r="BK16" s="220">
        <f t="shared" si="7"/>
        <v>3864.6978171783794</v>
      </c>
      <c r="BL16" s="220">
        <f t="shared" si="7"/>
        <v>3913.0065398931092</v>
      </c>
      <c r="BM16" s="220">
        <f t="shared" si="7"/>
        <v>3961.919121641773</v>
      </c>
      <c r="BN16" s="220">
        <f t="shared" si="7"/>
        <v>4011.4431106622951</v>
      </c>
      <c r="BO16" s="220">
        <f t="shared" si="7"/>
        <v>4061.5861495455738</v>
      </c>
      <c r="BP16" s="220">
        <f t="shared" si="7"/>
        <v>4112.3559764148931</v>
      </c>
      <c r="BQ16" s="220">
        <f t="shared" si="7"/>
        <v>4163.7604261200786</v>
      </c>
      <c r="BR16" s="220">
        <f t="shared" si="7"/>
        <v>4215.8074314465803</v>
      </c>
      <c r="BS16" s="220">
        <f t="shared" si="7"/>
        <v>4268.5050243396618</v>
      </c>
      <c r="BT16" s="220">
        <f t="shared" si="7"/>
        <v>4321.8613371439078</v>
      </c>
      <c r="BU16" s="220">
        <f t="shared" ref="BU16:DW16" si="8">BU14-BU15</f>
        <v>4375.8846038582069</v>
      </c>
      <c r="BV16" s="220">
        <f t="shared" si="8"/>
        <v>4430.5831614064346</v>
      </c>
      <c r="BW16" s="220">
        <f t="shared" si="8"/>
        <v>4485.9654509240154</v>
      </c>
      <c r="BX16" s="220">
        <f t="shared" si="8"/>
        <v>4542.0400190605651</v>
      </c>
      <c r="BY16" s="220">
        <f t="shared" si="8"/>
        <v>4598.8155192988215</v>
      </c>
      <c r="BZ16" s="220">
        <f t="shared" si="8"/>
        <v>4656.3007132900566</v>
      </c>
      <c r="CA16" s="220">
        <f t="shared" si="8"/>
        <v>4714.504472206183</v>
      </c>
      <c r="CB16" s="220">
        <f t="shared" si="8"/>
        <v>4773.4357781087601</v>
      </c>
      <c r="CC16" s="220">
        <f t="shared" si="8"/>
        <v>4833.1037253351205</v>
      </c>
      <c r="CD16" s="220">
        <f t="shared" si="8"/>
        <v>4893.5175219018092</v>
      </c>
      <c r="CE16" s="220">
        <f t="shared" si="8"/>
        <v>4954.6864909255819</v>
      </c>
      <c r="CF16" s="220">
        <f t="shared" si="8"/>
        <v>5016.6200720621509</v>
      </c>
      <c r="CG16" s="220">
        <f t="shared" si="8"/>
        <v>5079.3278229629268</v>
      </c>
      <c r="CH16" s="220">
        <f t="shared" si="8"/>
        <v>5142.8194207499637</v>
      </c>
      <c r="CI16" s="220">
        <f t="shared" si="8"/>
        <v>5207.1046635093389</v>
      </c>
      <c r="CJ16" s="220">
        <f t="shared" si="8"/>
        <v>5272.1934718032062</v>
      </c>
      <c r="CK16" s="220">
        <f t="shared" si="8"/>
        <v>5338.095890200746</v>
      </c>
      <c r="CL16" s="220">
        <f t="shared" si="8"/>
        <v>5404.8220888282558</v>
      </c>
      <c r="CM16" s="220">
        <f t="shared" si="8"/>
        <v>5472.3823649386086</v>
      </c>
      <c r="CN16" s="220">
        <f t="shared" si="8"/>
        <v>5540.7871445003402</v>
      </c>
      <c r="CO16" s="220">
        <f t="shared" si="8"/>
        <v>5610.0469838065947</v>
      </c>
      <c r="CP16" s="220">
        <f t="shared" si="8"/>
        <v>5680.1725711041781</v>
      </c>
      <c r="CQ16" s="220">
        <f t="shared" si="8"/>
        <v>5751.1747282429806</v>
      </c>
      <c r="CR16" s="220">
        <f t="shared" si="8"/>
        <v>5823.064412346017</v>
      </c>
      <c r="CS16" s="220">
        <f t="shared" si="8"/>
        <v>5895.8527175003419</v>
      </c>
      <c r="CT16" s="220">
        <f t="shared" si="8"/>
        <v>5969.5508764690967</v>
      </c>
      <c r="CU16" s="220">
        <f t="shared" si="8"/>
        <v>6044.170262424961</v>
      </c>
      <c r="CV16" s="220">
        <f t="shared" si="8"/>
        <v>6119.7223907052721</v>
      </c>
      <c r="CW16" s="220">
        <f t="shared" si="8"/>
        <v>6196.2189205890882</v>
      </c>
      <c r="CX16" s="220">
        <f t="shared" si="8"/>
        <v>6273.6716570964527</v>
      </c>
      <c r="CY16" s="220">
        <f t="shared" si="8"/>
        <v>6352.0925528101579</v>
      </c>
      <c r="CZ16" s="220">
        <f t="shared" si="8"/>
        <v>6431.4937097202846</v>
      </c>
      <c r="DA16" s="220">
        <f t="shared" si="8"/>
        <v>6511.8873810917885</v>
      </c>
      <c r="DB16" s="220">
        <f t="shared" si="8"/>
        <v>6593.285973355436</v>
      </c>
      <c r="DC16" s="220">
        <f t="shared" si="8"/>
        <v>6675.7020480223782</v>
      </c>
      <c r="DD16" s="220">
        <f t="shared" si="8"/>
        <v>6759.1483236226586</v>
      </c>
      <c r="DE16" s="220">
        <f t="shared" si="8"/>
        <v>6843.6376776679417</v>
      </c>
      <c r="DF16" s="220">
        <f t="shared" si="8"/>
        <v>6929.183148638791</v>
      </c>
      <c r="DG16" s="220">
        <f t="shared" si="8"/>
        <v>7015.7979379967755</v>
      </c>
      <c r="DH16" s="220">
        <f t="shared" si="8"/>
        <v>7103.495412221735</v>
      </c>
      <c r="DI16" s="220">
        <f t="shared" si="8"/>
        <v>7192.2891048745068</v>
      </c>
      <c r="DJ16" s="220">
        <f t="shared" si="8"/>
        <v>7282.1927186854382</v>
      </c>
      <c r="DK16" s="220">
        <f t="shared" si="8"/>
        <v>7373.2201276690066</v>
      </c>
      <c r="DL16" s="220">
        <f t="shared" si="8"/>
        <v>7465.3853792648688</v>
      </c>
      <c r="DM16" s="220">
        <f t="shared" si="8"/>
        <v>7558.7026965056803</v>
      </c>
      <c r="DN16" s="220">
        <f t="shared" si="8"/>
        <v>7653.1864802120008</v>
      </c>
      <c r="DO16" s="220">
        <f t="shared" si="8"/>
        <v>7748.8513112146511</v>
      </c>
      <c r="DP16" s="220">
        <f t="shared" si="8"/>
        <v>7845.7119526048336</v>
      </c>
      <c r="DQ16" s="220">
        <f t="shared" si="8"/>
        <v>7943.783352012395</v>
      </c>
      <c r="DR16" s="220">
        <f t="shared" si="8"/>
        <v>8043.080643912549</v>
      </c>
      <c r="DS16" s="220">
        <f t="shared" si="8"/>
        <v>8143.6191519614567</v>
      </c>
      <c r="DT16" s="220">
        <f t="shared" si="8"/>
        <v>8245.4143913609751</v>
      </c>
      <c r="DU16" s="220">
        <f t="shared" si="8"/>
        <v>8348.4820712529872</v>
      </c>
      <c r="DV16" s="220">
        <f t="shared" si="8"/>
        <v>8452.8380971436491</v>
      </c>
      <c r="DW16" s="221">
        <f t="shared" si="8"/>
        <v>8558.4985733579451</v>
      </c>
    </row>
    <row r="17" spans="2:127" ht="15" thickBot="1">
      <c r="C17" s="343" t="s">
        <v>237</v>
      </c>
      <c r="D17" s="231"/>
      <c r="E17" s="231"/>
      <c r="F17" s="231"/>
      <c r="G17" s="231"/>
      <c r="H17" s="344">
        <f>H13-H16</f>
        <v>535159.52019447507</v>
      </c>
      <c r="I17" s="344">
        <f t="shared" ref="I17:BT17" si="9">I13-I16</f>
        <v>533183.53439138108</v>
      </c>
      <c r="J17" s="344">
        <f t="shared" si="9"/>
        <v>531182.84876574844</v>
      </c>
      <c r="K17" s="344">
        <f t="shared" si="9"/>
        <v>529157.15456979536</v>
      </c>
      <c r="L17" s="344">
        <f t="shared" si="9"/>
        <v>527106.13919639285</v>
      </c>
      <c r="M17" s="344">
        <f t="shared" si="9"/>
        <v>525029.4861308228</v>
      </c>
      <c r="N17" s="344">
        <f t="shared" si="9"/>
        <v>522926.87490193319</v>
      </c>
      <c r="O17" s="344">
        <f t="shared" si="9"/>
        <v>520797.98103268247</v>
      </c>
      <c r="P17" s="344">
        <f t="shared" si="9"/>
        <v>518642.47599006607</v>
      </c>
      <c r="Q17" s="344">
        <f t="shared" si="9"/>
        <v>516460.02713441697</v>
      </c>
      <c r="R17" s="344">
        <f t="shared" si="9"/>
        <v>514250.29766807228</v>
      </c>
      <c r="S17" s="344">
        <f t="shared" si="9"/>
        <v>512012.94658339827</v>
      </c>
      <c r="T17" s="344">
        <f t="shared" si="9"/>
        <v>509747.62861016585</v>
      </c>
      <c r="U17" s="344">
        <f t="shared" si="9"/>
        <v>507453.99416226801</v>
      </c>
      <c r="V17" s="344">
        <f t="shared" si="9"/>
        <v>505131.68928377144</v>
      </c>
      <c r="W17" s="344">
        <f t="shared" si="9"/>
        <v>502780.35559429368</v>
      </c>
      <c r="X17" s="344">
        <f t="shared" si="9"/>
        <v>500399.63023369742</v>
      </c>
      <c r="Y17" s="344">
        <f t="shared" si="9"/>
        <v>497989.14580609376</v>
      </c>
      <c r="Z17" s="344">
        <f t="shared" si="9"/>
        <v>495548.53032314504</v>
      </c>
      <c r="AA17" s="344">
        <f t="shared" si="9"/>
        <v>493077.40714665945</v>
      </c>
      <c r="AB17" s="344">
        <f t="shared" si="9"/>
        <v>490575.39493046777</v>
      </c>
      <c r="AC17" s="344">
        <f t="shared" si="9"/>
        <v>488042.10756157374</v>
      </c>
      <c r="AD17" s="344">
        <f t="shared" si="9"/>
        <v>485477.1541005685</v>
      </c>
      <c r="AE17" s="344">
        <f t="shared" si="9"/>
        <v>482880.1387213007</v>
      </c>
      <c r="AF17" s="344">
        <f t="shared" si="9"/>
        <v>480250.66064979206</v>
      </c>
      <c r="AG17" s="344">
        <f t="shared" si="9"/>
        <v>477588.31410238956</v>
      </c>
      <c r="AH17" s="344">
        <f t="shared" si="9"/>
        <v>474892.68822314451</v>
      </c>
      <c r="AI17" s="344">
        <f t="shared" si="9"/>
        <v>472163.36702040891</v>
      </c>
      <c r="AJ17" s="344">
        <f t="shared" si="9"/>
        <v>469399.9293026391</v>
      </c>
      <c r="AK17" s="344">
        <f t="shared" si="9"/>
        <v>466601.9486133972</v>
      </c>
      <c r="AL17" s="344">
        <f t="shared" si="9"/>
        <v>463768.99316553975</v>
      </c>
      <c r="AM17" s="344">
        <f t="shared" si="9"/>
        <v>460900.62577458407</v>
      </c>
      <c r="AN17" s="344">
        <f t="shared" si="9"/>
        <v>457996.40379124146</v>
      </c>
      <c r="AO17" s="344">
        <f t="shared" si="9"/>
        <v>455055.87903310708</v>
      </c>
      <c r="AP17" s="344">
        <f t="shared" si="9"/>
        <v>452078.59771549603</v>
      </c>
      <c r="AQ17" s="344">
        <f t="shared" si="9"/>
        <v>449064.10038141481</v>
      </c>
      <c r="AR17" s="344">
        <f t="shared" si="9"/>
        <v>446011.92183065758</v>
      </c>
      <c r="AS17" s="344">
        <f t="shared" si="9"/>
        <v>442921.59104801586</v>
      </c>
      <c r="AT17" s="344">
        <f t="shared" si="9"/>
        <v>439792.63113059115</v>
      </c>
      <c r="AU17" s="344">
        <f t="shared" si="9"/>
        <v>436624.55921419861</v>
      </c>
      <c r="AV17" s="344">
        <f t="shared" si="9"/>
        <v>433416.88639885117</v>
      </c>
      <c r="AW17" s="344">
        <f t="shared" si="9"/>
        <v>430169.11767331191</v>
      </c>
      <c r="AX17" s="344">
        <f t="shared" si="9"/>
        <v>426880.75183870341</v>
      </c>
      <c r="AY17" s="344">
        <f t="shared" si="9"/>
        <v>423551.28143116232</v>
      </c>
      <c r="AZ17" s="344">
        <f t="shared" si="9"/>
        <v>420180.19264352694</v>
      </c>
      <c r="BA17" s="344">
        <f t="shared" si="9"/>
        <v>416766.96524604614</v>
      </c>
      <c r="BB17" s="344">
        <f t="shared" si="9"/>
        <v>413311.0725060968</v>
      </c>
      <c r="BC17" s="344">
        <f t="shared" si="9"/>
        <v>409811.98110689811</v>
      </c>
      <c r="BD17" s="344">
        <f t="shared" si="9"/>
        <v>406269.15106520941</v>
      </c>
      <c r="BE17" s="344">
        <f t="shared" si="9"/>
        <v>402682.03564799961</v>
      </c>
      <c r="BF17" s="344">
        <f t="shared" si="9"/>
        <v>399050.08128807473</v>
      </c>
      <c r="BG17" s="344">
        <f t="shared" si="9"/>
        <v>395372.72749865078</v>
      </c>
      <c r="BH17" s="344">
        <f t="shared" si="9"/>
        <v>391649.40678685904</v>
      </c>
      <c r="BI17" s="344">
        <f t="shared" si="9"/>
        <v>387879.54456616985</v>
      </c>
      <c r="BJ17" s="344">
        <f t="shared" si="9"/>
        <v>384062.55906772206</v>
      </c>
      <c r="BK17" s="344">
        <f t="shared" si="9"/>
        <v>380197.86125054368</v>
      </c>
      <c r="BL17" s="344">
        <f t="shared" si="9"/>
        <v>376284.85471065057</v>
      </c>
      <c r="BM17" s="344">
        <f t="shared" si="9"/>
        <v>372322.93558900879</v>
      </c>
      <c r="BN17" s="344">
        <f t="shared" si="9"/>
        <v>368311.49247834651</v>
      </c>
      <c r="BO17" s="344">
        <f t="shared" si="9"/>
        <v>364249.90632880095</v>
      </c>
      <c r="BP17" s="344">
        <f t="shared" si="9"/>
        <v>360137.55035238608</v>
      </c>
      <c r="BQ17" s="344">
        <f t="shared" si="9"/>
        <v>355973.78992626601</v>
      </c>
      <c r="BR17" s="344">
        <f t="shared" si="9"/>
        <v>351757.98249481944</v>
      </c>
      <c r="BS17" s="344">
        <f t="shared" si="9"/>
        <v>347489.47747047979</v>
      </c>
      <c r="BT17" s="344">
        <f t="shared" si="9"/>
        <v>343167.61613333586</v>
      </c>
      <c r="BU17" s="344">
        <f t="shared" ref="BU17:DW17" si="10">BU13-BU16</f>
        <v>338791.73152947763</v>
      </c>
      <c r="BV17" s="344">
        <f t="shared" si="10"/>
        <v>334361.14836807118</v>
      </c>
      <c r="BW17" s="344">
        <f t="shared" si="10"/>
        <v>329875.18291714718</v>
      </c>
      <c r="BX17" s="344">
        <f t="shared" si="10"/>
        <v>325333.14289808663</v>
      </c>
      <c r="BY17" s="344">
        <f t="shared" si="10"/>
        <v>320734.3273787878</v>
      </c>
      <c r="BZ17" s="344">
        <f t="shared" si="10"/>
        <v>316078.02666549775</v>
      </c>
      <c r="CA17" s="344">
        <f t="shared" si="10"/>
        <v>311363.52219329157</v>
      </c>
      <c r="CB17" s="344">
        <f t="shared" si="10"/>
        <v>306590.0864151828</v>
      </c>
      <c r="CC17" s="344">
        <f t="shared" si="10"/>
        <v>301756.9826898477</v>
      </c>
      <c r="CD17" s="344">
        <f t="shared" si="10"/>
        <v>296863.46516794589</v>
      </c>
      <c r="CE17" s="344">
        <f t="shared" si="10"/>
        <v>291908.77867702034</v>
      </c>
      <c r="CF17" s="344">
        <f t="shared" si="10"/>
        <v>286892.15860495821</v>
      </c>
      <c r="CG17" s="344">
        <f t="shared" si="10"/>
        <v>281812.83078199526</v>
      </c>
      <c r="CH17" s="344">
        <f t="shared" si="10"/>
        <v>276670.0113612453</v>
      </c>
      <c r="CI17" s="344">
        <f t="shared" si="10"/>
        <v>271462.90669773595</v>
      </c>
      <c r="CJ17" s="344">
        <f t="shared" si="10"/>
        <v>266190.71322593273</v>
      </c>
      <c r="CK17" s="344">
        <f t="shared" si="10"/>
        <v>260852.61733573198</v>
      </c>
      <c r="CL17" s="344">
        <f t="shared" si="10"/>
        <v>255447.79524690373</v>
      </c>
      <c r="CM17" s="344">
        <f t="shared" si="10"/>
        <v>249975.41288196511</v>
      </c>
      <c r="CN17" s="344">
        <f t="shared" si="10"/>
        <v>244434.62573746475</v>
      </c>
      <c r="CO17" s="344">
        <f t="shared" si="10"/>
        <v>238824.57875365816</v>
      </c>
      <c r="CP17" s="344">
        <f t="shared" si="10"/>
        <v>233144.406182554</v>
      </c>
      <c r="CQ17" s="344">
        <f t="shared" si="10"/>
        <v>227393.23145431103</v>
      </c>
      <c r="CR17" s="344">
        <f t="shared" si="10"/>
        <v>221570.167041965</v>
      </c>
      <c r="CS17" s="344">
        <f t="shared" si="10"/>
        <v>215674.31432446465</v>
      </c>
      <c r="CT17" s="344">
        <f t="shared" si="10"/>
        <v>209704.76344799556</v>
      </c>
      <c r="CU17" s="344">
        <f t="shared" si="10"/>
        <v>203660.59318557059</v>
      </c>
      <c r="CV17" s="344">
        <f t="shared" si="10"/>
        <v>197540.8707948653</v>
      </c>
      <c r="CW17" s="344">
        <f t="shared" si="10"/>
        <v>191344.65187427623</v>
      </c>
      <c r="CX17" s="344">
        <f t="shared" si="10"/>
        <v>185070.98021717978</v>
      </c>
      <c r="CY17" s="344">
        <f t="shared" si="10"/>
        <v>178718.88766436963</v>
      </c>
      <c r="CZ17" s="344">
        <f t="shared" si="10"/>
        <v>172287.39395464933</v>
      </c>
      <c r="DA17" s="344">
        <f t="shared" si="10"/>
        <v>165775.50657355753</v>
      </c>
      <c r="DB17" s="344">
        <f t="shared" si="10"/>
        <v>159182.2206002021</v>
      </c>
      <c r="DC17" s="344">
        <f t="shared" si="10"/>
        <v>152506.51855217971</v>
      </c>
      <c r="DD17" s="344">
        <f t="shared" si="10"/>
        <v>145747.37022855706</v>
      </c>
      <c r="DE17" s="344">
        <f t="shared" si="10"/>
        <v>138903.73255088911</v>
      </c>
      <c r="DF17" s="344">
        <f t="shared" si="10"/>
        <v>131974.54940225033</v>
      </c>
      <c r="DG17" s="344">
        <f t="shared" si="10"/>
        <v>124958.75146425355</v>
      </c>
      <c r="DH17" s="344">
        <f t="shared" si="10"/>
        <v>117855.25605203182</v>
      </c>
      <c r="DI17" s="344">
        <f t="shared" si="10"/>
        <v>110662.96694715731</v>
      </c>
      <c r="DJ17" s="344">
        <f t="shared" si="10"/>
        <v>103380.77422847187</v>
      </c>
      <c r="DK17" s="344">
        <f t="shared" si="10"/>
        <v>96007.554100802867</v>
      </c>
      <c r="DL17" s="344">
        <f t="shared" si="10"/>
        <v>88542.168721537993</v>
      </c>
      <c r="DM17" s="344">
        <f t="shared" si="10"/>
        <v>80983.466025032307</v>
      </c>
      <c r="DN17" s="344">
        <f t="shared" si="10"/>
        <v>73330.279544820311</v>
      </c>
      <c r="DO17" s="344">
        <f t="shared" si="10"/>
        <v>65581.428233605664</v>
      </c>
      <c r="DP17" s="344">
        <f t="shared" si="10"/>
        <v>57735.71628100083</v>
      </c>
      <c r="DQ17" s="344">
        <f t="shared" si="10"/>
        <v>49791.932928988434</v>
      </c>
      <c r="DR17" s="344">
        <f t="shared" si="10"/>
        <v>41748.852285075882</v>
      </c>
      <c r="DS17" s="344">
        <f t="shared" si="10"/>
        <v>33605.233133114423</v>
      </c>
      <c r="DT17" s="344">
        <f t="shared" si="10"/>
        <v>25359.81874175345</v>
      </c>
      <c r="DU17" s="344">
        <f t="shared" si="10"/>
        <v>17011.336670500463</v>
      </c>
      <c r="DV17" s="344">
        <f t="shared" si="10"/>
        <v>8558.4985733568137</v>
      </c>
      <c r="DW17" s="345">
        <f t="shared" si="10"/>
        <v>-1.1314114090055227E-9</v>
      </c>
    </row>
    <row r="19" spans="2:127" ht="15" thickBot="1"/>
    <row r="20" spans="2:127">
      <c r="C20" s="332" t="s">
        <v>238</v>
      </c>
      <c r="D20" s="333"/>
      <c r="E20" s="333"/>
      <c r="F20" s="333"/>
      <c r="G20" s="333"/>
      <c r="H20" s="334" t="s">
        <v>169</v>
      </c>
      <c r="I20" s="334"/>
      <c r="J20" s="334"/>
      <c r="K20" s="334"/>
      <c r="L20" s="334"/>
      <c r="M20" s="334"/>
      <c r="N20" s="334"/>
      <c r="O20" s="334"/>
      <c r="P20" s="334"/>
      <c r="Q20" s="335"/>
    </row>
    <row r="21" spans="2:127">
      <c r="C21" s="346"/>
      <c r="D21" s="347"/>
      <c r="E21" s="348"/>
      <c r="F21" s="348"/>
      <c r="G21" s="348"/>
      <c r="H21" s="349" t="s">
        <v>139</v>
      </c>
      <c r="I21" s="349" t="s">
        <v>140</v>
      </c>
      <c r="J21" s="349" t="s">
        <v>141</v>
      </c>
      <c r="K21" s="349" t="s">
        <v>142</v>
      </c>
      <c r="L21" s="349" t="s">
        <v>143</v>
      </c>
      <c r="M21" s="349" t="s">
        <v>144</v>
      </c>
      <c r="N21" s="349" t="s">
        <v>145</v>
      </c>
      <c r="O21" s="349" t="s">
        <v>146</v>
      </c>
      <c r="P21" s="349" t="s">
        <v>147</v>
      </c>
      <c r="Q21" s="350" t="s">
        <v>148</v>
      </c>
    </row>
    <row r="22" spans="2:127">
      <c r="C22" s="351" t="s">
        <v>234</v>
      </c>
      <c r="D22" s="352"/>
      <c r="E22" s="352"/>
      <c r="F22" s="352"/>
      <c r="G22" s="352"/>
      <c r="H22" s="353">
        <f>H13</f>
        <v>537111.11111111112</v>
      </c>
      <c r="I22" s="353">
        <f>H26</f>
        <v>512012.9465833985</v>
      </c>
      <c r="J22" s="353">
        <f>I26</f>
        <v>482880.13872130093</v>
      </c>
      <c r="K22" s="353">
        <f t="shared" ref="K22:Q22" si="11">J26</f>
        <v>449064.1003814151</v>
      </c>
      <c r="L22" s="353">
        <f t="shared" si="11"/>
        <v>409811.98110689846</v>
      </c>
      <c r="M22" s="353">
        <f t="shared" si="11"/>
        <v>364249.90632880124</v>
      </c>
      <c r="N22" s="353">
        <f t="shared" si="11"/>
        <v>311363.52219329181</v>
      </c>
      <c r="O22" s="353">
        <f t="shared" si="11"/>
        <v>249975.41288196534</v>
      </c>
      <c r="P22" s="353">
        <f>O26</f>
        <v>178718.88766436986</v>
      </c>
      <c r="Q22" s="354">
        <f t="shared" si="11"/>
        <v>96007.554100803129</v>
      </c>
    </row>
    <row r="23" spans="2:127">
      <c r="C23" s="355" t="s">
        <v>232</v>
      </c>
      <c r="H23" s="127">
        <f>SUM(H14:S14)</f>
        <v>103985.75766629883</v>
      </c>
      <c r="I23" s="127">
        <f>H23</f>
        <v>103985.75766629883</v>
      </c>
      <c r="J23" s="127">
        <f t="shared" ref="J23:P23" si="12">I23</f>
        <v>103985.75766629883</v>
      </c>
      <c r="K23" s="127">
        <f t="shared" si="12"/>
        <v>103985.75766629883</v>
      </c>
      <c r="L23" s="127">
        <f>K23</f>
        <v>103985.75766629883</v>
      </c>
      <c r="M23" s="127">
        <f t="shared" si="12"/>
        <v>103985.75766629883</v>
      </c>
      <c r="N23" s="127">
        <f t="shared" si="12"/>
        <v>103985.75766629883</v>
      </c>
      <c r="O23" s="127">
        <f>N23</f>
        <v>103985.75766629883</v>
      </c>
      <c r="P23" s="127">
        <f t="shared" si="12"/>
        <v>103985.75766629883</v>
      </c>
      <c r="Q23" s="356">
        <f>P23</f>
        <v>103985.75766629883</v>
      </c>
    </row>
    <row r="24" spans="2:127">
      <c r="C24" s="355" t="s">
        <v>235</v>
      </c>
      <c r="H24" s="127">
        <f>SUM(H15:S15)</f>
        <v>78887.593138586235</v>
      </c>
      <c r="I24" s="127">
        <f>SUM(T15:AE15)</f>
        <v>74852.949804201286</v>
      </c>
      <c r="J24" s="127">
        <f>SUM(AF15:AQ15)</f>
        <v>70169.719326413004</v>
      </c>
      <c r="K24" s="127">
        <f>SUM(AR15:BC15)</f>
        <v>64733.63839178221</v>
      </c>
      <c r="L24" s="127">
        <f>SUM(BD15:BO15)</f>
        <v>58423.682888201663</v>
      </c>
      <c r="M24" s="127">
        <f>SUM(BP15:CA15)</f>
        <v>51099.373530789453</v>
      </c>
      <c r="N24" s="127">
        <f>SUM(CB15:CM15)</f>
        <v>42597.648354972385</v>
      </c>
      <c r="O24" s="127">
        <f>SUM(CN15:CY15)</f>
        <v>32729.232448703373</v>
      </c>
      <c r="P24" s="127">
        <f>SUM(CZ15:DK15)</f>
        <v>21274.424102732115</v>
      </c>
      <c r="Q24" s="356">
        <f>SUM(DL15:DW15)</f>
        <v>7978.2035654948695</v>
      </c>
    </row>
    <row r="25" spans="2:127">
      <c r="C25" s="355" t="s">
        <v>236</v>
      </c>
      <c r="H25" s="127">
        <f>SUM(H16:S16)</f>
        <v>25098.164527712634</v>
      </c>
      <c r="I25" s="127">
        <f>SUM(T16:AE16)</f>
        <v>29132.807862097565</v>
      </c>
      <c r="J25" s="127">
        <f>SUM(AF16:AQ16)</f>
        <v>33816.038339885847</v>
      </c>
      <c r="K25" s="127">
        <f>SUM(AR16:BC16)</f>
        <v>39252.119274516655</v>
      </c>
      <c r="L25" s="127">
        <f>SUM(BD16:BO16)</f>
        <v>45562.074778097201</v>
      </c>
      <c r="M25" s="127">
        <f>SUM(BP16:CA16)</f>
        <v>52886.384135509405</v>
      </c>
      <c r="N25" s="127">
        <f>SUM(CB16:CM16)</f>
        <v>61388.109311326472</v>
      </c>
      <c r="O25" s="127">
        <f>SUM(CN16:CY16)</f>
        <v>71256.525217595481</v>
      </c>
      <c r="P25" s="127">
        <f>SUM(CZ16:DK16)</f>
        <v>82711.333563566732</v>
      </c>
      <c r="Q25" s="356">
        <f>SUM(DL16:DW16)</f>
        <v>96007.554100804002</v>
      </c>
    </row>
    <row r="26" spans="2:127" ht="15" thickBot="1">
      <c r="C26" s="357" t="s">
        <v>237</v>
      </c>
      <c r="D26" s="358"/>
      <c r="E26" s="358"/>
      <c r="F26" s="358"/>
      <c r="G26" s="358"/>
      <c r="H26" s="359">
        <f>H22-H25</f>
        <v>512012.9465833985</v>
      </c>
      <c r="I26" s="359">
        <f t="shared" ref="I26:Q26" si="13">I22-I25</f>
        <v>482880.13872130093</v>
      </c>
      <c r="J26" s="359">
        <f t="shared" si="13"/>
        <v>449064.1003814151</v>
      </c>
      <c r="K26" s="359">
        <f t="shared" si="13"/>
        <v>409811.98110689846</v>
      </c>
      <c r="L26" s="359">
        <f t="shared" si="13"/>
        <v>364249.90632880124</v>
      </c>
      <c r="M26" s="359">
        <f t="shared" si="13"/>
        <v>311363.52219329181</v>
      </c>
      <c r="N26" s="359">
        <f t="shared" si="13"/>
        <v>249975.41288196534</v>
      </c>
      <c r="O26" s="359">
        <f t="shared" si="13"/>
        <v>178718.88766436986</v>
      </c>
      <c r="P26" s="359">
        <f t="shared" si="13"/>
        <v>96007.554100803129</v>
      </c>
      <c r="Q26" s="360">
        <f t="shared" si="13"/>
        <v>-8.7311491370201111E-10</v>
      </c>
    </row>
    <row r="28" spans="2:127" ht="15" thickBot="1">
      <c r="B28" s="46"/>
    </row>
    <row r="29" spans="2:127">
      <c r="C29" s="361" t="s">
        <v>224</v>
      </c>
      <c r="D29" s="362"/>
      <c r="E29" s="363"/>
      <c r="F29" s="363"/>
      <c r="G29" s="364" t="s">
        <v>219</v>
      </c>
      <c r="H29" s="365" t="s">
        <v>139</v>
      </c>
      <c r="I29" s="365" t="s">
        <v>140</v>
      </c>
      <c r="J29" s="365" t="s">
        <v>141</v>
      </c>
      <c r="K29" s="365" t="s">
        <v>142</v>
      </c>
      <c r="L29" s="365" t="s">
        <v>143</v>
      </c>
      <c r="M29" s="365" t="s">
        <v>144</v>
      </c>
      <c r="N29" s="365" t="s">
        <v>145</v>
      </c>
      <c r="O29" s="365" t="s">
        <v>146</v>
      </c>
      <c r="P29" s="365" t="s">
        <v>147</v>
      </c>
      <c r="Q29" s="366" t="s">
        <v>148</v>
      </c>
    </row>
    <row r="30" spans="2:127">
      <c r="C30" s="367" t="s">
        <v>239</v>
      </c>
      <c r="D30" s="368"/>
      <c r="E30" s="369"/>
      <c r="F30" s="369"/>
      <c r="G30" s="370">
        <f>H13</f>
        <v>537111.11111111112</v>
      </c>
      <c r="H30" s="370">
        <f>G34</f>
        <v>537111.11111111112</v>
      </c>
      <c r="I30" s="370">
        <f t="shared" ref="I30:Q30" si="14">H34</f>
        <v>512012.9465833985</v>
      </c>
      <c r="J30" s="370">
        <f t="shared" si="14"/>
        <v>482880.13872130093</v>
      </c>
      <c r="K30" s="370">
        <f t="shared" si="14"/>
        <v>449064.1003814151</v>
      </c>
      <c r="L30" s="370">
        <f t="shared" si="14"/>
        <v>409811.98110689846</v>
      </c>
      <c r="M30" s="370">
        <f t="shared" si="14"/>
        <v>364249.90632880124</v>
      </c>
      <c r="N30" s="370">
        <f t="shared" si="14"/>
        <v>311363.52219329181</v>
      </c>
      <c r="O30" s="370">
        <f t="shared" si="14"/>
        <v>249975.41288196534</v>
      </c>
      <c r="P30" s="370">
        <f t="shared" si="14"/>
        <v>178718.88766436986</v>
      </c>
      <c r="Q30" s="370">
        <f t="shared" si="14"/>
        <v>96007.554100803129</v>
      </c>
    </row>
    <row r="31" spans="2:127">
      <c r="C31" s="367" t="s">
        <v>240</v>
      </c>
      <c r="D31" s="368"/>
      <c r="E31" s="369"/>
      <c r="F31" s="369"/>
      <c r="G31" s="370">
        <v>0</v>
      </c>
      <c r="H31" s="370">
        <f>H24</f>
        <v>78887.593138586235</v>
      </c>
      <c r="I31" s="370">
        <f t="shared" ref="I31:L32" si="15">I24</f>
        <v>74852.949804201286</v>
      </c>
      <c r="J31" s="370">
        <f t="shared" si="15"/>
        <v>70169.719326413004</v>
      </c>
      <c r="K31" s="370">
        <f t="shared" si="15"/>
        <v>64733.63839178221</v>
      </c>
      <c r="L31" s="370">
        <f t="shared" si="15"/>
        <v>58423.682888201663</v>
      </c>
      <c r="M31" s="370">
        <f>M24</f>
        <v>51099.373530789453</v>
      </c>
      <c r="N31" s="370">
        <f t="shared" ref="N31:O32" si="16">N24</f>
        <v>42597.648354972385</v>
      </c>
      <c r="O31" s="370">
        <f t="shared" si="16"/>
        <v>32729.232448703373</v>
      </c>
      <c r="P31" s="370">
        <f>P24</f>
        <v>21274.424102732115</v>
      </c>
      <c r="Q31" s="371">
        <f t="shared" ref="Q31:Q32" si="17">Q24</f>
        <v>7978.2035654948695</v>
      </c>
    </row>
    <row r="32" spans="2:127">
      <c r="C32" s="367" t="s">
        <v>241</v>
      </c>
      <c r="D32" s="368"/>
      <c r="E32" s="369"/>
      <c r="F32" s="369"/>
      <c r="G32" s="370">
        <v>0</v>
      </c>
      <c r="H32" s="370">
        <f>H25</f>
        <v>25098.164527712634</v>
      </c>
      <c r="I32" s="370">
        <f t="shared" si="15"/>
        <v>29132.807862097565</v>
      </c>
      <c r="J32" s="370">
        <f t="shared" si="15"/>
        <v>33816.038339885847</v>
      </c>
      <c r="K32" s="370">
        <f t="shared" si="15"/>
        <v>39252.119274516655</v>
      </c>
      <c r="L32" s="370">
        <f t="shared" si="15"/>
        <v>45562.074778097201</v>
      </c>
      <c r="M32" s="370">
        <f>M25</f>
        <v>52886.384135509405</v>
      </c>
      <c r="N32" s="370">
        <f t="shared" si="16"/>
        <v>61388.109311326472</v>
      </c>
      <c r="O32" s="370">
        <f t="shared" si="16"/>
        <v>71256.525217595481</v>
      </c>
      <c r="P32" s="370">
        <f>P25</f>
        <v>82711.333563566732</v>
      </c>
      <c r="Q32" s="371">
        <f t="shared" si="17"/>
        <v>96007.554100804002</v>
      </c>
    </row>
    <row r="33" spans="3:17">
      <c r="C33" s="367" t="s">
        <v>242</v>
      </c>
      <c r="D33" s="368"/>
      <c r="E33" s="369"/>
      <c r="F33" s="369"/>
      <c r="G33" s="370">
        <f>G31*(1-[1]Assumptions!$D$12)</f>
        <v>0</v>
      </c>
      <c r="H33" s="370">
        <f>H31*(1-Assumptions!$D$12)</f>
        <v>51276.935540081053</v>
      </c>
      <c r="I33" s="370">
        <f>I31*(1-Assumptions!$D$12)</f>
        <v>48654.417372730837</v>
      </c>
      <c r="J33" s="370">
        <f>J31*(1-Assumptions!$D$12)</f>
        <v>45610.317562168457</v>
      </c>
      <c r="K33" s="370">
        <f>K31*(1-Assumptions!$D$12)</f>
        <v>42076.864954658435</v>
      </c>
      <c r="L33" s="370">
        <f>L31*(1-Assumptions!$D$12)</f>
        <v>37975.39387733108</v>
      </c>
      <c r="M33" s="370">
        <f>M31*(1-Assumptions!$D$12)</f>
        <v>33214.592795013144</v>
      </c>
      <c r="N33" s="370">
        <f>N31*(1-Assumptions!$D$12)</f>
        <v>27688.47143073205</v>
      </c>
      <c r="O33" s="370">
        <f>O31*(1-Assumptions!$D$12)</f>
        <v>21274.001091657192</v>
      </c>
      <c r="P33" s="370">
        <f>P31*(1-Assumptions!$D$12)</f>
        <v>13828.375666775875</v>
      </c>
      <c r="Q33" s="370">
        <f>Q31*(1-Assumptions!$D$12)</f>
        <v>5185.832317571665</v>
      </c>
    </row>
    <row r="34" spans="3:17" ht="15" thickBot="1">
      <c r="C34" s="372" t="s">
        <v>224</v>
      </c>
      <c r="D34" s="373"/>
      <c r="E34" s="374"/>
      <c r="F34" s="374"/>
      <c r="G34" s="375">
        <f>G30-G32-G33</f>
        <v>537111.11111111112</v>
      </c>
      <c r="H34" s="375">
        <f t="shared" ref="H34:Q34" si="18">H30-H32</f>
        <v>512012.9465833985</v>
      </c>
      <c r="I34" s="375">
        <f t="shared" si="18"/>
        <v>482880.13872130093</v>
      </c>
      <c r="J34" s="375">
        <f t="shared" si="18"/>
        <v>449064.1003814151</v>
      </c>
      <c r="K34" s="375">
        <f t="shared" si="18"/>
        <v>409811.98110689846</v>
      </c>
      <c r="L34" s="375">
        <f t="shared" si="18"/>
        <v>364249.90632880124</v>
      </c>
      <c r="M34" s="375">
        <f t="shared" si="18"/>
        <v>311363.52219329181</v>
      </c>
      <c r="N34" s="375">
        <f t="shared" si="18"/>
        <v>249975.41288196534</v>
      </c>
      <c r="O34" s="375">
        <f t="shared" si="18"/>
        <v>178718.88766436986</v>
      </c>
      <c r="P34" s="375">
        <f t="shared" si="18"/>
        <v>96007.554100803129</v>
      </c>
      <c r="Q34" s="376">
        <f t="shared" si="18"/>
        <v>-8.7311491370201111E-10</v>
      </c>
    </row>
    <row r="36" spans="3:17">
      <c r="C36" t="s">
        <v>377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C26F-30BA-4BD9-B57B-3A5B1D14F9E2}">
  <dimension ref="A1:Q29"/>
  <sheetViews>
    <sheetView topLeftCell="B8" zoomScale="83" workbookViewId="0">
      <selection activeCell="P12" sqref="P12"/>
    </sheetView>
  </sheetViews>
  <sheetFormatPr defaultRowHeight="14.5"/>
  <cols>
    <col min="3" max="3" width="63.54296875" bestFit="1" customWidth="1"/>
    <col min="4" max="5" width="0" hidden="1" customWidth="1"/>
    <col min="6" max="6" width="15.1796875" bestFit="1" customWidth="1"/>
    <col min="7" max="7" width="9.90625" customWidth="1"/>
    <col min="8" max="8" width="10.6328125" customWidth="1"/>
    <col min="9" max="9" width="24.08984375" bestFit="1" customWidth="1"/>
    <col min="10" max="10" width="17.453125" customWidth="1"/>
    <col min="11" max="17" width="10.6328125" customWidth="1"/>
  </cols>
  <sheetData>
    <row r="1" spans="1:17">
      <c r="A1" s="1" t="s">
        <v>0</v>
      </c>
      <c r="B1" s="2" t="str">
        <f>'Table of Contents'!B1</f>
        <v>Electronics Manufacturing Venture</v>
      </c>
      <c r="C1" s="3"/>
      <c r="D1" s="3"/>
      <c r="E1" s="3"/>
      <c r="F1" s="4" t="s">
        <v>1</v>
      </c>
      <c r="G1" s="5" t="s">
        <v>2</v>
      </c>
    </row>
    <row r="2" spans="1:17">
      <c r="A2" s="1" t="s">
        <v>3</v>
      </c>
      <c r="B2" s="2" t="str">
        <f>'Table of Contents'!B2</f>
        <v>Krishnamurthy Bindumadhavan</v>
      </c>
      <c r="C2" s="3"/>
      <c r="D2" s="3"/>
      <c r="E2" s="3"/>
      <c r="F2" s="6" t="s">
        <v>4</v>
      </c>
      <c r="G2" s="5" t="s">
        <v>5</v>
      </c>
    </row>
    <row r="3" spans="1:17">
      <c r="A3" s="1" t="s">
        <v>6</v>
      </c>
      <c r="B3" s="2" t="s">
        <v>87</v>
      </c>
      <c r="C3" s="3"/>
      <c r="D3" s="3"/>
      <c r="E3" s="3"/>
      <c r="F3" s="7" t="s">
        <v>8</v>
      </c>
      <c r="G3" s="5" t="s">
        <v>9</v>
      </c>
    </row>
    <row r="4" spans="1:17">
      <c r="A4" s="8" t="s">
        <v>10</v>
      </c>
      <c r="B4" s="9">
        <v>46033</v>
      </c>
      <c r="C4" s="3"/>
      <c r="D4" s="3"/>
      <c r="E4" s="3"/>
      <c r="F4" s="10" t="s">
        <v>11</v>
      </c>
      <c r="G4" s="5" t="s">
        <v>12</v>
      </c>
    </row>
    <row r="6" spans="1:17" ht="15" thickBot="1"/>
    <row r="7" spans="1:17">
      <c r="C7" s="332" t="s">
        <v>126</v>
      </c>
      <c r="D7" s="333"/>
      <c r="E7" s="333"/>
      <c r="F7" s="333"/>
      <c r="G7" s="334" t="s">
        <v>169</v>
      </c>
      <c r="H7" s="334"/>
      <c r="I7" s="334"/>
      <c r="J7" s="334"/>
      <c r="K7" s="334"/>
      <c r="L7" s="334"/>
      <c r="M7" s="334"/>
      <c r="N7" s="334"/>
      <c r="O7" s="334"/>
      <c r="P7" s="335"/>
    </row>
    <row r="8" spans="1:17">
      <c r="C8" s="346"/>
      <c r="D8" s="347"/>
      <c r="E8" s="348"/>
      <c r="F8" s="348"/>
      <c r="G8" s="349" t="s">
        <v>139</v>
      </c>
      <c r="H8" s="349" t="s">
        <v>140</v>
      </c>
      <c r="I8" s="349" t="s">
        <v>141</v>
      </c>
      <c r="J8" s="349" t="s">
        <v>142</v>
      </c>
      <c r="K8" s="349" t="s">
        <v>143</v>
      </c>
      <c r="L8" s="349" t="s">
        <v>144</v>
      </c>
      <c r="M8" s="349" t="s">
        <v>145</v>
      </c>
      <c r="N8" s="349" t="s">
        <v>146</v>
      </c>
      <c r="O8" s="349" t="s">
        <v>147</v>
      </c>
      <c r="P8" s="350" t="s">
        <v>148</v>
      </c>
    </row>
    <row r="9" spans="1:17">
      <c r="C9" s="351" t="s">
        <v>243</v>
      </c>
      <c r="D9" s="352"/>
      <c r="E9" s="352"/>
      <c r="F9" s="352"/>
      <c r="G9" s="377">
        <f>'Depreciation Schedule'!F23</f>
        <v>206111.11111111112</v>
      </c>
      <c r="H9" s="377">
        <f>G12</f>
        <v>185500</v>
      </c>
      <c r="I9" s="377">
        <f>H12</f>
        <v>164888.88888888888</v>
      </c>
      <c r="J9" s="377">
        <f t="shared" ref="J9:P9" si="0">I12</f>
        <v>144277.77777777775</v>
      </c>
      <c r="K9" s="377">
        <f t="shared" si="0"/>
        <v>123666.66666666664</v>
      </c>
      <c r="L9" s="377">
        <f t="shared" si="0"/>
        <v>103055.55555555553</v>
      </c>
      <c r="M9" s="377">
        <f t="shared" si="0"/>
        <v>82444.444444444423</v>
      </c>
      <c r="N9" s="377">
        <f t="shared" si="0"/>
        <v>61833.333333333314</v>
      </c>
      <c r="O9" s="377">
        <f>N12</f>
        <v>41222.222222222204</v>
      </c>
      <c r="P9" s="378">
        <f t="shared" si="0"/>
        <v>20611.111111111091</v>
      </c>
    </row>
    <row r="10" spans="1:17">
      <c r="C10" s="355" t="s">
        <v>244</v>
      </c>
      <c r="G10" s="286">
        <f>'Depreciation Schedule'!F23/$F$24</f>
        <v>20611.111111111113</v>
      </c>
      <c r="H10" s="286">
        <f>G10</f>
        <v>20611.111111111113</v>
      </c>
      <c r="I10" s="286">
        <f t="shared" ref="I10:O10" si="1">H10</f>
        <v>20611.111111111113</v>
      </c>
      <c r="J10" s="286">
        <f t="shared" si="1"/>
        <v>20611.111111111113</v>
      </c>
      <c r="K10" s="286">
        <f>J10</f>
        <v>20611.111111111113</v>
      </c>
      <c r="L10" s="286">
        <f t="shared" si="1"/>
        <v>20611.111111111113</v>
      </c>
      <c r="M10" s="286">
        <f t="shared" si="1"/>
        <v>20611.111111111113</v>
      </c>
      <c r="N10" s="286">
        <f>M10</f>
        <v>20611.111111111113</v>
      </c>
      <c r="O10" s="286">
        <f t="shared" si="1"/>
        <v>20611.111111111113</v>
      </c>
      <c r="P10" s="379">
        <f>O10</f>
        <v>20611.111111111113</v>
      </c>
    </row>
    <row r="11" spans="1:17">
      <c r="C11" s="355" t="s">
        <v>245</v>
      </c>
      <c r="G11" s="286">
        <f>F11+G10</f>
        <v>20611.111111111113</v>
      </c>
      <c r="H11" s="286">
        <f>G11+H10</f>
        <v>41222.222222222226</v>
      </c>
      <c r="I11" s="286">
        <f t="shared" ref="I11:P11" si="2">H11+I10</f>
        <v>61833.333333333343</v>
      </c>
      <c r="J11" s="286">
        <f t="shared" si="2"/>
        <v>82444.444444444453</v>
      </c>
      <c r="K11" s="286">
        <f t="shared" si="2"/>
        <v>103055.55555555556</v>
      </c>
      <c r="L11" s="286">
        <f t="shared" si="2"/>
        <v>123666.66666666667</v>
      </c>
      <c r="M11" s="286">
        <f t="shared" si="2"/>
        <v>144277.77777777778</v>
      </c>
      <c r="N11" s="286">
        <f t="shared" si="2"/>
        <v>164888.88888888891</v>
      </c>
      <c r="O11" s="286">
        <f t="shared" si="2"/>
        <v>185500.00000000003</v>
      </c>
      <c r="P11" s="379">
        <f t="shared" si="2"/>
        <v>206111.11111111115</v>
      </c>
    </row>
    <row r="12" spans="1:17" ht="15" thickBot="1">
      <c r="C12" s="357" t="s">
        <v>246</v>
      </c>
      <c r="D12" s="358"/>
      <c r="E12" s="358"/>
      <c r="F12" s="358"/>
      <c r="G12" s="380">
        <f t="shared" ref="G12:P12" si="3">G9-G10</f>
        <v>185500</v>
      </c>
      <c r="H12" s="380">
        <f t="shared" si="3"/>
        <v>164888.88888888888</v>
      </c>
      <c r="I12" s="380">
        <f t="shared" si="3"/>
        <v>144277.77777777775</v>
      </c>
      <c r="J12" s="380">
        <f t="shared" si="3"/>
        <v>123666.66666666664</v>
      </c>
      <c r="K12" s="380">
        <f t="shared" si="3"/>
        <v>103055.55555555553</v>
      </c>
      <c r="L12" s="380">
        <f t="shared" si="3"/>
        <v>82444.444444444423</v>
      </c>
      <c r="M12" s="380">
        <f t="shared" si="3"/>
        <v>61833.333333333314</v>
      </c>
      <c r="N12" s="380">
        <f t="shared" si="3"/>
        <v>41222.222222222204</v>
      </c>
      <c r="O12" s="380">
        <f t="shared" si="3"/>
        <v>20611.111111111091</v>
      </c>
      <c r="P12" s="381">
        <f t="shared" si="3"/>
        <v>0</v>
      </c>
    </row>
    <row r="14" spans="1:17">
      <c r="H14" s="286"/>
      <c r="I14" s="286"/>
      <c r="J14" s="286"/>
      <c r="K14" s="286"/>
      <c r="L14" s="286"/>
      <c r="M14" s="286"/>
      <c r="N14" s="286"/>
      <c r="O14" s="286"/>
      <c r="P14" s="286"/>
      <c r="Q14" s="286"/>
    </row>
    <row r="15" spans="1:17" ht="15" thickBot="1"/>
    <row r="16" spans="1:17" ht="15" thickBot="1">
      <c r="C16" s="382" t="s">
        <v>247</v>
      </c>
      <c r="D16" s="383"/>
      <c r="E16" s="383"/>
      <c r="F16" s="384" t="s">
        <v>248</v>
      </c>
      <c r="I16" t="s">
        <v>375</v>
      </c>
      <c r="J16" t="s">
        <v>372</v>
      </c>
    </row>
    <row r="17" spans="3:10">
      <c r="C17" s="339" t="s">
        <v>375</v>
      </c>
      <c r="D17" s="340"/>
      <c r="E17" s="340"/>
      <c r="F17" s="342">
        <f>J29</f>
        <v>116111.11111111111</v>
      </c>
      <c r="H17" t="s">
        <v>364</v>
      </c>
      <c r="I17" t="s">
        <v>358</v>
      </c>
      <c r="J17">
        <v>2000000</v>
      </c>
    </row>
    <row r="18" spans="3:10">
      <c r="C18" s="267" t="s">
        <v>376</v>
      </c>
      <c r="D18" s="207"/>
      <c r="E18" s="207"/>
      <c r="F18" s="221">
        <f>Assumptions!D20</f>
        <v>75000</v>
      </c>
      <c r="H18" t="s">
        <v>365</v>
      </c>
      <c r="I18" t="s">
        <v>359</v>
      </c>
      <c r="J18">
        <v>1000000</v>
      </c>
    </row>
    <row r="19" spans="3:10">
      <c r="C19" s="267" t="s">
        <v>357</v>
      </c>
      <c r="D19" s="207"/>
      <c r="E19" s="207"/>
      <c r="F19" s="221">
        <f>Assumptions!D21</f>
        <v>5000</v>
      </c>
      <c r="H19" t="s">
        <v>366</v>
      </c>
      <c r="I19" t="s">
        <v>360</v>
      </c>
      <c r="J19">
        <v>2000000</v>
      </c>
    </row>
    <row r="20" spans="3:10">
      <c r="C20" s="267" t="s">
        <v>249</v>
      </c>
      <c r="D20" s="207"/>
      <c r="E20" s="207"/>
      <c r="F20" s="221">
        <f>Assumptions!D22</f>
        <v>5000</v>
      </c>
      <c r="H20" t="s">
        <v>367</v>
      </c>
      <c r="I20" t="s">
        <v>361</v>
      </c>
      <c r="J20">
        <f>5000*90</f>
        <v>450000</v>
      </c>
    </row>
    <row r="21" spans="3:10">
      <c r="C21" s="267" t="s">
        <v>111</v>
      </c>
      <c r="D21" s="207"/>
      <c r="E21" s="207"/>
      <c r="F21" s="221">
        <f>Assumptions!D23</f>
        <v>5000</v>
      </c>
      <c r="H21" t="s">
        <v>368</v>
      </c>
      <c r="I21" t="s">
        <v>371</v>
      </c>
      <c r="J21">
        <v>1000000</v>
      </c>
    </row>
    <row r="22" spans="3:10">
      <c r="C22" s="267"/>
      <c r="D22" s="207"/>
      <c r="E22" s="207"/>
      <c r="F22" s="208"/>
      <c r="H22" t="s">
        <v>369</v>
      </c>
      <c r="I22" t="s">
        <v>362</v>
      </c>
      <c r="J22">
        <v>2000000</v>
      </c>
    </row>
    <row r="23" spans="3:10" ht="15" thickBot="1">
      <c r="C23" s="297" t="s">
        <v>250</v>
      </c>
      <c r="D23" s="298"/>
      <c r="E23" s="298"/>
      <c r="F23" s="385">
        <f>SUM(F17:F21)</f>
        <v>206111.11111111112</v>
      </c>
      <c r="H23" t="s">
        <v>370</v>
      </c>
      <c r="I23" t="s">
        <v>363</v>
      </c>
      <c r="J23">
        <v>2000000</v>
      </c>
    </row>
    <row r="24" spans="3:10" ht="15" thickBot="1">
      <c r="C24" s="382" t="s">
        <v>26</v>
      </c>
      <c r="D24" s="383"/>
      <c r="E24" s="383"/>
      <c r="F24" s="384">
        <f>[1]Assumptions!D16</f>
        <v>10</v>
      </c>
      <c r="G24" t="s">
        <v>24</v>
      </c>
    </row>
    <row r="25" spans="3:10" ht="13.5" customHeight="1">
      <c r="I25" t="s">
        <v>122</v>
      </c>
      <c r="J25" s="426">
        <f>SUM(J17:J23)</f>
        <v>10450000</v>
      </c>
    </row>
    <row r="26" spans="3:10">
      <c r="F26" s="429">
        <f>F23*J27</f>
        <v>18550000</v>
      </c>
    </row>
    <row r="27" spans="3:10">
      <c r="I27" t="s">
        <v>373</v>
      </c>
      <c r="J27">
        <v>90</v>
      </c>
    </row>
    <row r="29" spans="3:10">
      <c r="I29" t="s">
        <v>374</v>
      </c>
      <c r="J29" s="426">
        <f>J25/J27</f>
        <v>116111.11111111111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793C7-B573-418A-9B73-3E97F1B8711C}">
  <dimension ref="A1:S30"/>
  <sheetViews>
    <sheetView topLeftCell="A5" zoomScale="75" workbookViewId="0">
      <selection activeCell="G14" sqref="G14"/>
    </sheetView>
  </sheetViews>
  <sheetFormatPr defaultColWidth="8.90625" defaultRowHeight="14.5"/>
  <cols>
    <col min="3" max="3" width="24" customWidth="1"/>
    <col min="4" max="4" width="14.54296875" bestFit="1" customWidth="1"/>
    <col min="5" max="5" width="11.54296875" customWidth="1"/>
    <col min="6" max="6" width="18.54296875" customWidth="1"/>
    <col min="7" max="7" width="13" customWidth="1"/>
    <col min="8" max="8" width="12.453125" customWidth="1"/>
    <col min="9" max="9" width="16" bestFit="1" customWidth="1"/>
    <col min="10" max="10" width="14.6328125" bestFit="1" customWidth="1"/>
    <col min="11" max="11" width="18.54296875" bestFit="1" customWidth="1"/>
    <col min="12" max="15" width="14.6328125" bestFit="1" customWidth="1"/>
    <col min="16" max="16" width="15.6328125" bestFit="1" customWidth="1"/>
    <col min="17" max="17" width="13.36328125" customWidth="1"/>
    <col min="18" max="18" width="19.08984375" bestFit="1" customWidth="1"/>
  </cols>
  <sheetData>
    <row r="1" spans="1:17">
      <c r="A1" s="1" t="s">
        <v>0</v>
      </c>
      <c r="B1" s="2" t="str">
        <f>'Table of Contents'!B1</f>
        <v>Electronics Manufacturing Venture</v>
      </c>
      <c r="C1" s="3"/>
      <c r="D1" s="3"/>
      <c r="E1" s="3"/>
      <c r="F1" s="4" t="s">
        <v>1</v>
      </c>
      <c r="G1" s="5" t="s">
        <v>2</v>
      </c>
      <c r="H1" s="236"/>
      <c r="I1" s="236"/>
      <c r="K1" s="237" t="s">
        <v>214</v>
      </c>
      <c r="L1" s="238">
        <v>0.15</v>
      </c>
    </row>
    <row r="2" spans="1:17">
      <c r="A2" s="1" t="s">
        <v>3</v>
      </c>
      <c r="B2" s="2" t="str">
        <f>'Table of Contents'!B2</f>
        <v>Krishnamurthy Bindumadhavan</v>
      </c>
      <c r="C2" s="3"/>
      <c r="D2" s="3"/>
      <c r="E2" s="3"/>
      <c r="F2" s="6" t="s">
        <v>4</v>
      </c>
      <c r="G2" s="5" t="s">
        <v>5</v>
      </c>
      <c r="H2" s="239"/>
      <c r="I2" s="239"/>
      <c r="K2" s="240" t="s">
        <v>215</v>
      </c>
      <c r="L2" s="241">
        <v>0.03</v>
      </c>
    </row>
    <row r="3" spans="1:17" ht="15" thickBot="1">
      <c r="A3" s="1" t="s">
        <v>6</v>
      </c>
      <c r="B3" s="2" t="s">
        <v>84</v>
      </c>
      <c r="C3" s="3"/>
      <c r="D3" s="3"/>
      <c r="E3" s="3"/>
      <c r="F3" s="7" t="s">
        <v>8</v>
      </c>
      <c r="G3" s="5" t="s">
        <v>9</v>
      </c>
      <c r="H3" s="242"/>
      <c r="I3" s="242"/>
      <c r="K3" s="243" t="s">
        <v>216</v>
      </c>
      <c r="L3" s="244" t="str">
        <f>IF('[2]Assumptions(Ops)'!C53=1, "Yes", "No")</f>
        <v>No</v>
      </c>
    </row>
    <row r="4" spans="1:17">
      <c r="A4" s="8" t="s">
        <v>10</v>
      </c>
      <c r="B4" s="9">
        <v>46033</v>
      </c>
      <c r="C4" s="3"/>
      <c r="D4" s="3"/>
      <c r="E4" s="3"/>
      <c r="F4" s="10" t="s">
        <v>11</v>
      </c>
      <c r="G4" s="5" t="s">
        <v>12</v>
      </c>
      <c r="H4" s="245"/>
      <c r="I4" s="245"/>
    </row>
    <row r="7" spans="1:17" ht="15" thickBot="1">
      <c r="G7">
        <v>0</v>
      </c>
      <c r="H7">
        <v>1</v>
      </c>
      <c r="I7">
        <f t="shared" ref="I7:Q7" si="0">H7+1</f>
        <v>2</v>
      </c>
      <c r="J7">
        <f t="shared" si="0"/>
        <v>3</v>
      </c>
      <c r="K7">
        <f t="shared" si="0"/>
        <v>4</v>
      </c>
      <c r="L7">
        <f t="shared" si="0"/>
        <v>5</v>
      </c>
      <c r="M7">
        <f t="shared" si="0"/>
        <v>6</v>
      </c>
      <c r="N7">
        <f t="shared" si="0"/>
        <v>7</v>
      </c>
      <c r="O7">
        <f t="shared" si="0"/>
        <v>8</v>
      </c>
      <c r="P7">
        <f t="shared" si="0"/>
        <v>9</v>
      </c>
      <c r="Q7">
        <f t="shared" si="0"/>
        <v>10</v>
      </c>
    </row>
    <row r="8" spans="1:17">
      <c r="C8" s="246" t="s">
        <v>217</v>
      </c>
      <c r="D8" s="247"/>
      <c r="E8" s="247"/>
      <c r="F8" s="248"/>
      <c r="G8" s="247"/>
      <c r="H8" s="247"/>
      <c r="I8" s="247"/>
      <c r="J8" s="247"/>
      <c r="K8" s="247"/>
      <c r="L8" s="247"/>
      <c r="M8" s="247"/>
      <c r="N8" s="247"/>
      <c r="O8" s="247"/>
      <c r="P8" s="247"/>
      <c r="Q8" s="249"/>
    </row>
    <row r="9" spans="1:17" ht="15" thickBot="1">
      <c r="C9" s="250" t="s">
        <v>218</v>
      </c>
      <c r="D9" s="251"/>
      <c r="E9" s="251"/>
      <c r="F9" s="252"/>
      <c r="G9" s="253" t="s">
        <v>219</v>
      </c>
      <c r="H9" s="197" t="s">
        <v>139</v>
      </c>
      <c r="I9" s="197" t="s">
        <v>140</v>
      </c>
      <c r="J9" s="197" t="s">
        <v>141</v>
      </c>
      <c r="K9" s="197" t="s">
        <v>142</v>
      </c>
      <c r="L9" s="197" t="s">
        <v>143</v>
      </c>
      <c r="M9" s="197" t="s">
        <v>144</v>
      </c>
      <c r="N9" s="197" t="s">
        <v>145</v>
      </c>
      <c r="O9" s="197" t="s">
        <v>146</v>
      </c>
      <c r="P9" s="197" t="s">
        <v>147</v>
      </c>
      <c r="Q9" s="198" t="s">
        <v>148</v>
      </c>
    </row>
    <row r="10" spans="1:17" ht="15" hidden="1" thickBot="1">
      <c r="C10" s="254"/>
      <c r="D10" s="255"/>
      <c r="E10" s="255"/>
      <c r="F10" s="256"/>
      <c r="G10" s="257"/>
      <c r="H10" s="257"/>
      <c r="I10" s="257"/>
      <c r="J10" s="257"/>
      <c r="K10" s="257"/>
      <c r="L10" s="257"/>
      <c r="M10" s="257"/>
      <c r="N10" s="257"/>
      <c r="O10" s="257"/>
      <c r="P10" s="257"/>
      <c r="Q10" s="258"/>
    </row>
    <row r="11" spans="1:17" ht="3.5" customHeight="1" thickBot="1">
      <c r="C11" s="259" t="s">
        <v>220</v>
      </c>
      <c r="D11" s="255"/>
      <c r="E11" s="255"/>
      <c r="F11" s="260"/>
      <c r="G11" s="261"/>
      <c r="H11" s="261">
        <f>'[2]Preferred Investment'!F17</f>
        <v>8000000</v>
      </c>
      <c r="I11" s="261">
        <f>'[2]Preferred Investment'!G17</f>
        <v>0</v>
      </c>
      <c r="J11" s="261">
        <f>'[2]Preferred Investment'!H17</f>
        <v>0</v>
      </c>
      <c r="K11" s="261">
        <f>'[2]Preferred Investment'!I17</f>
        <v>0</v>
      </c>
      <c r="L11" s="261">
        <f>'[2]Preferred Investment'!J17</f>
        <v>0</v>
      </c>
      <c r="M11" s="261">
        <f>'[2]Preferred Investment'!K17</f>
        <v>0</v>
      </c>
      <c r="N11" s="261">
        <f>'[2]Preferred Investment'!L17</f>
        <v>0</v>
      </c>
      <c r="O11" s="261">
        <f>'[2]Preferred Investment'!M17</f>
        <v>0</v>
      </c>
      <c r="P11" s="261">
        <f>'[2]Preferred Investment'!N17</f>
        <v>0</v>
      </c>
      <c r="Q11" s="262">
        <f>'[2]Preferred Investment'!BM17</f>
        <v>0</v>
      </c>
    </row>
    <row r="12" spans="1:17">
      <c r="C12" s="263" t="s">
        <v>221</v>
      </c>
      <c r="D12" s="201"/>
      <c r="E12" s="201"/>
      <c r="F12" s="264"/>
      <c r="G12" s="265">
        <v>0</v>
      </c>
      <c r="H12" s="266">
        <f>'Income Statement'!C147</f>
        <v>810810.84223769675</v>
      </c>
      <c r="I12" s="266">
        <f>'Income Statement'!D147</f>
        <v>2834710.1114050467</v>
      </c>
      <c r="J12" s="266">
        <f>'Income Statement'!E147</f>
        <v>4589904.9129339084</v>
      </c>
      <c r="K12" s="266">
        <f>'Income Statement'!F147</f>
        <v>5362858.6761188963</v>
      </c>
      <c r="L12" s="266">
        <f>'Income Statement'!G147</f>
        <v>6265309.0287192082</v>
      </c>
      <c r="M12" s="266">
        <f>'Income Statement'!H147</f>
        <v>7319364.6458589919</v>
      </c>
      <c r="N12" s="266">
        <f>'Income Statement'!I147</f>
        <v>8550974.7521249671</v>
      </c>
      <c r="O12" s="266">
        <f>'Income Statement'!J147</f>
        <v>9990605.9204359539</v>
      </c>
      <c r="P12" s="266">
        <f>'Income Statement'!K147</f>
        <v>11674039.507256646</v>
      </c>
      <c r="Q12" s="266">
        <f>'Income Statement'!L147</f>
        <v>13643311.417659119</v>
      </c>
    </row>
    <row r="13" spans="1:17">
      <c r="C13" s="267" t="s">
        <v>126</v>
      </c>
      <c r="D13" s="207"/>
      <c r="E13" s="207"/>
      <c r="F13" s="268"/>
      <c r="G13" s="269">
        <v>0</v>
      </c>
      <c r="H13" s="270">
        <f>'Depreciation Schedule'!G10</f>
        <v>20611.111111111113</v>
      </c>
      <c r="I13" s="270">
        <f>'Depreciation Schedule'!H10</f>
        <v>20611.111111111113</v>
      </c>
      <c r="J13" s="270">
        <f>'Depreciation Schedule'!I10</f>
        <v>20611.111111111113</v>
      </c>
      <c r="K13" s="270">
        <f>'Depreciation Schedule'!J10</f>
        <v>20611.111111111113</v>
      </c>
      <c r="L13" s="270">
        <f>'Depreciation Schedule'!K10</f>
        <v>20611.111111111113</v>
      </c>
      <c r="M13" s="270">
        <f>'Depreciation Schedule'!L10</f>
        <v>20611.111111111113</v>
      </c>
      <c r="N13" s="270">
        <f>'Depreciation Schedule'!M10</f>
        <v>20611.111111111113</v>
      </c>
      <c r="O13" s="270">
        <f>'Depreciation Schedule'!N10</f>
        <v>20611.111111111113</v>
      </c>
      <c r="P13" s="270">
        <f>'Depreciation Schedule'!O10</f>
        <v>20611.111111111113</v>
      </c>
      <c r="Q13" s="270">
        <f>'Depreciation Schedule'!P10</f>
        <v>20611.111111111113</v>
      </c>
    </row>
    <row r="14" spans="1:17">
      <c r="C14" s="267" t="s">
        <v>222</v>
      </c>
      <c r="D14" s="207"/>
      <c r="E14" s="207"/>
      <c r="F14" s="272"/>
      <c r="G14" s="273">
        <f>SUM('Balance Sheet'!H11:H13)-'Balance Sheet'!H27</f>
        <v>728945.20547945204</v>
      </c>
      <c r="H14" s="220">
        <f>(SUM('Balance Sheet'!H11:H13)-'Balance Sheet'!H27)-G14</f>
        <v>0</v>
      </c>
      <c r="I14" s="274">
        <f>(SUM('Balance Sheet'!I11:I13)-'Balance Sheet'!I27)-(SUM('Balance Sheet'!H11:H13)-'Balance Sheet'!H27)</f>
        <v>539141.09589041083</v>
      </c>
      <c r="J14" s="274">
        <f>(SUM('[1]Balance Sheet'!J11:J13)-'[1]Balance Sheet'!J27)-(SUM('[1]Balance Sheet'!I11:I13)-'[1]Balance Sheet'!I27)</f>
        <v>0</v>
      </c>
      <c r="K14" s="274">
        <f>(SUM('[1]Balance Sheet'!K11:K13)-'[1]Balance Sheet'!K27)-(SUM('[1]Balance Sheet'!J11:J13)-'[1]Balance Sheet'!J27)</f>
        <v>0</v>
      </c>
      <c r="L14" s="274">
        <f>(SUM('[1]Balance Sheet'!L11:L13)-'[1]Balance Sheet'!L27)-(SUM('[1]Balance Sheet'!K11:K13)-'[1]Balance Sheet'!K27)</f>
        <v>0</v>
      </c>
      <c r="M14" s="274">
        <f>(SUM('[1]Balance Sheet'!M11:M13)-'[1]Balance Sheet'!M27)-(SUM('[1]Balance Sheet'!L11:L13)-'[1]Balance Sheet'!L27)</f>
        <v>0</v>
      </c>
      <c r="N14" s="274">
        <f>(SUM('[1]Balance Sheet'!N11:N13)-'[1]Balance Sheet'!N27)-(SUM('[1]Balance Sheet'!M11:M13)-'[1]Balance Sheet'!M27)</f>
        <v>0</v>
      </c>
      <c r="O14" s="274">
        <f>(SUM('[1]Balance Sheet'!O11:O13)-'[1]Balance Sheet'!O27)-(SUM('[1]Balance Sheet'!N11:N13)-'[1]Balance Sheet'!N27)</f>
        <v>0</v>
      </c>
      <c r="P14" s="274">
        <f>(SUM('[1]Balance Sheet'!P11:P13)-'[1]Balance Sheet'!P27)-(SUM('[1]Balance Sheet'!O11:O13)-'[1]Balance Sheet'!O27)</f>
        <v>0</v>
      </c>
      <c r="Q14" s="275">
        <f>(SUM('[1]Balance Sheet'!Q11:Q13)-'[1]Balance Sheet'!Q27)-(SUM('[1]Balance Sheet'!P11:P13)-'[1]Balance Sheet'!P27)</f>
        <v>0</v>
      </c>
    </row>
    <row r="15" spans="1:17">
      <c r="C15" s="267" t="s">
        <v>223</v>
      </c>
      <c r="D15" s="207"/>
      <c r="E15" s="207"/>
      <c r="F15" s="276"/>
      <c r="G15" s="277">
        <f>'Depreciation Schedule'!G9</f>
        <v>206111.11111111112</v>
      </c>
      <c r="H15" s="270">
        <v>0</v>
      </c>
      <c r="I15" s="270">
        <v>0</v>
      </c>
      <c r="J15" s="270">
        <v>0</v>
      </c>
      <c r="K15" s="270">
        <v>0</v>
      </c>
      <c r="L15" s="270">
        <v>0</v>
      </c>
      <c r="M15" s="270">
        <v>0</v>
      </c>
      <c r="N15" s="270">
        <v>0</v>
      </c>
      <c r="O15" s="270">
        <v>0</v>
      </c>
      <c r="P15" s="270">
        <v>0</v>
      </c>
      <c r="Q15" s="271">
        <v>0</v>
      </c>
    </row>
    <row r="16" spans="1:17">
      <c r="C16" s="267" t="s">
        <v>224</v>
      </c>
      <c r="D16" s="207"/>
      <c r="E16" s="207"/>
      <c r="F16" s="276"/>
      <c r="G16" s="278">
        <f>'Loan Repayment Schedule'!G34</f>
        <v>537111.11111111112</v>
      </c>
      <c r="H16" s="278">
        <f>'Loan Repayment Schedule'!H34</f>
        <v>512012.9465833985</v>
      </c>
      <c r="I16" s="278">
        <f>'Loan Repayment Schedule'!I34</f>
        <v>482880.13872130093</v>
      </c>
      <c r="J16" s="278">
        <f>'Loan Repayment Schedule'!J34</f>
        <v>449064.1003814151</v>
      </c>
      <c r="K16" s="278">
        <f>'Loan Repayment Schedule'!K34</f>
        <v>409811.98110689846</v>
      </c>
      <c r="L16" s="278">
        <f>'Loan Repayment Schedule'!L34</f>
        <v>364249.90632880124</v>
      </c>
      <c r="M16" s="278">
        <f>'Loan Repayment Schedule'!M34</f>
        <v>311363.52219329181</v>
      </c>
      <c r="N16" s="278">
        <f>'Loan Repayment Schedule'!N34</f>
        <v>249975.41288196534</v>
      </c>
      <c r="O16" s="278">
        <f>'Loan Repayment Schedule'!O34</f>
        <v>178718.88766436986</v>
      </c>
      <c r="P16" s="278">
        <f>'Loan Repayment Schedule'!P34</f>
        <v>96007.554100803129</v>
      </c>
      <c r="Q16" s="278">
        <f>'Loan Repayment Schedule'!Q34</f>
        <v>-8.7311491370201111E-10</v>
      </c>
    </row>
    <row r="17" spans="3:19">
      <c r="C17" s="267"/>
      <c r="D17" s="207"/>
      <c r="E17" s="207"/>
      <c r="F17" s="276"/>
      <c r="G17" s="278"/>
      <c r="H17" s="280"/>
      <c r="I17" s="280"/>
      <c r="J17" s="280"/>
      <c r="K17" s="280"/>
      <c r="L17" s="280"/>
      <c r="M17" s="280"/>
      <c r="N17" s="280"/>
      <c r="O17" s="280"/>
      <c r="P17" s="280"/>
      <c r="Q17" s="281"/>
    </row>
    <row r="18" spans="3:19">
      <c r="C18" s="267" t="s">
        <v>225</v>
      </c>
      <c r="D18" s="282"/>
      <c r="E18" s="282"/>
      <c r="F18" s="283"/>
      <c r="G18" s="284">
        <f t="shared" ref="G18:Q18" si="1">G12+G13-G14-G15+G16</f>
        <v>-397945.20547945204</v>
      </c>
      <c r="H18" s="280">
        <f t="shared" si="1"/>
        <v>1343434.8999322064</v>
      </c>
      <c r="I18" s="280">
        <f t="shared" si="1"/>
        <v>2799060.2653470477</v>
      </c>
      <c r="J18" s="280">
        <f t="shared" si="1"/>
        <v>5059580.1244264347</v>
      </c>
      <c r="K18" s="280">
        <f t="shared" si="1"/>
        <v>5793281.7683369061</v>
      </c>
      <c r="L18" s="280">
        <f t="shared" si="1"/>
        <v>6650170.0461591203</v>
      </c>
      <c r="M18" s="280">
        <f t="shared" si="1"/>
        <v>7651339.2791633951</v>
      </c>
      <c r="N18" s="280">
        <f t="shared" si="1"/>
        <v>8821561.2761180438</v>
      </c>
      <c r="O18" s="280">
        <f t="shared" si="1"/>
        <v>10189935.919211436</v>
      </c>
      <c r="P18" s="280">
        <f t="shared" si="1"/>
        <v>11790658.172468562</v>
      </c>
      <c r="Q18" s="285">
        <f t="shared" si="1"/>
        <v>13663922.528770231</v>
      </c>
      <c r="S18" s="286"/>
    </row>
    <row r="19" spans="3:19">
      <c r="C19" s="267" t="s">
        <v>226</v>
      </c>
      <c r="D19" s="207"/>
      <c r="E19" s="207"/>
      <c r="F19" s="276"/>
      <c r="G19" s="278"/>
      <c r="H19" s="280"/>
      <c r="I19" s="280"/>
      <c r="J19" s="280"/>
      <c r="K19" s="280"/>
      <c r="L19" s="280"/>
      <c r="M19" s="280"/>
      <c r="N19" s="280"/>
      <c r="O19" s="280"/>
      <c r="P19" s="280"/>
      <c r="Q19" s="281">
        <f>IF('[2]Assumptions(Ops)'!C53=0, 0, AVERAGE(Q18:Q18)*(1+($L$2/12))/(($L$1/12)-($L$2/12)))</f>
        <v>0</v>
      </c>
      <c r="S19" s="287"/>
    </row>
    <row r="20" spans="3:19">
      <c r="C20" s="267"/>
      <c r="D20" s="207"/>
      <c r="E20" s="207"/>
      <c r="F20" s="272"/>
      <c r="G20" s="288"/>
      <c r="H20" s="289"/>
      <c r="I20" s="289"/>
      <c r="J20" s="289"/>
      <c r="K20" s="289"/>
      <c r="L20" s="289"/>
      <c r="M20" s="289"/>
      <c r="N20" s="289"/>
      <c r="O20" s="289"/>
      <c r="P20" s="289"/>
      <c r="Q20" s="281"/>
    </row>
    <row r="21" spans="3:19">
      <c r="C21" s="290" t="s">
        <v>227</v>
      </c>
      <c r="D21" s="291"/>
      <c r="E21" s="291"/>
      <c r="F21" s="292"/>
      <c r="G21" s="293">
        <f t="shared" ref="G21:Q21" si="2">G18+G19</f>
        <v>-397945.20547945204</v>
      </c>
      <c r="H21" s="294">
        <f t="shared" si="2"/>
        <v>1343434.8999322064</v>
      </c>
      <c r="I21" s="294">
        <f t="shared" si="2"/>
        <v>2799060.2653470477</v>
      </c>
      <c r="J21" s="294">
        <f t="shared" si="2"/>
        <v>5059580.1244264347</v>
      </c>
      <c r="K21" s="294">
        <f t="shared" si="2"/>
        <v>5793281.7683369061</v>
      </c>
      <c r="L21" s="294">
        <f t="shared" si="2"/>
        <v>6650170.0461591203</v>
      </c>
      <c r="M21" s="294">
        <f t="shared" si="2"/>
        <v>7651339.2791633951</v>
      </c>
      <c r="N21" s="294">
        <f t="shared" si="2"/>
        <v>8821561.2761180438</v>
      </c>
      <c r="O21" s="294">
        <f t="shared" si="2"/>
        <v>10189935.919211436</v>
      </c>
      <c r="P21" s="294">
        <f t="shared" si="2"/>
        <v>11790658.172468562</v>
      </c>
      <c r="Q21" s="295">
        <f t="shared" si="2"/>
        <v>13663922.528770231</v>
      </c>
    </row>
    <row r="22" spans="3:19">
      <c r="C22" s="267"/>
      <c r="D22" s="207"/>
      <c r="E22" s="207"/>
      <c r="F22" s="276"/>
      <c r="G22" s="278"/>
      <c r="H22" s="280"/>
      <c r="I22" s="280"/>
      <c r="J22" s="280"/>
      <c r="K22" s="280"/>
      <c r="L22" s="280"/>
      <c r="M22" s="280"/>
      <c r="N22" s="280"/>
      <c r="O22" s="280"/>
      <c r="P22" s="280"/>
      <c r="Q22" s="281"/>
    </row>
    <row r="23" spans="3:19">
      <c r="C23" s="296" t="s">
        <v>228</v>
      </c>
      <c r="D23" s="207"/>
      <c r="E23" s="207"/>
      <c r="F23" s="276"/>
      <c r="G23" s="284">
        <f t="shared" ref="G23:Q23" si="3">G21/((1+($L$1))^G7)</f>
        <v>-397945.20547945204</v>
      </c>
      <c r="H23" s="280">
        <f t="shared" si="3"/>
        <v>1168204.2608106143</v>
      </c>
      <c r="I23" s="280">
        <f t="shared" si="3"/>
        <v>2116491.6940242331</v>
      </c>
      <c r="J23" s="280">
        <f t="shared" si="3"/>
        <v>3326756.0611006403</v>
      </c>
      <c r="K23" s="280">
        <f t="shared" si="3"/>
        <v>3312327.6536815739</v>
      </c>
      <c r="L23" s="280">
        <f t="shared" si="3"/>
        <v>3306309.832727869</v>
      </c>
      <c r="M23" s="280">
        <f t="shared" si="3"/>
        <v>3307885.116064372</v>
      </c>
      <c r="N23" s="280">
        <f t="shared" si="3"/>
        <v>3316351.6336439974</v>
      </c>
      <c r="O23" s="280">
        <f t="shared" si="3"/>
        <v>3331108.1273689964</v>
      </c>
      <c r="P23" s="280">
        <f t="shared" si="3"/>
        <v>3351640.9316467699</v>
      </c>
      <c r="Q23" s="285">
        <f t="shared" si="3"/>
        <v>3377512.6747460118</v>
      </c>
    </row>
    <row r="24" spans="3:19" ht="15" thickBot="1">
      <c r="C24" s="297"/>
      <c r="D24" s="298"/>
      <c r="E24" s="298"/>
      <c r="F24" s="299"/>
      <c r="G24" s="278"/>
      <c r="H24" s="279"/>
      <c r="I24" s="279"/>
      <c r="J24" s="279"/>
      <c r="K24" s="279"/>
      <c r="L24" s="279"/>
      <c r="M24" s="279"/>
      <c r="N24" s="279"/>
      <c r="O24" s="279"/>
      <c r="P24" s="279"/>
      <c r="Q24" s="208"/>
    </row>
    <row r="25" spans="3:19" ht="15" thickBot="1">
      <c r="C25" s="300" t="s">
        <v>229</v>
      </c>
      <c r="D25" s="301"/>
      <c r="E25" s="301"/>
      <c r="F25" s="302">
        <f>SUM(G23:Q23)</f>
        <v>29516642.780335624</v>
      </c>
      <c r="G25" s="303"/>
      <c r="H25" s="304"/>
      <c r="I25" s="304"/>
      <c r="J25" s="304"/>
      <c r="K25" s="305"/>
      <c r="L25" s="305"/>
      <c r="M25" s="305"/>
      <c r="N25" s="305"/>
      <c r="O25" s="305"/>
      <c r="P25" s="305"/>
      <c r="Q25" s="208"/>
    </row>
    <row r="26" spans="3:19" ht="15" thickBot="1">
      <c r="C26" s="306"/>
      <c r="D26" s="307"/>
      <c r="E26" s="307"/>
      <c r="F26" s="308"/>
      <c r="G26" s="309"/>
      <c r="H26" s="310"/>
      <c r="I26" s="310"/>
      <c r="J26" s="310"/>
      <c r="K26" s="310"/>
      <c r="L26" s="310"/>
      <c r="M26" s="310"/>
      <c r="N26" s="310"/>
      <c r="O26" s="207"/>
      <c r="P26" s="207"/>
      <c r="Q26" s="208"/>
    </row>
    <row r="27" spans="3:19" ht="15" thickBot="1">
      <c r="C27" s="311" t="s">
        <v>230</v>
      </c>
      <c r="D27" s="312"/>
      <c r="E27" s="312"/>
      <c r="F27" s="430">
        <f>IF(ISERROR(IRR(G21:Q21)),0,IF(IRR(G21:Q21)&lt;0,0,IRR(G21:Q21)))</f>
        <v>4.2870152973669775</v>
      </c>
      <c r="G27" s="313"/>
      <c r="H27" s="431"/>
      <c r="I27" s="314"/>
      <c r="J27" s="314"/>
      <c r="K27" s="310"/>
      <c r="L27" s="310"/>
      <c r="M27" s="310"/>
      <c r="N27" s="310"/>
      <c r="O27" s="310"/>
      <c r="P27" s="310"/>
      <c r="Q27" s="208"/>
    </row>
    <row r="28" spans="3:19" ht="15" thickBot="1">
      <c r="C28" s="315"/>
      <c r="D28" s="316"/>
      <c r="E28" s="316"/>
      <c r="F28" s="317"/>
      <c r="G28" s="318"/>
      <c r="H28" s="319"/>
      <c r="I28" s="319"/>
      <c r="J28" s="319"/>
      <c r="K28" s="231"/>
      <c r="L28" s="231"/>
      <c r="M28" s="231"/>
      <c r="N28" s="231"/>
      <c r="O28" s="231"/>
      <c r="P28" s="231"/>
      <c r="Q28" s="232"/>
    </row>
    <row r="30" spans="3:19">
      <c r="E30" s="32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09B15-F18C-482B-9D14-337A71D5E770}">
  <dimension ref="C1:Q28"/>
  <sheetViews>
    <sheetView topLeftCell="B1" zoomScale="79" workbookViewId="0">
      <selection activeCell="I27" sqref="I27"/>
    </sheetView>
  </sheetViews>
  <sheetFormatPr defaultRowHeight="14.5"/>
  <cols>
    <col min="6" max="6" width="14.08984375" customWidth="1"/>
    <col min="7" max="7" width="12.6328125" customWidth="1"/>
    <col min="8" max="8" width="13.81640625" customWidth="1"/>
    <col min="9" max="9" width="12.6328125" customWidth="1"/>
    <col min="10" max="10" width="15" customWidth="1"/>
    <col min="11" max="11" width="20" customWidth="1"/>
    <col min="12" max="12" width="15.36328125" customWidth="1"/>
    <col min="13" max="13" width="13.6328125" customWidth="1"/>
    <col min="14" max="14" width="12.6328125" customWidth="1"/>
    <col min="15" max="15" width="12.1796875" customWidth="1"/>
    <col min="16" max="16" width="12.7265625" customWidth="1"/>
    <col min="17" max="17" width="13.36328125" customWidth="1"/>
  </cols>
  <sheetData>
    <row r="1" spans="3:17">
      <c r="K1" s="237" t="s">
        <v>214</v>
      </c>
      <c r="L1" s="238">
        <v>0.15</v>
      </c>
    </row>
    <row r="2" spans="3:17">
      <c r="K2" s="240" t="s">
        <v>215</v>
      </c>
      <c r="L2" s="241">
        <v>0.03</v>
      </c>
    </row>
    <row r="3" spans="3:17" ht="15" thickBot="1">
      <c r="K3" s="243" t="s">
        <v>216</v>
      </c>
      <c r="L3" s="244" t="s">
        <v>390</v>
      </c>
    </row>
    <row r="7" spans="3:17" ht="15" thickBot="1">
      <c r="G7">
        <v>0</v>
      </c>
      <c r="H7">
        <v>1</v>
      </c>
      <c r="I7">
        <f t="shared" ref="I7:Q7" si="0">H7+1</f>
        <v>2</v>
      </c>
      <c r="J7">
        <f t="shared" si="0"/>
        <v>3</v>
      </c>
      <c r="K7">
        <f t="shared" si="0"/>
        <v>4</v>
      </c>
      <c r="L7">
        <f t="shared" si="0"/>
        <v>5</v>
      </c>
      <c r="M7">
        <f t="shared" si="0"/>
        <v>6</v>
      </c>
      <c r="N7">
        <f t="shared" si="0"/>
        <v>7</v>
      </c>
      <c r="O7">
        <f t="shared" si="0"/>
        <v>8</v>
      </c>
      <c r="P7">
        <f t="shared" si="0"/>
        <v>9</v>
      </c>
      <c r="Q7">
        <f t="shared" si="0"/>
        <v>10</v>
      </c>
    </row>
    <row r="8" spans="3:17">
      <c r="C8" s="246" t="s">
        <v>217</v>
      </c>
      <c r="D8" s="247"/>
      <c r="E8" s="247"/>
      <c r="F8" s="248"/>
      <c r="G8" s="247"/>
      <c r="H8" s="247"/>
      <c r="I8" s="247"/>
      <c r="J8" s="247"/>
      <c r="K8" s="247"/>
      <c r="L8" s="247"/>
      <c r="M8" s="247"/>
      <c r="N8" s="247"/>
      <c r="O8" s="247"/>
      <c r="P8" s="247"/>
      <c r="Q8" s="249"/>
    </row>
    <row r="9" spans="3:17" ht="15" thickBot="1">
      <c r="C9" s="250" t="s">
        <v>218</v>
      </c>
      <c r="D9" s="251"/>
      <c r="E9" s="251"/>
      <c r="F9" s="252"/>
      <c r="G9" s="253" t="s">
        <v>219</v>
      </c>
      <c r="H9" s="197" t="s">
        <v>139</v>
      </c>
      <c r="I9" s="197" t="s">
        <v>140</v>
      </c>
      <c r="J9" s="197" t="s">
        <v>141</v>
      </c>
      <c r="K9" s="197" t="s">
        <v>142</v>
      </c>
      <c r="L9" s="197" t="s">
        <v>143</v>
      </c>
      <c r="M9" s="197" t="s">
        <v>144</v>
      </c>
      <c r="N9" s="197" t="s">
        <v>145</v>
      </c>
      <c r="O9" s="197" t="s">
        <v>146</v>
      </c>
      <c r="P9" s="197" t="s">
        <v>147</v>
      </c>
      <c r="Q9" s="198" t="s">
        <v>148</v>
      </c>
    </row>
    <row r="10" spans="3:17" ht="0.5" customHeight="1" thickBot="1">
      <c r="C10" s="254"/>
      <c r="D10" s="255"/>
      <c r="E10" s="255"/>
      <c r="F10" s="256"/>
      <c r="G10" s="257"/>
      <c r="H10" s="257"/>
      <c r="I10" s="257"/>
      <c r="J10" s="257"/>
      <c r="K10" s="257"/>
      <c r="L10" s="257"/>
      <c r="M10" s="257"/>
      <c r="N10" s="257"/>
      <c r="O10" s="257"/>
      <c r="P10" s="257"/>
      <c r="Q10" s="258"/>
    </row>
    <row r="11" spans="3:17" ht="15" hidden="1" thickBot="1">
      <c r="C11" s="259" t="s">
        <v>220</v>
      </c>
      <c r="D11" s="255"/>
      <c r="E11" s="255"/>
      <c r="F11" s="260"/>
      <c r="G11" s="261"/>
      <c r="H11" s="261">
        <f>'[2]Preferred Investment'!F17</f>
        <v>8000000</v>
      </c>
      <c r="I11" s="261">
        <f>'[2]Preferred Investment'!G17</f>
        <v>0</v>
      </c>
      <c r="J11" s="261">
        <f>'[2]Preferred Investment'!H17</f>
        <v>0</v>
      </c>
      <c r="K11" s="261">
        <f>'[2]Preferred Investment'!I17</f>
        <v>0</v>
      </c>
      <c r="L11" s="261">
        <f>'[2]Preferred Investment'!J17</f>
        <v>0</v>
      </c>
      <c r="M11" s="261">
        <f>'[2]Preferred Investment'!K17</f>
        <v>0</v>
      </c>
      <c r="N11" s="261">
        <f>'[2]Preferred Investment'!L17</f>
        <v>0</v>
      </c>
      <c r="O11" s="261">
        <f>'[2]Preferred Investment'!M17</f>
        <v>0</v>
      </c>
      <c r="P11" s="261">
        <f>'[2]Preferred Investment'!N17</f>
        <v>0</v>
      </c>
      <c r="Q11" s="262">
        <f>'[2]Preferred Investment'!BM17</f>
        <v>0</v>
      </c>
    </row>
    <row r="12" spans="3:17">
      <c r="C12" s="263" t="s">
        <v>221</v>
      </c>
      <c r="D12" s="201"/>
      <c r="E12" s="201"/>
      <c r="F12" s="264"/>
      <c r="G12" s="265">
        <v>0</v>
      </c>
      <c r="H12" s="266">
        <f>'Income Statement'!C147</f>
        <v>810810.84223769675</v>
      </c>
      <c r="I12" s="266">
        <f>'Income Statement'!D147</f>
        <v>2834710.1114050467</v>
      </c>
      <c r="J12" s="266">
        <f>'Income Statement'!E147</f>
        <v>4589904.9129339084</v>
      </c>
      <c r="K12" s="266">
        <f>'Income Statement'!F147</f>
        <v>5362858.6761188963</v>
      </c>
      <c r="L12" s="266">
        <f>'Income Statement'!G147</f>
        <v>6265309.0287192082</v>
      </c>
      <c r="M12" s="266">
        <f>'Income Statement'!H147</f>
        <v>7319364.6458589919</v>
      </c>
      <c r="N12" s="266">
        <f>'Income Statement'!I147</f>
        <v>8550974.7521249671</v>
      </c>
      <c r="O12" s="266">
        <f>'Income Statement'!J147</f>
        <v>9990605.9204359539</v>
      </c>
      <c r="P12" s="266">
        <f>'Income Statement'!K147</f>
        <v>11674039.507256646</v>
      </c>
      <c r="Q12" s="266">
        <f>'Income Statement'!L147</f>
        <v>13643311.417659119</v>
      </c>
    </row>
    <row r="13" spans="3:17">
      <c r="C13" s="267" t="s">
        <v>126</v>
      </c>
      <c r="D13" s="207"/>
      <c r="E13" s="207"/>
      <c r="F13" s="268"/>
      <c r="G13" s="269">
        <v>0</v>
      </c>
      <c r="H13" s="270">
        <f>'Depreciation Schedule'!G10</f>
        <v>20611.111111111113</v>
      </c>
      <c r="I13" s="270">
        <f>'Depreciation Schedule'!H10</f>
        <v>20611.111111111113</v>
      </c>
      <c r="J13" s="270">
        <f>'Depreciation Schedule'!I10</f>
        <v>20611.111111111113</v>
      </c>
      <c r="K13" s="270">
        <f>'Depreciation Schedule'!J10</f>
        <v>20611.111111111113</v>
      </c>
      <c r="L13" s="270">
        <f>'Depreciation Schedule'!K10</f>
        <v>20611.111111111113</v>
      </c>
      <c r="M13" s="270">
        <f>'Depreciation Schedule'!L10</f>
        <v>20611.111111111113</v>
      </c>
      <c r="N13" s="270">
        <f>'Depreciation Schedule'!M10</f>
        <v>20611.111111111113</v>
      </c>
      <c r="O13" s="270">
        <f>'Depreciation Schedule'!N10</f>
        <v>20611.111111111113</v>
      </c>
      <c r="P13" s="270">
        <f>'Depreciation Schedule'!O10</f>
        <v>20611.111111111113</v>
      </c>
      <c r="Q13" s="270">
        <f>'Depreciation Schedule'!P10</f>
        <v>20611.111111111113</v>
      </c>
    </row>
    <row r="14" spans="3:17">
      <c r="C14" s="267" t="s">
        <v>222</v>
      </c>
      <c r="D14" s="207"/>
      <c r="E14" s="207"/>
      <c r="F14" s="272"/>
      <c r="G14" s="273">
        <f>(SUM('Balance Sheet'!H11:H13)-'Balance Sheet'!H27)-(SUM('Balance Sheet'!G11:G13)-'Balance Sheet'!G27)</f>
        <v>728945.20547945204</v>
      </c>
      <c r="H14" s="273">
        <f>(SUM('Balance Sheet'!I11:I13)-'Balance Sheet'!I27)-(SUM('Balance Sheet'!H11:H13)-'Balance Sheet'!H27)</f>
        <v>539141.09589041083</v>
      </c>
      <c r="I14" s="273">
        <f>(SUM('Balance Sheet'!J11:J13)-'Balance Sheet'!J27)-(SUM('Balance Sheet'!I11:I13)-'Balance Sheet'!I27)</f>
        <v>585159.54589041113</v>
      </c>
      <c r="J14" s="273">
        <f>(SUM('Balance Sheet'!K11:K13)-'Balance Sheet'!K27)-(SUM('Balance Sheet'!J11:J13)-'Balance Sheet'!J27)</f>
        <v>234003.56464143773</v>
      </c>
      <c r="K14" s="273">
        <f>(SUM('Balance Sheet'!L11:L13)-'Balance Sheet'!L27)-(SUM('Balance Sheet'!K11:K13)-'Balance Sheet'!K27)</f>
        <v>272172.99169209995</v>
      </c>
      <c r="L14" s="273">
        <f>(SUM('Balance Sheet'!M11:M13)-'Balance Sheet'!M27)-(SUM('Balance Sheet'!L11:L13)-'Balance Sheet'!L27)</f>
        <v>316719.115360389</v>
      </c>
      <c r="M14" s="273">
        <f>(SUM('Balance Sheet'!N11:N13)-'Balance Sheet'!N27)-(SUM('Balance Sheet'!M11:M13)-'Balance Sheet'!M27)</f>
        <v>368729.91633672733</v>
      </c>
      <c r="N14" s="273">
        <f>(SUM('Balance Sheet'!O11:O13)-'Balance Sheet'!O27)-(SUM('Balance Sheet'!N11:N13)-'Balance Sheet'!N27)</f>
        <v>429482.33461078024</v>
      </c>
      <c r="O14" s="273">
        <f>(SUM('Balance Sheet'!P11:P13)-'Balance Sheet'!P27)-(SUM('Balance Sheet'!O11:O13)-'Balance Sheet'!O27)</f>
        <v>500475.56663481612</v>
      </c>
      <c r="P14" s="273">
        <f>(SUM('Balance Sheet'!Q11:Q13)-'Balance Sheet'!Q27)-(SUM('Balance Sheet'!P11:P13)-'Balance Sheet'!P27)</f>
        <v>583470.2975586378</v>
      </c>
      <c r="Q14" s="273">
        <f>(SUM('Balance Sheet'!R11:R13)-'Balance Sheet'!R27)-(SUM('Balance Sheet'!Q11:Q13)-'Balance Sheet'!Q27)</f>
        <v>-4558299.6340951622</v>
      </c>
    </row>
    <row r="15" spans="3:17">
      <c r="C15" s="267" t="s">
        <v>223</v>
      </c>
      <c r="D15" s="207"/>
      <c r="E15" s="207"/>
      <c r="F15" s="276"/>
      <c r="G15" s="277">
        <f>'Depreciation Schedule'!G9</f>
        <v>206111.11111111112</v>
      </c>
      <c r="H15" s="270">
        <v>0</v>
      </c>
      <c r="I15" s="270">
        <v>0</v>
      </c>
      <c r="J15" s="270">
        <v>0</v>
      </c>
      <c r="K15" s="270">
        <v>0</v>
      </c>
      <c r="L15" s="270">
        <v>0</v>
      </c>
      <c r="M15" s="270">
        <v>0</v>
      </c>
      <c r="N15" s="270">
        <v>0</v>
      </c>
      <c r="O15" s="270">
        <v>0</v>
      </c>
      <c r="P15" s="270">
        <v>0</v>
      </c>
      <c r="Q15" s="271">
        <v>0</v>
      </c>
    </row>
    <row r="16" spans="3:17">
      <c r="C16" s="267" t="s">
        <v>224</v>
      </c>
      <c r="D16" s="207"/>
      <c r="E16" s="207"/>
      <c r="F16" s="276"/>
      <c r="G16" s="278">
        <f>'Loan Repayment Schedule'!G34</f>
        <v>537111.11111111112</v>
      </c>
      <c r="H16" s="278">
        <f>-'Loan Repayment Schedule'!H32</f>
        <v>-25098.164527712634</v>
      </c>
      <c r="I16" s="278">
        <f>-'Loan Repayment Schedule'!I32</f>
        <v>-29132.807862097565</v>
      </c>
      <c r="J16" s="278">
        <f>-'Loan Repayment Schedule'!J32</f>
        <v>-33816.038339885847</v>
      </c>
      <c r="K16" s="278">
        <f>-'Loan Repayment Schedule'!K32</f>
        <v>-39252.119274516655</v>
      </c>
      <c r="L16" s="278">
        <f>-'Loan Repayment Schedule'!L32</f>
        <v>-45562.074778097201</v>
      </c>
      <c r="M16" s="278">
        <f>-'Loan Repayment Schedule'!M32</f>
        <v>-52886.384135509405</v>
      </c>
      <c r="N16" s="278">
        <f>-'Loan Repayment Schedule'!N32</f>
        <v>-61388.109311326472</v>
      </c>
      <c r="O16" s="278">
        <f>-'Loan Repayment Schedule'!O32</f>
        <v>-71256.525217595481</v>
      </c>
      <c r="P16" s="278">
        <f>-'Loan Repayment Schedule'!P32</f>
        <v>-82711.333563566732</v>
      </c>
      <c r="Q16" s="278">
        <f>-'Loan Repayment Schedule'!Q32</f>
        <v>-96007.554100804002</v>
      </c>
    </row>
    <row r="17" spans="3:17">
      <c r="C17" s="267"/>
      <c r="D17" s="207"/>
      <c r="E17" s="207"/>
      <c r="F17" s="276"/>
      <c r="G17" s="278"/>
      <c r="H17" s="280"/>
      <c r="I17" s="280"/>
      <c r="J17" s="280"/>
      <c r="K17" s="280"/>
      <c r="L17" s="280"/>
      <c r="M17" s="280"/>
      <c r="N17" s="280"/>
      <c r="O17" s="280"/>
      <c r="P17" s="280"/>
      <c r="Q17" s="281"/>
    </row>
    <row r="18" spans="3:17">
      <c r="C18" s="267" t="s">
        <v>225</v>
      </c>
      <c r="D18" s="282"/>
      <c r="E18" s="282"/>
      <c r="F18" s="283"/>
      <c r="G18" s="284">
        <f t="shared" ref="G18:Q18" si="1">G12+G13-G14-G15+G16</f>
        <v>-397945.20547945204</v>
      </c>
      <c r="H18" s="280">
        <f t="shared" si="1"/>
        <v>267182.69293068442</v>
      </c>
      <c r="I18" s="280">
        <f t="shared" si="1"/>
        <v>2241028.8687636489</v>
      </c>
      <c r="J18" s="280">
        <f t="shared" si="1"/>
        <v>4342696.421063696</v>
      </c>
      <c r="K18" s="280">
        <f t="shared" si="1"/>
        <v>5072044.676263391</v>
      </c>
      <c r="L18" s="280">
        <f t="shared" si="1"/>
        <v>5923638.9496918339</v>
      </c>
      <c r="M18" s="280">
        <f t="shared" si="1"/>
        <v>6918359.4564978657</v>
      </c>
      <c r="N18" s="280">
        <f t="shared" si="1"/>
        <v>8080715.4193139719</v>
      </c>
      <c r="O18" s="280">
        <f t="shared" si="1"/>
        <v>9439484.9396946561</v>
      </c>
      <c r="P18" s="280">
        <f t="shared" si="1"/>
        <v>11028468.987245554</v>
      </c>
      <c r="Q18" s="285">
        <f t="shared" si="1"/>
        <v>18126214.608764589</v>
      </c>
    </row>
    <row r="19" spans="3:17">
      <c r="C19" s="267" t="s">
        <v>226</v>
      </c>
      <c r="D19" s="207"/>
      <c r="E19" s="207"/>
      <c r="F19" s="276"/>
      <c r="G19" s="278"/>
      <c r="H19" s="280"/>
      <c r="I19" s="280"/>
      <c r="J19" s="280"/>
      <c r="K19" s="280"/>
      <c r="L19" s="280"/>
      <c r="M19" s="280"/>
      <c r="N19" s="280"/>
      <c r="O19" s="280"/>
      <c r="P19" s="280"/>
      <c r="Q19" s="281">
        <f>(Q18*(1+L2))/(L1-L2)</f>
        <v>155583342.05856276</v>
      </c>
    </row>
    <row r="20" spans="3:17">
      <c r="C20" s="267"/>
      <c r="D20" s="207"/>
      <c r="E20" s="207"/>
      <c r="F20" s="272"/>
      <c r="G20" s="288"/>
      <c r="H20" s="289"/>
      <c r="I20" s="289"/>
      <c r="J20" s="289"/>
      <c r="K20" s="289"/>
      <c r="L20" s="289"/>
      <c r="M20" s="289"/>
      <c r="N20" s="289"/>
      <c r="O20" s="289"/>
      <c r="P20" s="289"/>
      <c r="Q20" s="281"/>
    </row>
    <row r="21" spans="3:17">
      <c r="C21" s="290" t="s">
        <v>227</v>
      </c>
      <c r="D21" s="291"/>
      <c r="E21" s="291"/>
      <c r="F21" s="292"/>
      <c r="G21" s="293">
        <f t="shared" ref="G21:Q21" si="2">G18+G19</f>
        <v>-397945.20547945204</v>
      </c>
      <c r="H21" s="294">
        <f t="shared" si="2"/>
        <v>267182.69293068442</v>
      </c>
      <c r="I21" s="294">
        <f t="shared" si="2"/>
        <v>2241028.8687636489</v>
      </c>
      <c r="J21" s="294">
        <f t="shared" si="2"/>
        <v>4342696.421063696</v>
      </c>
      <c r="K21" s="294">
        <f t="shared" si="2"/>
        <v>5072044.676263391</v>
      </c>
      <c r="L21" s="294">
        <f t="shared" si="2"/>
        <v>5923638.9496918339</v>
      </c>
      <c r="M21" s="294">
        <f t="shared" si="2"/>
        <v>6918359.4564978657</v>
      </c>
      <c r="N21" s="294">
        <f t="shared" si="2"/>
        <v>8080715.4193139719</v>
      </c>
      <c r="O21" s="294">
        <f t="shared" si="2"/>
        <v>9439484.9396946561</v>
      </c>
      <c r="P21" s="294">
        <f t="shared" si="2"/>
        <v>11028468.987245554</v>
      </c>
      <c r="Q21" s="295">
        <f t="shared" si="2"/>
        <v>173709556.66732734</v>
      </c>
    </row>
    <row r="22" spans="3:17">
      <c r="C22" s="267"/>
      <c r="D22" s="207"/>
      <c r="E22" s="207"/>
      <c r="F22" s="276"/>
      <c r="G22" s="278"/>
      <c r="H22" s="280"/>
      <c r="I22" s="280"/>
      <c r="J22" s="280"/>
      <c r="K22" s="280"/>
      <c r="L22" s="280"/>
      <c r="M22" s="280"/>
      <c r="N22" s="280"/>
      <c r="O22" s="280"/>
      <c r="P22" s="280"/>
      <c r="Q22" s="281"/>
    </row>
    <row r="23" spans="3:17">
      <c r="C23" s="296" t="s">
        <v>228</v>
      </c>
      <c r="D23" s="207"/>
      <c r="E23" s="207"/>
      <c r="F23" s="276"/>
      <c r="G23" s="284">
        <f t="shared" ref="G23:Q23" si="3">G21/((1+($L$1))^G7)</f>
        <v>-397945.20547945204</v>
      </c>
      <c r="H23" s="280">
        <f t="shared" si="3"/>
        <v>232332.77646146473</v>
      </c>
      <c r="I23" s="280">
        <f t="shared" si="3"/>
        <v>1694539.7873449144</v>
      </c>
      <c r="J23" s="280">
        <f t="shared" si="3"/>
        <v>2855393.389373681</v>
      </c>
      <c r="K23" s="280">
        <f t="shared" si="3"/>
        <v>2899958.0054464601</v>
      </c>
      <c r="L23" s="280">
        <f t="shared" si="3"/>
        <v>2945095.4740935769</v>
      </c>
      <c r="M23" s="280">
        <f t="shared" si="3"/>
        <v>2990997.7114797048</v>
      </c>
      <c r="N23" s="280">
        <f t="shared" si="3"/>
        <v>3037840.2351977872</v>
      </c>
      <c r="O23" s="280">
        <f t="shared" si="3"/>
        <v>3085784.3709803671</v>
      </c>
      <c r="P23" s="280">
        <f t="shared" si="3"/>
        <v>3134979.1954243644</v>
      </c>
      <c r="Q23" s="285">
        <f t="shared" si="3"/>
        <v>42938345.715372913</v>
      </c>
    </row>
    <row r="24" spans="3:17" ht="15" thickBot="1">
      <c r="C24" s="297"/>
      <c r="D24" s="298"/>
      <c r="E24" s="298"/>
      <c r="F24" s="299"/>
      <c r="G24" s="278"/>
      <c r="H24" s="279"/>
      <c r="I24" s="279"/>
      <c r="J24" s="279"/>
      <c r="K24" s="279"/>
      <c r="L24" s="279"/>
      <c r="M24" s="279"/>
      <c r="N24" s="279"/>
      <c r="O24" s="279"/>
      <c r="P24" s="279"/>
      <c r="Q24" s="208"/>
    </row>
    <row r="25" spans="3:17" ht="15" thickBot="1">
      <c r="C25" s="300" t="s">
        <v>229</v>
      </c>
      <c r="D25" s="301"/>
      <c r="E25" s="301"/>
      <c r="F25" s="302">
        <f>SUM(G23:Q23)</f>
        <v>65417321.455695778</v>
      </c>
      <c r="G25" s="303"/>
      <c r="H25" s="304"/>
      <c r="I25" s="304"/>
      <c r="J25" s="304"/>
      <c r="K25" s="305"/>
      <c r="L25" s="305"/>
      <c r="M25" s="305"/>
      <c r="N25" s="305"/>
      <c r="O25" s="305"/>
      <c r="P25" s="305"/>
      <c r="Q25" s="208"/>
    </row>
    <row r="26" spans="3:17" ht="15" thickBot="1">
      <c r="C26" s="306"/>
      <c r="D26" s="307"/>
      <c r="E26" s="307"/>
      <c r="F26" s="308"/>
      <c r="G26" s="309"/>
      <c r="H26" s="310"/>
      <c r="I26" s="310"/>
      <c r="J26" s="310"/>
      <c r="K26" s="310"/>
      <c r="L26" s="310"/>
      <c r="M26" s="310"/>
      <c r="N26" s="310"/>
      <c r="O26" s="207"/>
      <c r="P26" s="207"/>
      <c r="Q26" s="208"/>
    </row>
    <row r="27" spans="3:17" ht="15" thickBot="1">
      <c r="C27" s="311" t="s">
        <v>230</v>
      </c>
      <c r="D27" s="312"/>
      <c r="E27" s="312"/>
      <c r="F27" s="430">
        <f>IF(ISERROR(IRR(G21:Q21)),0,IF(IRR(G21:Q21)&lt;0,0,IRR(G21:Q21)))</f>
        <v>2.5510885011859532</v>
      </c>
      <c r="G27" s="313"/>
      <c r="H27" s="450"/>
      <c r="I27" s="314"/>
      <c r="J27" s="314"/>
      <c r="K27" s="310"/>
      <c r="L27" s="310"/>
      <c r="M27" s="310"/>
      <c r="N27" s="310"/>
      <c r="O27" s="310"/>
      <c r="P27" s="310"/>
      <c r="Q27" s="208"/>
    </row>
    <row r="28" spans="3:17" ht="15" thickBot="1">
      <c r="C28" s="315"/>
      <c r="D28" s="316"/>
      <c r="E28" s="316"/>
      <c r="F28" s="317"/>
      <c r="G28" s="318"/>
      <c r="H28" s="319"/>
      <c r="I28" s="319"/>
      <c r="J28" s="319"/>
      <c r="K28" s="231"/>
      <c r="L28" s="231"/>
      <c r="M28" s="231"/>
      <c r="N28" s="231"/>
      <c r="O28" s="231"/>
      <c r="P28" s="231"/>
      <c r="Q28" s="23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051DF-F6D7-441F-BE16-08132B385CFD}">
  <dimension ref="A1:G23"/>
  <sheetViews>
    <sheetView workbookViewId="0">
      <selection activeCell="E9" sqref="E9"/>
    </sheetView>
  </sheetViews>
  <sheetFormatPr defaultRowHeight="14.5"/>
  <cols>
    <col min="1" max="1" width="45.54296875" bestFit="1" customWidth="1"/>
    <col min="3" max="3" width="10.08984375" bestFit="1" customWidth="1"/>
    <col min="4" max="4" width="10.90625" customWidth="1"/>
    <col min="5" max="5" width="24.453125" customWidth="1"/>
    <col min="6" max="6" width="12" bestFit="1" customWidth="1"/>
  </cols>
  <sheetData>
    <row r="1" spans="1:7">
      <c r="A1" s="1" t="s">
        <v>0</v>
      </c>
      <c r="B1" s="2" t="str">
        <f>'Table of Contents'!B1</f>
        <v>Electronics Manufacturing Venture</v>
      </c>
      <c r="C1" s="3"/>
      <c r="D1" s="3"/>
      <c r="E1" s="3"/>
      <c r="F1" s="4" t="s">
        <v>1</v>
      </c>
      <c r="G1" s="5" t="s">
        <v>2</v>
      </c>
    </row>
    <row r="2" spans="1:7">
      <c r="A2" s="1" t="s">
        <v>3</v>
      </c>
      <c r="B2" s="2" t="str">
        <f>'Table of Contents'!B2</f>
        <v>Krishnamurthy Bindumadhavan</v>
      </c>
      <c r="C2" s="3"/>
      <c r="D2" s="3"/>
      <c r="E2" s="3"/>
      <c r="F2" s="6" t="s">
        <v>4</v>
      </c>
      <c r="G2" s="5" t="s">
        <v>5</v>
      </c>
    </row>
    <row r="3" spans="1:7">
      <c r="A3" s="1" t="s">
        <v>6</v>
      </c>
      <c r="B3" s="2" t="s">
        <v>88</v>
      </c>
      <c r="C3" s="3"/>
      <c r="D3" s="3"/>
      <c r="E3" s="3"/>
      <c r="F3" s="7" t="s">
        <v>8</v>
      </c>
      <c r="G3" s="5" t="s">
        <v>9</v>
      </c>
    </row>
    <row r="4" spans="1:7">
      <c r="A4" s="8" t="s">
        <v>10</v>
      </c>
      <c r="B4" s="9">
        <v>46033</v>
      </c>
      <c r="C4" s="3"/>
      <c r="D4" s="3"/>
      <c r="E4" s="3"/>
      <c r="F4" s="10" t="s">
        <v>11</v>
      </c>
      <c r="G4" s="5" t="s">
        <v>12</v>
      </c>
    </row>
    <row r="6" spans="1:7" ht="15" thickBot="1"/>
    <row r="7" spans="1:7" ht="15" thickBot="1">
      <c r="A7" s="386" t="s">
        <v>251</v>
      </c>
      <c r="B7" s="165"/>
      <c r="C7" s="166" t="str">
        <f>'[1]Income Statement'!C6</f>
        <v>Year 1</v>
      </c>
      <c r="D7" s="167" t="s">
        <v>252</v>
      </c>
    </row>
    <row r="8" spans="1:7">
      <c r="A8" s="29" t="s">
        <v>116</v>
      </c>
      <c r="B8" s="137"/>
      <c r="C8" s="140">
        <f>'[1]Income Statement'!C70</f>
        <v>585984</v>
      </c>
      <c r="D8" s="387">
        <f>C8/$C$10</f>
        <v>0.47229959764778706</v>
      </c>
    </row>
    <row r="9" spans="1:7">
      <c r="A9" s="14" t="s">
        <v>117</v>
      </c>
      <c r="B9" s="137"/>
      <c r="C9" s="140">
        <f>'[1]Income Statement'!C139</f>
        <v>654720.00000000012</v>
      </c>
      <c r="D9" s="387">
        <f>C9/$C$10</f>
        <v>0.52770040235221305</v>
      </c>
    </row>
    <row r="10" spans="1:7" ht="15" thickBot="1">
      <c r="A10" s="23" t="s">
        <v>122</v>
      </c>
      <c r="B10" s="147"/>
      <c r="C10" s="148">
        <f>SUM(C8:C9)</f>
        <v>1240704</v>
      </c>
      <c r="D10" s="57"/>
    </row>
    <row r="11" spans="1:7" ht="15" thickBot="1">
      <c r="C11" s="127"/>
    </row>
    <row r="12" spans="1:7" ht="15" thickBot="1">
      <c r="A12" s="386" t="s">
        <v>253</v>
      </c>
      <c r="B12" s="165"/>
      <c r="C12" s="166" t="str">
        <f>C7</f>
        <v>Year 1</v>
      </c>
      <c r="D12" s="166" t="str">
        <f>D7</f>
        <v>Proportion</v>
      </c>
      <c r="E12" s="166"/>
      <c r="F12" s="167" t="s">
        <v>254</v>
      </c>
    </row>
    <row r="13" spans="1:7">
      <c r="A13" s="29" t="str">
        <f>'[1]Income Statement'!A147</f>
        <v>Cost of Good Sold</v>
      </c>
      <c r="B13" s="137"/>
      <c r="C13" s="140">
        <f>'[1]Income Statement'!C158</f>
        <v>238272.00000000003</v>
      </c>
      <c r="D13" s="388">
        <f>C13/$C$17</f>
        <v>0.43931471388641014</v>
      </c>
      <c r="E13" s="53" t="str">
        <f>A13</f>
        <v>Cost of Good Sold</v>
      </c>
      <c r="F13" s="387">
        <f>C13/($C$17-$C$14)</f>
        <v>0.46961992384286094</v>
      </c>
    </row>
    <row r="14" spans="1:7">
      <c r="A14" s="14" t="str">
        <f>'[1]Income Statement'!A164</f>
        <v>Startup Costs</v>
      </c>
      <c r="B14" s="137"/>
      <c r="C14" s="140">
        <f>'[1]Income Statement'!C174</f>
        <v>35000</v>
      </c>
      <c r="D14" s="388">
        <f>C14/$C$17</f>
        <v>6.4531354863451657E-2</v>
      </c>
      <c r="E14" s="53" t="str">
        <f>A15</f>
        <v>Operating Costs</v>
      </c>
      <c r="F14" s="387">
        <f>C15/($C$17-$C$14)</f>
        <v>0.51953990366043057</v>
      </c>
    </row>
    <row r="15" spans="1:7">
      <c r="A15" s="14" t="str">
        <f>'[1]Income Statement'!A176</f>
        <v>Operating Costs</v>
      </c>
      <c r="B15" s="137"/>
      <c r="C15" s="140">
        <f>'[1]Income Statement'!C193</f>
        <v>263600</v>
      </c>
      <c r="D15" s="388">
        <f>C15/$C$17</f>
        <v>0.48601328977159586</v>
      </c>
      <c r="E15" s="53" t="s">
        <v>255</v>
      </c>
      <c r="F15" s="387">
        <f>C16/($C$17-$C$14)</f>
        <v>1.0840172496708529E-2</v>
      </c>
    </row>
    <row r="16" spans="1:7">
      <c r="A16" s="14" t="str">
        <f>'[1]Income Statement'!A195</f>
        <v>Costs Occuring Once a Year</v>
      </c>
      <c r="B16" s="137"/>
      <c r="C16" s="140">
        <f>'[1]Income Statement'!C199</f>
        <v>5500</v>
      </c>
      <c r="D16" s="388">
        <f>C16/$C$17</f>
        <v>1.0140641478542402E-2</v>
      </c>
      <c r="E16" s="53"/>
      <c r="F16" s="54"/>
    </row>
    <row r="17" spans="1:6" ht="15" thickBot="1">
      <c r="A17" s="23" t="s">
        <v>122</v>
      </c>
      <c r="B17" s="147"/>
      <c r="C17" s="148">
        <f>SUM(C13:C16)</f>
        <v>542372</v>
      </c>
      <c r="D17" s="56"/>
      <c r="E17" s="56"/>
      <c r="F17" s="57"/>
    </row>
    <row r="18" spans="1:6" ht="15" thickBot="1">
      <c r="C18" s="127"/>
    </row>
    <row r="19" spans="1:6">
      <c r="A19" s="389" t="s">
        <v>93</v>
      </c>
      <c r="B19" s="165"/>
      <c r="C19" s="166" t="str">
        <f>C12</f>
        <v>Year 1</v>
      </c>
      <c r="D19" s="167" t="s">
        <v>256</v>
      </c>
    </row>
    <row r="20" spans="1:6">
      <c r="A20" s="14" t="str">
        <f>'[1]Income Statement'!A203</f>
        <v>Earnings before Interest, taxes and Dep. (EBITDA)</v>
      </c>
      <c r="B20" s="137"/>
      <c r="C20" s="140">
        <f>C10-C17</f>
        <v>698332</v>
      </c>
      <c r="D20" s="387">
        <f>C20/$C$10</f>
        <v>0.562851413391107</v>
      </c>
    </row>
    <row r="21" spans="1:6">
      <c r="A21" s="14" t="str">
        <f>'[1]Income Statement'!A208</f>
        <v>Earnings Before Interest and Taxes (EBIT)</v>
      </c>
      <c r="B21" s="137"/>
      <c r="C21" s="140">
        <f>'[1]Income Statement'!C208</f>
        <v>677332</v>
      </c>
      <c r="D21" s="387">
        <f>C21/$C$10</f>
        <v>0.54592553904879815</v>
      </c>
    </row>
    <row r="22" spans="1:6">
      <c r="A22" s="14" t="str">
        <f>'[1]Income Statement'!A212</f>
        <v>Income Before Taxes (EBT)</v>
      </c>
      <c r="B22" s="137"/>
      <c r="C22" s="140">
        <f>'[1]Income Statement'!C212</f>
        <v>655487.7479424536</v>
      </c>
      <c r="D22" s="387">
        <f>C22/$C$10</f>
        <v>0.52831920259985754</v>
      </c>
    </row>
    <row r="23" spans="1:6" ht="15" thickBot="1">
      <c r="A23" s="23" t="str">
        <f>'[1]Income Statement'!A216</f>
        <v>Net Income</v>
      </c>
      <c r="B23" s="147"/>
      <c r="C23" s="148">
        <f>'[1]Income Statement'!C216</f>
        <v>426067.03616259486</v>
      </c>
      <c r="D23" s="390">
        <f>C23/$C$10</f>
        <v>0.34340748168990737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F6F2B-F678-468E-B142-513ACBCC8FBD}">
  <dimension ref="A1:H40"/>
  <sheetViews>
    <sheetView workbookViewId="0"/>
  </sheetViews>
  <sheetFormatPr defaultRowHeight="14.5"/>
  <cols>
    <col min="2" max="2" width="19" customWidth="1"/>
    <col min="3" max="3" width="14.36328125" bestFit="1" customWidth="1"/>
    <col min="5" max="6" width="16.6328125" bestFit="1" customWidth="1"/>
    <col min="8" max="8" width="33.90625" bestFit="1" customWidth="1"/>
  </cols>
  <sheetData>
    <row r="1" spans="1:7">
      <c r="A1" s="1" t="s">
        <v>0</v>
      </c>
      <c r="B1" s="2" t="str">
        <f>'Table of Contents'!B1</f>
        <v>Electronics Manufacturing Venture</v>
      </c>
      <c r="C1" s="3"/>
      <c r="D1" s="3"/>
      <c r="E1" s="3"/>
      <c r="F1" s="4" t="s">
        <v>1</v>
      </c>
      <c r="G1" s="5" t="s">
        <v>2</v>
      </c>
    </row>
    <row r="2" spans="1:7">
      <c r="A2" s="1" t="s">
        <v>3</v>
      </c>
      <c r="B2" s="2" t="str">
        <f>'Table of Contents'!B2</f>
        <v>Krishnamurthy Bindumadhavan</v>
      </c>
      <c r="C2" s="3"/>
      <c r="D2" s="3"/>
      <c r="E2" s="3"/>
      <c r="F2" s="6" t="s">
        <v>4</v>
      </c>
      <c r="G2" s="5" t="s">
        <v>5</v>
      </c>
    </row>
    <row r="3" spans="1:7">
      <c r="A3" s="1" t="s">
        <v>6</v>
      </c>
      <c r="B3" s="2" t="s">
        <v>90</v>
      </c>
      <c r="C3" s="3"/>
      <c r="D3" s="3"/>
      <c r="E3" s="3"/>
      <c r="F3" s="7" t="s">
        <v>8</v>
      </c>
      <c r="G3" s="5" t="s">
        <v>9</v>
      </c>
    </row>
    <row r="4" spans="1:7">
      <c r="A4" s="8" t="s">
        <v>10</v>
      </c>
      <c r="B4" s="9">
        <v>46033</v>
      </c>
      <c r="C4" s="3"/>
      <c r="D4" s="3"/>
      <c r="E4" s="3"/>
      <c r="F4" s="10" t="s">
        <v>11</v>
      </c>
      <c r="G4" s="5" t="s">
        <v>12</v>
      </c>
    </row>
    <row r="6" spans="1:7" ht="18.5">
      <c r="B6" s="391" t="s">
        <v>257</v>
      </c>
    </row>
    <row r="8" spans="1:7" ht="15.5">
      <c r="A8">
        <v>1</v>
      </c>
      <c r="B8" s="392" t="s">
        <v>258</v>
      </c>
    </row>
    <row r="9" spans="1:7" ht="15" thickBot="1"/>
    <row r="10" spans="1:7">
      <c r="B10" s="389" t="s">
        <v>259</v>
      </c>
      <c r="C10" s="393" t="s">
        <v>97</v>
      </c>
    </row>
    <row r="11" spans="1:7">
      <c r="B11" s="14" t="s">
        <v>260</v>
      </c>
      <c r="C11" s="22">
        <f>'[1]Income Statement'!E218</f>
        <v>1395961.1552380896</v>
      </c>
    </row>
    <row r="12" spans="1:7">
      <c r="B12" s="14" t="s">
        <v>261</v>
      </c>
      <c r="C12" s="22">
        <f>'[1]Income Statement'!D218</f>
        <v>898543.40938122838</v>
      </c>
    </row>
    <row r="13" spans="1:7">
      <c r="B13" s="14" t="s">
        <v>262</v>
      </c>
      <c r="C13" s="22">
        <f>'[1]Income Statement'!C218</f>
        <v>426067.03616259486</v>
      </c>
    </row>
    <row r="14" spans="1:7">
      <c r="B14" s="14" t="s">
        <v>263</v>
      </c>
      <c r="C14" s="22">
        <f>AVERAGE(C11:C13)</f>
        <v>906857.20026063768</v>
      </c>
    </row>
    <row r="15" spans="1:7">
      <c r="B15" s="14"/>
      <c r="C15" s="21"/>
    </row>
    <row r="16" spans="1:7">
      <c r="B16" s="14" t="s">
        <v>264</v>
      </c>
      <c r="C16" s="394">
        <v>0.4</v>
      </c>
    </row>
    <row r="17" spans="1:5">
      <c r="B17" s="395" t="s">
        <v>265</v>
      </c>
      <c r="C17" s="394">
        <f>1-C16</f>
        <v>0.6</v>
      </c>
    </row>
    <row r="18" spans="1:5">
      <c r="B18" s="14"/>
      <c r="C18" s="21"/>
    </row>
    <row r="19" spans="1:5" ht="15" thickBot="1">
      <c r="B19" s="396" t="s">
        <v>266</v>
      </c>
      <c r="C19" s="397">
        <f>C14*C17</f>
        <v>544114.32015638263</v>
      </c>
    </row>
    <row r="20" spans="1:5" ht="15" thickBot="1"/>
    <row r="21" spans="1:5" ht="15" thickBot="1">
      <c r="A21">
        <v>2</v>
      </c>
      <c r="B21" s="398" t="s">
        <v>267</v>
      </c>
      <c r="C21" s="399" t="s">
        <v>268</v>
      </c>
      <c r="D21" s="399" t="s">
        <v>264</v>
      </c>
      <c r="E21" s="400" t="s">
        <v>269</v>
      </c>
    </row>
    <row r="22" spans="1:5">
      <c r="B22" s="401" t="s">
        <v>270</v>
      </c>
      <c r="C22" s="402">
        <f>'[1]Depreciation Schedule'!F23</f>
        <v>210000</v>
      </c>
      <c r="D22" s="403">
        <v>0.2</v>
      </c>
      <c r="E22" s="404">
        <f>C22*(1-D22)</f>
        <v>168000</v>
      </c>
    </row>
    <row r="23" spans="1:5">
      <c r="B23" s="405" t="s">
        <v>63</v>
      </c>
      <c r="C23" s="140">
        <f>'[1]Balance Sheet'!H12</f>
        <v>110000</v>
      </c>
      <c r="D23" s="406">
        <v>0.2</v>
      </c>
      <c r="E23" s="141">
        <f>C23*(1-D23)</f>
        <v>88000</v>
      </c>
    </row>
    <row r="24" spans="1:5">
      <c r="B24" s="405" t="s">
        <v>271</v>
      </c>
      <c r="C24" s="140">
        <v>50000</v>
      </c>
      <c r="D24" s="406">
        <v>0.2</v>
      </c>
      <c r="E24" s="141">
        <f>C24*(1-D24)</f>
        <v>40000</v>
      </c>
    </row>
    <row r="25" spans="1:5">
      <c r="B25" s="405" t="s">
        <v>111</v>
      </c>
      <c r="C25" s="140">
        <v>10000</v>
      </c>
      <c r="D25" s="406">
        <v>0.2</v>
      </c>
      <c r="E25" s="141">
        <f>C25*(1-D25)</f>
        <v>8000</v>
      </c>
    </row>
    <row r="26" spans="1:5" ht="15" thickBot="1">
      <c r="B26" s="407" t="s">
        <v>122</v>
      </c>
      <c r="C26" s="148">
        <f>SUM(C22:C25)</f>
        <v>380000</v>
      </c>
      <c r="D26" s="56"/>
      <c r="E26" s="149">
        <f>SUM(E22:E25)</f>
        <v>304000</v>
      </c>
    </row>
    <row r="28" spans="1:5" ht="15" thickBot="1"/>
    <row r="29" spans="1:5" ht="15" thickBot="1">
      <c r="A29">
        <v>3</v>
      </c>
      <c r="B29" s="386" t="s">
        <v>272</v>
      </c>
      <c r="C29" s="408">
        <v>0</v>
      </c>
    </row>
    <row r="31" spans="1:5">
      <c r="A31">
        <v>4</v>
      </c>
      <c r="B31" s="46" t="s">
        <v>172</v>
      </c>
    </row>
    <row r="32" spans="1:5" ht="15" thickBot="1"/>
    <row r="33" spans="2:8" ht="15" thickBot="1">
      <c r="B33" s="386" t="s">
        <v>273</v>
      </c>
      <c r="C33" s="409" t="s">
        <v>274</v>
      </c>
      <c r="D33" s="399" t="s">
        <v>264</v>
      </c>
      <c r="E33" s="410" t="s">
        <v>265</v>
      </c>
      <c r="F33" s="400" t="s">
        <v>275</v>
      </c>
      <c r="H33" s="389" t="s">
        <v>276</v>
      </c>
    </row>
    <row r="34" spans="2:8">
      <c r="B34" s="411" t="s">
        <v>277</v>
      </c>
      <c r="C34" s="412">
        <f>$C$38*H34</f>
        <v>124070.40000000001</v>
      </c>
      <c r="D34" s="413">
        <v>0.2</v>
      </c>
      <c r="E34" s="403">
        <f>1-D34</f>
        <v>0.8</v>
      </c>
      <c r="F34" s="404">
        <f>C34*E34</f>
        <v>99256.320000000007</v>
      </c>
      <c r="H34" s="414">
        <v>0.4</v>
      </c>
    </row>
    <row r="35" spans="2:8">
      <c r="B35" s="395" t="s">
        <v>278</v>
      </c>
      <c r="C35" s="415">
        <f>$C$38*H35</f>
        <v>93052.800000000003</v>
      </c>
      <c r="D35" s="416">
        <v>0.4</v>
      </c>
      <c r="E35" s="406">
        <f>1-D35</f>
        <v>0.6</v>
      </c>
      <c r="F35" s="141">
        <f>C35*E35</f>
        <v>55831.68</v>
      </c>
      <c r="H35" s="414">
        <v>0.3</v>
      </c>
    </row>
    <row r="36" spans="2:8">
      <c r="B36" s="395" t="s">
        <v>279</v>
      </c>
      <c r="C36" s="415">
        <f>$C$38*H36</f>
        <v>62035.200000000004</v>
      </c>
      <c r="D36" s="416">
        <v>0.6</v>
      </c>
      <c r="E36" s="406">
        <f>1-D36</f>
        <v>0.4</v>
      </c>
      <c r="F36" s="141">
        <f>C36*E36</f>
        <v>24814.080000000002</v>
      </c>
      <c r="H36" s="414">
        <v>0.2</v>
      </c>
    </row>
    <row r="37" spans="2:8">
      <c r="B37" s="395" t="s">
        <v>280</v>
      </c>
      <c r="C37" s="415">
        <f>$C$38*H37</f>
        <v>31017.600000000002</v>
      </c>
      <c r="D37" s="416">
        <v>0.8</v>
      </c>
      <c r="E37" s="406">
        <f>1-D37</f>
        <v>0.19999999999999996</v>
      </c>
      <c r="F37" s="141">
        <f>C37*E37</f>
        <v>6203.5199999999986</v>
      </c>
      <c r="H37" s="414">
        <v>0.1</v>
      </c>
    </row>
    <row r="38" spans="2:8" ht="15" thickBot="1">
      <c r="B38" s="23" t="s">
        <v>122</v>
      </c>
      <c r="C38" s="417">
        <f>'[1]Income Statement'!C141*25%</f>
        <v>310176</v>
      </c>
      <c r="D38" s="56"/>
      <c r="E38" s="56"/>
      <c r="F38" s="149">
        <f>SUM(F34:F37)</f>
        <v>186105.60000000001</v>
      </c>
      <c r="H38" s="418">
        <f>SUM(H34:H37)</f>
        <v>0.99999999999999989</v>
      </c>
    </row>
    <row r="39" spans="2:8" ht="15" thickBot="1"/>
    <row r="40" spans="2:8" ht="15" thickBot="1">
      <c r="B40" s="386" t="s">
        <v>281</v>
      </c>
      <c r="C40" s="408">
        <f>C19+E26+C29+F38</f>
        <v>1034219.9201563826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Table of Contents</vt:lpstr>
      <vt:lpstr>Revenue</vt:lpstr>
      <vt:lpstr>Income</vt:lpstr>
      <vt:lpstr>Comments</vt:lpstr>
      <vt:lpstr>Assumptions</vt:lpstr>
      <vt:lpstr>Income Statement</vt:lpstr>
      <vt:lpstr>Balance Sheet</vt:lpstr>
      <vt:lpstr>Cashflow Statement</vt:lpstr>
      <vt:lpstr>Cashflow Statement2</vt:lpstr>
      <vt:lpstr>Net Income Analysis</vt:lpstr>
      <vt:lpstr>Expense Analysis</vt:lpstr>
      <vt:lpstr>Revenue Analysis</vt:lpstr>
      <vt:lpstr>Cashflow Analysis</vt:lpstr>
      <vt:lpstr>Loan Repayment Schedule</vt:lpstr>
      <vt:lpstr>Depreciation Schedule</vt:lpstr>
      <vt:lpstr>Valuation</vt:lpstr>
      <vt:lpstr>Valuation(changed)</vt:lpstr>
      <vt:lpstr>Dashboard</vt:lpstr>
      <vt:lpstr>Existing Practice 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Sri Krishna Chaitanya</cp:lastModifiedBy>
  <dcterms:created xsi:type="dcterms:W3CDTF">2026-01-11T12:25:52Z</dcterms:created>
  <dcterms:modified xsi:type="dcterms:W3CDTF">2026-07-03T03:48:37Z</dcterms:modified>
</cp:coreProperties>
</file>